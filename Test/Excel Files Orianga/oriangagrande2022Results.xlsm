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40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7" i="20" l="1"/>
  <c r="S16" i="20"/>
  <c r="S15" i="20"/>
  <c r="T19" i="20"/>
  <c r="S14" i="20"/>
  <c r="H40" i="20"/>
  <c r="H39" i="20"/>
  <c r="H38" i="20"/>
  <c r="H35" i="20"/>
  <c r="S42" i="20"/>
  <c r="H34" i="20"/>
  <c r="S39" i="20"/>
  <c r="H33" i="20"/>
  <c r="H30" i="20"/>
  <c r="H29" i="20"/>
  <c r="H28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S8" i="20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H7" i="20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177" i="14"/>
  <c r="AY175" i="14"/>
  <c r="AX260" i="14"/>
  <c r="AY14" i="14"/>
  <c r="AX259" i="14"/>
  <c r="AX181" i="14"/>
  <c r="AX179" i="14"/>
  <c r="AX177" i="14"/>
  <c r="AX175" i="14"/>
  <c r="AW259" i="14"/>
  <c r="AX14" i="14"/>
  <c r="AW181" i="14"/>
  <c r="AW179" i="14"/>
  <c r="AW177" i="14"/>
  <c r="AW175" i="14"/>
  <c r="AV260" i="14"/>
  <c r="AW14" i="14"/>
  <c r="AV259" i="14"/>
  <c r="AV181" i="14"/>
  <c r="AV179" i="14"/>
  <c r="AV177" i="14"/>
  <c r="AV175" i="14"/>
  <c r="AU259" i="14"/>
  <c r="AV14" i="14"/>
  <c r="AU181" i="14"/>
  <c r="AU179" i="14"/>
  <c r="AU177" i="14"/>
  <c r="AU175" i="14"/>
  <c r="AT260" i="14"/>
  <c r="AU14" i="14"/>
  <c r="AT259" i="14"/>
  <c r="AT181" i="14"/>
  <c r="AT179" i="14"/>
  <c r="AT177" i="14"/>
  <c r="AT175" i="14"/>
  <c r="AS259" i="14"/>
  <c r="AT14" i="14"/>
  <c r="AS181" i="14"/>
  <c r="AS179" i="14"/>
  <c r="AS177" i="14"/>
  <c r="AS175" i="14"/>
  <c r="AR260" i="14"/>
  <c r="AS14" i="14"/>
  <c r="AR259" i="14"/>
  <c r="AR181" i="14"/>
  <c r="AR179" i="14"/>
  <c r="AR177" i="14"/>
  <c r="AR175" i="14"/>
  <c r="AQ259" i="14"/>
  <c r="AR14" i="14"/>
  <c r="AQ181" i="14"/>
  <c r="AQ179" i="14"/>
  <c r="AQ177" i="14"/>
  <c r="AQ175" i="14"/>
  <c r="AP260" i="14"/>
  <c r="AQ14" i="14"/>
  <c r="AP259" i="14"/>
  <c r="AP181" i="14"/>
  <c r="AP179" i="14"/>
  <c r="AP177" i="14"/>
  <c r="AP175" i="14"/>
  <c r="AO259" i="14"/>
  <c r="AP14" i="14"/>
  <c r="AO181" i="14"/>
  <c r="AO179" i="14"/>
  <c r="AO177" i="14"/>
  <c r="AO175" i="14"/>
  <c r="AN260" i="14"/>
  <c r="AO14" i="14"/>
  <c r="AN259" i="14"/>
  <c r="AN181" i="14"/>
  <c r="AN179" i="14"/>
  <c r="AN177" i="14"/>
  <c r="AN175" i="14"/>
  <c r="AM259" i="14"/>
  <c r="AN14" i="14"/>
  <c r="AM181" i="14"/>
  <c r="AM179" i="14"/>
  <c r="AM177" i="14"/>
  <c r="AM175" i="14"/>
  <c r="AL260" i="14"/>
  <c r="AM14" i="14"/>
  <c r="AL259" i="14"/>
  <c r="AL181" i="14"/>
  <c r="AL179" i="14"/>
  <c r="AL177" i="14"/>
  <c r="AL175" i="14"/>
  <c r="AK259" i="14"/>
  <c r="AL14" i="14"/>
  <c r="AK181" i="14"/>
  <c r="AK179" i="14"/>
  <c r="AK177" i="14"/>
  <c r="AK175" i="14"/>
  <c r="AJ260" i="14"/>
  <c r="AK14" i="14"/>
  <c r="AJ259" i="14"/>
  <c r="AJ181" i="14"/>
  <c r="AJ179" i="14"/>
  <c r="AJ177" i="14"/>
  <c r="AJ175" i="14"/>
  <c r="AI259" i="14"/>
  <c r="AJ14" i="14"/>
  <c r="AI181" i="14"/>
  <c r="AI179" i="14"/>
  <c r="AI177" i="14"/>
  <c r="AI175" i="14"/>
  <c r="AH260" i="14"/>
  <c r="AI14" i="14"/>
  <c r="AH259" i="14"/>
  <c r="AH181" i="14"/>
  <c r="AH179" i="14"/>
  <c r="AH177" i="14"/>
  <c r="AH175" i="14"/>
  <c r="AG259" i="14"/>
  <c r="AH14" i="14"/>
  <c r="AG181" i="14"/>
  <c r="AG179" i="14"/>
  <c r="AG177" i="14"/>
  <c r="AG175" i="14"/>
  <c r="AF260" i="14"/>
  <c r="AG14" i="14"/>
  <c r="AF259" i="14"/>
  <c r="AF181" i="14"/>
  <c r="AF179" i="14"/>
  <c r="AF177" i="14"/>
  <c r="AF175" i="14"/>
  <c r="AE259" i="14"/>
  <c r="AF14" i="14"/>
  <c r="AE181" i="14"/>
  <c r="AE179" i="14"/>
  <c r="AE177" i="14"/>
  <c r="AE175" i="14"/>
  <c r="AD260" i="14"/>
  <c r="AE14" i="14"/>
  <c r="AD259" i="14"/>
  <c r="AD181" i="14"/>
  <c r="AD179" i="14"/>
  <c r="AD177" i="14"/>
  <c r="AD175" i="14"/>
  <c r="AC259" i="14"/>
  <c r="AD14" i="14"/>
  <c r="AC181" i="14"/>
  <c r="AC179" i="14"/>
  <c r="AC177" i="14"/>
  <c r="AC175" i="14"/>
  <c r="AB260" i="14"/>
  <c r="AC14" i="14"/>
  <c r="AB259" i="14"/>
  <c r="AB181" i="14"/>
  <c r="AB179" i="14"/>
  <c r="AB177" i="14"/>
  <c r="AB175" i="14"/>
  <c r="AA259" i="14"/>
  <c r="AB14" i="14"/>
  <c r="AA181" i="14"/>
  <c r="AA179" i="14"/>
  <c r="AA177" i="14"/>
  <c r="AA175" i="14"/>
  <c r="Z260" i="14"/>
  <c r="AA14" i="14"/>
  <c r="Z259" i="14"/>
  <c r="Z181" i="14"/>
  <c r="Z179" i="14"/>
  <c r="Z177" i="14"/>
  <c r="Z175" i="14"/>
  <c r="Y259" i="14"/>
  <c r="Z14" i="14"/>
  <c r="Y181" i="14"/>
  <c r="Y179" i="14"/>
  <c r="Y177" i="14"/>
  <c r="Y175" i="14"/>
  <c r="X260" i="14"/>
  <c r="Y14" i="14"/>
  <c r="X259" i="14"/>
  <c r="X181" i="14"/>
  <c r="X179" i="14"/>
  <c r="X177" i="14"/>
  <c r="X175" i="14"/>
  <c r="W259" i="14"/>
  <c r="X14" i="14"/>
  <c r="W181" i="14"/>
  <c r="W179" i="14"/>
  <c r="W177" i="14"/>
  <c r="W175" i="14"/>
  <c r="V260" i="14"/>
  <c r="W14" i="14"/>
  <c r="V259" i="14"/>
  <c r="V181" i="14"/>
  <c r="V179" i="14"/>
  <c r="V177" i="14"/>
  <c r="V175" i="14"/>
  <c r="U259" i="14"/>
  <c r="V14" i="14"/>
  <c r="U181" i="14"/>
  <c r="U179" i="14"/>
  <c r="U177" i="14"/>
  <c r="U175" i="14"/>
  <c r="T260" i="14"/>
  <c r="U14" i="14"/>
  <c r="T259" i="14"/>
  <c r="T181" i="14"/>
  <c r="T179" i="14"/>
  <c r="T177" i="14"/>
  <c r="T175" i="14"/>
  <c r="S259" i="14"/>
  <c r="T14" i="14"/>
  <c r="S181" i="14"/>
  <c r="S179" i="14"/>
  <c r="S177" i="14"/>
  <c r="S175" i="14"/>
  <c r="R260" i="14"/>
  <c r="S14" i="14"/>
  <c r="R259" i="14"/>
  <c r="R181" i="14"/>
  <c r="R179" i="14"/>
  <c r="R177" i="14"/>
  <c r="R175" i="14"/>
  <c r="Q259" i="14"/>
  <c r="R14" i="14"/>
  <c r="Q181" i="14"/>
  <c r="Q179" i="14"/>
  <c r="Q177" i="14"/>
  <c r="Q175" i="14"/>
  <c r="P260" i="14"/>
  <c r="Q14" i="14"/>
  <c r="P259" i="14"/>
  <c r="P181" i="14"/>
  <c r="P179" i="14"/>
  <c r="P177" i="14"/>
  <c r="P175" i="14"/>
  <c r="O259" i="14"/>
  <c r="P14" i="14"/>
  <c r="O181" i="14"/>
  <c r="O179" i="14"/>
  <c r="O177" i="14"/>
  <c r="O175" i="14"/>
  <c r="N260" i="14"/>
  <c r="O14" i="14"/>
  <c r="N259" i="14"/>
  <c r="N181" i="14"/>
  <c r="N179" i="14"/>
  <c r="N177" i="14"/>
  <c r="N175" i="14"/>
  <c r="M259" i="14"/>
  <c r="N14" i="14"/>
  <c r="M181" i="14"/>
  <c r="M179" i="14"/>
  <c r="M177" i="14"/>
  <c r="M175" i="14"/>
  <c r="L260" i="14"/>
  <c r="M14" i="14"/>
  <c r="L259" i="14"/>
  <c r="L181" i="14"/>
  <c r="L179" i="14"/>
  <c r="L177" i="14"/>
  <c r="L175" i="14"/>
  <c r="K259" i="14"/>
  <c r="L14" i="14"/>
  <c r="K181" i="14"/>
  <c r="K179" i="14"/>
  <c r="K177" i="14"/>
  <c r="K175" i="14"/>
  <c r="J260" i="14"/>
  <c r="K14" i="14"/>
  <c r="J259" i="14"/>
  <c r="J181" i="14"/>
  <c r="J179" i="14"/>
  <c r="J177" i="14"/>
  <c r="J175" i="14"/>
  <c r="I259" i="14"/>
  <c r="J14" i="14"/>
  <c r="I181" i="14"/>
  <c r="I179" i="14"/>
  <c r="I177" i="14"/>
  <c r="I175" i="14"/>
  <c r="H260" i="14"/>
  <c r="I14" i="14"/>
  <c r="H259" i="14"/>
  <c r="H181" i="14"/>
  <c r="H179" i="14"/>
  <c r="H177" i="14"/>
  <c r="H175" i="14"/>
  <c r="G259" i="14"/>
  <c r="H14" i="14"/>
  <c r="G181" i="14"/>
  <c r="G179" i="14"/>
  <c r="G177" i="14"/>
  <c r="G175" i="14"/>
  <c r="F260" i="14"/>
  <c r="G14" i="14"/>
  <c r="F259" i="14"/>
  <c r="F181" i="14"/>
  <c r="F179" i="14"/>
  <c r="F177" i="14"/>
  <c r="F175" i="14"/>
  <c r="E259" i="14"/>
  <c r="F14" i="14"/>
  <c r="E181" i="14"/>
  <c r="E179" i="14"/>
  <c r="E177" i="14"/>
  <c r="E175" i="14"/>
  <c r="D260" i="14"/>
  <c r="E14" i="14"/>
  <c r="D259" i="14"/>
  <c r="D181" i="14"/>
  <c r="D179" i="14"/>
  <c r="D177" i="14"/>
  <c r="D175" i="14"/>
  <c r="AY259" i="15"/>
  <c r="AZ14" i="15"/>
  <c r="AY181" i="15"/>
  <c r="AY179" i="15"/>
  <c r="AY177" i="15"/>
  <c r="AY175" i="15"/>
  <c r="AX260" i="15"/>
  <c r="AY14" i="15"/>
  <c r="AX259" i="15"/>
  <c r="AX181" i="15"/>
  <c r="AX179" i="15"/>
  <c r="AX177" i="15"/>
  <c r="AX175" i="15"/>
  <c r="AW259" i="15"/>
  <c r="AX14" i="15"/>
  <c r="AW181" i="15"/>
  <c r="AW179" i="15"/>
  <c r="AW177" i="15"/>
  <c r="AW175" i="15"/>
  <c r="AV260" i="15"/>
  <c r="AW14" i="15"/>
  <c r="AV259" i="15"/>
  <c r="AV181" i="15"/>
  <c r="AV179" i="15"/>
  <c r="AV177" i="15"/>
  <c r="AV175" i="15"/>
  <c r="AU259" i="15"/>
  <c r="AV14" i="15"/>
  <c r="AU181" i="15"/>
  <c r="AU179" i="15"/>
  <c r="AU177" i="15"/>
  <c r="AU175" i="15"/>
  <c r="AT260" i="15"/>
  <c r="AU14" i="15"/>
  <c r="AT259" i="15"/>
  <c r="AT181" i="15"/>
  <c r="AT179" i="15"/>
  <c r="AT177" i="15"/>
  <c r="AT175" i="15"/>
  <c r="AS259" i="15"/>
  <c r="AT14" i="15"/>
  <c r="AS181" i="15"/>
  <c r="AS179" i="15"/>
  <c r="AS177" i="15"/>
  <c r="AS175" i="15"/>
  <c r="AR260" i="15"/>
  <c r="AS14" i="15"/>
  <c r="AR259" i="15"/>
  <c r="AR181" i="15"/>
  <c r="AR179" i="15"/>
  <c r="AR177" i="15"/>
  <c r="AR175" i="15"/>
  <c r="AQ259" i="15"/>
  <c r="AR14" i="15"/>
  <c r="AQ181" i="15"/>
  <c r="AQ179" i="15"/>
  <c r="AQ177" i="15"/>
  <c r="AQ175" i="15"/>
  <c r="AP260" i="15"/>
  <c r="AQ14" i="15"/>
  <c r="AP259" i="15"/>
  <c r="AP181" i="15"/>
  <c r="AP179" i="15"/>
  <c r="AP177" i="15"/>
  <c r="AP175" i="15"/>
  <c r="AO259" i="15"/>
  <c r="AP14" i="15"/>
  <c r="AO181" i="15"/>
  <c r="AO179" i="15"/>
  <c r="AO177" i="15"/>
  <c r="AO175" i="15"/>
  <c r="AN260" i="15"/>
  <c r="AO14" i="15"/>
  <c r="AN259" i="15"/>
  <c r="AN181" i="15"/>
  <c r="AN179" i="15"/>
  <c r="AN177" i="15"/>
  <c r="AN175" i="15"/>
  <c r="AM259" i="15"/>
  <c r="AN14" i="15"/>
  <c r="AM181" i="15"/>
  <c r="AM179" i="15"/>
  <c r="AM177" i="15"/>
  <c r="AM175" i="15"/>
  <c r="AL260" i="15"/>
  <c r="AM14" i="15"/>
  <c r="AL259" i="15"/>
  <c r="AL181" i="15"/>
  <c r="AL179" i="15"/>
  <c r="AL177" i="15"/>
  <c r="AL175" i="15"/>
  <c r="AK259" i="15"/>
  <c r="AL14" i="15"/>
  <c r="AK181" i="15"/>
  <c r="AK179" i="15"/>
  <c r="AK177" i="15"/>
  <c r="AK175" i="15"/>
  <c r="AJ260" i="15"/>
  <c r="AK14" i="15"/>
  <c r="AJ259" i="15"/>
  <c r="AJ181" i="15"/>
  <c r="AJ179" i="15"/>
  <c r="AJ177" i="15"/>
  <c r="AJ175" i="15"/>
  <c r="AI259" i="15"/>
  <c r="AJ14" i="15"/>
  <c r="AI181" i="15"/>
  <c r="AI179" i="15"/>
  <c r="AI177" i="15"/>
  <c r="AI175" i="15"/>
  <c r="AH260" i="15"/>
  <c r="AI14" i="15"/>
  <c r="AH259" i="15"/>
  <c r="AH181" i="15"/>
  <c r="AH179" i="15"/>
  <c r="AH177" i="15"/>
  <c r="AH175" i="15"/>
  <c r="AG259" i="15"/>
  <c r="AH14" i="15"/>
  <c r="AG181" i="15"/>
  <c r="AG179" i="15"/>
  <c r="AG177" i="15"/>
  <c r="AG175" i="15"/>
  <c r="AF260" i="15"/>
  <c r="AG14" i="15"/>
  <c r="AF259" i="15"/>
  <c r="AF181" i="15"/>
  <c r="AF179" i="15"/>
  <c r="AF177" i="15"/>
  <c r="AF175" i="15"/>
  <c r="AE259" i="15"/>
  <c r="AF14" i="15"/>
  <c r="AE181" i="15"/>
  <c r="AE179" i="15"/>
  <c r="AE177" i="15"/>
  <c r="AE175" i="15"/>
  <c r="AD260" i="15"/>
  <c r="AE14" i="15"/>
  <c r="AD259" i="15"/>
  <c r="AD181" i="15"/>
  <c r="AD179" i="15"/>
  <c r="AD177" i="15"/>
  <c r="AD175" i="15"/>
  <c r="AC259" i="15"/>
  <c r="AD14" i="15"/>
  <c r="AC181" i="15"/>
  <c r="AC179" i="15"/>
  <c r="AC177" i="15"/>
  <c r="AC175" i="15"/>
  <c r="AB260" i="15"/>
  <c r="AC14" i="15"/>
  <c r="AB259" i="15"/>
  <c r="AB181" i="15"/>
  <c r="AB179" i="15"/>
  <c r="AB177" i="15"/>
  <c r="AB175" i="15"/>
  <c r="AA259" i="15"/>
  <c r="AB14" i="15"/>
  <c r="AA181" i="15"/>
  <c r="AA179" i="15"/>
  <c r="AA177" i="15"/>
  <c r="AA175" i="15"/>
  <c r="Z260" i="15"/>
  <c r="AA14" i="15"/>
  <c r="Z259" i="15"/>
  <c r="Z181" i="15"/>
  <c r="Z179" i="15"/>
  <c r="Z177" i="15"/>
  <c r="Z175" i="15"/>
  <c r="Y259" i="15"/>
  <c r="Z14" i="15"/>
  <c r="Y181" i="15"/>
  <c r="Y179" i="15"/>
  <c r="Y177" i="15"/>
  <c r="Y175" i="15"/>
  <c r="X260" i="15"/>
  <c r="Y14" i="15"/>
  <c r="X259" i="15"/>
  <c r="X181" i="15"/>
  <c r="X179" i="15"/>
  <c r="X177" i="15"/>
  <c r="X175" i="15"/>
  <c r="W259" i="15"/>
  <c r="X14" i="15"/>
  <c r="W181" i="15"/>
  <c r="W179" i="15"/>
  <c r="W177" i="15"/>
  <c r="W175" i="15"/>
  <c r="V260" i="15"/>
  <c r="W14" i="15"/>
  <c r="V259" i="15"/>
  <c r="V181" i="15"/>
  <c r="V179" i="15"/>
  <c r="V177" i="15"/>
  <c r="V175" i="15"/>
  <c r="U259" i="15"/>
  <c r="V14" i="15"/>
  <c r="U181" i="15"/>
  <c r="U179" i="15"/>
  <c r="U177" i="15"/>
  <c r="U175" i="15"/>
  <c r="T260" i="15"/>
  <c r="U14" i="15"/>
  <c r="T259" i="15"/>
  <c r="T181" i="15"/>
  <c r="T179" i="15"/>
  <c r="T177" i="15"/>
  <c r="T175" i="15"/>
  <c r="S259" i="15"/>
  <c r="T14" i="15"/>
  <c r="S181" i="15"/>
  <c r="S179" i="15"/>
  <c r="S177" i="15"/>
  <c r="S175" i="15"/>
  <c r="R260" i="15"/>
  <c r="S14" i="15"/>
  <c r="R259" i="15"/>
  <c r="R181" i="15"/>
  <c r="R179" i="15"/>
  <c r="R177" i="15"/>
  <c r="R175" i="15"/>
  <c r="Q259" i="15"/>
  <c r="R14" i="15"/>
  <c r="Q181" i="15"/>
  <c r="Q179" i="15"/>
  <c r="Q177" i="15"/>
  <c r="Q175" i="15"/>
  <c r="P260" i="15"/>
  <c r="Q14" i="15"/>
  <c r="P259" i="15"/>
  <c r="P181" i="15"/>
  <c r="P179" i="15"/>
  <c r="P177" i="15"/>
  <c r="P175" i="15"/>
  <c r="O259" i="15"/>
  <c r="P14" i="15"/>
  <c r="O181" i="15"/>
  <c r="O179" i="15"/>
  <c r="O177" i="15"/>
  <c r="O175" i="15"/>
  <c r="N260" i="15"/>
  <c r="O14" i="15"/>
  <c r="N259" i="15"/>
  <c r="N181" i="15"/>
  <c r="N179" i="15"/>
  <c r="N177" i="15"/>
  <c r="N175" i="15"/>
  <c r="M259" i="15"/>
  <c r="N14" i="15"/>
  <c r="M181" i="15"/>
  <c r="M179" i="15"/>
  <c r="M177" i="15"/>
  <c r="M175" i="15"/>
  <c r="L260" i="15"/>
  <c r="M14" i="15"/>
  <c r="L259" i="15"/>
  <c r="L181" i="15"/>
  <c r="L179" i="15"/>
  <c r="L177" i="15"/>
  <c r="L175" i="15"/>
  <c r="K259" i="15"/>
  <c r="L14" i="15"/>
  <c r="K181" i="15"/>
  <c r="K179" i="15"/>
  <c r="K177" i="15"/>
  <c r="K175" i="15"/>
  <c r="J260" i="15"/>
  <c r="K14" i="15"/>
  <c r="J259" i="15"/>
  <c r="J181" i="15"/>
  <c r="J179" i="15"/>
  <c r="J177" i="15"/>
  <c r="J175" i="15"/>
  <c r="I259" i="15"/>
  <c r="J14" i="15"/>
  <c r="I181" i="15"/>
  <c r="I179" i="15"/>
  <c r="I177" i="15"/>
  <c r="I175" i="15"/>
  <c r="H260" i="15"/>
  <c r="I14" i="15"/>
  <c r="H259" i="15"/>
  <c r="H181" i="15"/>
  <c r="H179" i="15"/>
  <c r="H177" i="15"/>
  <c r="H175" i="15"/>
  <c r="G259" i="15"/>
  <c r="H14" i="15"/>
  <c r="G181" i="15"/>
  <c r="G179" i="15"/>
  <c r="G177" i="15"/>
  <c r="G175" i="15"/>
  <c r="F260" i="15"/>
  <c r="G14" i="15"/>
  <c r="F259" i="15"/>
  <c r="F181" i="15"/>
  <c r="F179" i="15"/>
  <c r="F177" i="15"/>
  <c r="F175" i="15"/>
  <c r="E259" i="15"/>
  <c r="F14" i="15"/>
  <c r="E181" i="15"/>
  <c r="E179" i="15"/>
  <c r="E177" i="15"/>
  <c r="E175" i="15"/>
  <c r="D260" i="15"/>
  <c r="E14" i="15"/>
  <c r="D181" i="15"/>
  <c r="D179" i="15"/>
  <c r="D177" i="15"/>
  <c r="D175" i="15"/>
  <c r="AY259" i="16"/>
  <c r="AZ14" i="16"/>
  <c r="AY181" i="16"/>
  <c r="AY179" i="16"/>
  <c r="AY177" i="16"/>
  <c r="AY175" i="16"/>
  <c r="AX260" i="16"/>
  <c r="AY14" i="16"/>
  <c r="AX259" i="16"/>
  <c r="AX181" i="16"/>
  <c r="AX179" i="16"/>
  <c r="AX177" i="16"/>
  <c r="AX175" i="16"/>
  <c r="AW259" i="16"/>
  <c r="AX14" i="16"/>
  <c r="AW181" i="16"/>
  <c r="AW179" i="16"/>
  <c r="AW177" i="16"/>
  <c r="AW175" i="16"/>
  <c r="AV260" i="16"/>
  <c r="AW14" i="16"/>
  <c r="AV259" i="16"/>
  <c r="AV181" i="16"/>
  <c r="AV179" i="16"/>
  <c r="AV177" i="16"/>
  <c r="AV175" i="16"/>
  <c r="AU259" i="16"/>
  <c r="AV14" i="16"/>
  <c r="AU181" i="16"/>
  <c r="AU179" i="16"/>
  <c r="AU177" i="16"/>
  <c r="AU175" i="16"/>
  <c r="AT260" i="16"/>
  <c r="AU14" i="16"/>
  <c r="AT259" i="16"/>
  <c r="AT181" i="16"/>
  <c r="AT179" i="16"/>
  <c r="AT177" i="16"/>
  <c r="AT175" i="16"/>
  <c r="AS259" i="16"/>
  <c r="AT14" i="16"/>
  <c r="AS181" i="16"/>
  <c r="AS179" i="16"/>
  <c r="AS177" i="16"/>
  <c r="AS175" i="16"/>
  <c r="AR260" i="16"/>
  <c r="AS14" i="16"/>
  <c r="AR259" i="16"/>
  <c r="AR181" i="16"/>
  <c r="AR179" i="16"/>
  <c r="AR177" i="16"/>
  <c r="AR175" i="16"/>
  <c r="AQ259" i="16"/>
  <c r="AR14" i="16"/>
  <c r="AQ181" i="16"/>
  <c r="AQ179" i="16"/>
  <c r="AQ177" i="16"/>
  <c r="AQ175" i="16"/>
  <c r="AP260" i="16"/>
  <c r="AQ14" i="16"/>
  <c r="AP259" i="16"/>
  <c r="AP181" i="16"/>
  <c r="AP179" i="16"/>
  <c r="AP177" i="16"/>
  <c r="AP175" i="16"/>
  <c r="AO259" i="16"/>
  <c r="AP14" i="16"/>
  <c r="AO181" i="16"/>
  <c r="AO179" i="16"/>
  <c r="AO177" i="16"/>
  <c r="AO175" i="16"/>
  <c r="AN260" i="16"/>
  <c r="AO14" i="16"/>
  <c r="AN259" i="16"/>
  <c r="AN181" i="16"/>
  <c r="AN179" i="16"/>
  <c r="AN177" i="16"/>
  <c r="AN175" i="16"/>
  <c r="AM259" i="16"/>
  <c r="AN14" i="16"/>
  <c r="AM181" i="16"/>
  <c r="AM179" i="16"/>
  <c r="AM177" i="16"/>
  <c r="AM175" i="16"/>
  <c r="AL260" i="16"/>
  <c r="AM14" i="16"/>
  <c r="AL259" i="16"/>
  <c r="AL181" i="16"/>
  <c r="AL179" i="16"/>
  <c r="AL177" i="16"/>
  <c r="AL175" i="16"/>
  <c r="AK259" i="16"/>
  <c r="AL14" i="16"/>
  <c r="AK181" i="16"/>
  <c r="AK179" i="16"/>
  <c r="AK177" i="16"/>
  <c r="AK175" i="16"/>
  <c r="AJ260" i="16"/>
  <c r="AK14" i="16"/>
  <c r="AJ259" i="16"/>
  <c r="AJ181" i="16"/>
  <c r="AJ179" i="16"/>
  <c r="AJ177" i="16"/>
  <c r="AJ175" i="16"/>
  <c r="AI259" i="16"/>
  <c r="AJ14" i="16"/>
  <c r="AI181" i="16"/>
  <c r="AI179" i="16"/>
  <c r="AI177" i="16"/>
  <c r="AI175" i="16"/>
  <c r="AH260" i="16"/>
  <c r="AI14" i="16"/>
  <c r="AH259" i="16"/>
  <c r="AH181" i="16"/>
  <c r="AH179" i="16"/>
  <c r="AH177" i="16"/>
  <c r="AH175" i="16"/>
  <c r="AG259" i="16"/>
  <c r="AH14" i="16"/>
  <c r="AG181" i="16"/>
  <c r="AG179" i="16"/>
  <c r="AG177" i="16"/>
  <c r="AG175" i="16"/>
  <c r="AF260" i="16"/>
  <c r="AG14" i="16"/>
  <c r="AF259" i="16"/>
  <c r="AF181" i="16"/>
  <c r="AF179" i="16"/>
  <c r="AF177" i="16"/>
  <c r="AF175" i="16"/>
  <c r="AE259" i="16"/>
  <c r="AF14" i="16"/>
  <c r="AE181" i="16"/>
  <c r="AE179" i="16"/>
  <c r="AE177" i="16"/>
  <c r="AE175" i="16"/>
  <c r="AD260" i="16"/>
  <c r="AE14" i="16"/>
  <c r="AD259" i="16"/>
  <c r="AD181" i="16"/>
  <c r="AD179" i="16"/>
  <c r="AD177" i="16"/>
  <c r="AD175" i="16"/>
  <c r="AC259" i="16"/>
  <c r="AD14" i="16"/>
  <c r="AC181" i="16"/>
  <c r="AC179" i="16"/>
  <c r="AC177" i="16"/>
  <c r="AC175" i="16"/>
  <c r="AB260" i="16"/>
  <c r="AC14" i="16"/>
  <c r="AB259" i="16"/>
  <c r="AB181" i="16"/>
  <c r="AB179" i="16"/>
  <c r="AB177" i="16"/>
  <c r="AB175" i="16"/>
  <c r="AA259" i="16"/>
  <c r="AB14" i="16"/>
  <c r="AA181" i="16"/>
  <c r="AA179" i="16"/>
  <c r="AA177" i="16"/>
  <c r="AA175" i="16"/>
  <c r="Z260" i="16"/>
  <c r="AA14" i="16"/>
  <c r="Z259" i="16"/>
  <c r="Z181" i="16"/>
  <c r="Z179" i="16"/>
  <c r="Z177" i="16"/>
  <c r="Z175" i="16"/>
  <c r="Y259" i="16"/>
  <c r="Z14" i="16"/>
  <c r="Y181" i="16"/>
  <c r="Y179" i="16"/>
  <c r="Y177" i="16"/>
  <c r="Y175" i="16"/>
  <c r="X260" i="16"/>
  <c r="Y14" i="16"/>
  <c r="X259" i="16"/>
  <c r="X181" i="16"/>
  <c r="X179" i="16"/>
  <c r="X177" i="16"/>
  <c r="X175" i="16"/>
  <c r="W259" i="16"/>
  <c r="X14" i="16"/>
  <c r="W181" i="16"/>
  <c r="W179" i="16"/>
  <c r="W177" i="16"/>
  <c r="W175" i="16"/>
  <c r="V260" i="16"/>
  <c r="W14" i="16"/>
  <c r="V259" i="16"/>
  <c r="V181" i="16"/>
  <c r="V179" i="16"/>
  <c r="V177" i="16"/>
  <c r="V175" i="16"/>
  <c r="U259" i="16"/>
  <c r="V14" i="16"/>
  <c r="U181" i="16"/>
  <c r="U179" i="16"/>
  <c r="U177" i="16"/>
  <c r="U175" i="16"/>
  <c r="T260" i="16"/>
  <c r="U14" i="16"/>
  <c r="T259" i="16"/>
  <c r="T181" i="16"/>
  <c r="T179" i="16"/>
  <c r="T177" i="16"/>
  <c r="T175" i="16"/>
  <c r="S259" i="16"/>
  <c r="T14" i="16"/>
  <c r="S181" i="16"/>
  <c r="S179" i="16"/>
  <c r="S177" i="16"/>
  <c r="S175" i="16"/>
  <c r="R260" i="16"/>
  <c r="S14" i="16"/>
  <c r="R259" i="16"/>
  <c r="R181" i="16"/>
  <c r="R179" i="16"/>
  <c r="R177" i="16"/>
  <c r="R175" i="16"/>
  <c r="Q259" i="16"/>
  <c r="R14" i="16"/>
  <c r="Q181" i="16"/>
  <c r="Q179" i="16"/>
  <c r="Q177" i="16"/>
  <c r="Q175" i="16"/>
  <c r="P260" i="16"/>
  <c r="Q14" i="16"/>
  <c r="P259" i="16"/>
  <c r="P181" i="16"/>
  <c r="P179" i="16"/>
  <c r="P177" i="16"/>
  <c r="P175" i="16"/>
  <c r="O259" i="16"/>
  <c r="P14" i="16"/>
  <c r="O181" i="16"/>
  <c r="O179" i="16"/>
  <c r="O177" i="16"/>
  <c r="O175" i="16"/>
  <c r="N260" i="16"/>
  <c r="O14" i="16"/>
  <c r="N259" i="16"/>
  <c r="N181" i="16"/>
  <c r="N179" i="16"/>
  <c r="N177" i="16"/>
  <c r="N175" i="16"/>
  <c r="M259" i="16"/>
  <c r="N14" i="16"/>
  <c r="M181" i="16"/>
  <c r="M179" i="16"/>
  <c r="M177" i="16"/>
  <c r="M175" i="16"/>
  <c r="L260" i="16"/>
  <c r="M14" i="16"/>
  <c r="L259" i="16"/>
  <c r="L181" i="16"/>
  <c r="L179" i="16"/>
  <c r="L177" i="16"/>
  <c r="L175" i="16"/>
  <c r="K259" i="16"/>
  <c r="L14" i="16"/>
  <c r="K181" i="16"/>
  <c r="K179" i="16"/>
  <c r="K177" i="16"/>
  <c r="K175" i="16"/>
  <c r="J260" i="16"/>
  <c r="K14" i="16"/>
  <c r="J259" i="16"/>
  <c r="J181" i="16"/>
  <c r="J179" i="16"/>
  <c r="J177" i="16"/>
  <c r="J175" i="16"/>
  <c r="I259" i="16"/>
  <c r="J14" i="16"/>
  <c r="I181" i="16"/>
  <c r="I179" i="16"/>
  <c r="I177" i="16"/>
  <c r="I175" i="16"/>
  <c r="H260" i="16"/>
  <c r="I14" i="16"/>
  <c r="H259" i="16"/>
  <c r="H181" i="16"/>
  <c r="H179" i="16"/>
  <c r="H177" i="16"/>
  <c r="H175" i="16"/>
  <c r="G259" i="16"/>
  <c r="H14" i="16"/>
  <c r="G181" i="16"/>
  <c r="G179" i="16"/>
  <c r="G177" i="16"/>
  <c r="G175" i="16"/>
  <c r="F260" i="16"/>
  <c r="G14" i="16"/>
  <c r="F259" i="16"/>
  <c r="F181" i="16"/>
  <c r="F179" i="16"/>
  <c r="F177" i="16"/>
  <c r="F175" i="16"/>
  <c r="E259" i="16"/>
  <c r="F14" i="16"/>
  <c r="E181" i="16"/>
  <c r="E179" i="16"/>
  <c r="E177" i="16"/>
  <c r="E175" i="16"/>
  <c r="D260" i="16"/>
  <c r="E14" i="16"/>
  <c r="D181" i="16"/>
  <c r="D179" i="16"/>
  <c r="D177" i="16"/>
  <c r="D175" i="16"/>
  <c r="AY14" i="17"/>
  <c r="AY15" i="17"/>
  <c r="AY16" i="17"/>
  <c r="AY10" i="17"/>
  <c r="AY13" i="17"/>
  <c r="AY17" i="17"/>
  <c r="AY29" i="17"/>
  <c r="AX14" i="17"/>
  <c r="AX15" i="17"/>
  <c r="AX16" i="17"/>
  <c r="AX10" i="17"/>
  <c r="AX13" i="17"/>
  <c r="AX17" i="17"/>
  <c r="AX29" i="17"/>
  <c r="AW14" i="17"/>
  <c r="AW15" i="17"/>
  <c r="AW10" i="17"/>
  <c r="AW13" i="17"/>
  <c r="AW16" i="17"/>
  <c r="AW17" i="17"/>
  <c r="AW29" i="17"/>
  <c r="AV14" i="17"/>
  <c r="AV15" i="17"/>
  <c r="AV10" i="17"/>
  <c r="AV13" i="17"/>
  <c r="AV16" i="17"/>
  <c r="AV17" i="17"/>
  <c r="AV29" i="17"/>
  <c r="AU14" i="17"/>
  <c r="AU15" i="17"/>
  <c r="AU10" i="17"/>
  <c r="AU13" i="17"/>
  <c r="AU16" i="17"/>
  <c r="AU17" i="17"/>
  <c r="AU29" i="17"/>
  <c r="AT14" i="17"/>
  <c r="AT15" i="17"/>
  <c r="AT10" i="17"/>
  <c r="AT13" i="17"/>
  <c r="AT16" i="17"/>
  <c r="AT17" i="17"/>
  <c r="AT29" i="17"/>
  <c r="AS15" i="17"/>
  <c r="AS17" i="17"/>
  <c r="AS21" i="17"/>
  <c r="AS23" i="17"/>
  <c r="AS22" i="17"/>
  <c r="AS24" i="17"/>
  <c r="AS29" i="17"/>
  <c r="AS33" i="17"/>
  <c r="AS44" i="17"/>
  <c r="AS46" i="17"/>
  <c r="AS45" i="17"/>
  <c r="AS51" i="17"/>
  <c r="AS50" i="17"/>
  <c r="AS55" i="17"/>
  <c r="AS61" i="17"/>
  <c r="AR14" i="17"/>
  <c r="AR15" i="17"/>
  <c r="AR16" i="17"/>
  <c r="AR17" i="17"/>
  <c r="AR29" i="17"/>
  <c r="AQ14" i="17"/>
  <c r="AQ15" i="17"/>
  <c r="AQ16" i="17"/>
  <c r="AQ10" i="17"/>
  <c r="AQ13" i="17"/>
  <c r="AQ17" i="17"/>
  <c r="AQ29" i="17"/>
  <c r="AP14" i="17"/>
  <c r="AP15" i="17"/>
  <c r="AP10" i="17"/>
  <c r="AP13" i="17"/>
  <c r="AP16" i="17"/>
  <c r="AP17" i="17"/>
  <c r="AP29" i="17"/>
  <c r="AO14" i="17"/>
  <c r="AO15" i="17"/>
  <c r="AO16" i="17"/>
  <c r="AO10" i="17"/>
  <c r="AO13" i="17"/>
  <c r="AP21" i="17"/>
  <c r="AO17" i="17"/>
  <c r="AO29" i="17"/>
  <c r="AN15" i="17"/>
  <c r="AN17" i="17"/>
  <c r="AN21" i="17"/>
  <c r="AN23" i="17"/>
  <c r="AN22" i="17"/>
  <c r="AN24" i="17"/>
  <c r="AN29" i="17"/>
  <c r="AN33" i="17"/>
  <c r="AN44" i="17"/>
  <c r="AN46" i="17"/>
  <c r="AN45" i="17"/>
  <c r="AN51" i="17"/>
  <c r="AN50" i="17"/>
  <c r="AN55" i="17"/>
  <c r="AN61" i="17"/>
  <c r="AM14" i="17"/>
  <c r="AM15" i="17"/>
  <c r="AM16" i="17"/>
  <c r="AM17" i="17"/>
  <c r="AM29" i="17"/>
  <c r="AL14" i="17"/>
  <c r="AL15" i="17"/>
  <c r="AL10" i="17"/>
  <c r="AL13" i="17"/>
  <c r="AL16" i="17"/>
  <c r="AL17" i="17"/>
  <c r="AL29" i="17"/>
  <c r="AK14" i="17"/>
  <c r="AK15" i="17"/>
  <c r="AK10" i="17"/>
  <c r="AK13" i="17"/>
  <c r="AK16" i="17"/>
  <c r="AK17" i="17"/>
  <c r="AK29" i="17"/>
  <c r="AJ14" i="17"/>
  <c r="AJ15" i="17"/>
  <c r="AJ10" i="17"/>
  <c r="AJ13" i="17"/>
  <c r="AJ16" i="17"/>
  <c r="AJ17" i="17"/>
  <c r="AJ29" i="17"/>
  <c r="AI14" i="17"/>
  <c r="AI15" i="17"/>
  <c r="AI10" i="17"/>
  <c r="AI13" i="17"/>
  <c r="AI16" i="17"/>
  <c r="AI17" i="17"/>
  <c r="AI29" i="17"/>
  <c r="AH14" i="17"/>
  <c r="AH15" i="17"/>
  <c r="AH10" i="17"/>
  <c r="AH13" i="17"/>
  <c r="AH16" i="17"/>
  <c r="AH17" i="17"/>
  <c r="AH29" i="17"/>
  <c r="AG14" i="17"/>
  <c r="AG15" i="17"/>
  <c r="AG10" i="17"/>
  <c r="AG13" i="17"/>
  <c r="AG16" i="17"/>
  <c r="AG17" i="17"/>
  <c r="AG29" i="17"/>
  <c r="AF14" i="17"/>
  <c r="AF15" i="17"/>
  <c r="AF10" i="17"/>
  <c r="AF13" i="17"/>
  <c r="AF16" i="17"/>
  <c r="AF17" i="17"/>
  <c r="AF29" i="17"/>
  <c r="AE14" i="17"/>
  <c r="AE15" i="17"/>
  <c r="AE10" i="17"/>
  <c r="AE13" i="17"/>
  <c r="AE16" i="17"/>
  <c r="AE17" i="17"/>
  <c r="AE29" i="17"/>
  <c r="AD14" i="17"/>
  <c r="AD15" i="17"/>
  <c r="AD10" i="17"/>
  <c r="AD13" i="17"/>
  <c r="AD16" i="17"/>
  <c r="AD17" i="17"/>
  <c r="AD29" i="17"/>
  <c r="AC14" i="17"/>
  <c r="AC15" i="17"/>
  <c r="AC10" i="17"/>
  <c r="AC13" i="17"/>
  <c r="AC16" i="17"/>
  <c r="AC17" i="17"/>
  <c r="AC29" i="17"/>
  <c r="AB14" i="17"/>
  <c r="AB15" i="17"/>
  <c r="AB10" i="17"/>
  <c r="AB13" i="17"/>
  <c r="AB16" i="17"/>
  <c r="AB17" i="17"/>
  <c r="AB29" i="17"/>
  <c r="AA14" i="17"/>
  <c r="AA15" i="17"/>
  <c r="AA10" i="17"/>
  <c r="AA13" i="17"/>
  <c r="AA16" i="17"/>
  <c r="AA17" i="17"/>
  <c r="AA29" i="17"/>
  <c r="Z14" i="17"/>
  <c r="Z15" i="17"/>
  <c r="Z10" i="17"/>
  <c r="Z13" i="17"/>
  <c r="Z16" i="17"/>
  <c r="Z17" i="17"/>
  <c r="Z29" i="17"/>
  <c r="Y14" i="17"/>
  <c r="Y15" i="17"/>
  <c r="Y10" i="17"/>
  <c r="Y13" i="17"/>
  <c r="Y16" i="17"/>
  <c r="Y17" i="17"/>
  <c r="Y29" i="17"/>
  <c r="X14" i="17"/>
  <c r="X15" i="17"/>
  <c r="X10" i="17"/>
  <c r="X13" i="17"/>
  <c r="X16" i="17"/>
  <c r="X17" i="17"/>
  <c r="X29" i="17"/>
  <c r="W14" i="17"/>
  <c r="W15" i="17"/>
  <c r="W10" i="17"/>
  <c r="W13" i="17"/>
  <c r="W16" i="17"/>
  <c r="W17" i="17"/>
  <c r="W29" i="17"/>
  <c r="V14" i="17"/>
  <c r="V15" i="17"/>
  <c r="V16" i="17"/>
  <c r="V10" i="17"/>
  <c r="V13" i="17"/>
  <c r="V17" i="17"/>
  <c r="V29" i="17"/>
  <c r="U14" i="17"/>
  <c r="U15" i="17"/>
  <c r="U10" i="17"/>
  <c r="U13" i="17"/>
  <c r="U16" i="17"/>
  <c r="U17" i="17"/>
  <c r="U29" i="17"/>
  <c r="T14" i="17"/>
  <c r="T15" i="17"/>
  <c r="T16" i="17"/>
  <c r="T10" i="17"/>
  <c r="T13" i="17"/>
  <c r="T17" i="17"/>
  <c r="T29" i="17"/>
  <c r="S14" i="17"/>
  <c r="S15" i="17"/>
  <c r="S10" i="17"/>
  <c r="S13" i="17"/>
  <c r="S16" i="17"/>
  <c r="S17" i="17"/>
  <c r="S29" i="17"/>
  <c r="R14" i="17"/>
  <c r="R10" i="17"/>
  <c r="R15" i="17"/>
  <c r="R16" i="17"/>
  <c r="R13" i="17"/>
  <c r="R17" i="17"/>
  <c r="R29" i="17"/>
  <c r="Q14" i="17"/>
  <c r="Q15" i="17"/>
  <c r="Q16" i="17"/>
  <c r="Q10" i="17"/>
  <c r="Q13" i="17"/>
  <c r="Q17" i="17"/>
  <c r="Q29" i="17"/>
  <c r="P14" i="17"/>
  <c r="P15" i="17"/>
  <c r="P10" i="17"/>
  <c r="P13" i="17"/>
  <c r="P16" i="17"/>
  <c r="P17" i="17"/>
  <c r="P29" i="17"/>
  <c r="O14" i="17"/>
  <c r="O15" i="17"/>
  <c r="O16" i="17"/>
  <c r="O10" i="17"/>
  <c r="O13" i="17"/>
  <c r="O17" i="17"/>
  <c r="O29" i="17"/>
  <c r="N14" i="17"/>
  <c r="N15" i="17"/>
  <c r="N16" i="17"/>
  <c r="N10" i="17"/>
  <c r="N13" i="17"/>
  <c r="N17" i="17"/>
  <c r="N29" i="17"/>
  <c r="M14" i="17"/>
  <c r="M15" i="17"/>
  <c r="M10" i="17"/>
  <c r="M13" i="17"/>
  <c r="M16" i="17"/>
  <c r="M17" i="17"/>
  <c r="M29" i="17"/>
  <c r="L14" i="17"/>
  <c r="L15" i="17"/>
  <c r="L16" i="17"/>
  <c r="L10" i="17"/>
  <c r="L13" i="17"/>
  <c r="L17" i="17"/>
  <c r="L29" i="17"/>
  <c r="K14" i="17"/>
  <c r="K15" i="17"/>
  <c r="K10" i="17"/>
  <c r="K13" i="17"/>
  <c r="K16" i="17"/>
  <c r="K17" i="17"/>
  <c r="K29" i="17"/>
  <c r="J14" i="17"/>
  <c r="J15" i="17"/>
  <c r="J16" i="17"/>
  <c r="J17" i="17"/>
  <c r="J29" i="17"/>
  <c r="I14" i="17"/>
  <c r="I15" i="17"/>
  <c r="I16" i="17"/>
  <c r="I10" i="17"/>
  <c r="I13" i="17"/>
  <c r="I17" i="17"/>
  <c r="I29" i="17"/>
  <c r="H14" i="17"/>
  <c r="H15" i="17"/>
  <c r="H16" i="17"/>
  <c r="H10" i="17"/>
  <c r="H13" i="17"/>
  <c r="H17" i="17"/>
  <c r="H29" i="17"/>
  <c r="G14" i="17"/>
  <c r="G15" i="17"/>
  <c r="G16" i="17"/>
  <c r="G10" i="17"/>
  <c r="G13" i="17"/>
  <c r="G17" i="17"/>
  <c r="G29" i="17"/>
  <c r="F14" i="17"/>
  <c r="F10" i="17"/>
  <c r="F13" i="17"/>
  <c r="F15" i="17"/>
  <c r="F16" i="17"/>
  <c r="F17" i="17"/>
  <c r="F29" i="17"/>
  <c r="E14" i="17"/>
  <c r="E15" i="17"/>
  <c r="E10" i="17"/>
  <c r="E13" i="17"/>
  <c r="E16" i="17"/>
  <c r="E17" i="17"/>
  <c r="E29" i="17"/>
  <c r="E30" i="17"/>
  <c r="D14" i="17"/>
  <c r="D15" i="17"/>
  <c r="D16" i="17"/>
  <c r="D17" i="17"/>
  <c r="D27" i="17"/>
  <c r="E27" i="17"/>
  <c r="F27" i="17"/>
  <c r="D29" i="17"/>
  <c r="D30" i="17"/>
  <c r="AY14" i="18"/>
  <c r="AY10" i="18"/>
  <c r="AY13" i="18"/>
  <c r="AY15" i="18"/>
  <c r="AY16" i="18"/>
  <c r="AY17" i="18"/>
  <c r="AY29" i="18"/>
  <c r="AX14" i="18"/>
  <c r="AX15" i="18"/>
  <c r="AX10" i="18"/>
  <c r="AX13" i="18"/>
  <c r="AX16" i="18"/>
  <c r="AX17" i="18"/>
  <c r="AX29" i="18"/>
  <c r="AW14" i="18"/>
  <c r="AW15" i="18"/>
  <c r="AW16" i="18"/>
  <c r="AW17" i="18"/>
  <c r="AW29" i="18"/>
  <c r="AV14" i="18"/>
  <c r="AV15" i="18"/>
  <c r="AV16" i="18"/>
  <c r="AV10" i="18"/>
  <c r="AV13" i="18"/>
  <c r="AV17" i="18"/>
  <c r="AV29" i="18"/>
  <c r="AU14" i="18"/>
  <c r="AU15" i="18"/>
  <c r="AU16" i="18"/>
  <c r="AU17" i="18"/>
  <c r="AU29" i="18"/>
  <c r="AT14" i="18"/>
  <c r="AT15" i="18"/>
  <c r="AT16" i="18"/>
  <c r="AT10" i="18"/>
  <c r="AT13" i="18"/>
  <c r="AT17" i="18"/>
  <c r="AT29" i="18"/>
  <c r="AS14" i="18"/>
  <c r="AS10" i="18"/>
  <c r="AS13" i="18"/>
  <c r="AS15" i="18"/>
  <c r="AS16" i="18"/>
  <c r="AS17" i="18"/>
  <c r="AS29" i="18"/>
  <c r="AR14" i="18"/>
  <c r="AR10" i="18"/>
  <c r="AR13" i="18"/>
  <c r="AR15" i="18"/>
  <c r="AR16" i="18"/>
  <c r="AR17" i="18"/>
  <c r="AR29" i="18"/>
  <c r="AQ14" i="18"/>
  <c r="AQ15" i="18"/>
  <c r="AQ16" i="18"/>
  <c r="AQ17" i="18"/>
  <c r="AQ29" i="18"/>
  <c r="AP14" i="18"/>
  <c r="AP15" i="18"/>
  <c r="AP16" i="18"/>
  <c r="AP10" i="18"/>
  <c r="AP13" i="18"/>
  <c r="AP17" i="18"/>
  <c r="AP29" i="18"/>
  <c r="AO14" i="18"/>
  <c r="AO10" i="18"/>
  <c r="AO13" i="18"/>
  <c r="AO15" i="18"/>
  <c r="AO16" i="18"/>
  <c r="AO17" i="18"/>
  <c r="AO29" i="18"/>
  <c r="AN14" i="18"/>
  <c r="AN10" i="18"/>
  <c r="AN13" i="18"/>
  <c r="AN15" i="18"/>
  <c r="AN16" i="18"/>
  <c r="AN17" i="18"/>
  <c r="AN29" i="18"/>
  <c r="AM14" i="18"/>
  <c r="AM15" i="18"/>
  <c r="AM16" i="18"/>
  <c r="AM17" i="18"/>
  <c r="AM29" i="18"/>
  <c r="AL14" i="18"/>
  <c r="AL15" i="18"/>
  <c r="AL16" i="18"/>
  <c r="AL10" i="18"/>
  <c r="AL13" i="18"/>
  <c r="AL17" i="18"/>
  <c r="AL29" i="18"/>
  <c r="AK14" i="18"/>
  <c r="AK10" i="18"/>
  <c r="AK13" i="18"/>
  <c r="AK15" i="18"/>
  <c r="AK16" i="18"/>
  <c r="AK17" i="18"/>
  <c r="AK29" i="18"/>
  <c r="AJ14" i="18"/>
  <c r="AJ10" i="18"/>
  <c r="AJ13" i="18"/>
  <c r="AJ15" i="18"/>
  <c r="AJ16" i="18"/>
  <c r="AJ17" i="18"/>
  <c r="AJ29" i="18"/>
  <c r="AI14" i="18"/>
  <c r="AI15" i="18"/>
  <c r="AI16" i="18"/>
  <c r="AI17" i="18"/>
  <c r="AI29" i="18"/>
  <c r="AH14" i="18"/>
  <c r="AH15" i="18"/>
  <c r="AH16" i="18"/>
  <c r="AH10" i="18"/>
  <c r="AH13" i="18"/>
  <c r="AH17" i="18"/>
  <c r="AH29" i="18"/>
  <c r="AG14" i="18"/>
  <c r="AG10" i="18"/>
  <c r="AG13" i="18"/>
  <c r="AG15" i="18"/>
  <c r="AG16" i="18"/>
  <c r="AG17" i="18"/>
  <c r="AG29" i="18"/>
  <c r="AF14" i="18"/>
  <c r="AF10" i="18"/>
  <c r="AF13" i="18"/>
  <c r="AF15" i="18"/>
  <c r="AF16" i="18"/>
  <c r="AF17" i="18"/>
  <c r="AF29" i="18"/>
  <c r="AE14" i="18"/>
  <c r="AE15" i="18"/>
  <c r="AE16" i="18"/>
  <c r="AE17" i="18"/>
  <c r="AE29" i="18"/>
  <c r="AD14" i="18"/>
  <c r="AD15" i="18"/>
  <c r="AD16" i="18"/>
  <c r="AD10" i="18"/>
  <c r="AD13" i="18"/>
  <c r="AD17" i="18"/>
  <c r="AD29" i="18"/>
  <c r="AC14" i="18"/>
  <c r="AC10" i="18"/>
  <c r="AC13" i="18"/>
  <c r="AC15" i="18"/>
  <c r="AC16" i="18"/>
  <c r="AC17" i="18"/>
  <c r="AC29" i="18"/>
  <c r="AB14" i="18"/>
  <c r="AB10" i="18"/>
  <c r="AB13" i="18"/>
  <c r="AB15" i="18"/>
  <c r="AB16" i="18"/>
  <c r="AB17" i="18"/>
  <c r="AB29" i="18"/>
  <c r="AA15" i="18"/>
  <c r="AA17" i="18"/>
  <c r="AA21" i="18"/>
  <c r="AA22" i="18"/>
  <c r="AA34" i="18"/>
  <c r="AA23" i="18"/>
  <c r="AA24" i="18"/>
  <c r="AA29" i="18"/>
  <c r="AA33" i="18"/>
  <c r="AA35" i="18"/>
  <c r="AA39" i="18"/>
  <c r="AA40" i="18"/>
  <c r="AA44" i="18"/>
  <c r="AA45" i="18"/>
  <c r="AA51" i="18"/>
  <c r="AA46" i="18"/>
  <c r="AA50" i="18"/>
  <c r="AA55" i="18"/>
  <c r="AA61" i="18"/>
  <c r="AA56" i="18"/>
  <c r="AA62" i="18"/>
  <c r="AA57" i="18"/>
  <c r="Z14" i="18"/>
  <c r="Z15" i="18"/>
  <c r="AA16" i="18"/>
  <c r="Z16" i="18"/>
  <c r="Z17" i="18"/>
  <c r="Z29" i="18"/>
  <c r="Y14" i="18"/>
  <c r="Y15" i="18"/>
  <c r="Y16" i="18"/>
  <c r="Y10" i="18"/>
  <c r="Y13" i="18"/>
  <c r="Y17" i="18"/>
  <c r="Y29" i="18"/>
  <c r="X14" i="18"/>
  <c r="X15" i="18"/>
  <c r="X10" i="18"/>
  <c r="X13" i="18"/>
  <c r="X16" i="18"/>
  <c r="X17" i="18"/>
  <c r="X29" i="18"/>
  <c r="W14" i="18"/>
  <c r="W15" i="18"/>
  <c r="W16" i="18"/>
  <c r="W10" i="18"/>
  <c r="W13" i="18"/>
  <c r="W17" i="18"/>
  <c r="W29" i="18"/>
  <c r="V14" i="18"/>
  <c r="V15" i="18"/>
  <c r="V10" i="18"/>
  <c r="V13" i="18"/>
  <c r="V16" i="18"/>
  <c r="V17" i="18"/>
  <c r="V29" i="18"/>
  <c r="U14" i="18"/>
  <c r="U15" i="18"/>
  <c r="U16" i="18"/>
  <c r="U10" i="18"/>
  <c r="U13" i="18"/>
  <c r="U17" i="18"/>
  <c r="U29" i="18"/>
  <c r="T14" i="18"/>
  <c r="T15" i="18"/>
  <c r="T10" i="18"/>
  <c r="T13" i="18"/>
  <c r="T16" i="18"/>
  <c r="T17" i="18"/>
  <c r="T29" i="18"/>
  <c r="S14" i="18"/>
  <c r="S15" i="18"/>
  <c r="S16" i="18"/>
  <c r="S10" i="18"/>
  <c r="S13" i="18"/>
  <c r="S17" i="18"/>
  <c r="S29" i="18"/>
  <c r="R14" i="18"/>
  <c r="R15" i="18"/>
  <c r="R10" i="18"/>
  <c r="R13" i="18"/>
  <c r="R16" i="18"/>
  <c r="R17" i="18"/>
  <c r="R29" i="18"/>
  <c r="Q14" i="18"/>
  <c r="Q15" i="18"/>
  <c r="Q16" i="18"/>
  <c r="Q10" i="18"/>
  <c r="Q13" i="18"/>
  <c r="Q17" i="18"/>
  <c r="Q29" i="18"/>
  <c r="P14" i="18"/>
  <c r="P15" i="18"/>
  <c r="P16" i="18"/>
  <c r="P10" i="18"/>
  <c r="P13" i="18"/>
  <c r="Q21" i="18"/>
  <c r="P17" i="18"/>
  <c r="P29" i="18"/>
  <c r="O14" i="18"/>
  <c r="O15" i="18"/>
  <c r="O16" i="18"/>
  <c r="O10" i="18"/>
  <c r="O13" i="18"/>
  <c r="O17" i="18"/>
  <c r="O29" i="18"/>
  <c r="N14" i="18"/>
  <c r="N15" i="18"/>
  <c r="N16" i="18"/>
  <c r="N10" i="18"/>
  <c r="N13" i="18"/>
  <c r="O21" i="18"/>
  <c r="N17" i="18"/>
  <c r="N29" i="18"/>
  <c r="M14" i="18"/>
  <c r="M15" i="18"/>
  <c r="M16" i="18"/>
  <c r="M10" i="18"/>
  <c r="M13" i="18"/>
  <c r="M17" i="18"/>
  <c r="M29" i="18"/>
  <c r="L14" i="18"/>
  <c r="L15" i="18"/>
  <c r="L16" i="18"/>
  <c r="L10" i="18"/>
  <c r="L13" i="18"/>
  <c r="M21" i="18"/>
  <c r="L17" i="18"/>
  <c r="L29" i="18"/>
  <c r="K14" i="18"/>
  <c r="K15" i="18"/>
  <c r="K16" i="18"/>
  <c r="K10" i="18"/>
  <c r="K13" i="18"/>
  <c r="L21" i="18"/>
  <c r="K17" i="18"/>
  <c r="K29" i="18"/>
  <c r="J14" i="18"/>
  <c r="J15" i="18"/>
  <c r="J16" i="18"/>
  <c r="J10" i="18"/>
  <c r="J13" i="18"/>
  <c r="K21" i="18"/>
  <c r="J17" i="18"/>
  <c r="J29" i="18"/>
  <c r="I14" i="18"/>
  <c r="I15" i="18"/>
  <c r="I16" i="18"/>
  <c r="I10" i="18"/>
  <c r="I13" i="18"/>
  <c r="J21" i="18"/>
  <c r="I17" i="18"/>
  <c r="I29" i="18"/>
  <c r="H14" i="18"/>
  <c r="H15" i="18"/>
  <c r="H16" i="18"/>
  <c r="H10" i="18"/>
  <c r="H13" i="18"/>
  <c r="I21" i="18"/>
  <c r="H17" i="18"/>
  <c r="H29" i="18"/>
  <c r="G14" i="18"/>
  <c r="G15" i="18"/>
  <c r="G16" i="18"/>
  <c r="G10" i="18"/>
  <c r="G13" i="18"/>
  <c r="H21" i="18"/>
  <c r="G17" i="18"/>
  <c r="G29" i="18"/>
  <c r="F14" i="18"/>
  <c r="F15" i="18"/>
  <c r="F16" i="18"/>
  <c r="F10" i="18"/>
  <c r="F13" i="18"/>
  <c r="G21" i="18"/>
  <c r="F17" i="18"/>
  <c r="F29" i="18"/>
  <c r="E14" i="18"/>
  <c r="E15" i="18"/>
  <c r="E16" i="18"/>
  <c r="E10" i="18"/>
  <c r="E13" i="18"/>
  <c r="F21" i="18"/>
  <c r="E17" i="18"/>
  <c r="E29" i="18"/>
  <c r="D14" i="18"/>
  <c r="D15" i="18"/>
  <c r="D16" i="18"/>
  <c r="D10" i="18"/>
  <c r="D17" i="18"/>
  <c r="D27" i="18"/>
  <c r="D30" i="18"/>
  <c r="D29" i="18"/>
  <c r="B21" i="17"/>
  <c r="D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7"/>
  <c r="F23" i="18"/>
  <c r="F44" i="18"/>
  <c r="G23" i="18"/>
  <c r="G44" i="18"/>
  <c r="J23" i="18"/>
  <c r="J44" i="18"/>
  <c r="L23" i="18"/>
  <c r="L44" i="18"/>
  <c r="O23" i="18"/>
  <c r="O33" i="18"/>
  <c r="O44" i="18"/>
  <c r="T21" i="18"/>
  <c r="AK21" i="18"/>
  <c r="M21" i="17"/>
  <c r="M22" i="17"/>
  <c r="D21" i="18"/>
  <c r="B22" i="18"/>
  <c r="R22" i="18"/>
  <c r="N21" i="18"/>
  <c r="O55" i="18"/>
  <c r="R21" i="18"/>
  <c r="AO21" i="18"/>
  <c r="AQ21" i="18"/>
  <c r="AU21" i="18"/>
  <c r="D22" i="17"/>
  <c r="AC22" i="17"/>
  <c r="AE22" i="17"/>
  <c r="AD22" i="17"/>
  <c r="X22" i="17"/>
  <c r="AK22" i="17"/>
  <c r="AM22" i="17"/>
  <c r="AL22" i="17"/>
  <c r="AF22" i="17"/>
  <c r="W22" i="17"/>
  <c r="D13" i="18"/>
  <c r="H23" i="18"/>
  <c r="H44" i="18"/>
  <c r="I23" i="18"/>
  <c r="I44" i="18"/>
  <c r="K23" i="18"/>
  <c r="K44" i="18"/>
  <c r="M23" i="18"/>
  <c r="M33" i="18"/>
  <c r="M44" i="18"/>
  <c r="S21" i="18"/>
  <c r="W21" i="18"/>
  <c r="X21" i="18"/>
  <c r="AM21" i="18"/>
  <c r="F55" i="18"/>
  <c r="G55" i="18"/>
  <c r="H55" i="18"/>
  <c r="I55" i="18"/>
  <c r="J55" i="18"/>
  <c r="K55" i="18"/>
  <c r="L55" i="18"/>
  <c r="M55" i="18"/>
  <c r="Q23" i="18"/>
  <c r="Q33" i="18"/>
  <c r="Q44" i="18"/>
  <c r="U21" i="18"/>
  <c r="V21" i="18"/>
  <c r="AC21" i="18"/>
  <c r="AE21" i="18"/>
  <c r="AS21" i="18"/>
  <c r="AZ17" i="18"/>
  <c r="F33" i="18"/>
  <c r="G33" i="18"/>
  <c r="H33" i="18"/>
  <c r="I33" i="18"/>
  <c r="J33" i="18"/>
  <c r="K33" i="18"/>
  <c r="L33" i="18"/>
  <c r="P21" i="18"/>
  <c r="Q55" i="18"/>
  <c r="Q22" i="18"/>
  <c r="Y21" i="18"/>
  <c r="Z21" i="18"/>
  <c r="Z22" i="18"/>
  <c r="AG21" i="18"/>
  <c r="AI21" i="18"/>
  <c r="AI22" i="18"/>
  <c r="AD21" i="18"/>
  <c r="AL21" i="18"/>
  <c r="AL22" i="18"/>
  <c r="AT21" i="18"/>
  <c r="H21" i="17"/>
  <c r="H22" i="17"/>
  <c r="O21" i="17"/>
  <c r="O22" i="17"/>
  <c r="V21" i="17"/>
  <c r="V22" i="17"/>
  <c r="AP44" i="17"/>
  <c r="AP23" i="17"/>
  <c r="AP33" i="17"/>
  <c r="AP55" i="17"/>
  <c r="AV21" i="17"/>
  <c r="AV22" i="17"/>
  <c r="AX21" i="17"/>
  <c r="AX22" i="17"/>
  <c r="E27" i="18"/>
  <c r="Z10" i="18"/>
  <c r="Z13" i="18"/>
  <c r="AA14" i="18"/>
  <c r="AA10" i="18"/>
  <c r="AA13" i="18"/>
  <c r="AI10" i="18"/>
  <c r="AI13" i="18"/>
  <c r="AQ10" i="18"/>
  <c r="AQ13" i="18"/>
  <c r="AW10" i="18"/>
  <c r="AW13" i="18"/>
  <c r="G21" i="17"/>
  <c r="G22" i="17"/>
  <c r="N21" i="17"/>
  <c r="N22" i="17"/>
  <c r="P21" i="17"/>
  <c r="P22" i="17"/>
  <c r="Y21" i="17"/>
  <c r="Y22" i="17"/>
  <c r="AA21" i="17"/>
  <c r="AA22" i="17"/>
  <c r="AF21" i="17"/>
  <c r="AH21" i="17"/>
  <c r="AH22" i="17"/>
  <c r="AJ22" i="17"/>
  <c r="AH21" i="18"/>
  <c r="AP21" i="18"/>
  <c r="AP22" i="18"/>
  <c r="I21" i="17"/>
  <c r="I22" i="17"/>
  <c r="L21" i="17"/>
  <c r="L22" i="17"/>
  <c r="S21" i="17"/>
  <c r="S22" i="17"/>
  <c r="U21" i="17"/>
  <c r="U22" i="17"/>
  <c r="AU21" i="17"/>
  <c r="AU22" i="17"/>
  <c r="AW21" i="17"/>
  <c r="AW22" i="17"/>
  <c r="D44" i="17"/>
  <c r="D23" i="17"/>
  <c r="D33" i="17"/>
  <c r="D55" i="17"/>
  <c r="AE10" i="18"/>
  <c r="AE13" i="18"/>
  <c r="AM10" i="18"/>
  <c r="AM13" i="18"/>
  <c r="AU10" i="18"/>
  <c r="AU13" i="18"/>
  <c r="AW21" i="18"/>
  <c r="AY21" i="18"/>
  <c r="AY22" i="18"/>
  <c r="AZ17" i="17"/>
  <c r="D10" i="17"/>
  <c r="Q21" i="17"/>
  <c r="Q22" i="17"/>
  <c r="X21" i="17"/>
  <c r="Z21" i="17"/>
  <c r="Z22" i="17"/>
  <c r="AB22" i="17"/>
  <c r="AG21" i="17"/>
  <c r="AG22" i="17"/>
  <c r="AI21" i="17"/>
  <c r="AI22" i="17"/>
  <c r="AN16" i="17"/>
  <c r="AM10" i="17"/>
  <c r="AM13" i="17"/>
  <c r="AN14" i="17"/>
  <c r="AN10" i="17"/>
  <c r="AN13" i="17"/>
  <c r="AP22" i="17"/>
  <c r="AR21" i="17"/>
  <c r="AR22" i="17"/>
  <c r="J10" i="17"/>
  <c r="J13" i="17"/>
  <c r="W21" i="17"/>
  <c r="AD21" i="17"/>
  <c r="AE21" i="17"/>
  <c r="AL21" i="17"/>
  <c r="AM21" i="17"/>
  <c r="G27" i="17"/>
  <c r="F30" i="17"/>
  <c r="F21" i="17"/>
  <c r="F22" i="17"/>
  <c r="J21" i="17"/>
  <c r="J22" i="17"/>
  <c r="R21" i="17"/>
  <c r="R22" i="17"/>
  <c r="T21" i="17"/>
  <c r="T22" i="17"/>
  <c r="AB21" i="17"/>
  <c r="AC21" i="17"/>
  <c r="AJ21" i="17"/>
  <c r="AK21" i="17"/>
  <c r="AQ21" i="17"/>
  <c r="AQ22" i="17"/>
  <c r="AS16" i="17"/>
  <c r="AR10" i="17"/>
  <c r="AR13" i="17"/>
  <c r="AS14" i="17"/>
  <c r="AS10" i="17"/>
  <c r="AS13" i="17"/>
  <c r="AS39" i="17"/>
  <c r="AS35" i="17"/>
  <c r="AY21" i="17"/>
  <c r="AY22" i="17"/>
  <c r="AN39" i="17"/>
  <c r="AN35" i="17"/>
  <c r="AN34" i="17"/>
  <c r="AN40" i="17"/>
  <c r="AN56" i="17"/>
  <c r="AS34" i="17"/>
  <c r="AS40" i="17"/>
  <c r="AS56" i="17"/>
  <c r="D259" i="16"/>
  <c r="AZ259" i="16"/>
  <c r="BA14" i="16"/>
  <c r="D259" i="15"/>
  <c r="AZ259" i="15"/>
  <c r="BA14" i="15"/>
  <c r="E260" i="16"/>
  <c r="G260" i="16"/>
  <c r="AZ260" i="16"/>
  <c r="I260" i="16"/>
  <c r="K260" i="16"/>
  <c r="M260" i="16"/>
  <c r="O260" i="16"/>
  <c r="Q260" i="16"/>
  <c r="S260" i="16"/>
  <c r="U260" i="16"/>
  <c r="W260" i="16"/>
  <c r="Y260" i="16"/>
  <c r="AA260" i="16"/>
  <c r="AC260" i="16"/>
  <c r="AE260" i="16"/>
  <c r="AG260" i="16"/>
  <c r="AI260" i="16"/>
  <c r="AK260" i="16"/>
  <c r="AM260" i="16"/>
  <c r="AO260" i="16"/>
  <c r="AQ260" i="16"/>
  <c r="AS260" i="16"/>
  <c r="AU260" i="16"/>
  <c r="AW260" i="16"/>
  <c r="AY260" i="16"/>
  <c r="E260" i="15"/>
  <c r="AZ260" i="15"/>
  <c r="G260" i="15"/>
  <c r="I260" i="15"/>
  <c r="K260" i="15"/>
  <c r="M260" i="15"/>
  <c r="O260" i="15"/>
  <c r="Q260" i="15"/>
  <c r="S260" i="15"/>
  <c r="U260" i="15"/>
  <c r="W260" i="15"/>
  <c r="Y260" i="15"/>
  <c r="AA260" i="15"/>
  <c r="AC260" i="15"/>
  <c r="AE260" i="15"/>
  <c r="AG260" i="15"/>
  <c r="AI260" i="15"/>
  <c r="AK260" i="15"/>
  <c r="AM260" i="15"/>
  <c r="AO260" i="15"/>
  <c r="AQ260" i="15"/>
  <c r="AS260" i="15"/>
  <c r="AU260" i="15"/>
  <c r="AW260" i="15"/>
  <c r="AY260" i="15"/>
  <c r="E260" i="14"/>
  <c r="AZ260" i="14"/>
  <c r="G260" i="14"/>
  <c r="I260" i="14"/>
  <c r="K260" i="14"/>
  <c r="M260" i="14"/>
  <c r="O260" i="14"/>
  <c r="Q260" i="14"/>
  <c r="S260" i="14"/>
  <c r="U260" i="14"/>
  <c r="W260" i="14"/>
  <c r="Y260" i="14"/>
  <c r="AA260" i="14"/>
  <c r="AC260" i="14"/>
  <c r="AE260" i="14"/>
  <c r="AG260" i="14"/>
  <c r="AI260" i="14"/>
  <c r="AK260" i="14"/>
  <c r="AM260" i="14"/>
  <c r="AO260" i="14"/>
  <c r="AQ260" i="14"/>
  <c r="AS260" i="14"/>
  <c r="AU260" i="14"/>
  <c r="AW260" i="14"/>
  <c r="AY260" i="14"/>
  <c r="H9" i="20"/>
  <c r="BA14" i="14"/>
  <c r="S36" i="20"/>
  <c r="S31" i="20"/>
  <c r="T32" i="20"/>
  <c r="S7" i="20"/>
  <c r="T11" i="20"/>
  <c r="H8" i="20"/>
  <c r="S9" i="20"/>
  <c r="S40" i="20"/>
  <c r="AZ259" i="14"/>
  <c r="R56" i="18"/>
  <c r="R62" i="18"/>
  <c r="R24" i="18"/>
  <c r="R34" i="18"/>
  <c r="R40" i="18"/>
  <c r="R45" i="18"/>
  <c r="R51" i="18"/>
  <c r="L39" i="18"/>
  <c r="H39" i="18"/>
  <c r="AS22" i="18"/>
  <c r="AC22" i="18"/>
  <c r="U22" i="18"/>
  <c r="K22" i="18"/>
  <c r="I22" i="18"/>
  <c r="G22" i="18"/>
  <c r="AM22" i="18"/>
  <c r="W22" i="18"/>
  <c r="M50" i="18"/>
  <c r="W34" i="17"/>
  <c r="W40" i="17"/>
  <c r="W24" i="17"/>
  <c r="W45" i="17"/>
  <c r="W51" i="17"/>
  <c r="W56" i="17"/>
  <c r="W62" i="17"/>
  <c r="AK34" i="17"/>
  <c r="AK40" i="17"/>
  <c r="AK56" i="17"/>
  <c r="AK62" i="17"/>
  <c r="AK24" i="17"/>
  <c r="AK45" i="17"/>
  <c r="AK51" i="17"/>
  <c r="AC34" i="17"/>
  <c r="AC40" i="17"/>
  <c r="AC56" i="17"/>
  <c r="AC62" i="17"/>
  <c r="AC24" i="17"/>
  <c r="AC45" i="17"/>
  <c r="AC51" i="17"/>
  <c r="AQ22" i="18"/>
  <c r="N23" i="18"/>
  <c r="N33" i="18"/>
  <c r="N44" i="18"/>
  <c r="N55" i="18"/>
  <c r="M44" i="17"/>
  <c r="M33" i="17"/>
  <c r="M55" i="17"/>
  <c r="M23" i="17"/>
  <c r="T44" i="18"/>
  <c r="T55" i="18"/>
  <c r="T23" i="18"/>
  <c r="T33" i="18"/>
  <c r="L50" i="18"/>
  <c r="G50" i="18"/>
  <c r="AN62" i="17"/>
  <c r="AN57" i="17"/>
  <c r="AJ44" i="17"/>
  <c r="AJ23" i="17"/>
  <c r="AJ33" i="17"/>
  <c r="AJ55" i="17"/>
  <c r="T44" i="17"/>
  <c r="T55" i="17"/>
  <c r="T23" i="17"/>
  <c r="T33" i="17"/>
  <c r="J44" i="17"/>
  <c r="J55" i="17"/>
  <c r="J23" i="17"/>
  <c r="J33" i="17"/>
  <c r="H27" i="17"/>
  <c r="G30" i="17"/>
  <c r="AD44" i="17"/>
  <c r="AD23" i="17"/>
  <c r="AD33" i="17"/>
  <c r="AD55" i="17"/>
  <c r="AR44" i="17"/>
  <c r="AR23" i="17"/>
  <c r="AR33" i="17"/>
  <c r="AR55" i="17"/>
  <c r="AI34" i="17"/>
  <c r="AI40" i="17"/>
  <c r="AI56" i="17"/>
  <c r="AI62" i="17"/>
  <c r="AI24" i="17"/>
  <c r="AI45" i="17"/>
  <c r="AI51" i="17"/>
  <c r="AB34" i="17"/>
  <c r="AB40" i="17"/>
  <c r="AB56" i="17"/>
  <c r="AB62" i="17"/>
  <c r="AB24" i="17"/>
  <c r="AB45" i="17"/>
  <c r="AB51" i="17"/>
  <c r="Q34" i="17"/>
  <c r="Q40" i="17"/>
  <c r="Q24" i="17"/>
  <c r="Q45" i="17"/>
  <c r="Q51" i="17"/>
  <c r="Q56" i="17"/>
  <c r="Q62" i="17"/>
  <c r="AY34" i="18"/>
  <c r="AY40" i="18"/>
  <c r="AY45" i="18"/>
  <c r="AY51" i="18"/>
  <c r="AY24" i="18"/>
  <c r="AY56" i="18"/>
  <c r="AY62" i="18"/>
  <c r="AV21" i="18"/>
  <c r="AV22" i="18"/>
  <c r="D39" i="17"/>
  <c r="AU44" i="17"/>
  <c r="AU23" i="17"/>
  <c r="AU33" i="17"/>
  <c r="AU55" i="17"/>
  <c r="S44" i="17"/>
  <c r="S23" i="17"/>
  <c r="S33" i="17"/>
  <c r="S55" i="17"/>
  <c r="I44" i="17"/>
  <c r="I33" i="17"/>
  <c r="I55" i="17"/>
  <c r="I23" i="17"/>
  <c r="AH44" i="18"/>
  <c r="AH55" i="18"/>
  <c r="AH23" i="18"/>
  <c r="AH33" i="18"/>
  <c r="AF44" i="17"/>
  <c r="AF23" i="17"/>
  <c r="AF33" i="17"/>
  <c r="AF55" i="17"/>
  <c r="Y44" i="17"/>
  <c r="Y23" i="17"/>
  <c r="Y33" i="17"/>
  <c r="Y55" i="17"/>
  <c r="N44" i="17"/>
  <c r="N55" i="17"/>
  <c r="N33" i="17"/>
  <c r="N23" i="17"/>
  <c r="AR21" i="18"/>
  <c r="AR22" i="18"/>
  <c r="AX24" i="17"/>
  <c r="AX34" i="17"/>
  <c r="AX40" i="17"/>
  <c r="AX56" i="17"/>
  <c r="AX62" i="17"/>
  <c r="AX45" i="17"/>
  <c r="AX51" i="17"/>
  <c r="AP61" i="17"/>
  <c r="V34" i="17"/>
  <c r="V40" i="17"/>
  <c r="V45" i="17"/>
  <c r="V51" i="17"/>
  <c r="V56" i="17"/>
  <c r="V62" i="17"/>
  <c r="V24" i="17"/>
  <c r="H34" i="17"/>
  <c r="H40" i="17"/>
  <c r="H45" i="17"/>
  <c r="H51" i="17"/>
  <c r="H56" i="17"/>
  <c r="H62" i="17"/>
  <c r="H24" i="17"/>
  <c r="AL34" i="18"/>
  <c r="AL40" i="18"/>
  <c r="AL56" i="18"/>
  <c r="AL62" i="18"/>
  <c r="AL24" i="18"/>
  <c r="AL45" i="18"/>
  <c r="AL51" i="18"/>
  <c r="AI34" i="18"/>
  <c r="AI40" i="18"/>
  <c r="AI24" i="18"/>
  <c r="AI45" i="18"/>
  <c r="AI51" i="18"/>
  <c r="AI56" i="18"/>
  <c r="AI62" i="18"/>
  <c r="Z34" i="18"/>
  <c r="Z40" i="18"/>
  <c r="Z24" i="18"/>
  <c r="Z56" i="18"/>
  <c r="Z62" i="18"/>
  <c r="Z45" i="18"/>
  <c r="Z51" i="18"/>
  <c r="Q56" i="18"/>
  <c r="Q62" i="18"/>
  <c r="Q24" i="18"/>
  <c r="Q34" i="18"/>
  <c r="Q40" i="18"/>
  <c r="Q45" i="18"/>
  <c r="Q51" i="18"/>
  <c r="T45" i="20"/>
  <c r="AQ34" i="17"/>
  <c r="AQ40" i="17"/>
  <c r="AQ56" i="17"/>
  <c r="AQ62" i="17"/>
  <c r="AQ24" i="17"/>
  <c r="AQ45" i="17"/>
  <c r="AQ51" i="17"/>
  <c r="AC44" i="17"/>
  <c r="AC23" i="17"/>
  <c r="AC33" i="17"/>
  <c r="AC55" i="17"/>
  <c r="R34" i="17"/>
  <c r="R40" i="17"/>
  <c r="R24" i="17"/>
  <c r="R56" i="17"/>
  <c r="R62" i="17"/>
  <c r="R45" i="17"/>
  <c r="R51" i="17"/>
  <c r="F34" i="17"/>
  <c r="F40" i="17"/>
  <c r="F24" i="17"/>
  <c r="F45" i="17"/>
  <c r="F51" i="17"/>
  <c r="F56" i="17"/>
  <c r="F62" i="17"/>
  <c r="AM44" i="17"/>
  <c r="AM23" i="17"/>
  <c r="AM33" i="17"/>
  <c r="AM55" i="17"/>
  <c r="W23" i="17"/>
  <c r="W33" i="17"/>
  <c r="W44" i="17"/>
  <c r="W55" i="17"/>
  <c r="AP34" i="17"/>
  <c r="AP40" i="17"/>
  <c r="AP56" i="17"/>
  <c r="AP62" i="17"/>
  <c r="AP24" i="17"/>
  <c r="AP45" i="17"/>
  <c r="AP51" i="17"/>
  <c r="AI44" i="17"/>
  <c r="AI23" i="17"/>
  <c r="AI33" i="17"/>
  <c r="AI55" i="17"/>
  <c r="Z34" i="17"/>
  <c r="Z40" i="17"/>
  <c r="Z56" i="17"/>
  <c r="Z62" i="17"/>
  <c r="Z24" i="17"/>
  <c r="Z45" i="17"/>
  <c r="Z51" i="17"/>
  <c r="Q44" i="17"/>
  <c r="Q33" i="17"/>
  <c r="Q55" i="17"/>
  <c r="Q23" i="17"/>
  <c r="AY44" i="18"/>
  <c r="AY55" i="18"/>
  <c r="AY23" i="18"/>
  <c r="AY33" i="18"/>
  <c r="AN21" i="18"/>
  <c r="AN22" i="18"/>
  <c r="AW34" i="17"/>
  <c r="AW40" i="17"/>
  <c r="AW56" i="17"/>
  <c r="AW62" i="17"/>
  <c r="AW24" i="17"/>
  <c r="AW45" i="17"/>
  <c r="AW51" i="17"/>
  <c r="U34" i="17"/>
  <c r="U40" i="17"/>
  <c r="U24" i="17"/>
  <c r="U56" i="17"/>
  <c r="U62" i="17"/>
  <c r="U45" i="17"/>
  <c r="U51" i="17"/>
  <c r="L34" i="17"/>
  <c r="L40" i="17"/>
  <c r="L24" i="17"/>
  <c r="L45" i="17"/>
  <c r="L51" i="17"/>
  <c r="L56" i="17"/>
  <c r="L62" i="17"/>
  <c r="AP34" i="18"/>
  <c r="AP40" i="18"/>
  <c r="AP24" i="18"/>
  <c r="AP45" i="18"/>
  <c r="AP51" i="18"/>
  <c r="AP56" i="18"/>
  <c r="AP62" i="18"/>
  <c r="AJ34" i="17"/>
  <c r="AJ40" i="17"/>
  <c r="AJ56" i="17"/>
  <c r="AJ62" i="17"/>
  <c r="AJ24" i="17"/>
  <c r="AJ45" i="17"/>
  <c r="AJ51" i="17"/>
  <c r="AA34" i="17"/>
  <c r="AA40" i="17"/>
  <c r="AA56" i="17"/>
  <c r="AA62" i="17"/>
  <c r="AA24" i="17"/>
  <c r="AA45" i="17"/>
  <c r="AA51" i="17"/>
  <c r="P34" i="17"/>
  <c r="P40" i="17"/>
  <c r="P45" i="17"/>
  <c r="P51" i="17"/>
  <c r="P24" i="17"/>
  <c r="P56" i="17"/>
  <c r="P62" i="17"/>
  <c r="G34" i="17"/>
  <c r="G40" i="17"/>
  <c r="G24" i="17"/>
  <c r="G45" i="17"/>
  <c r="G51" i="17"/>
  <c r="G56" i="17"/>
  <c r="G62" i="17"/>
  <c r="AJ21" i="18"/>
  <c r="AJ22" i="18"/>
  <c r="AX33" i="17"/>
  <c r="AX23" i="17"/>
  <c r="AX44" i="17"/>
  <c r="AX55" i="17"/>
  <c r="AP39" i="17"/>
  <c r="AP35" i="17"/>
  <c r="V44" i="17"/>
  <c r="V55" i="17"/>
  <c r="V33" i="17"/>
  <c r="V23" i="17"/>
  <c r="H44" i="17"/>
  <c r="H55" i="17"/>
  <c r="H23" i="17"/>
  <c r="H33" i="17"/>
  <c r="AL44" i="18"/>
  <c r="AL55" i="18"/>
  <c r="AL33" i="18"/>
  <c r="AL23" i="18"/>
  <c r="AI44" i="18"/>
  <c r="AI23" i="18"/>
  <c r="AI33" i="18"/>
  <c r="AI55" i="18"/>
  <c r="Z44" i="18"/>
  <c r="Z33" i="18"/>
  <c r="Z23" i="18"/>
  <c r="Z55" i="18"/>
  <c r="Q57" i="18"/>
  <c r="Q61" i="18"/>
  <c r="K39" i="18"/>
  <c r="G39" i="18"/>
  <c r="AS44" i="18"/>
  <c r="AS23" i="18"/>
  <c r="AS33" i="18"/>
  <c r="AS55" i="18"/>
  <c r="AC44" i="18"/>
  <c r="AC23" i="18"/>
  <c r="AC33" i="18"/>
  <c r="AC55" i="18"/>
  <c r="U44" i="18"/>
  <c r="U55" i="18"/>
  <c r="U33" i="18"/>
  <c r="U23" i="18"/>
  <c r="M61" i="18"/>
  <c r="K61" i="18"/>
  <c r="I61" i="18"/>
  <c r="G61" i="18"/>
  <c r="AM44" i="18"/>
  <c r="AM23" i="18"/>
  <c r="AM33" i="18"/>
  <c r="AM55" i="18"/>
  <c r="W44" i="18"/>
  <c r="W55" i="18"/>
  <c r="W23" i="18"/>
  <c r="W33" i="18"/>
  <c r="M39" i="18"/>
  <c r="I50" i="18"/>
  <c r="E21" i="18"/>
  <c r="E22" i="18"/>
  <c r="AF34" i="17"/>
  <c r="AF40" i="17"/>
  <c r="AF56" i="17"/>
  <c r="AF62" i="17"/>
  <c r="AF24" i="17"/>
  <c r="AF45" i="17"/>
  <c r="AF51" i="17"/>
  <c r="X34" i="17"/>
  <c r="X40" i="17"/>
  <c r="X56" i="17"/>
  <c r="X62" i="17"/>
  <c r="X24" i="17"/>
  <c r="X45" i="17"/>
  <c r="X51" i="17"/>
  <c r="D34" i="17"/>
  <c r="D40" i="17"/>
  <c r="D45" i="17"/>
  <c r="D51" i="17"/>
  <c r="D56" i="17"/>
  <c r="D62" i="17"/>
  <c r="D24" i="17"/>
  <c r="AQ44" i="18"/>
  <c r="AQ23" i="18"/>
  <c r="AQ33" i="18"/>
  <c r="AQ55" i="18"/>
  <c r="R23" i="18"/>
  <c r="R33" i="18"/>
  <c r="R44" i="18"/>
  <c r="R55" i="18"/>
  <c r="N22" i="18"/>
  <c r="D22" i="18"/>
  <c r="P22" i="18"/>
  <c r="AK22" i="18"/>
  <c r="O50" i="18"/>
  <c r="AS62" i="17"/>
  <c r="AS57" i="17"/>
  <c r="AY24" i="17"/>
  <c r="AY45" i="17"/>
  <c r="AY51" i="17"/>
  <c r="AY56" i="17"/>
  <c r="AY62" i="17"/>
  <c r="AY34" i="17"/>
  <c r="AY40" i="17"/>
  <c r="AT21" i="17"/>
  <c r="AT22" i="17"/>
  <c r="AQ44" i="17"/>
  <c r="AQ23" i="17"/>
  <c r="AQ33" i="17"/>
  <c r="AQ55" i="17"/>
  <c r="AB44" i="17"/>
  <c r="AB23" i="17"/>
  <c r="AB33" i="17"/>
  <c r="AB55" i="17"/>
  <c r="R44" i="17"/>
  <c r="R55" i="17"/>
  <c r="R23" i="17"/>
  <c r="R33" i="17"/>
  <c r="F44" i="17"/>
  <c r="F55" i="17"/>
  <c r="F33" i="17"/>
  <c r="F23" i="17"/>
  <c r="AL44" i="17"/>
  <c r="AL23" i="17"/>
  <c r="AL33" i="17"/>
  <c r="AL55" i="17"/>
  <c r="K21" i="17"/>
  <c r="K22" i="17"/>
  <c r="AO21" i="17"/>
  <c r="AO22" i="17"/>
  <c r="AG34" i="17"/>
  <c r="AG40" i="17"/>
  <c r="AG56" i="17"/>
  <c r="AG62" i="17"/>
  <c r="AG45" i="17"/>
  <c r="AG51" i="17"/>
  <c r="AG24" i="17"/>
  <c r="Z44" i="17"/>
  <c r="Z23" i="17"/>
  <c r="Z33" i="17"/>
  <c r="Z55" i="17"/>
  <c r="AZ10" i="17"/>
  <c r="D13" i="17"/>
  <c r="AW22" i="18"/>
  <c r="AF21" i="18"/>
  <c r="AF22" i="18"/>
  <c r="D50" i="17"/>
  <c r="AW44" i="17"/>
  <c r="AW23" i="17"/>
  <c r="AW33" i="17"/>
  <c r="AW55" i="17"/>
  <c r="U44" i="17"/>
  <c r="U23" i="17"/>
  <c r="U55" i="17"/>
  <c r="U33" i="17"/>
  <c r="L44" i="17"/>
  <c r="L55" i="17"/>
  <c r="L23" i="17"/>
  <c r="L33" i="17"/>
  <c r="AP44" i="18"/>
  <c r="AP55" i="18"/>
  <c r="AP23" i="18"/>
  <c r="AP33" i="18"/>
  <c r="AH34" i="17"/>
  <c r="AH40" i="17"/>
  <c r="AH56" i="17"/>
  <c r="AH62" i="17"/>
  <c r="AH24" i="17"/>
  <c r="AH45" i="17"/>
  <c r="AH51" i="17"/>
  <c r="AA44" i="17"/>
  <c r="AA23" i="17"/>
  <c r="AA33" i="17"/>
  <c r="AA55" i="17"/>
  <c r="P44" i="17"/>
  <c r="P55" i="17"/>
  <c r="P23" i="17"/>
  <c r="P33" i="17"/>
  <c r="G44" i="17"/>
  <c r="G23" i="17"/>
  <c r="G55" i="17"/>
  <c r="G33" i="17"/>
  <c r="AB21" i="18"/>
  <c r="AB22" i="18"/>
  <c r="AV34" i="17"/>
  <c r="AV40" i="17"/>
  <c r="AV56" i="17"/>
  <c r="AV62" i="17"/>
  <c r="AV24" i="17"/>
  <c r="AV45" i="17"/>
  <c r="AV51" i="17"/>
  <c r="O34" i="17"/>
  <c r="O40" i="17"/>
  <c r="O24" i="17"/>
  <c r="O56" i="17"/>
  <c r="O62" i="17"/>
  <c r="O45" i="17"/>
  <c r="O51" i="17"/>
  <c r="AT22" i="18"/>
  <c r="AD22" i="18"/>
  <c r="AG22" i="18"/>
  <c r="Y22" i="18"/>
  <c r="P23" i="18"/>
  <c r="P33" i="18"/>
  <c r="P44" i="18"/>
  <c r="P55" i="18"/>
  <c r="J39" i="18"/>
  <c r="F39" i="18"/>
  <c r="AE22" i="18"/>
  <c r="V22" i="18"/>
  <c r="Q46" i="18"/>
  <c r="Q50" i="18"/>
  <c r="L22" i="18"/>
  <c r="J22" i="18"/>
  <c r="H22" i="18"/>
  <c r="F22" i="18"/>
  <c r="X22" i="18"/>
  <c r="S22" i="18"/>
  <c r="AZ10" i="18"/>
  <c r="AL34" i="17"/>
  <c r="AL40" i="17"/>
  <c r="AL56" i="17"/>
  <c r="AL62" i="17"/>
  <c r="AL24" i="17"/>
  <c r="AL45" i="17"/>
  <c r="AL51" i="17"/>
  <c r="AD34" i="17"/>
  <c r="AD40" i="17"/>
  <c r="AD56" i="17"/>
  <c r="AD62" i="17"/>
  <c r="AD24" i="17"/>
  <c r="AD45" i="17"/>
  <c r="AD51" i="17"/>
  <c r="AU22" i="18"/>
  <c r="AO22" i="18"/>
  <c r="O22" i="18"/>
  <c r="AZ21" i="18"/>
  <c r="D23" i="18"/>
  <c r="D44" i="18"/>
  <c r="D33" i="18"/>
  <c r="D55" i="18"/>
  <c r="AK44" i="18"/>
  <c r="AK23" i="18"/>
  <c r="AK33" i="18"/>
  <c r="AK55" i="18"/>
  <c r="O39" i="18"/>
  <c r="J50" i="18"/>
  <c r="F50" i="18"/>
  <c r="T43" i="20"/>
  <c r="AY23" i="17"/>
  <c r="AY33" i="17"/>
  <c r="AY44" i="17"/>
  <c r="AY55" i="17"/>
  <c r="AK44" i="17"/>
  <c r="AK23" i="17"/>
  <c r="AK33" i="17"/>
  <c r="AK55" i="17"/>
  <c r="T34" i="17"/>
  <c r="T40" i="17"/>
  <c r="T45" i="17"/>
  <c r="T51" i="17"/>
  <c r="T56" i="17"/>
  <c r="T62" i="17"/>
  <c r="T24" i="17"/>
  <c r="J34" i="17"/>
  <c r="J40" i="17"/>
  <c r="J24" i="17"/>
  <c r="J56" i="17"/>
  <c r="J62" i="17"/>
  <c r="J45" i="17"/>
  <c r="J51" i="17"/>
  <c r="AE44" i="17"/>
  <c r="AE23" i="17"/>
  <c r="AE33" i="17"/>
  <c r="AE55" i="17"/>
  <c r="AR34" i="17"/>
  <c r="AR40" i="17"/>
  <c r="AR56" i="17"/>
  <c r="AR62" i="17"/>
  <c r="AR24" i="17"/>
  <c r="AR45" i="17"/>
  <c r="AR51" i="17"/>
  <c r="AG44" i="17"/>
  <c r="AG23" i="17"/>
  <c r="AG33" i="17"/>
  <c r="AG55" i="17"/>
  <c r="X44" i="17"/>
  <c r="X23" i="17"/>
  <c r="X33" i="17"/>
  <c r="X55" i="17"/>
  <c r="AW44" i="18"/>
  <c r="AW55" i="18"/>
  <c r="AW23" i="18"/>
  <c r="AW33" i="18"/>
  <c r="D61" i="17"/>
  <c r="D57" i="17"/>
  <c r="AU34" i="17"/>
  <c r="AU40" i="17"/>
  <c r="AU56" i="17"/>
  <c r="AU62" i="17"/>
  <c r="AU24" i="17"/>
  <c r="AU45" i="17"/>
  <c r="AU51" i="17"/>
  <c r="S34" i="17"/>
  <c r="S40" i="17"/>
  <c r="S24" i="17"/>
  <c r="S45" i="17"/>
  <c r="S51" i="17"/>
  <c r="S56" i="17"/>
  <c r="S62" i="17"/>
  <c r="I34" i="17"/>
  <c r="I40" i="17"/>
  <c r="I24" i="17"/>
  <c r="I45" i="17"/>
  <c r="I51" i="17"/>
  <c r="I56" i="17"/>
  <c r="I62" i="17"/>
  <c r="AH22" i="18"/>
  <c r="AH44" i="17"/>
  <c r="AH23" i="17"/>
  <c r="AH33" i="17"/>
  <c r="AH55" i="17"/>
  <c r="Y34" i="17"/>
  <c r="Y40" i="17"/>
  <c r="Y56" i="17"/>
  <c r="Y62" i="17"/>
  <c r="Y45" i="17"/>
  <c r="Y51" i="17"/>
  <c r="Y24" i="17"/>
  <c r="N34" i="17"/>
  <c r="N40" i="17"/>
  <c r="N24" i="17"/>
  <c r="N45" i="17"/>
  <c r="N51" i="17"/>
  <c r="N56" i="17"/>
  <c r="N62" i="17"/>
  <c r="AX21" i="18"/>
  <c r="AX22" i="18"/>
  <c r="E30" i="18"/>
  <c r="F27" i="18"/>
  <c r="AV44" i="17"/>
  <c r="AV23" i="17"/>
  <c r="AV33" i="17"/>
  <c r="AV55" i="17"/>
  <c r="AP50" i="17"/>
  <c r="O44" i="17"/>
  <c r="O23" i="17"/>
  <c r="O55" i="17"/>
  <c r="O33" i="17"/>
  <c r="AT44" i="18"/>
  <c r="AT55" i="18"/>
  <c r="AT33" i="18"/>
  <c r="AT23" i="18"/>
  <c r="AD44" i="18"/>
  <c r="AD55" i="18"/>
  <c r="AD33" i="18"/>
  <c r="AD23" i="18"/>
  <c r="AG44" i="18"/>
  <c r="AG23" i="18"/>
  <c r="AG33" i="18"/>
  <c r="AG55" i="18"/>
  <c r="Y44" i="18"/>
  <c r="Y55" i="18"/>
  <c r="Y33" i="18"/>
  <c r="Y23" i="18"/>
  <c r="M22" i="18"/>
  <c r="I39" i="18"/>
  <c r="AE44" i="18"/>
  <c r="AE23" i="18"/>
  <c r="AE33" i="18"/>
  <c r="AE55" i="18"/>
  <c r="V44" i="18"/>
  <c r="V55" i="18"/>
  <c r="V23" i="18"/>
  <c r="V33" i="18"/>
  <c r="Q39" i="18"/>
  <c r="L61" i="18"/>
  <c r="J61" i="18"/>
  <c r="H61" i="18"/>
  <c r="F61" i="18"/>
  <c r="X44" i="18"/>
  <c r="X23" i="18"/>
  <c r="X55" i="18"/>
  <c r="X33" i="18"/>
  <c r="S44" i="18"/>
  <c r="S55" i="18"/>
  <c r="S23" i="18"/>
  <c r="S33" i="18"/>
  <c r="K50" i="18"/>
  <c r="H50" i="18"/>
  <c r="AM34" i="17"/>
  <c r="AM40" i="17"/>
  <c r="AM56" i="17"/>
  <c r="AM62" i="17"/>
  <c r="AM45" i="17"/>
  <c r="AM51" i="17"/>
  <c r="AM24" i="17"/>
  <c r="AE34" i="17"/>
  <c r="AE40" i="17"/>
  <c r="AE56" i="17"/>
  <c r="AE62" i="17"/>
  <c r="AE45" i="17"/>
  <c r="AE51" i="17"/>
  <c r="AE24" i="17"/>
  <c r="AU44" i="18"/>
  <c r="AU23" i="18"/>
  <c r="AU33" i="18"/>
  <c r="AU55" i="18"/>
  <c r="AO44" i="18"/>
  <c r="AO23" i="18"/>
  <c r="AO33" i="18"/>
  <c r="AO55" i="18"/>
  <c r="O61" i="18"/>
  <c r="M34" i="17"/>
  <c r="M40" i="17"/>
  <c r="M24" i="17"/>
  <c r="M56" i="17"/>
  <c r="M62" i="17"/>
  <c r="M45" i="17"/>
  <c r="M51" i="17"/>
  <c r="T22" i="18"/>
  <c r="AO50" i="18"/>
  <c r="AU50" i="18"/>
  <c r="S50" i="18"/>
  <c r="X50" i="18"/>
  <c r="AE39" i="18"/>
  <c r="Y61" i="18"/>
  <c r="AD61" i="18"/>
  <c r="AD57" i="18"/>
  <c r="AT61" i="18"/>
  <c r="AV61" i="17"/>
  <c r="AV57" i="17"/>
  <c r="F30" i="18"/>
  <c r="G27" i="18"/>
  <c r="AH61" i="17"/>
  <c r="AH57" i="17"/>
  <c r="AH34" i="18"/>
  <c r="AH40" i="18"/>
  <c r="AH24" i="18"/>
  <c r="AH45" i="18"/>
  <c r="AH51" i="18"/>
  <c r="AH56" i="18"/>
  <c r="AH62" i="18"/>
  <c r="X39" i="17"/>
  <c r="X35" i="17"/>
  <c r="AG39" i="17"/>
  <c r="AG35" i="17"/>
  <c r="AE39" i="17"/>
  <c r="AE35" i="17"/>
  <c r="AK39" i="17"/>
  <c r="AK35" i="17"/>
  <c r="AY50" i="17"/>
  <c r="AY46" i="17"/>
  <c r="D50" i="18"/>
  <c r="AO34" i="18"/>
  <c r="AO40" i="18"/>
  <c r="AO24" i="18"/>
  <c r="AO45" i="18"/>
  <c r="AO51" i="18"/>
  <c r="AO56" i="18"/>
  <c r="AO62" i="18"/>
  <c r="X34" i="18"/>
  <c r="X40" i="18"/>
  <c r="X24" i="18"/>
  <c r="X56" i="18"/>
  <c r="X62" i="18"/>
  <c r="X45" i="18"/>
  <c r="X51" i="18"/>
  <c r="L56" i="18"/>
  <c r="L34" i="18"/>
  <c r="L24" i="18"/>
  <c r="L45" i="18"/>
  <c r="AE34" i="18"/>
  <c r="AE40" i="18"/>
  <c r="AE24" i="18"/>
  <c r="AE45" i="18"/>
  <c r="AE51" i="18"/>
  <c r="AE56" i="18"/>
  <c r="AE62" i="18"/>
  <c r="AT34" i="18"/>
  <c r="AT40" i="18"/>
  <c r="AT56" i="18"/>
  <c r="AT62" i="18"/>
  <c r="AT24" i="18"/>
  <c r="AT45" i="18"/>
  <c r="AT51" i="18"/>
  <c r="G61" i="17"/>
  <c r="G57" i="17"/>
  <c r="AA39" i="17"/>
  <c r="AA35" i="17"/>
  <c r="U61" i="17"/>
  <c r="U57" i="17"/>
  <c r="AW39" i="17"/>
  <c r="AW35" i="17"/>
  <c r="E21" i="17"/>
  <c r="E22" i="17"/>
  <c r="K34" i="17"/>
  <c r="K40" i="17"/>
  <c r="K24" i="17"/>
  <c r="K45" i="17"/>
  <c r="K51" i="17"/>
  <c r="K56" i="17"/>
  <c r="K62" i="17"/>
  <c r="F61" i="17"/>
  <c r="F57" i="17"/>
  <c r="R61" i="17"/>
  <c r="R57" i="17"/>
  <c r="AK34" i="18"/>
  <c r="AK40" i="18"/>
  <c r="AK24" i="18"/>
  <c r="AK45" i="18"/>
  <c r="AK51" i="18"/>
  <c r="AK56" i="18"/>
  <c r="AK62" i="18"/>
  <c r="R57" i="18"/>
  <c r="R61" i="18"/>
  <c r="AQ61" i="18"/>
  <c r="AQ57" i="18"/>
  <c r="AM39" i="18"/>
  <c r="U39" i="18"/>
  <c r="AC35" i="18"/>
  <c r="AC39" i="18"/>
  <c r="AS35" i="18"/>
  <c r="AS39" i="18"/>
  <c r="Z46" i="18"/>
  <c r="Z50" i="18"/>
  <c r="AI46" i="18"/>
  <c r="AI50" i="18"/>
  <c r="AL50" i="18"/>
  <c r="AL46" i="18"/>
  <c r="H50" i="17"/>
  <c r="H46" i="17"/>
  <c r="V46" i="17"/>
  <c r="V50" i="17"/>
  <c r="AX46" i="17"/>
  <c r="AX50" i="17"/>
  <c r="AJ44" i="18"/>
  <c r="AJ55" i="18"/>
  <c r="AJ33" i="18"/>
  <c r="AJ23" i="18"/>
  <c r="AY35" i="18"/>
  <c r="AY39" i="18"/>
  <c r="AI61" i="17"/>
  <c r="AI57" i="17"/>
  <c r="W61" i="17"/>
  <c r="W57" i="17"/>
  <c r="AM61" i="17"/>
  <c r="AM57" i="17"/>
  <c r="AC61" i="17"/>
  <c r="AC57" i="17"/>
  <c r="AR44" i="18"/>
  <c r="AR55" i="18"/>
  <c r="AR33" i="18"/>
  <c r="AR23" i="18"/>
  <c r="N46" i="17"/>
  <c r="N50" i="17"/>
  <c r="Y46" i="17"/>
  <c r="Y50" i="17"/>
  <c r="AF46" i="17"/>
  <c r="AF50" i="17"/>
  <c r="AH50" i="18"/>
  <c r="AH46" i="18"/>
  <c r="I46" i="17"/>
  <c r="I50" i="17"/>
  <c r="S46" i="17"/>
  <c r="S50" i="17"/>
  <c r="AU46" i="17"/>
  <c r="AU50" i="17"/>
  <c r="AV44" i="18"/>
  <c r="AV33" i="18"/>
  <c r="AV23" i="18"/>
  <c r="AV55" i="18"/>
  <c r="AR46" i="17"/>
  <c r="AR50" i="17"/>
  <c r="AD46" i="17"/>
  <c r="AD50" i="17"/>
  <c r="AJ39" i="17"/>
  <c r="AJ35" i="17"/>
  <c r="T46" i="18"/>
  <c r="T50" i="18"/>
  <c r="M46" i="17"/>
  <c r="M50" i="17"/>
  <c r="W34" i="18"/>
  <c r="W40" i="18"/>
  <c r="W24" i="18"/>
  <c r="W45" i="18"/>
  <c r="W51" i="18"/>
  <c r="W56" i="18"/>
  <c r="W62" i="18"/>
  <c r="K56" i="18"/>
  <c r="K34" i="18"/>
  <c r="K45" i="18"/>
  <c r="K24" i="18"/>
  <c r="AO61" i="18"/>
  <c r="AU61" i="18"/>
  <c r="S39" i="18"/>
  <c r="X35" i="18"/>
  <c r="X39" i="18"/>
  <c r="Q35" i="18"/>
  <c r="V61" i="18"/>
  <c r="M56" i="18"/>
  <c r="M24" i="18"/>
  <c r="M34" i="18"/>
  <c r="M45" i="18"/>
  <c r="Y50" i="18"/>
  <c r="AG50" i="18"/>
  <c r="AD50" i="18"/>
  <c r="AD46" i="18"/>
  <c r="AT50" i="18"/>
  <c r="AT46" i="18"/>
  <c r="O46" i="17"/>
  <c r="O50" i="17"/>
  <c r="AV39" i="17"/>
  <c r="AV35" i="17"/>
  <c r="AH39" i="17"/>
  <c r="AH35" i="17"/>
  <c r="AW61" i="18"/>
  <c r="AY35" i="17"/>
  <c r="AY39" i="17"/>
  <c r="AK46" i="18"/>
  <c r="AK50" i="18"/>
  <c r="AU34" i="18"/>
  <c r="AU40" i="18"/>
  <c r="AU24" i="18"/>
  <c r="AU45" i="18"/>
  <c r="AU51" i="18"/>
  <c r="AU56" i="18"/>
  <c r="AU62" i="18"/>
  <c r="F56" i="18"/>
  <c r="F34" i="18"/>
  <c r="F45" i="18"/>
  <c r="F24" i="18"/>
  <c r="P61" i="18"/>
  <c r="Y34" i="18"/>
  <c r="Y40" i="18"/>
  <c r="Y45" i="18"/>
  <c r="Y51" i="18"/>
  <c r="Y24" i="18"/>
  <c r="Y56" i="18"/>
  <c r="Y62" i="18"/>
  <c r="AB34" i="18"/>
  <c r="AB40" i="18"/>
  <c r="AB56" i="18"/>
  <c r="AB62" i="18"/>
  <c r="AB24" i="18"/>
  <c r="AB45" i="18"/>
  <c r="AB51" i="18"/>
  <c r="P61" i="17"/>
  <c r="P57" i="17"/>
  <c r="AP61" i="18"/>
  <c r="AP57" i="18"/>
  <c r="L61" i="17"/>
  <c r="L57" i="17"/>
  <c r="AF34" i="18"/>
  <c r="AF40" i="18"/>
  <c r="AF24" i="18"/>
  <c r="AF45" i="18"/>
  <c r="AF51" i="18"/>
  <c r="AF56" i="18"/>
  <c r="AF62" i="18"/>
  <c r="Z46" i="17"/>
  <c r="Z50" i="17"/>
  <c r="K44" i="17"/>
  <c r="K23" i="17"/>
  <c r="K55" i="17"/>
  <c r="K33" i="17"/>
  <c r="AL46" i="17"/>
  <c r="AL50" i="17"/>
  <c r="F46" i="17"/>
  <c r="F50" i="17"/>
  <c r="R50" i="17"/>
  <c r="R46" i="17"/>
  <c r="AB46" i="17"/>
  <c r="AB50" i="17"/>
  <c r="AQ46" i="17"/>
  <c r="AQ50" i="17"/>
  <c r="P56" i="18"/>
  <c r="P62" i="18"/>
  <c r="P24" i="18"/>
  <c r="P34" i="18"/>
  <c r="P40" i="18"/>
  <c r="P45" i="18"/>
  <c r="P51" i="18"/>
  <c r="R46" i="18"/>
  <c r="R50" i="18"/>
  <c r="AQ39" i="18"/>
  <c r="E56" i="18"/>
  <c r="E62" i="18"/>
  <c r="E34" i="18"/>
  <c r="E40" i="18"/>
  <c r="E45" i="18"/>
  <c r="E51" i="18"/>
  <c r="E24" i="18"/>
  <c r="W61" i="18"/>
  <c r="W57" i="18"/>
  <c r="U61" i="18"/>
  <c r="U57" i="18"/>
  <c r="Z61" i="18"/>
  <c r="Z57" i="18"/>
  <c r="AI61" i="18"/>
  <c r="AI57" i="18"/>
  <c r="H35" i="17"/>
  <c r="H39" i="17"/>
  <c r="Q61" i="17"/>
  <c r="Q57" i="17"/>
  <c r="AI39" i="17"/>
  <c r="AI35" i="17"/>
  <c r="W46" i="17"/>
  <c r="W50" i="17"/>
  <c r="AM39" i="17"/>
  <c r="AM35" i="17"/>
  <c r="AC39" i="17"/>
  <c r="AC35" i="17"/>
  <c r="AP57" i="17"/>
  <c r="Y61" i="17"/>
  <c r="Y57" i="17"/>
  <c r="AF61" i="17"/>
  <c r="AF57" i="17"/>
  <c r="AH39" i="18"/>
  <c r="AH35" i="18"/>
  <c r="S61" i="17"/>
  <c r="S57" i="17"/>
  <c r="AU61" i="17"/>
  <c r="AU57" i="17"/>
  <c r="D35" i="17"/>
  <c r="AR61" i="17"/>
  <c r="AR57" i="17"/>
  <c r="AD61" i="17"/>
  <c r="AD57" i="17"/>
  <c r="J61" i="17"/>
  <c r="J57" i="17"/>
  <c r="T61" i="17"/>
  <c r="T57" i="17"/>
  <c r="T39" i="18"/>
  <c r="N57" i="18"/>
  <c r="N61" i="18"/>
  <c r="AQ34" i="18"/>
  <c r="AQ40" i="18"/>
  <c r="AQ24" i="18"/>
  <c r="AQ45" i="18"/>
  <c r="AQ51" i="18"/>
  <c r="AQ56" i="18"/>
  <c r="AQ62" i="18"/>
  <c r="AM34" i="18"/>
  <c r="AM40" i="18"/>
  <c r="AM24" i="18"/>
  <c r="AM45" i="18"/>
  <c r="AM51" i="18"/>
  <c r="AM56" i="18"/>
  <c r="AM62" i="18"/>
  <c r="U34" i="18"/>
  <c r="U40" i="18"/>
  <c r="U24" i="18"/>
  <c r="U45" i="18"/>
  <c r="U51" i="18"/>
  <c r="U56" i="18"/>
  <c r="U62" i="18"/>
  <c r="T34" i="18"/>
  <c r="T40" i="18"/>
  <c r="T45" i="18"/>
  <c r="T51" i="18"/>
  <c r="T56" i="18"/>
  <c r="T62" i="18"/>
  <c r="T24" i="18"/>
  <c r="AO35" i="18"/>
  <c r="AO39" i="18"/>
  <c r="AU35" i="18"/>
  <c r="AU39" i="18"/>
  <c r="X61" i="18"/>
  <c r="X57" i="18"/>
  <c r="V46" i="18"/>
  <c r="V50" i="18"/>
  <c r="AE46" i="18"/>
  <c r="AE50" i="18"/>
  <c r="AG61" i="18"/>
  <c r="O35" i="17"/>
  <c r="O39" i="17"/>
  <c r="AX34" i="18"/>
  <c r="AX40" i="18"/>
  <c r="AX24" i="18"/>
  <c r="AX45" i="18"/>
  <c r="AX51" i="18"/>
  <c r="AX56" i="18"/>
  <c r="AX62" i="18"/>
  <c r="AW50" i="18"/>
  <c r="X46" i="17"/>
  <c r="X50" i="17"/>
  <c r="AG46" i="17"/>
  <c r="AG50" i="17"/>
  <c r="AE46" i="17"/>
  <c r="AE50" i="17"/>
  <c r="AK46" i="17"/>
  <c r="AK50" i="17"/>
  <c r="AK61" i="18"/>
  <c r="D61" i="18"/>
  <c r="H56" i="18"/>
  <c r="H34" i="18"/>
  <c r="H24" i="18"/>
  <c r="H45" i="18"/>
  <c r="P46" i="18"/>
  <c r="P50" i="18"/>
  <c r="AG34" i="18"/>
  <c r="AG40" i="18"/>
  <c r="AG24" i="18"/>
  <c r="AG45" i="18"/>
  <c r="AG51" i="18"/>
  <c r="AG56" i="18"/>
  <c r="AG62" i="18"/>
  <c r="AB44" i="18"/>
  <c r="AB55" i="18"/>
  <c r="AB33" i="18"/>
  <c r="AB23" i="18"/>
  <c r="G46" i="17"/>
  <c r="G50" i="17"/>
  <c r="P46" i="17"/>
  <c r="P50" i="17"/>
  <c r="AA46" i="17"/>
  <c r="AA50" i="17"/>
  <c r="AP50" i="18"/>
  <c r="AP46" i="18"/>
  <c r="L50" i="17"/>
  <c r="L46" i="17"/>
  <c r="U46" i="17"/>
  <c r="U50" i="17"/>
  <c r="AW46" i="17"/>
  <c r="AW50" i="17"/>
  <c r="AF44" i="18"/>
  <c r="AF55" i="18"/>
  <c r="AF33" i="18"/>
  <c r="AF23" i="18"/>
  <c r="Z61" i="17"/>
  <c r="Z57" i="17"/>
  <c r="AO34" i="17"/>
  <c r="AO40" i="17"/>
  <c r="AO56" i="17"/>
  <c r="AO62" i="17"/>
  <c r="AO24" i="17"/>
  <c r="AO45" i="17"/>
  <c r="AO51" i="17"/>
  <c r="AL61" i="17"/>
  <c r="AL57" i="17"/>
  <c r="R39" i="17"/>
  <c r="R35" i="17"/>
  <c r="AB61" i="17"/>
  <c r="AB57" i="17"/>
  <c r="AQ61" i="17"/>
  <c r="AQ57" i="17"/>
  <c r="AT34" i="17"/>
  <c r="AT40" i="17"/>
  <c r="AT56" i="17"/>
  <c r="AT62" i="17"/>
  <c r="AT24" i="17"/>
  <c r="AT45" i="17"/>
  <c r="AT51" i="17"/>
  <c r="AZ22" i="18"/>
  <c r="D56" i="18"/>
  <c r="D62" i="18"/>
  <c r="D34" i="18"/>
  <c r="D40" i="18"/>
  <c r="D45" i="18"/>
  <c r="D51" i="18"/>
  <c r="D24" i="18"/>
  <c r="R39" i="18"/>
  <c r="R35" i="18"/>
  <c r="E23" i="18"/>
  <c r="E44" i="18"/>
  <c r="E33" i="18"/>
  <c r="E55" i="18"/>
  <c r="W50" i="18"/>
  <c r="AM50" i="18"/>
  <c r="U50" i="18"/>
  <c r="AC50" i="18"/>
  <c r="AS50" i="18"/>
  <c r="AI35" i="18"/>
  <c r="AI39" i="18"/>
  <c r="AL39" i="18"/>
  <c r="AL35" i="18"/>
  <c r="V35" i="17"/>
  <c r="V39" i="17"/>
  <c r="AX39" i="17"/>
  <c r="AX35" i="17"/>
  <c r="AN34" i="18"/>
  <c r="AN40" i="18"/>
  <c r="AN24" i="18"/>
  <c r="AN45" i="18"/>
  <c r="AN51" i="18"/>
  <c r="AN56" i="18"/>
  <c r="AN62" i="18"/>
  <c r="AY61" i="18"/>
  <c r="AY57" i="18"/>
  <c r="Q35" i="17"/>
  <c r="Q39" i="17"/>
  <c r="W35" i="17"/>
  <c r="W39" i="17"/>
  <c r="N39" i="17"/>
  <c r="N35" i="17"/>
  <c r="Y39" i="17"/>
  <c r="Y35" i="17"/>
  <c r="AF39" i="17"/>
  <c r="AF35" i="17"/>
  <c r="I61" i="17"/>
  <c r="I57" i="17"/>
  <c r="S35" i="17"/>
  <c r="S39" i="17"/>
  <c r="AU39" i="17"/>
  <c r="AU35" i="17"/>
  <c r="AR39" i="17"/>
  <c r="AR35" i="17"/>
  <c r="AD39" i="17"/>
  <c r="AD35" i="17"/>
  <c r="I27" i="17"/>
  <c r="H30" i="17"/>
  <c r="J46" i="17"/>
  <c r="J50" i="17"/>
  <c r="T50" i="17"/>
  <c r="T46" i="17"/>
  <c r="AJ46" i="17"/>
  <c r="AJ50" i="17"/>
  <c r="M61" i="17"/>
  <c r="M57" i="17"/>
  <c r="N50" i="18"/>
  <c r="G56" i="18"/>
  <c r="G34" i="18"/>
  <c r="G24" i="18"/>
  <c r="G45" i="18"/>
  <c r="AC34" i="18"/>
  <c r="AC40" i="18"/>
  <c r="AC24" i="18"/>
  <c r="AC45" i="18"/>
  <c r="AC51" i="18"/>
  <c r="AC56" i="18"/>
  <c r="AC62" i="18"/>
  <c r="S61" i="18"/>
  <c r="S57" i="18"/>
  <c r="V39" i="18"/>
  <c r="AE61" i="18"/>
  <c r="AE57" i="18"/>
  <c r="Y35" i="18"/>
  <c r="Y39" i="18"/>
  <c r="AG39" i="18"/>
  <c r="AD39" i="18"/>
  <c r="AT39" i="18"/>
  <c r="AT35" i="18"/>
  <c r="O61" i="17"/>
  <c r="O57" i="17"/>
  <c r="AP46" i="17"/>
  <c r="AV46" i="17"/>
  <c r="AV50" i="17"/>
  <c r="AX44" i="18"/>
  <c r="AX23" i="18"/>
  <c r="AX55" i="18"/>
  <c r="AX33" i="18"/>
  <c r="AH46" i="17"/>
  <c r="AH50" i="17"/>
  <c r="AW39" i="18"/>
  <c r="X61" i="17"/>
  <c r="X57" i="17"/>
  <c r="AG61" i="17"/>
  <c r="AG57" i="17"/>
  <c r="AE61" i="17"/>
  <c r="AE57" i="17"/>
  <c r="AK61" i="17"/>
  <c r="AK57" i="17"/>
  <c r="AY57" i="17"/>
  <c r="AY61" i="17"/>
  <c r="AK35" i="18"/>
  <c r="AK39" i="18"/>
  <c r="D39" i="18"/>
  <c r="O56" i="18"/>
  <c r="O24" i="18"/>
  <c r="O34" i="18"/>
  <c r="O45" i="18"/>
  <c r="S34" i="18"/>
  <c r="S40" i="18"/>
  <c r="S24" i="18"/>
  <c r="S45" i="18"/>
  <c r="S51" i="18"/>
  <c r="S56" i="18"/>
  <c r="S62" i="18"/>
  <c r="J56" i="18"/>
  <c r="J34" i="18"/>
  <c r="J24" i="18"/>
  <c r="J45" i="18"/>
  <c r="V34" i="18"/>
  <c r="V40" i="18"/>
  <c r="V45" i="18"/>
  <c r="V51" i="18"/>
  <c r="V56" i="18"/>
  <c r="V62" i="18"/>
  <c r="V24" i="18"/>
  <c r="P39" i="18"/>
  <c r="P35" i="18"/>
  <c r="AD34" i="18"/>
  <c r="AD40" i="18"/>
  <c r="AD56" i="18"/>
  <c r="AD62" i="18"/>
  <c r="AD24" i="18"/>
  <c r="AD45" i="18"/>
  <c r="AD51" i="18"/>
  <c r="G35" i="17"/>
  <c r="G39" i="17"/>
  <c r="P39" i="17"/>
  <c r="P35" i="17"/>
  <c r="AA61" i="17"/>
  <c r="AA57" i="17"/>
  <c r="AP39" i="18"/>
  <c r="AP35" i="18"/>
  <c r="L35" i="17"/>
  <c r="L39" i="17"/>
  <c r="U35" i="17"/>
  <c r="U39" i="17"/>
  <c r="AW61" i="17"/>
  <c r="AW57" i="17"/>
  <c r="D46" i="17"/>
  <c r="AW34" i="18"/>
  <c r="AW40" i="18"/>
  <c r="AW24" i="18"/>
  <c r="AW56" i="18"/>
  <c r="AW62" i="18"/>
  <c r="AW45" i="18"/>
  <c r="AW51" i="18"/>
  <c r="Z39" i="17"/>
  <c r="Z35" i="17"/>
  <c r="AO44" i="17"/>
  <c r="AO23" i="17"/>
  <c r="AO33" i="17"/>
  <c r="AO55" i="17"/>
  <c r="AL39" i="17"/>
  <c r="AL35" i="17"/>
  <c r="F35" i="17"/>
  <c r="F39" i="17"/>
  <c r="AB39" i="17"/>
  <c r="AB35" i="17"/>
  <c r="AQ39" i="17"/>
  <c r="AQ35" i="17"/>
  <c r="AT44" i="17"/>
  <c r="AT23" i="17"/>
  <c r="AT33" i="17"/>
  <c r="AT55" i="17"/>
  <c r="N56" i="18"/>
  <c r="N62" i="18"/>
  <c r="N24" i="18"/>
  <c r="N34" i="18"/>
  <c r="N40" i="18"/>
  <c r="N45" i="18"/>
  <c r="N51" i="18"/>
  <c r="AQ50" i="18"/>
  <c r="W39" i="18"/>
  <c r="AM61" i="18"/>
  <c r="AM57" i="18"/>
  <c r="AC61" i="18"/>
  <c r="AC57" i="18"/>
  <c r="AS61" i="18"/>
  <c r="Z35" i="18"/>
  <c r="Z39" i="18"/>
  <c r="AL61" i="18"/>
  <c r="AL57" i="18"/>
  <c r="H61" i="17"/>
  <c r="H57" i="17"/>
  <c r="V61" i="17"/>
  <c r="V57" i="17"/>
  <c r="AX61" i="17"/>
  <c r="AX57" i="17"/>
  <c r="AJ34" i="18"/>
  <c r="AJ40" i="18"/>
  <c r="AJ56" i="18"/>
  <c r="AJ62" i="18"/>
  <c r="AJ24" i="18"/>
  <c r="AJ45" i="18"/>
  <c r="AJ51" i="18"/>
  <c r="AN44" i="18"/>
  <c r="AN55" i="18"/>
  <c r="AN33" i="18"/>
  <c r="AN23" i="18"/>
  <c r="AZ23" i="18"/>
  <c r="AY50" i="18"/>
  <c r="AY46" i="18"/>
  <c r="Q46" i="17"/>
  <c r="Q50" i="17"/>
  <c r="AI46" i="17"/>
  <c r="AI50" i="17"/>
  <c r="AM46" i="17"/>
  <c r="AM50" i="17"/>
  <c r="AC46" i="17"/>
  <c r="AC50" i="17"/>
  <c r="AR34" i="18"/>
  <c r="AR40" i="18"/>
  <c r="AR56" i="18"/>
  <c r="AR62" i="18"/>
  <c r="AR24" i="18"/>
  <c r="AR45" i="18"/>
  <c r="AR51" i="18"/>
  <c r="N61" i="17"/>
  <c r="N57" i="17"/>
  <c r="AH61" i="18"/>
  <c r="AH57" i="18"/>
  <c r="I35" i="17"/>
  <c r="I39" i="17"/>
  <c r="AV34" i="18"/>
  <c r="AV40" i="18"/>
  <c r="AV24" i="18"/>
  <c r="AV45" i="18"/>
  <c r="AV51" i="18"/>
  <c r="AV56" i="18"/>
  <c r="AV62" i="18"/>
  <c r="J39" i="17"/>
  <c r="J35" i="17"/>
  <c r="T35" i="17"/>
  <c r="T39" i="17"/>
  <c r="AJ61" i="17"/>
  <c r="AJ57" i="17"/>
  <c r="T61" i="18"/>
  <c r="T57" i="18"/>
  <c r="M35" i="17"/>
  <c r="M39" i="17"/>
  <c r="N39" i="18"/>
  <c r="N35" i="18"/>
  <c r="I56" i="18"/>
  <c r="I34" i="18"/>
  <c r="I45" i="18"/>
  <c r="I24" i="18"/>
  <c r="AS34" i="18"/>
  <c r="AS40" i="18"/>
  <c r="AS24" i="18"/>
  <c r="AS45" i="18"/>
  <c r="AS51" i="18"/>
  <c r="AS56" i="18"/>
  <c r="AS62" i="18"/>
  <c r="I40" i="18"/>
  <c r="I35" i="18"/>
  <c r="AN61" i="18"/>
  <c r="AN57" i="18"/>
  <c r="AS57" i="18"/>
  <c r="J62" i="18"/>
  <c r="J57" i="18"/>
  <c r="O62" i="18"/>
  <c r="O57" i="18"/>
  <c r="AX61" i="18"/>
  <c r="AX57" i="18"/>
  <c r="G40" i="18"/>
  <c r="G35" i="18"/>
  <c r="E46" i="18"/>
  <c r="E50" i="18"/>
  <c r="AZ24" i="18"/>
  <c r="AF39" i="18"/>
  <c r="AF35" i="18"/>
  <c r="AB50" i="18"/>
  <c r="AB46" i="18"/>
  <c r="S35" i="18"/>
  <c r="K62" i="18"/>
  <c r="K57" i="18"/>
  <c r="AR50" i="18"/>
  <c r="AR46" i="18"/>
  <c r="AJ39" i="18"/>
  <c r="AJ35" i="18"/>
  <c r="U35" i="18"/>
  <c r="E34" i="17"/>
  <c r="E40" i="17"/>
  <c r="E24" i="17"/>
  <c r="AZ24" i="17"/>
  <c r="E56" i="17"/>
  <c r="E62" i="17"/>
  <c r="E45" i="17"/>
  <c r="E51" i="17"/>
  <c r="AZ22" i="17"/>
  <c r="L40" i="18"/>
  <c r="L35" i="18"/>
  <c r="G30" i="18"/>
  <c r="H27" i="18"/>
  <c r="AT57" i="18"/>
  <c r="Y57" i="18"/>
  <c r="I62" i="18"/>
  <c r="I57" i="18"/>
  <c r="AN50" i="18"/>
  <c r="AN46" i="18"/>
  <c r="AQ46" i="18"/>
  <c r="AT46" i="17"/>
  <c r="AT50" i="17"/>
  <c r="AO46" i="17"/>
  <c r="AO50" i="17"/>
  <c r="J51" i="18"/>
  <c r="J46" i="18"/>
  <c r="O51" i="18"/>
  <c r="O46" i="18"/>
  <c r="D35" i="18"/>
  <c r="AG35" i="18"/>
  <c r="G62" i="18"/>
  <c r="G57" i="18"/>
  <c r="J27" i="17"/>
  <c r="I30" i="17"/>
  <c r="AS46" i="18"/>
  <c r="U46" i="18"/>
  <c r="W46" i="18"/>
  <c r="AF61" i="18"/>
  <c r="AF57" i="18"/>
  <c r="H40" i="18"/>
  <c r="H35" i="18"/>
  <c r="AK57" i="18"/>
  <c r="AQ35" i="18"/>
  <c r="K46" i="17"/>
  <c r="K50" i="17"/>
  <c r="F51" i="18"/>
  <c r="F46" i="18"/>
  <c r="AW57" i="18"/>
  <c r="Y46" i="18"/>
  <c r="M62" i="18"/>
  <c r="M57" i="18"/>
  <c r="AU57" i="18"/>
  <c r="AV35" i="18"/>
  <c r="AV39" i="18"/>
  <c r="AJ61" i="18"/>
  <c r="AJ57" i="18"/>
  <c r="E44" i="17"/>
  <c r="E23" i="17"/>
  <c r="AZ23" i="17"/>
  <c r="E33" i="17"/>
  <c r="E55" i="17"/>
  <c r="AZ21" i="17"/>
  <c r="L62" i="18"/>
  <c r="L57" i="18"/>
  <c r="X46" i="18"/>
  <c r="AU46" i="18"/>
  <c r="AT61" i="17"/>
  <c r="AT57" i="17"/>
  <c r="AO61" i="17"/>
  <c r="AO57" i="17"/>
  <c r="O40" i="18"/>
  <c r="O35" i="18"/>
  <c r="AX46" i="18"/>
  <c r="AX50" i="18"/>
  <c r="AD35" i="18"/>
  <c r="G51" i="18"/>
  <c r="G46" i="18"/>
  <c r="E61" i="18"/>
  <c r="E57" i="18"/>
  <c r="AF50" i="18"/>
  <c r="AF46" i="18"/>
  <c r="AB39" i="18"/>
  <c r="AB35" i="18"/>
  <c r="H62" i="18"/>
  <c r="H57" i="18"/>
  <c r="T35" i="18"/>
  <c r="K35" i="17"/>
  <c r="K39" i="17"/>
  <c r="F40" i="18"/>
  <c r="F35" i="18"/>
  <c r="M51" i="18"/>
  <c r="M46" i="18"/>
  <c r="V57" i="18"/>
  <c r="K51" i="18"/>
  <c r="K46" i="18"/>
  <c r="AV46" i="18"/>
  <c r="AV50" i="18"/>
  <c r="AR39" i="18"/>
  <c r="AR35" i="18"/>
  <c r="AJ50" i="18"/>
  <c r="AJ46" i="18"/>
  <c r="AM35" i="18"/>
  <c r="L51" i="18"/>
  <c r="L46" i="18"/>
  <c r="I51" i="18"/>
  <c r="I46" i="18"/>
  <c r="AN39" i="18"/>
  <c r="AN35" i="18"/>
  <c r="W35" i="18"/>
  <c r="AT39" i="17"/>
  <c r="AT35" i="17"/>
  <c r="AO39" i="17"/>
  <c r="AO35" i="17"/>
  <c r="J40" i="18"/>
  <c r="J35" i="18"/>
  <c r="AW35" i="18"/>
  <c r="AX35" i="18"/>
  <c r="AX39" i="18"/>
  <c r="V35" i="18"/>
  <c r="N46" i="18"/>
  <c r="AC46" i="18"/>
  <c r="AM46" i="18"/>
  <c r="E39" i="18"/>
  <c r="E35" i="18"/>
  <c r="AB61" i="18"/>
  <c r="AB57" i="18"/>
  <c r="H51" i="18"/>
  <c r="H46" i="18"/>
  <c r="D57" i="18"/>
  <c r="AW46" i="18"/>
  <c r="AG57" i="18"/>
  <c r="K61" i="17"/>
  <c r="K57" i="17"/>
  <c r="P57" i="18"/>
  <c r="F62" i="18"/>
  <c r="F57" i="18"/>
  <c r="AG46" i="18"/>
  <c r="M40" i="18"/>
  <c r="M35" i="18"/>
  <c r="AO57" i="18"/>
  <c r="K40" i="18"/>
  <c r="K35" i="18"/>
  <c r="AV61" i="18"/>
  <c r="AV57" i="18"/>
  <c r="AR61" i="18"/>
  <c r="AR57" i="18"/>
  <c r="D46" i="18"/>
  <c r="AE35" i="18"/>
  <c r="S46" i="18"/>
  <c r="AO46" i="18"/>
  <c r="E35" i="17"/>
  <c r="E39" i="17"/>
  <c r="E46" i="17"/>
  <c r="E50" i="17"/>
  <c r="K27" i="17"/>
  <c r="J30" i="17"/>
  <c r="H30" i="18"/>
  <c r="I27" i="18"/>
  <c r="E61" i="17"/>
  <c r="E57" i="17"/>
  <c r="I30" i="18"/>
  <c r="J27" i="18"/>
  <c r="L27" i="17"/>
  <c r="K30" i="17"/>
  <c r="M27" i="17"/>
  <c r="L30" i="17"/>
  <c r="J30" i="18"/>
  <c r="K27" i="18"/>
  <c r="K30" i="18"/>
  <c r="L27" i="18"/>
  <c r="N27" i="17"/>
  <c r="M30" i="17"/>
  <c r="O27" i="17"/>
  <c r="N30" i="17"/>
  <c r="L30" i="18"/>
  <c r="M27" i="18"/>
  <c r="M30" i="18"/>
  <c r="N27" i="18"/>
  <c r="P27" i="17"/>
  <c r="O30" i="17"/>
  <c r="Q27" i="17"/>
  <c r="P30" i="17"/>
  <c r="N30" i="18"/>
  <c r="O27" i="18"/>
  <c r="O30" i="18"/>
  <c r="P27" i="18"/>
  <c r="R27" i="17"/>
  <c r="Q30" i="17"/>
  <c r="S27" i="17"/>
  <c r="R30" i="17"/>
  <c r="P30" i="18"/>
  <c r="Q27" i="18"/>
  <c r="R27" i="18"/>
  <c r="Q30" i="18"/>
  <c r="T27" i="17"/>
  <c r="S30" i="17"/>
  <c r="U27" i="17"/>
  <c r="T30" i="17"/>
  <c r="S27" i="18"/>
  <c r="R30" i="18"/>
  <c r="T27" i="18"/>
  <c r="S30" i="18"/>
  <c r="V27" i="17"/>
  <c r="U30" i="17"/>
  <c r="W27" i="17"/>
  <c r="V30" i="17"/>
  <c r="U27" i="18"/>
  <c r="T30" i="18"/>
  <c r="V27" i="18"/>
  <c r="U30" i="18"/>
  <c r="X27" i="17"/>
  <c r="W30" i="17"/>
  <c r="Y27" i="17"/>
  <c r="X30" i="17"/>
  <c r="W27" i="18"/>
  <c r="V30" i="18"/>
  <c r="X27" i="18"/>
  <c r="W30" i="18"/>
  <c r="Z27" i="17"/>
  <c r="Y30" i="17"/>
  <c r="AA27" i="17"/>
  <c r="Z30" i="17"/>
  <c r="Y27" i="18"/>
  <c r="X30" i="18"/>
  <c r="Z27" i="18"/>
  <c r="Y30" i="18"/>
  <c r="AB27" i="17"/>
  <c r="AA30" i="17"/>
  <c r="AC27" i="17"/>
  <c r="AB30" i="17"/>
  <c r="AA27" i="18"/>
  <c r="Z30" i="18"/>
  <c r="AB27" i="18"/>
  <c r="AA30" i="18"/>
  <c r="AD27" i="17"/>
  <c r="AC30" i="17"/>
  <c r="AE27" i="17"/>
  <c r="AD30" i="17"/>
  <c r="AC27" i="18"/>
  <c r="AB30" i="18"/>
  <c r="AD27" i="18"/>
  <c r="AC30" i="18"/>
  <c r="AF27" i="17"/>
  <c r="AE30" i="17"/>
  <c r="AG27" i="17"/>
  <c r="AF30" i="17"/>
  <c r="AE27" i="18"/>
  <c r="AD30" i="18"/>
  <c r="AF27" i="18"/>
  <c r="AE30" i="18"/>
  <c r="AH27" i="17"/>
  <c r="AG30" i="17"/>
  <c r="AI27" i="17"/>
  <c r="AH30" i="17"/>
  <c r="AG27" i="18"/>
  <c r="AF30" i="18"/>
  <c r="AH27" i="18"/>
  <c r="AG30" i="18"/>
  <c r="AJ27" i="17"/>
  <c r="AI30" i="17"/>
  <c r="AK27" i="17"/>
  <c r="AJ30" i="17"/>
  <c r="AI27" i="18"/>
  <c r="AH30" i="18"/>
  <c r="AJ27" i="18"/>
  <c r="AI30" i="18"/>
  <c r="AL27" i="17"/>
  <c r="AK30" i="17"/>
  <c r="AM27" i="17"/>
  <c r="AL30" i="17"/>
  <c r="AK27" i="18"/>
  <c r="AJ30" i="18"/>
  <c r="AL27" i="18"/>
  <c r="AK30" i="18"/>
  <c r="AN27" i="17"/>
  <c r="AM30" i="17"/>
  <c r="AO27" i="17"/>
  <c r="AN30" i="17"/>
  <c r="AM27" i="18"/>
  <c r="AL30" i="18"/>
  <c r="AN27" i="18"/>
  <c r="AM30" i="18"/>
  <c r="AP27" i="17"/>
  <c r="AO30" i="17"/>
  <c r="AQ27" i="17"/>
  <c r="AP30" i="17"/>
  <c r="AO27" i="18"/>
  <c r="AN30" i="18"/>
  <c r="AP27" i="18"/>
  <c r="AO30" i="18"/>
  <c r="AR27" i="17"/>
  <c r="AQ30" i="17"/>
  <c r="AS27" i="17"/>
  <c r="AR30" i="17"/>
  <c r="AQ27" i="18"/>
  <c r="AP30" i="18"/>
  <c r="AR27" i="18"/>
  <c r="AQ30" i="18"/>
  <c r="AT27" i="17"/>
  <c r="AS30" i="17"/>
  <c r="AU27" i="17"/>
  <c r="AT30" i="17"/>
  <c r="AS27" i="18"/>
  <c r="AR30" i="18"/>
  <c r="AT27" i="18"/>
  <c r="AS30" i="18"/>
  <c r="AV27" i="17"/>
  <c r="AU30" i="17"/>
  <c r="AW27" i="17"/>
  <c r="AV30" i="17"/>
  <c r="AU27" i="18"/>
  <c r="AT30" i="18"/>
  <c r="AV27" i="18"/>
  <c r="AU30" i="18"/>
  <c r="AW30" i="17"/>
  <c r="AX27" i="17"/>
  <c r="AY27" i="17"/>
  <c r="AY30" i="17"/>
  <c r="AZ30" i="17"/>
  <c r="AX30" i="17"/>
  <c r="AW27" i="18"/>
  <c r="AV30" i="18"/>
  <c r="AX27" i="18"/>
  <c r="AW30" i="18"/>
  <c r="AY27" i="18"/>
  <c r="AY30" i="18"/>
  <c r="AZ30" i="18"/>
  <c r="AX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1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</calcChain>
</file>

<file path=xl/sharedStrings.xml><?xml version="1.0" encoding="utf-8"?>
<sst xmlns="http://schemas.openxmlformats.org/spreadsheetml/2006/main" count="2630" uniqueCount="414">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</sst>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2022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3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2268.6956509912384</v>
      </c>
      <c r="D6" s="87">
        <v>2268.6956509912384</v>
      </c>
      <c r="E6" s="87">
        <v>2268.6956509912384</v>
      </c>
      <c r="F6" s="87">
        <v>2268.6956509912384</v>
      </c>
      <c r="G6" s="87">
        <v>2268.6956509912384</v>
      </c>
      <c r="H6" s="87">
        <v>2268.6956509912384</v>
      </c>
      <c r="I6" s="87">
        <v>2268.6956509912384</v>
      </c>
      <c r="J6" s="87">
        <v>2268.6956509912384</v>
      </c>
      <c r="K6" s="87">
        <v>2268.6956509912384</v>
      </c>
      <c r="L6" s="87">
        <v>2268.6956509912384</v>
      </c>
      <c r="M6" s="87">
        <v>2268.6956509912384</v>
      </c>
      <c r="N6" s="87">
        <v>2268.6956509912384</v>
      </c>
    </row>
    <row r="7" spans="2:14">
      <c r="B7" s="36" t="s">
        <v>105</v>
      </c>
      <c r="C7" s="88">
        <v>2.6225196428607981E-21</v>
      </c>
      <c r="D7" s="89">
        <v>2.6225196428607981E-21</v>
      </c>
      <c r="E7" s="89">
        <v>2.6225196428607981E-21</v>
      </c>
      <c r="F7" s="89">
        <v>2.6225196428607981E-21</v>
      </c>
      <c r="G7" s="89">
        <v>2.6225196428607981E-21</v>
      </c>
      <c r="H7" s="89">
        <v>2.6225196428607981E-21</v>
      </c>
      <c r="I7" s="89">
        <v>2.6225196428607981E-21</v>
      </c>
      <c r="J7" s="89">
        <v>2.6225196428607981E-21</v>
      </c>
      <c r="K7" s="89">
        <v>2.6225196428607981E-21</v>
      </c>
      <c r="L7" s="89">
        <v>2.6225196428607981E-21</v>
      </c>
      <c r="M7" s="89">
        <v>2.6225196428607981E-21</v>
      </c>
      <c r="N7" s="89">
        <v>2.6225196428607981E-21</v>
      </c>
    </row>
    <row r="8" spans="2:14">
      <c r="B8" s="36" t="s">
        <v>106</v>
      </c>
      <c r="C8" s="88">
        <v>100</v>
      </c>
      <c r="D8" s="88">
        <v>160</v>
      </c>
      <c r="E8" s="88">
        <v>160</v>
      </c>
      <c r="F8" s="88">
        <v>160</v>
      </c>
      <c r="G8" s="88">
        <v>160</v>
      </c>
      <c r="H8" s="88">
        <v>160</v>
      </c>
      <c r="I8" s="88">
        <v>160</v>
      </c>
      <c r="J8" s="88">
        <v>160</v>
      </c>
      <c r="K8" s="88">
        <v>160</v>
      </c>
      <c r="L8" s="88">
        <v>160</v>
      </c>
      <c r="M8" s="88">
        <v>160</v>
      </c>
      <c r="N8" s="88">
        <v>160</v>
      </c>
    </row>
    <row r="9" spans="2:14">
      <c r="B9" s="36" t="s">
        <v>107</v>
      </c>
      <c r="C9" s="88">
        <v>816.53258344327242</v>
      </c>
      <c r="D9" s="89">
        <v>816.53258344327242</v>
      </c>
      <c r="E9" s="89">
        <v>816.53258344327242</v>
      </c>
      <c r="F9" s="89">
        <v>816.53258344327242</v>
      </c>
      <c r="G9" s="89">
        <v>816.53258344327242</v>
      </c>
      <c r="H9" s="89">
        <v>816.53258344327242</v>
      </c>
      <c r="I9" s="89">
        <v>816.53258344327242</v>
      </c>
      <c r="J9" s="89">
        <v>816.53258344327242</v>
      </c>
      <c r="K9" s="89">
        <v>816.53258344327242</v>
      </c>
      <c r="L9" s="89">
        <v>816.53258344327242</v>
      </c>
      <c r="M9" s="89">
        <v>816.53258344327242</v>
      </c>
      <c r="N9" s="89">
        <v>816.53258344327242</v>
      </c>
    </row>
    <row r="10" spans="2:14">
      <c r="B10" s="36" t="s">
        <v>108</v>
      </c>
      <c r="C10" s="88">
        <v>1.970321555855962E-21</v>
      </c>
      <c r="D10" s="89">
        <v>1.970321555855962E-21</v>
      </c>
      <c r="E10" s="89">
        <v>1.970321555855962E-21</v>
      </c>
      <c r="F10" s="89">
        <v>1.970321555855962E-21</v>
      </c>
      <c r="G10" s="89">
        <v>1.970321555855962E-21</v>
      </c>
      <c r="H10" s="89">
        <v>1.970321555855962E-21</v>
      </c>
      <c r="I10" s="89">
        <v>1.970321555855962E-21</v>
      </c>
      <c r="J10" s="89">
        <v>1.970321555855962E-21</v>
      </c>
      <c r="K10" s="89">
        <v>1.970321555855962E-21</v>
      </c>
      <c r="L10" s="89">
        <v>1.970321555855962E-21</v>
      </c>
      <c r="M10" s="89">
        <v>1.970321555855962E-21</v>
      </c>
      <c r="N10" s="89">
        <v>1.970321555855962E-21</v>
      </c>
    </row>
    <row r="11" spans="2:14">
      <c r="B11" s="37" t="s">
        <v>109</v>
      </c>
      <c r="C11" s="88">
        <v>3.0657051062746413E-21</v>
      </c>
      <c r="D11" s="89">
        <v>3.0657051062746413E-21</v>
      </c>
      <c r="E11" s="89">
        <v>3.0657051062746413E-21</v>
      </c>
      <c r="F11" s="89">
        <v>3.0657051062746413E-21</v>
      </c>
      <c r="G11" s="89">
        <v>3.0657051062746413E-21</v>
      </c>
      <c r="H11" s="89">
        <v>3.0657051062746413E-21</v>
      </c>
      <c r="I11" s="89">
        <v>3.0657051062746413E-21</v>
      </c>
      <c r="J11" s="89">
        <v>3.0657051062746413E-21</v>
      </c>
      <c r="K11" s="89">
        <v>3.0657051062746413E-21</v>
      </c>
      <c r="L11" s="89">
        <v>3.0657051062746413E-21</v>
      </c>
      <c r="M11" s="89">
        <v>3.0657051062746413E-21</v>
      </c>
      <c r="N11" s="89">
        <v>3.0657051062746413E-21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0.55589889387944069</v>
      </c>
      <c r="E17" s="90">
        <v>1</v>
      </c>
      <c r="F17" s="90">
        <v>0.78401470428659481</v>
      </c>
      <c r="G17" s="90">
        <v>0.8</v>
      </c>
      <c r="H17" s="90">
        <v>1.0121305146937489</v>
      </c>
      <c r="I17" s="29" t="s">
        <v>110</v>
      </c>
    </row>
    <row r="18" spans="2:33">
      <c r="B18" s="36" t="s">
        <v>105</v>
      </c>
      <c r="C18" s="91">
        <v>1.2</v>
      </c>
      <c r="D18" s="91">
        <v>0.64060467655628939</v>
      </c>
      <c r="E18" s="91">
        <v>1</v>
      </c>
      <c r="F18" s="91">
        <v>0.76439732421117523</v>
      </c>
      <c r="G18" s="91">
        <v>0.8</v>
      </c>
      <c r="H18" s="91">
        <v>0.88818997186606097</v>
      </c>
      <c r="I18" s="29" t="s">
        <v>110</v>
      </c>
    </row>
    <row r="19" spans="2:33">
      <c r="B19" s="36" t="s">
        <v>106</v>
      </c>
      <c r="C19" s="91">
        <v>1.2</v>
      </c>
      <c r="D19" s="91">
        <v>0.68241200607023988</v>
      </c>
      <c r="E19" s="91">
        <v>1</v>
      </c>
      <c r="F19" s="91">
        <v>0.83647587935898349</v>
      </c>
      <c r="G19" s="91">
        <v>0.8</v>
      </c>
      <c r="H19" s="91">
        <v>0.99053975264772731</v>
      </c>
      <c r="I19" s="29" t="s">
        <v>110</v>
      </c>
    </row>
    <row r="20" spans="2:33">
      <c r="B20" s="36" t="s">
        <v>107</v>
      </c>
      <c r="C20" s="91">
        <v>1.2</v>
      </c>
      <c r="D20" s="91">
        <v>0.64393925304382138</v>
      </c>
      <c r="E20" s="91">
        <v>1</v>
      </c>
      <c r="F20" s="91">
        <v>0.81767223865171712</v>
      </c>
      <c r="G20" s="91">
        <v>0.8</v>
      </c>
      <c r="H20" s="91">
        <v>0.99140522425961275</v>
      </c>
    </row>
    <row r="21" spans="2:33">
      <c r="B21" s="36" t="s">
        <v>108</v>
      </c>
      <c r="C21" s="91">
        <v>1.2</v>
      </c>
      <c r="D21" s="91">
        <v>0.70304120971665729</v>
      </c>
      <c r="E21" s="91">
        <v>1</v>
      </c>
      <c r="F21" s="91">
        <v>0.73071681798854937</v>
      </c>
      <c r="G21" s="91">
        <v>0.8</v>
      </c>
      <c r="H21" s="91">
        <v>0.75839242626044134</v>
      </c>
    </row>
    <row r="22" spans="2:33">
      <c r="B22" s="37" t="s">
        <v>109</v>
      </c>
      <c r="C22" s="91">
        <v>1.2</v>
      </c>
      <c r="D22" s="91">
        <v>0.69967316177333638</v>
      </c>
      <c r="E22" s="91">
        <v>1</v>
      </c>
      <c r="F22" s="91">
        <v>0.76380988955911755</v>
      </c>
      <c r="G22" s="91">
        <v>0.8</v>
      </c>
      <c r="H22" s="91">
        <v>0.82794661734489872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2017</v>
      </c>
      <c r="E28" s="49"/>
      <c r="F28" s="45">
        <f>basic_info!$D$5-4</f>
        <v>2018</v>
      </c>
      <c r="G28" s="49"/>
      <c r="H28" s="45">
        <f>basic_info!$D$5-3</f>
        <v>2019</v>
      </c>
      <c r="I28" s="49"/>
      <c r="J28" s="45">
        <f>basic_info!$D$5-2</f>
        <v>2020</v>
      </c>
      <c r="K28" s="49"/>
      <c r="L28" s="45">
        <f>basic_info!$D$5-1</f>
        <v>2021</v>
      </c>
      <c r="N28" s="45">
        <f>basic_info!$D$5</f>
        <v>2022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2022</v>
      </c>
      <c r="D30" s="44">
        <v>0.77235281866490846</v>
      </c>
      <c r="E30" s="35">
        <v>1061.069</v>
      </c>
      <c r="F30" s="47">
        <v>0.74817568762620479</v>
      </c>
      <c r="G30" s="46">
        <v>0.74817568762620479</v>
      </c>
      <c r="H30" s="47">
        <v>0.80283888711486584</v>
      </c>
      <c r="I30" s="46">
        <v>0.80283888711486584</v>
      </c>
      <c r="J30" s="47">
        <v>0.74570195787797222</v>
      </c>
      <c r="K30" s="46">
        <v>0.74570195787797222</v>
      </c>
      <c r="L30" s="47">
        <v>1.0049511707471239</v>
      </c>
      <c r="M30" s="46">
        <v>1.0049511707471239</v>
      </c>
      <c r="N30" s="60"/>
      <c r="O30" s="71" t="s">
        <v>162</v>
      </c>
      <c r="P30" s="41">
        <f>M30+K30+I30+E30+G30</f>
        <v>1064.3706677033661</v>
      </c>
      <c r="Q30" s="70"/>
    </row>
    <row r="31" spans="2:33">
      <c r="B31" s="36"/>
      <c r="C31" s="47">
        <f>basic_info!$D$5+1</f>
        <v>2023</v>
      </c>
      <c r="D31" s="76"/>
      <c r="E31" s="75"/>
      <c r="F31" s="69">
        <v>0.76104814894497397</v>
      </c>
      <c r="G31" s="79">
        <v>0.76104814894497397</v>
      </c>
      <c r="H31" s="61">
        <v>0.79273633468025484</v>
      </c>
      <c r="I31" s="62">
        <v>0.79273633468025484</v>
      </c>
      <c r="J31" s="61">
        <v>0.69703697591794289</v>
      </c>
      <c r="K31" s="62">
        <v>0.69703697591794289</v>
      </c>
      <c r="L31" s="61">
        <v>0.95294777880413084</v>
      </c>
      <c r="M31" s="62">
        <v>0.95294777880413084</v>
      </c>
      <c r="N31" s="63">
        <v>0.78707912631273491</v>
      </c>
      <c r="O31" s="89">
        <v>0.78707912631273491</v>
      </c>
      <c r="P31" s="63">
        <f>O31+M31+K31+I31+G31</f>
        <v>3.9908483646600375</v>
      </c>
    </row>
    <row r="32" spans="2:33">
      <c r="B32" s="36"/>
      <c r="C32" s="47">
        <f>basic_info!$D$5+2</f>
        <v>2024</v>
      </c>
      <c r="D32" s="76"/>
      <c r="E32" s="75"/>
      <c r="F32" s="75"/>
      <c r="G32" s="75"/>
      <c r="H32" s="69">
        <v>0.74555828573405758</v>
      </c>
      <c r="I32" s="79">
        <v>0.74555828573405758</v>
      </c>
      <c r="J32" s="61">
        <v>0.64461704818677901</v>
      </c>
      <c r="K32" s="62">
        <v>0.64461704818677901</v>
      </c>
      <c r="L32" s="61">
        <v>0.87899184604331659</v>
      </c>
      <c r="M32" s="62">
        <v>0.87899184604331659</v>
      </c>
      <c r="N32" s="63">
        <v>0.79466405801506501</v>
      </c>
      <c r="O32" s="89">
        <v>0.79466405801506501</v>
      </c>
      <c r="P32" s="63">
        <f>O32+M32+K32+I32</f>
        <v>3.0638312379792181</v>
      </c>
    </row>
    <row r="33" spans="2:17">
      <c r="B33" s="36"/>
      <c r="C33" s="47">
        <f>basic_info!$D$5+3</f>
        <v>2025</v>
      </c>
      <c r="D33" s="76"/>
      <c r="E33" s="75"/>
      <c r="F33" s="75"/>
      <c r="G33" s="75"/>
      <c r="H33" s="75"/>
      <c r="I33" s="75"/>
      <c r="J33" s="69">
        <v>0.64994232899248594</v>
      </c>
      <c r="K33" s="79">
        <v>0.64994232899248594</v>
      </c>
      <c r="L33" s="61">
        <v>0.79960135907517904</v>
      </c>
      <c r="M33" s="62">
        <v>0.79960135907517904</v>
      </c>
      <c r="N33" s="63">
        <v>0.80975882421710899</v>
      </c>
      <c r="O33" s="89">
        <v>0.80975882421710899</v>
      </c>
      <c r="P33" s="63">
        <f>O33+M33+K33</f>
        <v>2.2593025122847741</v>
      </c>
    </row>
    <row r="34" spans="2:17">
      <c r="B34" s="36"/>
      <c r="C34" s="47">
        <f>basic_info!$D$5+4</f>
        <v>2026</v>
      </c>
      <c r="D34" s="76"/>
      <c r="E34" s="75"/>
      <c r="F34" s="75"/>
      <c r="G34" s="75"/>
      <c r="H34" s="75"/>
      <c r="I34" s="75"/>
      <c r="J34" s="75"/>
      <c r="K34" s="75"/>
      <c r="L34" s="69">
        <v>0.73880555482804788</v>
      </c>
      <c r="M34" s="79">
        <v>0.73880555482804788</v>
      </c>
      <c r="N34" s="63">
        <v>0.80660806339327296</v>
      </c>
      <c r="O34" s="89">
        <v>0.80660806339327296</v>
      </c>
      <c r="P34" s="63">
        <f>O34+M34</f>
        <v>1.5454136182213207</v>
      </c>
    </row>
    <row r="35" spans="2:17">
      <c r="B35" s="37"/>
      <c r="C35" s="72">
        <f>basic_info!$D$5+5</f>
        <v>2027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0.76512732076942924</v>
      </c>
      <c r="O35" s="89">
        <v>0.76512732076942924</v>
      </c>
      <c r="P35" s="65">
        <f>O35</f>
        <v>0.76512732076942924</v>
      </c>
    </row>
    <row r="36" spans="2:17">
      <c r="B36" s="41" t="s">
        <v>113</v>
      </c>
      <c r="C36" s="36">
        <f>basic_info!$D$5</f>
        <v>2022</v>
      </c>
      <c r="D36" s="44">
        <v>0.91683839964866642</v>
      </c>
      <c r="E36" s="35">
        <v>16262.2045658647</v>
      </c>
      <c r="F36" s="73">
        <v>0.95076571483281835</v>
      </c>
      <c r="G36" s="74">
        <v>0.95076571483281835</v>
      </c>
      <c r="H36" s="73">
        <v>0.99685742648302889</v>
      </c>
      <c r="I36" s="74">
        <v>0.99685742648302889</v>
      </c>
      <c r="J36" s="73">
        <v>1.1844849384504048</v>
      </c>
      <c r="K36" s="74">
        <v>1.1844849384504048</v>
      </c>
      <c r="L36" s="66">
        <v>1.0690742702798606</v>
      </c>
      <c r="M36" s="67">
        <v>1.0690742702798606</v>
      </c>
      <c r="N36" s="68"/>
      <c r="O36" s="71" t="s">
        <v>162</v>
      </c>
      <c r="P36" s="41">
        <f>M36+K36+I36+E36+G36</f>
        <v>16266.405748214747</v>
      </c>
      <c r="Q36" s="70"/>
    </row>
    <row r="37" spans="2:17">
      <c r="B37" s="36"/>
      <c r="C37" s="47">
        <f>basic_info!$D$5+1</f>
        <v>2023</v>
      </c>
      <c r="D37" s="76"/>
      <c r="E37" s="75"/>
      <c r="F37" s="69">
        <v>0.92028542885184295</v>
      </c>
      <c r="G37" s="79">
        <v>0.92028542885184295</v>
      </c>
      <c r="H37" s="61">
        <v>0.97101189850230707</v>
      </c>
      <c r="I37" s="62">
        <v>0.97101189850230707</v>
      </c>
      <c r="J37" s="61">
        <v>1.0883434339799747</v>
      </c>
      <c r="K37" s="62">
        <v>1.0883434339799747</v>
      </c>
      <c r="L37" s="61">
        <v>1.0379530990077617</v>
      </c>
      <c r="M37" s="62">
        <v>1.0379530990077617</v>
      </c>
      <c r="N37" s="61">
        <v>1.1107752080376758</v>
      </c>
      <c r="O37" s="89">
        <v>1.1107752080376758</v>
      </c>
      <c r="P37" s="63">
        <f>O37+M37+K37+I37+G37</f>
        <v>5.1283690683795617</v>
      </c>
    </row>
    <row r="38" spans="2:17">
      <c r="B38" s="36"/>
      <c r="C38" s="47">
        <f>basic_info!$D$5+2</f>
        <v>2024</v>
      </c>
      <c r="D38" s="76"/>
      <c r="E38" s="75"/>
      <c r="F38" s="75"/>
      <c r="G38" s="75"/>
      <c r="H38" s="69">
        <v>0.91845404595136637</v>
      </c>
      <c r="I38" s="79">
        <v>0.91845404595136637</v>
      </c>
      <c r="J38" s="61">
        <v>1.0508784733022103</v>
      </c>
      <c r="K38" s="62">
        <v>1.0508784733022103</v>
      </c>
      <c r="L38" s="61">
        <v>0.98950169448473901</v>
      </c>
      <c r="M38" s="62">
        <v>0.98950169448473901</v>
      </c>
      <c r="N38" s="61">
        <v>1.0747725428407104</v>
      </c>
      <c r="O38" s="89">
        <v>1.0747725428407104</v>
      </c>
      <c r="P38" s="63">
        <f>O38+M38+K38+I38</f>
        <v>4.0336067565790259</v>
      </c>
    </row>
    <row r="39" spans="2:17">
      <c r="B39" s="36"/>
      <c r="C39" s="47">
        <f>basic_info!$D$5+3</f>
        <v>2025</v>
      </c>
      <c r="D39" s="76"/>
      <c r="E39" s="75"/>
      <c r="F39" s="75"/>
      <c r="G39" s="75"/>
      <c r="H39" s="75"/>
      <c r="I39" s="75"/>
      <c r="J39" s="69">
        <v>1.0247439911663534</v>
      </c>
      <c r="K39" s="79">
        <v>1.0247439911663534</v>
      </c>
      <c r="L39" s="61">
        <v>0.93453935364490526</v>
      </c>
      <c r="M39" s="62">
        <v>0.93453935364490526</v>
      </c>
      <c r="N39" s="61">
        <v>1.047211124819112</v>
      </c>
      <c r="O39" s="89">
        <v>1.047211124819112</v>
      </c>
      <c r="P39" s="63">
        <f>O39+M39+K39</f>
        <v>3.0064944696303706</v>
      </c>
    </row>
    <row r="40" spans="2:17">
      <c r="B40" s="36"/>
      <c r="C40" s="47">
        <f>basic_info!$D$5+4</f>
        <v>2026</v>
      </c>
      <c r="D40" s="76"/>
      <c r="E40" s="75"/>
      <c r="F40" s="75"/>
      <c r="G40" s="75"/>
      <c r="H40" s="75"/>
      <c r="I40" s="75"/>
      <c r="J40" s="75"/>
      <c r="K40" s="75"/>
      <c r="L40" s="69">
        <v>0.93520843183994296</v>
      </c>
      <c r="M40" s="79">
        <v>0.93520843183994296</v>
      </c>
      <c r="N40" s="61">
        <v>1.0352907467437555</v>
      </c>
      <c r="O40" s="89">
        <v>1.0352907467437555</v>
      </c>
      <c r="P40" s="63">
        <f>O40+M40</f>
        <v>1.9704991785836985</v>
      </c>
    </row>
    <row r="41" spans="2:17">
      <c r="B41" s="37"/>
      <c r="C41" s="72">
        <f>basic_info!$D$5+5</f>
        <v>2027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1.0053375317752362</v>
      </c>
      <c r="O41" s="89">
        <v>1.0053375317752362</v>
      </c>
      <c r="P41" s="64">
        <f>O41</f>
        <v>1.0053375317752362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8.3333333333333357</v>
      </c>
      <c r="D48" s="92">
        <v>8.3333333333333357</v>
      </c>
      <c r="E48" s="92">
        <v>8.3333333333333357</v>
      </c>
      <c r="F48" s="92">
        <v>8.3333333333333357</v>
      </c>
      <c r="G48" s="92">
        <v>8.3333333333333357</v>
      </c>
      <c r="H48" s="92">
        <v>8.3333333333333357</v>
      </c>
      <c r="I48" s="92">
        <v>8.3333333333333357</v>
      </c>
      <c r="J48" s="92">
        <v>8.3333333333333357</v>
      </c>
      <c r="K48" s="92">
        <v>8.3333333333333357</v>
      </c>
      <c r="L48" s="92">
        <v>8.3333333333333357</v>
      </c>
      <c r="M48" s="92">
        <v>8.3333333333333357</v>
      </c>
      <c r="N48" s="92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2.812974489419045E-24</v>
      </c>
      <c r="D6" s="93">
        <v>53.531246574370492</v>
      </c>
      <c r="E6" s="93">
        <v>0</v>
      </c>
      <c r="F6" s="93">
        <v>0</v>
      </c>
      <c r="G6" s="93">
        <v>46.468753425629494</v>
      </c>
      <c r="H6" s="97">
        <f>SUM($C$6:$G$6)</f>
        <v>99.999999999999986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35.374713732668376</v>
      </c>
      <c r="D7" s="93">
        <v>13.353633365050852</v>
      </c>
      <c r="E7" s="93">
        <v>0</v>
      </c>
      <c r="F7" s="93">
        <v>0</v>
      </c>
      <c r="G7" s="93">
        <v>51.271652902280771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2.0022901373622961E-22</v>
      </c>
      <c r="D8" s="93">
        <v>1.6113986487640123E-22</v>
      </c>
      <c r="E8" s="93">
        <v>100</v>
      </c>
      <c r="F8" s="93">
        <v>0</v>
      </c>
      <c r="G8" s="93">
        <v>3.7271388698920697E-23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73.481452199964082</v>
      </c>
      <c r="D9" s="93">
        <v>4.9293006838280118E-23</v>
      </c>
      <c r="E9" s="93">
        <v>0</v>
      </c>
      <c r="F9" s="93">
        <v>26.518547800035918</v>
      </c>
      <c r="G9" s="93">
        <v>1.6467305724795204E-22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8.5963420542869962</v>
      </c>
      <c r="D10" s="93">
        <v>78.996282176442733</v>
      </c>
      <c r="E10" s="93">
        <v>12.407375769270265</v>
      </c>
      <c r="F10" s="93">
        <v>0</v>
      </c>
      <c r="G10" s="93">
        <v>0</v>
      </c>
      <c r="H10" s="97">
        <f>SUM($C$10:$G$10)</f>
        <v>99.999999999999986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33.705126701394136</v>
      </c>
      <c r="D11" s="94">
        <v>63.879124062037363</v>
      </c>
      <c r="E11" s="94">
        <v>0</v>
      </c>
      <c r="F11" s="94">
        <v>0</v>
      </c>
      <c r="G11" s="94">
        <v>2.4157492365685007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51.244950250364937</v>
      </c>
      <c r="D19" s="44">
        <f>100-$C$19</f>
        <v>48.755049749635063</v>
      </c>
      <c r="E19" s="94">
        <v>50.672400183979285</v>
      </c>
      <c r="F19" s="33">
        <f>100-$E$19</f>
        <v>49.327599816020715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14.738898942536339</v>
      </c>
      <c r="D27" s="93">
        <v>50.91899404522507</v>
      </c>
      <c r="E27" s="93">
        <v>45.217286016025461</v>
      </c>
      <c r="F27" s="93">
        <v>2.1765336065749401</v>
      </c>
      <c r="G27" s="95">
        <v>0</v>
      </c>
      <c r="N27" s="50"/>
      <c r="O27" s="50"/>
      <c r="P27" s="50"/>
    </row>
    <row r="28" spans="2:16">
      <c r="B28" s="45" t="s">
        <v>46</v>
      </c>
      <c r="C28" s="93">
        <v>17.856818848471125</v>
      </c>
      <c r="D28" s="93">
        <v>49.081005954774916</v>
      </c>
      <c r="E28" s="93">
        <v>54.782713983974524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67.404282208992541</v>
      </c>
      <c r="D29" s="93">
        <v>0</v>
      </c>
      <c r="E29" s="93">
        <v>0</v>
      </c>
      <c r="F29" s="93">
        <v>97.823466393425051</v>
      </c>
      <c r="G29" s="95">
        <v>100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99.999999999999986</v>
      </c>
      <c r="E30" s="98">
        <f>SUM($E$27:$E$29)</f>
        <v>99.999999999999986</v>
      </c>
      <c r="F30" s="98">
        <f>SUM($F$27:$F$29)</f>
        <v>99.999999999999986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39.937194746999815</v>
      </c>
      <c r="D37" s="93">
        <v>39.937194746999815</v>
      </c>
      <c r="E37" s="93">
        <v>39.937194746999815</v>
      </c>
      <c r="F37" s="93">
        <v>39.937194746999815</v>
      </c>
      <c r="G37" s="93">
        <v>39.937194746999815</v>
      </c>
      <c r="H37" s="93">
        <v>39.937194746999815</v>
      </c>
      <c r="I37" s="93">
        <v>39.937194746999815</v>
      </c>
      <c r="J37" s="93">
        <v>39.937194746999815</v>
      </c>
      <c r="K37" s="93">
        <v>39.937194746999815</v>
      </c>
      <c r="L37" s="93">
        <v>39.937194746999815</v>
      </c>
      <c r="M37" s="93">
        <v>39.937194746999815</v>
      </c>
      <c r="N37" s="95">
        <v>39.937194746999815</v>
      </c>
    </row>
    <row r="38" spans="2:14">
      <c r="B38" s="45" t="s">
        <v>46</v>
      </c>
      <c r="C38" s="93">
        <v>40.80597762691184</v>
      </c>
      <c r="D38" s="93">
        <v>40.80597762691184</v>
      </c>
      <c r="E38" s="93">
        <v>40.80597762691184</v>
      </c>
      <c r="F38" s="93">
        <v>40.80597762691184</v>
      </c>
      <c r="G38" s="93">
        <v>40.80597762691184</v>
      </c>
      <c r="H38" s="93">
        <v>40.80597762691184</v>
      </c>
      <c r="I38" s="93">
        <v>40.80597762691184</v>
      </c>
      <c r="J38" s="93">
        <v>40.80597762691184</v>
      </c>
      <c r="K38" s="93">
        <v>40.80597762691184</v>
      </c>
      <c r="L38" s="93">
        <v>40.80597762691184</v>
      </c>
      <c r="M38" s="93">
        <v>40.80597762691184</v>
      </c>
      <c r="N38" s="95">
        <v>40.80597762691184</v>
      </c>
    </row>
    <row r="39" spans="2:14">
      <c r="B39" s="45" t="s">
        <v>59</v>
      </c>
      <c r="C39" s="94">
        <v>43.454854053817549</v>
      </c>
      <c r="D39" s="94">
        <v>43.454854053817549</v>
      </c>
      <c r="E39" s="94">
        <v>43.454854053817549</v>
      </c>
      <c r="F39" s="94">
        <v>43.454854053817549</v>
      </c>
      <c r="G39" s="94">
        <v>43.454854053817549</v>
      </c>
      <c r="H39" s="94">
        <v>43.454854053817549</v>
      </c>
      <c r="I39" s="94">
        <v>43.454854053817549</v>
      </c>
      <c r="J39" s="94">
        <v>43.454854053817549</v>
      </c>
      <c r="K39" s="94">
        <v>43.454854053817549</v>
      </c>
      <c r="L39" s="94">
        <v>43.454854053817549</v>
      </c>
      <c r="M39" s="94">
        <v>43.454854053817549</v>
      </c>
      <c r="N39" s="89">
        <v>43.454854053817549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65768.977209952762</v>
      </c>
      <c r="L7" s="182"/>
      <c r="M7" s="182" t="s">
        <v>356</v>
      </c>
      <c r="S7" s="187">
        <f>SUM(ORA!$D$127:$O$127)</f>
        <v>280859286.32096547</v>
      </c>
    </row>
    <row r="8" spans="1:20">
      <c r="A8" s="182"/>
      <c r="B8" s="182" t="s">
        <v>357</v>
      </c>
      <c r="G8" s="185"/>
      <c r="H8" s="188">
        <f>SUM(POJ!$D$116:$O$116)</f>
        <v>42665.160143848741</v>
      </c>
      <c r="L8" s="182"/>
      <c r="M8" s="182" t="s">
        <v>357</v>
      </c>
      <c r="S8" s="189">
        <f>SUM(POJ!$D$127:$O$127)</f>
        <v>298656121.0069412</v>
      </c>
    </row>
    <row r="9" spans="1:20">
      <c r="A9" s="182"/>
      <c r="B9" s="182" t="s">
        <v>358</v>
      </c>
      <c r="G9" s="185"/>
      <c r="H9" s="188">
        <f>SUM(ROJ!$D$116:$O$116)</f>
        <v>24591.620982907571</v>
      </c>
      <c r="L9" s="182"/>
      <c r="M9" s="182" t="s">
        <v>358</v>
      </c>
      <c r="S9" s="189">
        <f>SUM(ROJ!$D$127:$O$127)</f>
        <v>186896319.47009751</v>
      </c>
    </row>
    <row r="10" spans="1:20">
      <c r="A10" s="182"/>
      <c r="B10" s="182" t="s">
        <v>359</v>
      </c>
      <c r="G10" s="185"/>
      <c r="H10" s="190">
        <f>SUM(FCOJ!$D$116:$O$116)</f>
        <v>31810.253143048816</v>
      </c>
      <c r="L10" s="182"/>
      <c r="M10" s="182" t="s">
        <v>359</v>
      </c>
      <c r="S10" s="191">
        <f>SUM(FCOJ!$D$127:$O$127)</f>
        <v>159420640.9396432</v>
      </c>
    </row>
    <row r="11" spans="1:20">
      <c r="A11" s="182"/>
      <c r="B11" s="182"/>
      <c r="G11" s="185"/>
      <c r="M11" s="182" t="s">
        <v>360</v>
      </c>
      <c r="T11" s="192">
        <f>SUM($S$7:$S$10)</f>
        <v>925832367.73764729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149943.37233881105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1064.3706677033661</v>
      </c>
      <c r="L14" s="182"/>
      <c r="M14" s="182" t="s">
        <v>365</v>
      </c>
      <c r="S14" s="187">
        <f>SUM(grove!$C$58:$AX$63)</f>
        <v>203510012.15243071</v>
      </c>
    </row>
    <row r="15" spans="1:20">
      <c r="A15" s="182"/>
      <c r="B15" s="182" t="s">
        <v>366</v>
      </c>
      <c r="G15" s="185"/>
      <c r="H15" s="190">
        <f>raw_materials!$P$36</f>
        <v>16266.405748214747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1644579.8967034873</v>
      </c>
    </row>
    <row r="16" spans="1:20">
      <c r="A16" s="182"/>
      <c r="B16" s="182" t="s">
        <v>368</v>
      </c>
      <c r="G16" s="185"/>
      <c r="H16" s="194">
        <v>42403.641705302332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29828514.42692931</v>
      </c>
    </row>
    <row r="17" spans="1:21">
      <c r="A17" s="182"/>
      <c r="B17" s="182" t="s">
        <v>370</v>
      </c>
      <c r="G17" s="185"/>
      <c r="H17" s="195">
        <v>40987.004442455946</v>
      </c>
      <c r="L17" s="182"/>
      <c r="M17" s="182" t="s">
        <v>371</v>
      </c>
      <c r="S17" s="189">
        <v>28107818.2654435</v>
      </c>
    </row>
    <row r="18" spans="1:21">
      <c r="A18" s="182"/>
      <c r="B18" s="182" t="s">
        <v>372</v>
      </c>
      <c r="G18" s="185"/>
      <c r="H18" s="196">
        <v>24765.682778252634</v>
      </c>
      <c r="L18" s="182"/>
      <c r="M18" s="182" t="s">
        <v>373</v>
      </c>
      <c r="S18" s="191">
        <v>5187607.6283253739</v>
      </c>
    </row>
    <row r="19" spans="1:21">
      <c r="A19" s="182"/>
      <c r="B19" s="182" t="s">
        <v>374</v>
      </c>
      <c r="G19" s="185"/>
      <c r="H19" s="195">
        <v>1027.9223412801466</v>
      </c>
      <c r="L19" s="182"/>
      <c r="M19" s="182" t="s">
        <v>375</v>
      </c>
      <c r="S19" s="197" t="s">
        <v>376</v>
      </c>
      <c r="T19" s="198">
        <f>SUM($S$14:$S$18)</f>
        <v>268278532.36983237</v>
      </c>
      <c r="U19" s="100" t="s">
        <v>377</v>
      </c>
    </row>
    <row r="20" spans="1:21">
      <c r="A20" s="182"/>
      <c r="B20" s="182" t="s">
        <v>378</v>
      </c>
      <c r="G20" s="185"/>
      <c r="H20" s="190">
        <v>749.05859469973257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84807283.4106047</v>
      </c>
    </row>
    <row r="23" spans="1:21">
      <c r="A23" s="182"/>
      <c r="B23" s="182" t="s">
        <v>382</v>
      </c>
      <c r="G23" s="185"/>
      <c r="H23" s="186">
        <f>SUM(raw_materials!$O$31:$O$35)</f>
        <v>3.9632373927076112</v>
      </c>
      <c r="L23" s="182"/>
      <c r="M23" s="182" t="s">
        <v>383</v>
      </c>
      <c r="S23" s="189">
        <v>40987004.442455932</v>
      </c>
    </row>
    <row r="24" spans="1:21">
      <c r="A24" s="182"/>
      <c r="B24" s="182" t="s">
        <v>384</v>
      </c>
      <c r="G24" s="185"/>
      <c r="H24" s="190">
        <f>SUM(raw_materials!$O$37:$O$41)</f>
        <v>5.2733871542164898</v>
      </c>
      <c r="L24" s="182"/>
      <c r="M24" s="182" t="s">
        <v>385</v>
      </c>
      <c r="S24" s="191">
        <v>16097693.805864213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141891981.65892485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17341992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20191873.733945273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4520233.6990380175</v>
      </c>
    </row>
    <row r="31" spans="1:21">
      <c r="L31" s="182"/>
      <c r="M31" s="182" t="s">
        <v>396</v>
      </c>
      <c r="S31" s="191">
        <f>SUM(ORA!D138:O138)+SUM(POJ!D138:O138)+SUM(ROJ!D138:O138)+SUM(FCOJ!D138:O138)</f>
        <v>112449273.89119038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154503373.32417369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28415000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9050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54896550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306261930.38471639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0.60499546319648467</v>
      </c>
      <c r="D5" s="100">
        <v>0.52388025484963463</v>
      </c>
      <c r="E5" s="100">
        <v>0.62890784574452607</v>
      </c>
      <c r="F5" s="100">
        <v>0.69941063108674628</v>
      </c>
      <c r="G5" s="100">
        <v>0.64408966613309626</v>
      </c>
      <c r="H5" s="100">
        <v>0.82684765911523461</v>
      </c>
      <c r="I5" s="100">
        <v>0.55907195090782047</v>
      </c>
      <c r="J5" s="100">
        <v>0.65322840708606711</v>
      </c>
      <c r="K5" s="100">
        <v>0.59098611746855967</v>
      </c>
      <c r="L5" s="100">
        <v>0.92766590679911032</v>
      </c>
      <c r="M5" s="100">
        <v>0.77435225551474485</v>
      </c>
      <c r="N5" s="100">
        <v>0.63089854272358703</v>
      </c>
    </row>
    <row r="6" spans="2:14">
      <c r="B6" s="171" t="s">
        <v>105</v>
      </c>
      <c r="C6" s="100">
        <v>0.8375286718609205</v>
      </c>
      <c r="D6" s="100">
        <v>0.71496741859552759</v>
      </c>
      <c r="E6" s="100">
        <v>0.63542602294769079</v>
      </c>
      <c r="F6" s="100">
        <v>0.62565913595797229</v>
      </c>
      <c r="G6" s="100">
        <v>0.73080659738614484</v>
      </c>
      <c r="H6" s="100">
        <v>0.85143501358199192</v>
      </c>
      <c r="I6" s="100">
        <v>0.83442224242328644</v>
      </c>
      <c r="J6" s="100">
        <v>0.62025315349493793</v>
      </c>
      <c r="K6" s="100">
        <v>0.66109587228210887</v>
      </c>
      <c r="L6" s="100">
        <v>0.66774462168270277</v>
      </c>
      <c r="M6" s="100">
        <v>0.69267050063091817</v>
      </c>
      <c r="N6" s="100">
        <v>0.72793060511325447</v>
      </c>
    </row>
    <row r="7" spans="2:14">
      <c r="B7" s="171" t="s">
        <v>106</v>
      </c>
      <c r="C7" s="100">
        <v>0.69520599679112449</v>
      </c>
      <c r="D7" s="100">
        <v>0.75740958690507154</v>
      </c>
      <c r="E7" s="100">
        <v>0.7388021921913055</v>
      </c>
      <c r="F7" s="100">
        <v>0.71758037532645969</v>
      </c>
      <c r="G7" s="100">
        <v>0.74034874944010431</v>
      </c>
      <c r="H7" s="100">
        <v>0.76283421354412617</v>
      </c>
      <c r="I7" s="100">
        <v>0.82499277176511798</v>
      </c>
      <c r="J7" s="100">
        <v>0.79733775771218951</v>
      </c>
      <c r="K7" s="100">
        <v>1.1000000000000001</v>
      </c>
      <c r="L7" s="100">
        <v>0.72598028040117024</v>
      </c>
      <c r="M7" s="100">
        <v>0.68738881459620804</v>
      </c>
      <c r="N7" s="100">
        <v>0.68734239063045466</v>
      </c>
    </row>
    <row r="8" spans="2:14">
      <c r="B8" s="171" t="s">
        <v>107</v>
      </c>
      <c r="C8" s="100">
        <v>0.68858664519736512</v>
      </c>
      <c r="D8" s="100">
        <v>0.65975286636534447</v>
      </c>
      <c r="E8" s="100">
        <v>0.67784879860309366</v>
      </c>
      <c r="F8" s="100">
        <v>0.75309251739190641</v>
      </c>
      <c r="G8" s="100">
        <v>0.71740511451860423</v>
      </c>
      <c r="H8" s="100">
        <v>0.64563071950725504</v>
      </c>
      <c r="I8" s="100">
        <v>0.69545880482787736</v>
      </c>
      <c r="J8" s="100">
        <v>0.646215636384325</v>
      </c>
      <c r="K8" s="100">
        <v>0.89762301589706361</v>
      </c>
      <c r="L8" s="100">
        <v>0.91336853825228204</v>
      </c>
      <c r="M8" s="100">
        <v>0.73865203702475235</v>
      </c>
      <c r="N8" s="100">
        <v>0.70028355980479429</v>
      </c>
    </row>
    <row r="9" spans="2:14">
      <c r="B9" s="171" t="s">
        <v>108</v>
      </c>
      <c r="C9" s="100">
        <v>2.0669115698337555</v>
      </c>
      <c r="D9" s="100">
        <v>2.0623652076721193</v>
      </c>
      <c r="E9" s="100">
        <v>2.0841036593914031</v>
      </c>
      <c r="F9" s="100">
        <v>2.0883402085304259</v>
      </c>
      <c r="G9" s="100">
        <v>2.0860248482227326</v>
      </c>
      <c r="H9" s="100">
        <v>2.105538067817688</v>
      </c>
      <c r="I9" s="100">
        <v>2.0780469930171965</v>
      </c>
      <c r="J9" s="100">
        <v>2.0611244654655456</v>
      </c>
      <c r="K9" s="100">
        <v>2.0288293039798737</v>
      </c>
      <c r="L9" s="100">
        <v>2.0186530208587645</v>
      </c>
      <c r="M9" s="100">
        <v>2.0391171729564666</v>
      </c>
      <c r="N9" s="100">
        <v>2.1016688084602357</v>
      </c>
    </row>
    <row r="10" spans="2:14">
      <c r="B10" s="171" t="s">
        <v>109</v>
      </c>
      <c r="C10" s="100">
        <v>0.65093162655830383</v>
      </c>
      <c r="D10" s="100">
        <v>0.67613999843597417</v>
      </c>
      <c r="E10" s="100">
        <v>0.6602744042873383</v>
      </c>
      <c r="F10" s="100">
        <v>0.62234262228012083</v>
      </c>
      <c r="G10" s="100">
        <v>0.61147366166114814</v>
      </c>
      <c r="H10" s="100">
        <v>0.66182346343994147</v>
      </c>
      <c r="I10" s="100">
        <v>0.6262952983379364</v>
      </c>
      <c r="J10" s="100">
        <v>0.68006607294082644</v>
      </c>
      <c r="K10" s="100">
        <v>0.69594491124153135</v>
      </c>
      <c r="L10" s="100">
        <v>0.6604849100112915</v>
      </c>
      <c r="M10" s="100">
        <v>0.69908537268638615</v>
      </c>
      <c r="N10" s="100">
        <v>0.68037260770797736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0.30990911118755365</v>
      </c>
      <c r="D14" s="101">
        <v>0.3110594546366709</v>
      </c>
      <c r="E14" s="101">
        <v>0.31220656122951485</v>
      </c>
      <c r="F14" s="101">
        <v>0.3133472032177344</v>
      </c>
      <c r="G14" s="101">
        <v>0.31447817104319453</v>
      </c>
      <c r="H14" s="100">
        <v>0.31559628236908666</v>
      </c>
      <c r="I14" s="100">
        <v>0.31669839103444269</v>
      </c>
      <c r="J14" s="100">
        <v>0.31778139590685744</v>
      </c>
      <c r="K14" s="100">
        <v>0.31884224960850827</v>
      </c>
      <c r="L14" s="100">
        <v>0.31987796709091942</v>
      </c>
      <c r="M14" s="100">
        <v>0.32088563403434345</v>
      </c>
      <c r="N14" s="100">
        <v>0.32186241504812396</v>
      </c>
    </row>
    <row r="15" spans="2:14">
      <c r="B15" s="170" t="s">
        <v>318</v>
      </c>
      <c r="C15" s="100">
        <v>1.0648167244365787</v>
      </c>
      <c r="D15" s="100">
        <v>1.0676399137875567</v>
      </c>
      <c r="E15" s="100">
        <v>1.0704551591995588</v>
      </c>
      <c r="F15" s="100">
        <v>1.0732545390864012</v>
      </c>
      <c r="G15" s="100">
        <v>1.0760301765045899</v>
      </c>
      <c r="H15" s="100">
        <v>1.0787742613175986</v>
      </c>
      <c r="I15" s="100">
        <v>1.081479072172167</v>
      </c>
      <c r="J15" s="100">
        <v>1.0841369982247775</v>
      </c>
      <c r="K15" s="100">
        <v>1.0867405605571787</v>
      </c>
      <c r="L15" s="100">
        <v>1.0892824332206941</v>
      </c>
      <c r="M15" s="100">
        <v>1.0917554638501035</v>
      </c>
      <c r="N15" s="100">
        <v>1.0941526937890915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0.60499546319648467</v>
      </c>
      <c r="D19" s="100">
        <f t="shared" ref="D19:N20" si="0">D5</f>
        <v>0.52388025484963463</v>
      </c>
      <c r="E19" s="100">
        <f t="shared" si="0"/>
        <v>0.62890784574452607</v>
      </c>
      <c r="F19" s="100">
        <f t="shared" si="0"/>
        <v>0.69941063108674628</v>
      </c>
      <c r="G19" s="100">
        <f t="shared" si="0"/>
        <v>0.64408966613309626</v>
      </c>
      <c r="H19" s="100">
        <f t="shared" si="0"/>
        <v>0.82684765911523461</v>
      </c>
      <c r="I19" s="100">
        <f t="shared" si="0"/>
        <v>0.55907195090782047</v>
      </c>
      <c r="J19" s="100">
        <f t="shared" si="0"/>
        <v>0.65322840708606711</v>
      </c>
      <c r="K19" s="100">
        <f t="shared" si="0"/>
        <v>0.59098611746855967</v>
      </c>
      <c r="L19" s="100">
        <f t="shared" si="0"/>
        <v>0.92766590679911032</v>
      </c>
      <c r="M19" s="100">
        <f t="shared" si="0"/>
        <v>0.77435225551474485</v>
      </c>
      <c r="N19" s="100">
        <f t="shared" si="0"/>
        <v>0.63089854272358703</v>
      </c>
    </row>
    <row r="20" spans="2:14">
      <c r="B20" s="173" t="s">
        <v>105</v>
      </c>
      <c r="C20" s="100">
        <f>C6</f>
        <v>0.8375286718609205</v>
      </c>
      <c r="D20" s="100">
        <f t="shared" si="0"/>
        <v>0.71496741859552759</v>
      </c>
      <c r="E20" s="100">
        <f t="shared" si="0"/>
        <v>0.63542602294769079</v>
      </c>
      <c r="F20" s="100">
        <f t="shared" si="0"/>
        <v>0.62565913595797229</v>
      </c>
      <c r="G20" s="100">
        <f t="shared" si="0"/>
        <v>0.73080659738614484</v>
      </c>
      <c r="H20" s="100">
        <f t="shared" si="0"/>
        <v>0.85143501358199192</v>
      </c>
      <c r="I20" s="100">
        <f t="shared" si="0"/>
        <v>0.83442224242328644</v>
      </c>
      <c r="J20" s="100">
        <f t="shared" si="0"/>
        <v>0.62025315349493793</v>
      </c>
      <c r="K20" s="100">
        <f t="shared" si="0"/>
        <v>0.66109587228210887</v>
      </c>
      <c r="L20" s="100">
        <f t="shared" si="0"/>
        <v>0.66774462168270277</v>
      </c>
      <c r="M20" s="100">
        <f t="shared" si="0"/>
        <v>0.69267050063091817</v>
      </c>
      <c r="N20" s="100">
        <f t="shared" si="0"/>
        <v>0.72793060511325447</v>
      </c>
    </row>
    <row r="21" spans="2:14">
      <c r="B21" s="173" t="s">
        <v>106</v>
      </c>
      <c r="C21" s="100">
        <f t="shared" ref="C21:N22" si="1">C7</f>
        <v>0.69520599679112449</v>
      </c>
      <c r="D21" s="100">
        <f t="shared" si="1"/>
        <v>0.75740958690507154</v>
      </c>
      <c r="E21" s="100">
        <f t="shared" si="1"/>
        <v>0.7388021921913055</v>
      </c>
      <c r="F21" s="100">
        <f t="shared" si="1"/>
        <v>0.71758037532645969</v>
      </c>
      <c r="G21" s="100">
        <f t="shared" si="1"/>
        <v>0.74034874944010431</v>
      </c>
      <c r="H21" s="100">
        <f t="shared" si="1"/>
        <v>0.76283421354412617</v>
      </c>
      <c r="I21" s="100">
        <f t="shared" si="1"/>
        <v>0.82499277176511798</v>
      </c>
      <c r="J21" s="100">
        <f t="shared" si="1"/>
        <v>0.79733775771218951</v>
      </c>
      <c r="K21" s="100">
        <f t="shared" si="1"/>
        <v>1.1000000000000001</v>
      </c>
      <c r="L21" s="100">
        <f t="shared" si="1"/>
        <v>0.72598028040117024</v>
      </c>
      <c r="M21" s="100">
        <f t="shared" si="1"/>
        <v>0.68738881459620804</v>
      </c>
      <c r="N21" s="100">
        <f t="shared" si="1"/>
        <v>0.68734239063045466</v>
      </c>
    </row>
    <row r="22" spans="2:14">
      <c r="B22" s="173" t="s">
        <v>107</v>
      </c>
      <c r="C22" s="100">
        <f t="shared" si="1"/>
        <v>0.68858664519736512</v>
      </c>
      <c r="D22" s="100">
        <f t="shared" si="1"/>
        <v>0.65975286636534447</v>
      </c>
      <c r="E22" s="100">
        <f t="shared" si="1"/>
        <v>0.67784879860309366</v>
      </c>
      <c r="F22" s="100">
        <f t="shared" si="1"/>
        <v>0.75309251739190641</v>
      </c>
      <c r="G22" s="100">
        <f t="shared" si="1"/>
        <v>0.71740511451860423</v>
      </c>
      <c r="H22" s="100">
        <f t="shared" si="1"/>
        <v>0.64563071950725504</v>
      </c>
      <c r="I22" s="100">
        <f t="shared" si="1"/>
        <v>0.69545880482787736</v>
      </c>
      <c r="J22" s="100">
        <f t="shared" si="1"/>
        <v>0.646215636384325</v>
      </c>
      <c r="K22" s="100">
        <f t="shared" si="1"/>
        <v>0.89762301589706361</v>
      </c>
      <c r="L22" s="100">
        <f t="shared" si="1"/>
        <v>0.91336853825228204</v>
      </c>
      <c r="M22" s="100">
        <f t="shared" si="1"/>
        <v>0.73865203702475235</v>
      </c>
      <c r="N22" s="100">
        <f t="shared" si="1"/>
        <v>0.70028355980479429</v>
      </c>
    </row>
    <row r="23" spans="2:14">
      <c r="B23" s="173" t="s">
        <v>108</v>
      </c>
      <c r="C23" s="100">
        <f>C9*C14</f>
        <v>0.64055472751045039</v>
      </c>
      <c r="D23" s="100">
        <f t="shared" ref="D23:N24" si="2">D9*D14</f>
        <v>0.64151819676013389</v>
      </c>
      <c r="E23" s="100">
        <f t="shared" si="2"/>
        <v>0.65067083674443804</v>
      </c>
      <c r="F23" s="100">
        <f t="shared" si="2"/>
        <v>0.65437556371014916</v>
      </c>
      <c r="G23" s="100">
        <f t="shared" si="2"/>
        <v>0.65600927901974238</v>
      </c>
      <c r="H23" s="100">
        <f t="shared" si="2"/>
        <v>0.66449998658985221</v>
      </c>
      <c r="I23" s="100">
        <f t="shared" si="2"/>
        <v>0.65811413918250794</v>
      </c>
      <c r="J23" s="100">
        <f t="shared" si="2"/>
        <v>0.65498700977341651</v>
      </c>
      <c r="K23" s="100">
        <f t="shared" si="2"/>
        <v>0.64687649935260694</v>
      </c>
      <c r="L23" s="100">
        <f t="shared" si="2"/>
        <v>0.64572262457424501</v>
      </c>
      <c r="M23" s="100">
        <f t="shared" si="2"/>
        <v>0.65432340691445379</v>
      </c>
      <c r="N23" s="100">
        <f t="shared" si="2"/>
        <v>0.6764481983223245</v>
      </c>
    </row>
    <row r="24" spans="2:14">
      <c r="B24" s="173" t="s">
        <v>109</v>
      </c>
      <c r="C24" s="100">
        <f>C10*C15</f>
        <v>0.69312288242398734</v>
      </c>
      <c r="D24" s="100">
        <f t="shared" si="2"/>
        <v>0.72187404963850221</v>
      </c>
      <c r="E24" s="100">
        <f t="shared" si="2"/>
        <v>0.70679414255679662</v>
      </c>
      <c r="F24" s="100">
        <f t="shared" si="2"/>
        <v>0.66793204422907337</v>
      </c>
      <c r="G24" s="100">
        <f t="shared" si="2"/>
        <v>0.65796411208515315</v>
      </c>
      <c r="H24" s="100">
        <f t="shared" si="2"/>
        <v>0.71395811789507757</v>
      </c>
      <c r="I24" s="100">
        <f t="shared" si="2"/>
        <v>0.67732525815230193</v>
      </c>
      <c r="J24" s="100">
        <f t="shared" si="2"/>
        <v>0.73728479091258015</v>
      </c>
      <c r="K24" s="100">
        <f t="shared" si="2"/>
        <v>0.75631156295953772</v>
      </c>
      <c r="L24" s="100">
        <f t="shared" si="2"/>
        <v>0.71945460988265075</v>
      </c>
      <c r="M24" s="100">
        <f t="shared" si="2"/>
        <v>0.76323027532804799</v>
      </c>
      <c r="N24" s="100">
        <f t="shared" si="2"/>
        <v>0.74443152150399228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1.2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0.8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0.8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0.8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1.2</v>
      </c>
      <c r="F29" s="100">
        <f>IF(F20&lt;=raw_materials!$D18,raw_materials!$C18,IF(F20&lt;=raw_materials!$F18,raw_materials!$E18,IF(F20&lt;=raw_materials!$H18,raw_materials!$G18,0)))</f>
        <v>1.2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0.8</v>
      </c>
      <c r="J29" s="100">
        <f>IF(J20&lt;=raw_materials!$D18,raw_materials!$C18,IF(J20&lt;=raw_materials!$F18,raw_materials!$E18,IF(J20&lt;=raw_materials!$H18,raw_materials!$G18,0)))</f>
        <v>1.2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0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0.8</v>
      </c>
      <c r="L31" s="100">
        <f>IF(L22&lt;=raw_materials!$D20,raw_materials!$C20,IF(L22&lt;=raw_materials!$F20,raw_materials!$E20,IF(L22&lt;=raw_materials!$H20,raw_materials!$G20,0)))</f>
        <v>0.8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1.2</v>
      </c>
      <c r="D32" s="100">
        <f>IF(D23&lt;=raw_materials!$D21,raw_materials!$C21,IF(D23&lt;=raw_materials!$F21,raw_materials!$E21,IF(D23&lt;=raw_materials!$H21,raw_materials!$G21,0)))</f>
        <v>1.2</v>
      </c>
      <c r="E32" s="100">
        <f>IF(E23&lt;=raw_materials!$D21,raw_materials!$C21,IF(E23&lt;=raw_materials!$F21,raw_materials!$E21,IF(E23&lt;=raw_materials!$H21,raw_materials!$G21,0)))</f>
        <v>1.2</v>
      </c>
      <c r="F32" s="100">
        <f>IF(F23&lt;=raw_materials!$D21,raw_materials!$C21,IF(F23&lt;=raw_materials!$F21,raw_materials!$E21,IF(F23&lt;=raw_materials!$H21,raw_materials!$G21,0)))</f>
        <v>1.2</v>
      </c>
      <c r="G32" s="100">
        <f>IF(G23&lt;=raw_materials!$D21,raw_materials!$C21,IF(G23&lt;=raw_materials!$F21,raw_materials!$E21,IF(G23&lt;=raw_materials!$H21,raw_materials!$G21,0)))</f>
        <v>1.2</v>
      </c>
      <c r="H32" s="100">
        <f>IF(H23&lt;=raw_materials!$D21,raw_materials!$C21,IF(H23&lt;=raw_materials!$F21,raw_materials!$E21,IF(H23&lt;=raw_materials!$H21,raw_materials!$G21,0)))</f>
        <v>1.2</v>
      </c>
      <c r="I32" s="100">
        <f>IF(I23&lt;=raw_materials!$D21,raw_materials!$C21,IF(I23&lt;=raw_materials!$F21,raw_materials!$E21,IF(I23&lt;=raw_materials!$H21,raw_materials!$G21,0)))</f>
        <v>1.2</v>
      </c>
      <c r="J32" s="100">
        <f>IF(J23&lt;=raw_materials!$D21,raw_materials!$C21,IF(J23&lt;=raw_materials!$F21,raw_materials!$E21,IF(J23&lt;=raw_materials!$H21,raw_materials!$G21,0)))</f>
        <v>1.2</v>
      </c>
      <c r="K32" s="100">
        <f>IF(K23&lt;=raw_materials!$D21,raw_materials!$C21,IF(K23&lt;=raw_materials!$F21,raw_materials!$E21,IF(K23&lt;=raw_materials!$H21,raw_materials!$G21,0)))</f>
        <v>1.2</v>
      </c>
      <c r="L32" s="100">
        <f>IF(L23&lt;=raw_materials!$D21,raw_materials!$C21,IF(L23&lt;=raw_materials!$F21,raw_materials!$E21,IF(L23&lt;=raw_materials!$H21,raw_materials!$G21,0)))</f>
        <v>1.2</v>
      </c>
      <c r="M32" s="100">
        <f>IF(M23&lt;=raw_materials!$D21,raw_materials!$C21,IF(M23&lt;=raw_materials!$F21,raw_materials!$E21,IF(M23&lt;=raw_materials!$H21,raw_materials!$G21,0)))</f>
        <v>1.2</v>
      </c>
      <c r="N32" s="100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1.2</v>
      </c>
      <c r="J33" s="100">
        <f>IF(J24&lt;=raw_materials!$D22,raw_materials!$C22,IF(J24&lt;=raw_materials!$F22,raw_materials!$E22,IF(J24&lt;=raw_materials!$H22,raw_materials!$G22,0)))</f>
        <v>1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1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18036.547499616488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10500.058487180351</v>
      </c>
      <c r="Z38" s="100">
        <v>2630.3096964916222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2656.4843694623801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2697.1178763785615</v>
      </c>
      <c r="AN38" s="100">
        <v>27020.719306543244</v>
      </c>
      <c r="AO38" s="100">
        <v>11369.61834554194</v>
      </c>
      <c r="AP38" s="100">
        <v>8377.8119456568511</v>
      </c>
      <c r="AQ38" s="100">
        <v>13147.918704491347</v>
      </c>
      <c r="AR38" s="100">
        <v>8479.8195577048809</v>
      </c>
      <c r="AS38" s="100">
        <v>27263.688694937566</v>
      </c>
      <c r="AT38" s="100">
        <v>27311.281008823513</v>
      </c>
      <c r="AU38" s="100">
        <v>10943.408569751928</v>
      </c>
      <c r="AV38" s="100">
        <v>19183.781626262014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6013.1766033627619</v>
      </c>
      <c r="D39" s="100">
        <v>1506.5890051575745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6261.6587279536207</v>
      </c>
      <c r="W39" s="100">
        <v>1568.6226899584581</v>
      </c>
      <c r="X39" s="100">
        <v>15718.208923065331</v>
      </c>
      <c r="Y39" s="100">
        <v>15750.087730770527</v>
      </c>
      <c r="Z39" s="100">
        <v>6312.7432715798932</v>
      </c>
      <c r="AA39" s="100">
        <v>6325.4060562279574</v>
      </c>
      <c r="AB39" s="100">
        <v>6338.021402490006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11490.578998239522</v>
      </c>
      <c r="AV39" s="100">
        <v>11510.268975757208</v>
      </c>
      <c r="AW39" s="100">
        <v>11529.804781658433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2091.4969199446109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528.16845020750054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3733.5174132101797</v>
      </c>
      <c r="AH40" s="100">
        <v>2137.534600951612</v>
      </c>
      <c r="AI40" s="100">
        <v>2141.6101744119314</v>
      </c>
      <c r="AJ40" s="100">
        <v>2145.6645840835231</v>
      </c>
      <c r="AK40" s="100">
        <v>2149.6971752582049</v>
      </c>
      <c r="AL40" s="100">
        <v>538.42682419207131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309.84914307053936</v>
      </c>
      <c r="R41" s="100">
        <v>3104.9899263846269</v>
      </c>
      <c r="S41" s="100">
        <v>3111.4740113769658</v>
      </c>
      <c r="T41" s="100">
        <v>2182.5598485018945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322.45457628873072</v>
      </c>
      <c r="AL41" s="100">
        <v>323.05609451524282</v>
      </c>
      <c r="AM41" s="100">
        <v>323.65414516542739</v>
      </c>
      <c r="AN41" s="100">
        <v>324.24863167851896</v>
      </c>
      <c r="AO41" s="100">
        <v>3248.3945807688906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1310.9414884235287</v>
      </c>
      <c r="AU41" s="100">
        <v>2298.1157996479046</v>
      </c>
      <c r="AV41" s="100">
        <v>2302.0537951514416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2268.6956509912384</v>
      </c>
      <c r="D48" s="100">
        <v>2268.6956509912384</v>
      </c>
      <c r="E48" s="100">
        <v>2268.6956509912384</v>
      </c>
      <c r="F48" s="100">
        <v>2268.6956509912384</v>
      </c>
      <c r="G48" s="100">
        <v>2722.4347811894859</v>
      </c>
      <c r="H48" s="100">
        <v>2722.4347811894859</v>
      </c>
      <c r="I48" s="100">
        <v>2722.4347811894859</v>
      </c>
      <c r="J48" s="100">
        <v>2722.4347811894859</v>
      </c>
      <c r="K48" s="100">
        <v>2268.6956509912384</v>
      </c>
      <c r="L48" s="100">
        <v>2268.6956509912384</v>
      </c>
      <c r="M48" s="100">
        <v>2268.6956509912384</v>
      </c>
      <c r="N48" s="100">
        <v>2268.6956509912384</v>
      </c>
      <c r="O48" s="100">
        <v>2268.6956509912384</v>
      </c>
      <c r="P48" s="100">
        <v>2268.6956509912384</v>
      </c>
      <c r="Q48" s="100">
        <v>2268.6956509912384</v>
      </c>
      <c r="R48" s="100">
        <v>2268.6956509912384</v>
      </c>
      <c r="S48" s="100">
        <v>2268.6956509912384</v>
      </c>
      <c r="T48" s="100">
        <v>2268.6956509912384</v>
      </c>
      <c r="U48" s="100">
        <v>2268.6956509912384</v>
      </c>
      <c r="V48" s="100">
        <v>2268.6956509912384</v>
      </c>
      <c r="W48" s="100">
        <v>1814.9565207929909</v>
      </c>
      <c r="X48" s="100">
        <v>1814.9565207929909</v>
      </c>
      <c r="Y48" s="100">
        <v>1814.9565207929909</v>
      </c>
      <c r="Z48" s="100">
        <v>1814.9565207929909</v>
      </c>
      <c r="AA48" s="100">
        <v>2268.6956509912384</v>
      </c>
      <c r="AB48" s="100">
        <v>2268.6956509912384</v>
      </c>
      <c r="AC48" s="100">
        <v>2268.6956509912384</v>
      </c>
      <c r="AD48" s="100">
        <v>2268.6956509912384</v>
      </c>
      <c r="AE48" s="100">
        <v>2268.6956509912384</v>
      </c>
      <c r="AF48" s="100">
        <v>2268.6956509912384</v>
      </c>
      <c r="AG48" s="100">
        <v>2268.6956509912384</v>
      </c>
      <c r="AH48" s="100">
        <v>2268.6956509912384</v>
      </c>
      <c r="AI48" s="100">
        <v>2268.6956509912384</v>
      </c>
      <c r="AJ48" s="100">
        <v>2268.6956509912384</v>
      </c>
      <c r="AK48" s="100">
        <v>2268.6956509912384</v>
      </c>
      <c r="AL48" s="100">
        <v>2268.6956509912384</v>
      </c>
      <c r="AM48" s="100">
        <v>1814.9565207929909</v>
      </c>
      <c r="AN48" s="100">
        <v>1814.9565207929909</v>
      </c>
      <c r="AO48" s="100">
        <v>1814.9565207929909</v>
      </c>
      <c r="AP48" s="100">
        <v>1814.9565207929909</v>
      </c>
      <c r="AQ48" s="100">
        <v>2268.6956509912384</v>
      </c>
      <c r="AR48" s="100">
        <v>2268.6956509912384</v>
      </c>
      <c r="AS48" s="100">
        <v>2268.6956509912384</v>
      </c>
      <c r="AT48" s="100">
        <v>2268.6956509912384</v>
      </c>
      <c r="AU48" s="100">
        <v>2268.6956509912384</v>
      </c>
      <c r="AV48" s="100">
        <v>2268.6956509912384</v>
      </c>
      <c r="AW48" s="100">
        <v>2268.6956509912384</v>
      </c>
      <c r="AX48" s="100">
        <v>2268.6956509912384</v>
      </c>
    </row>
    <row r="49" spans="2:51">
      <c r="B49" s="99" t="s">
        <v>105</v>
      </c>
      <c r="C49" s="100">
        <v>2.0980157142886388E-21</v>
      </c>
      <c r="D49" s="100">
        <v>2.0980157142886388E-21</v>
      </c>
      <c r="E49" s="100">
        <v>2.0980157142886388E-21</v>
      </c>
      <c r="F49" s="100">
        <v>2.0980157142886388E-21</v>
      </c>
      <c r="G49" s="100">
        <v>2.6225196428607981E-21</v>
      </c>
      <c r="H49" s="100">
        <v>2.6225196428607981E-21</v>
      </c>
      <c r="I49" s="100">
        <v>2.6225196428607981E-21</v>
      </c>
      <c r="J49" s="100">
        <v>2.6225196428607981E-21</v>
      </c>
      <c r="K49" s="100">
        <v>3.1470235714329574E-21</v>
      </c>
      <c r="L49" s="100">
        <v>3.1470235714329574E-21</v>
      </c>
      <c r="M49" s="100">
        <v>3.1470235714329574E-21</v>
      </c>
      <c r="N49" s="100">
        <v>3.1470235714329574E-21</v>
      </c>
      <c r="O49" s="100">
        <v>3.1470235714329574E-21</v>
      </c>
      <c r="P49" s="100">
        <v>3.1470235714329574E-21</v>
      </c>
      <c r="Q49" s="100">
        <v>3.1470235714329574E-21</v>
      </c>
      <c r="R49" s="100">
        <v>3.1470235714329574E-21</v>
      </c>
      <c r="S49" s="100">
        <v>2.6225196428607981E-21</v>
      </c>
      <c r="T49" s="100">
        <v>2.6225196428607981E-21</v>
      </c>
      <c r="U49" s="100">
        <v>2.6225196428607981E-21</v>
      </c>
      <c r="V49" s="100">
        <v>2.6225196428607981E-21</v>
      </c>
      <c r="W49" s="100">
        <v>2.0980157142886388E-21</v>
      </c>
      <c r="X49" s="100">
        <v>2.0980157142886388E-21</v>
      </c>
      <c r="Y49" s="100">
        <v>2.0980157142886388E-21</v>
      </c>
      <c r="Z49" s="100">
        <v>2.0980157142886388E-21</v>
      </c>
      <c r="AA49" s="100">
        <v>2.0980157142886388E-21</v>
      </c>
      <c r="AB49" s="100">
        <v>2.0980157142886388E-21</v>
      </c>
      <c r="AC49" s="100">
        <v>2.0980157142886388E-21</v>
      </c>
      <c r="AD49" s="100">
        <v>2.0980157142886388E-21</v>
      </c>
      <c r="AE49" s="100">
        <v>3.1470235714329574E-21</v>
      </c>
      <c r="AF49" s="100">
        <v>3.1470235714329574E-21</v>
      </c>
      <c r="AG49" s="100">
        <v>3.1470235714329574E-21</v>
      </c>
      <c r="AH49" s="100">
        <v>3.1470235714329574E-21</v>
      </c>
      <c r="AI49" s="100">
        <v>2.6225196428607981E-21</v>
      </c>
      <c r="AJ49" s="100">
        <v>2.6225196428607981E-21</v>
      </c>
      <c r="AK49" s="100">
        <v>2.6225196428607981E-21</v>
      </c>
      <c r="AL49" s="100">
        <v>2.6225196428607981E-21</v>
      </c>
      <c r="AM49" s="100">
        <v>2.6225196428607981E-21</v>
      </c>
      <c r="AN49" s="100">
        <v>2.6225196428607981E-21</v>
      </c>
      <c r="AO49" s="100">
        <v>2.6225196428607981E-21</v>
      </c>
      <c r="AP49" s="100">
        <v>2.6225196428607981E-21</v>
      </c>
      <c r="AQ49" s="100">
        <v>2.6225196428607981E-21</v>
      </c>
      <c r="AR49" s="100">
        <v>2.6225196428607981E-21</v>
      </c>
      <c r="AS49" s="100">
        <v>2.6225196428607981E-21</v>
      </c>
      <c r="AT49" s="100">
        <v>2.6225196428607981E-21</v>
      </c>
      <c r="AU49" s="100">
        <v>2.6225196428607981E-21</v>
      </c>
      <c r="AV49" s="100">
        <v>2.6225196428607981E-21</v>
      </c>
      <c r="AW49" s="100">
        <v>2.6225196428607981E-21</v>
      </c>
      <c r="AX49" s="100">
        <v>2.6225196428607981E-21</v>
      </c>
    </row>
    <row r="50" spans="2:51">
      <c r="B50" s="99" t="s">
        <v>106</v>
      </c>
      <c r="C50" s="100">
        <v>100</v>
      </c>
      <c r="D50" s="100">
        <v>100</v>
      </c>
      <c r="E50" s="100">
        <v>100</v>
      </c>
      <c r="F50" s="100">
        <v>100</v>
      </c>
      <c r="G50" s="100">
        <v>160</v>
      </c>
      <c r="H50" s="100">
        <v>160</v>
      </c>
      <c r="I50" s="100">
        <v>160</v>
      </c>
      <c r="J50" s="100">
        <v>160</v>
      </c>
      <c r="K50" s="100">
        <v>160</v>
      </c>
      <c r="L50" s="100">
        <v>160</v>
      </c>
      <c r="M50" s="100">
        <v>160</v>
      </c>
      <c r="N50" s="100">
        <v>160</v>
      </c>
      <c r="O50" s="100">
        <v>160</v>
      </c>
      <c r="P50" s="100">
        <v>160</v>
      </c>
      <c r="Q50" s="100">
        <v>160</v>
      </c>
      <c r="R50" s="100">
        <v>160</v>
      </c>
      <c r="S50" s="100">
        <v>160</v>
      </c>
      <c r="T50" s="100">
        <v>160</v>
      </c>
      <c r="U50" s="100">
        <v>160</v>
      </c>
      <c r="V50" s="100">
        <v>160</v>
      </c>
      <c r="W50" s="100">
        <v>160</v>
      </c>
      <c r="X50" s="100">
        <v>160</v>
      </c>
      <c r="Y50" s="100">
        <v>160</v>
      </c>
      <c r="Z50" s="100">
        <v>160</v>
      </c>
      <c r="AA50" s="100">
        <v>160</v>
      </c>
      <c r="AB50" s="100">
        <v>160</v>
      </c>
      <c r="AC50" s="100">
        <v>160</v>
      </c>
      <c r="AD50" s="100">
        <v>160</v>
      </c>
      <c r="AE50" s="100">
        <v>160</v>
      </c>
      <c r="AF50" s="100">
        <v>160</v>
      </c>
      <c r="AG50" s="100">
        <v>160</v>
      </c>
      <c r="AH50" s="100">
        <v>160</v>
      </c>
      <c r="AI50" s="100">
        <v>0</v>
      </c>
      <c r="AJ50" s="100">
        <v>0</v>
      </c>
      <c r="AK50" s="100">
        <v>0</v>
      </c>
      <c r="AL50" s="100">
        <v>0</v>
      </c>
      <c r="AM50" s="100">
        <v>160</v>
      </c>
      <c r="AN50" s="100">
        <v>160</v>
      </c>
      <c r="AO50" s="100">
        <v>160</v>
      </c>
      <c r="AP50" s="100">
        <v>160</v>
      </c>
      <c r="AQ50" s="100">
        <v>160</v>
      </c>
      <c r="AR50" s="100">
        <v>160</v>
      </c>
      <c r="AS50" s="100">
        <v>160</v>
      </c>
      <c r="AT50" s="100">
        <v>160</v>
      </c>
      <c r="AU50" s="100">
        <v>160</v>
      </c>
      <c r="AV50" s="100">
        <v>160</v>
      </c>
      <c r="AW50" s="100">
        <v>160</v>
      </c>
      <c r="AX50" s="100">
        <v>160</v>
      </c>
      <c r="AY50" s="112"/>
    </row>
    <row r="51" spans="2:51">
      <c r="B51" s="99" t="s">
        <v>107</v>
      </c>
      <c r="C51" s="100">
        <v>816.53258344327242</v>
      </c>
      <c r="D51" s="100">
        <v>816.53258344327242</v>
      </c>
      <c r="E51" s="100">
        <v>816.53258344327242</v>
      </c>
      <c r="F51" s="100">
        <v>816.53258344327242</v>
      </c>
      <c r="G51" s="100">
        <v>816.53258344327242</v>
      </c>
      <c r="H51" s="100">
        <v>816.53258344327242</v>
      </c>
      <c r="I51" s="100">
        <v>816.53258344327242</v>
      </c>
      <c r="J51" s="100">
        <v>816.53258344327242</v>
      </c>
      <c r="K51" s="100">
        <v>816.53258344327242</v>
      </c>
      <c r="L51" s="100">
        <v>816.53258344327242</v>
      </c>
      <c r="M51" s="100">
        <v>816.53258344327242</v>
      </c>
      <c r="N51" s="100">
        <v>816.53258344327242</v>
      </c>
      <c r="O51" s="100">
        <v>816.53258344327242</v>
      </c>
      <c r="P51" s="100">
        <v>816.53258344327242</v>
      </c>
      <c r="Q51" s="100">
        <v>309.84914307053936</v>
      </c>
      <c r="R51" s="100">
        <v>816.53258344327242</v>
      </c>
      <c r="S51" s="100">
        <v>816.53258344327242</v>
      </c>
      <c r="T51" s="100">
        <v>816.53258344327242</v>
      </c>
      <c r="U51" s="100">
        <v>816.53258344327242</v>
      </c>
      <c r="V51" s="100">
        <v>816.53258344327242</v>
      </c>
      <c r="W51" s="100">
        <v>816.53258344327242</v>
      </c>
      <c r="X51" s="100">
        <v>816.53258344327242</v>
      </c>
      <c r="Y51" s="100">
        <v>816.53258344327242</v>
      </c>
      <c r="Z51" s="100">
        <v>816.53258344327242</v>
      </c>
      <c r="AA51" s="100">
        <v>816.53258344327242</v>
      </c>
      <c r="AB51" s="100">
        <v>816.53258344327242</v>
      </c>
      <c r="AC51" s="100">
        <v>816.53258344327242</v>
      </c>
      <c r="AD51" s="100">
        <v>816.53258344327242</v>
      </c>
      <c r="AE51" s="100">
        <v>816.53258344327242</v>
      </c>
      <c r="AF51" s="100">
        <v>816.53258344327242</v>
      </c>
      <c r="AG51" s="100">
        <v>816.53258344327242</v>
      </c>
      <c r="AH51" s="100">
        <v>816.53258344327242</v>
      </c>
      <c r="AI51" s="100">
        <v>653.22606675461793</v>
      </c>
      <c r="AJ51" s="100">
        <v>653.22606675461793</v>
      </c>
      <c r="AK51" s="100">
        <v>322.45457628873072</v>
      </c>
      <c r="AL51" s="100">
        <v>323.05609451524282</v>
      </c>
      <c r="AM51" s="100">
        <v>323.65414516542739</v>
      </c>
      <c r="AN51" s="100">
        <v>324.24863167851896</v>
      </c>
      <c r="AO51" s="100">
        <v>653.22606675461793</v>
      </c>
      <c r="AP51" s="100">
        <v>653.22606675461793</v>
      </c>
      <c r="AQ51" s="100">
        <v>816.53258344327242</v>
      </c>
      <c r="AR51" s="100">
        <v>816.53258344327242</v>
      </c>
      <c r="AS51" s="100">
        <v>816.53258344327242</v>
      </c>
      <c r="AT51" s="100">
        <v>816.53258344327242</v>
      </c>
      <c r="AU51" s="100">
        <v>816.53258344327242</v>
      </c>
      <c r="AV51" s="100">
        <v>816.53258344327242</v>
      </c>
      <c r="AW51" s="100">
        <v>816.53258344327242</v>
      </c>
      <c r="AX51" s="100">
        <v>816.53258344327242</v>
      </c>
      <c r="AY51" s="111"/>
    </row>
    <row r="52" spans="2:51">
      <c r="B52" s="99" t="s">
        <v>108</v>
      </c>
      <c r="C52" s="100">
        <v>2.3643858670271544E-21</v>
      </c>
      <c r="D52" s="100">
        <v>2.3643858670271544E-21</v>
      </c>
      <c r="E52" s="100">
        <v>2.3643858670271544E-21</v>
      </c>
      <c r="F52" s="100">
        <v>2.3643858670271544E-21</v>
      </c>
      <c r="G52" s="100">
        <v>2.3643858670271544E-21</v>
      </c>
      <c r="H52" s="100">
        <v>2.3643858670271544E-21</v>
      </c>
      <c r="I52" s="100">
        <v>2.3643858670271544E-21</v>
      </c>
      <c r="J52" s="100">
        <v>2.3643858670271544E-21</v>
      </c>
      <c r="K52" s="100">
        <v>2.3643858670271544E-21</v>
      </c>
      <c r="L52" s="100">
        <v>2.3643858670271544E-21</v>
      </c>
      <c r="M52" s="100">
        <v>2.3643858670271544E-21</v>
      </c>
      <c r="N52" s="100">
        <v>2.3643858670271544E-21</v>
      </c>
      <c r="O52" s="100">
        <v>2.3643858670271544E-21</v>
      </c>
      <c r="P52" s="100">
        <v>2.3643858670271544E-21</v>
      </c>
      <c r="Q52" s="100">
        <v>2.3643858670271544E-21</v>
      </c>
      <c r="R52" s="100">
        <v>2.3643858670271544E-21</v>
      </c>
      <c r="S52" s="100">
        <v>2.3643858670271544E-21</v>
      </c>
      <c r="T52" s="100">
        <v>2.3643858670271544E-21</v>
      </c>
      <c r="U52" s="100">
        <v>2.3643858670271544E-21</v>
      </c>
      <c r="V52" s="100">
        <v>2.3643858670271544E-21</v>
      </c>
      <c r="W52" s="100">
        <v>2.3643858670271544E-21</v>
      </c>
      <c r="X52" s="100">
        <v>2.3643858670271544E-21</v>
      </c>
      <c r="Y52" s="100">
        <v>2.3643858670271544E-21</v>
      </c>
      <c r="Z52" s="100">
        <v>2.3643858670271544E-21</v>
      </c>
      <c r="AA52" s="100">
        <v>2.3643858670271544E-21</v>
      </c>
      <c r="AB52" s="100">
        <v>2.3643858670271544E-21</v>
      </c>
      <c r="AC52" s="100">
        <v>2.3643858670271544E-21</v>
      </c>
      <c r="AD52" s="100">
        <v>2.3643858670271544E-21</v>
      </c>
      <c r="AE52" s="100">
        <v>2.3643858670271544E-21</v>
      </c>
      <c r="AF52" s="100">
        <v>2.3643858670271544E-21</v>
      </c>
      <c r="AG52" s="100">
        <v>2.3643858670271544E-21</v>
      </c>
      <c r="AH52" s="100">
        <v>2.3643858670271544E-21</v>
      </c>
      <c r="AI52" s="100">
        <v>2.3643858670271544E-21</v>
      </c>
      <c r="AJ52" s="100">
        <v>2.3643858670271544E-21</v>
      </c>
      <c r="AK52" s="100">
        <v>2.3643858670271544E-21</v>
      </c>
      <c r="AL52" s="100">
        <v>2.3643858670271544E-21</v>
      </c>
      <c r="AM52" s="100">
        <v>2.3643858670271544E-21</v>
      </c>
      <c r="AN52" s="100">
        <v>2.3643858670271544E-21</v>
      </c>
      <c r="AO52" s="100">
        <v>2.3643858670271544E-21</v>
      </c>
      <c r="AP52" s="100">
        <v>2.3643858670271544E-21</v>
      </c>
      <c r="AQ52" s="100">
        <v>2.3643858670271544E-21</v>
      </c>
      <c r="AR52" s="100">
        <v>2.3643858670271544E-21</v>
      </c>
      <c r="AS52" s="100">
        <v>2.3643858670271544E-21</v>
      </c>
      <c r="AT52" s="100">
        <v>2.3643858670271544E-21</v>
      </c>
      <c r="AU52" s="100">
        <v>2.3643858670271544E-21</v>
      </c>
      <c r="AV52" s="100">
        <v>2.3643858670271544E-21</v>
      </c>
      <c r="AW52" s="100">
        <v>2.3643858670271544E-21</v>
      </c>
      <c r="AX52" s="100">
        <v>2.3643858670271544E-21</v>
      </c>
    </row>
    <row r="53" spans="2:51">
      <c r="B53" s="99" t="s">
        <v>109</v>
      </c>
      <c r="C53" s="100">
        <v>3.6788461275295697E-21</v>
      </c>
      <c r="D53" s="100">
        <v>3.6788461275295697E-21</v>
      </c>
      <c r="E53" s="100">
        <v>3.6788461275295697E-21</v>
      </c>
      <c r="F53" s="100">
        <v>3.6788461275295697E-21</v>
      </c>
      <c r="G53" s="100">
        <v>3.0657051062746413E-21</v>
      </c>
      <c r="H53" s="100">
        <v>3.0657051062746413E-21</v>
      </c>
      <c r="I53" s="100">
        <v>3.0657051062746413E-21</v>
      </c>
      <c r="J53" s="100">
        <v>3.0657051062746413E-21</v>
      </c>
      <c r="K53" s="100">
        <v>3.0657051062746413E-21</v>
      </c>
      <c r="L53" s="100">
        <v>3.0657051062746413E-21</v>
      </c>
      <c r="M53" s="100">
        <v>3.0657051062746413E-21</v>
      </c>
      <c r="N53" s="100">
        <v>3.0657051062746413E-21</v>
      </c>
      <c r="O53" s="100">
        <v>3.6788461275295697E-21</v>
      </c>
      <c r="P53" s="100">
        <v>3.6788461275295697E-21</v>
      </c>
      <c r="Q53" s="100">
        <v>3.6788461275295697E-21</v>
      </c>
      <c r="R53" s="100">
        <v>3.6788461275295697E-21</v>
      </c>
      <c r="S53" s="100">
        <v>3.6788461275295697E-21</v>
      </c>
      <c r="T53" s="100">
        <v>3.6788461275295697E-21</v>
      </c>
      <c r="U53" s="100">
        <v>3.6788461275295697E-21</v>
      </c>
      <c r="V53" s="100">
        <v>3.6788461275295697E-21</v>
      </c>
      <c r="W53" s="100">
        <v>3.0657051062746413E-21</v>
      </c>
      <c r="X53" s="100">
        <v>3.0657051062746413E-21</v>
      </c>
      <c r="Y53" s="100">
        <v>3.0657051062746413E-21</v>
      </c>
      <c r="Z53" s="100">
        <v>3.0657051062746413E-21</v>
      </c>
      <c r="AA53" s="100">
        <v>3.6788461275295697E-21</v>
      </c>
      <c r="AB53" s="100">
        <v>3.6788461275295697E-21</v>
      </c>
      <c r="AC53" s="100">
        <v>3.6788461275295697E-21</v>
      </c>
      <c r="AD53" s="100">
        <v>3.6788461275295697E-21</v>
      </c>
      <c r="AE53" s="100">
        <v>3.0657051062746413E-21</v>
      </c>
      <c r="AF53" s="100">
        <v>3.0657051062746413E-21</v>
      </c>
      <c r="AG53" s="100">
        <v>3.0657051062746413E-21</v>
      </c>
      <c r="AH53" s="100">
        <v>3.0657051062746413E-21</v>
      </c>
      <c r="AI53" s="100">
        <v>3.0657051062746413E-21</v>
      </c>
      <c r="AJ53" s="100">
        <v>3.0657051062746413E-21</v>
      </c>
      <c r="AK53" s="100">
        <v>3.0657051062746413E-21</v>
      </c>
      <c r="AL53" s="100">
        <v>3.0657051062746413E-21</v>
      </c>
      <c r="AM53" s="100">
        <v>3.0657051062746413E-21</v>
      </c>
      <c r="AN53" s="100">
        <v>3.0657051062746413E-21</v>
      </c>
      <c r="AO53" s="100">
        <v>3.0657051062746413E-21</v>
      </c>
      <c r="AP53" s="100">
        <v>3.0657051062746413E-21</v>
      </c>
      <c r="AQ53" s="100">
        <v>3.0657051062746413E-21</v>
      </c>
      <c r="AR53" s="100">
        <v>3.0657051062746413E-21</v>
      </c>
      <c r="AS53" s="100">
        <v>3.0657051062746413E-21</v>
      </c>
      <c r="AT53" s="100">
        <v>3.0657051062746413E-21</v>
      </c>
      <c r="AU53" s="100">
        <v>3.0657051062746413E-21</v>
      </c>
      <c r="AV53" s="100">
        <v>3.0657051062746413E-21</v>
      </c>
      <c r="AW53" s="100">
        <v>3.0657051062746413E-21</v>
      </c>
      <c r="AX53" s="100">
        <v>3.0657051062746413E-21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2745101.1524465894</v>
      </c>
      <c r="D58" s="100">
        <v>2745101.1524465894</v>
      </c>
      <c r="E58" s="100">
        <v>2745101.1524465894</v>
      </c>
      <c r="F58" s="100">
        <v>2745101.1524465894</v>
      </c>
      <c r="G58" s="100">
        <v>2852459.6539621144</v>
      </c>
      <c r="H58" s="100">
        <v>2852459.6539621144</v>
      </c>
      <c r="I58" s="100">
        <v>2852459.6539621144</v>
      </c>
      <c r="J58" s="100">
        <v>2852459.6539621144</v>
      </c>
      <c r="K58" s="100">
        <v>2853600.9890297498</v>
      </c>
      <c r="L58" s="100">
        <v>2853600.9890297498</v>
      </c>
      <c r="M58" s="100">
        <v>2853600.9890297498</v>
      </c>
      <c r="N58" s="100">
        <v>2853600.9890297498</v>
      </c>
      <c r="O58" s="100">
        <v>3173499.7140070773</v>
      </c>
      <c r="P58" s="100">
        <v>3173499.7140070773</v>
      </c>
      <c r="Q58" s="100">
        <v>3173499.7140070773</v>
      </c>
      <c r="R58" s="100">
        <v>3173499.7140070773</v>
      </c>
      <c r="S58" s="100">
        <v>2922486.8488091081</v>
      </c>
      <c r="T58" s="100">
        <v>2922486.8488091081</v>
      </c>
      <c r="U58" s="100">
        <v>2922486.8488091081</v>
      </c>
      <c r="V58" s="100">
        <v>2922486.8488091081</v>
      </c>
      <c r="W58" s="100">
        <v>3001385.1012272304</v>
      </c>
      <c r="X58" s="100">
        <v>3001385.1012272304</v>
      </c>
      <c r="Y58" s="100">
        <v>3001385.1012272304</v>
      </c>
      <c r="Z58" s="100">
        <v>3001385.1012272304</v>
      </c>
      <c r="AA58" s="100">
        <v>2536728.2072315188</v>
      </c>
      <c r="AB58" s="100">
        <v>2536728.2072315188</v>
      </c>
      <c r="AC58" s="100">
        <v>2536728.2072315188</v>
      </c>
      <c r="AD58" s="100">
        <v>2536728.2072315188</v>
      </c>
      <c r="AE58" s="100">
        <v>2963952.8925201893</v>
      </c>
      <c r="AF58" s="100">
        <v>2963952.8925201893</v>
      </c>
      <c r="AG58" s="100">
        <v>2963952.8925201893</v>
      </c>
      <c r="AH58" s="100">
        <v>2963952.8925201893</v>
      </c>
      <c r="AI58" s="100">
        <v>2681535.2689942368</v>
      </c>
      <c r="AJ58" s="100">
        <v>2681535.2689942368</v>
      </c>
      <c r="AK58" s="100">
        <v>2681535.2689942368</v>
      </c>
      <c r="AL58" s="100">
        <v>2681535.2689942368</v>
      </c>
      <c r="AM58" s="100">
        <v>3367346.5733247763</v>
      </c>
      <c r="AN58" s="100">
        <v>3367346.5733247763</v>
      </c>
      <c r="AO58" s="100">
        <v>3367346.5733247763</v>
      </c>
      <c r="AP58" s="100">
        <v>3367346.5733247763</v>
      </c>
      <c r="AQ58" s="100">
        <v>3513539.1888431152</v>
      </c>
      <c r="AR58" s="100">
        <v>3513539.1888431152</v>
      </c>
      <c r="AS58" s="100">
        <v>3513539.1888431152</v>
      </c>
      <c r="AT58" s="100">
        <v>3513539.1888431152</v>
      </c>
      <c r="AU58" s="100">
        <v>2862633.5601874241</v>
      </c>
      <c r="AV58" s="100">
        <v>2862633.5601874241</v>
      </c>
      <c r="AW58" s="100">
        <v>2862633.5601874241</v>
      </c>
      <c r="AX58" s="100">
        <v>2862633.5601874241</v>
      </c>
    </row>
    <row r="59" spans="2:51">
      <c r="B59" s="105" t="s">
        <v>105</v>
      </c>
      <c r="C59" s="100">
        <v>3.5142966294630077E-18</v>
      </c>
      <c r="D59" s="100">
        <v>3.5142966294630077E-18</v>
      </c>
      <c r="E59" s="100">
        <v>3.5142966294630077E-18</v>
      </c>
      <c r="F59" s="100">
        <v>3.5142966294630077E-18</v>
      </c>
      <c r="G59" s="100">
        <v>3.7500321985444999E-18</v>
      </c>
      <c r="H59" s="100">
        <v>3.7500321985444999E-18</v>
      </c>
      <c r="I59" s="100">
        <v>3.7500321985444999E-18</v>
      </c>
      <c r="J59" s="100">
        <v>3.7500321985444999E-18</v>
      </c>
      <c r="K59" s="100">
        <v>3.9994013442365644E-18</v>
      </c>
      <c r="L59" s="100">
        <v>3.9994013442365644E-18</v>
      </c>
      <c r="M59" s="100">
        <v>3.9994013442365644E-18</v>
      </c>
      <c r="N59" s="100">
        <v>3.9994013442365644E-18</v>
      </c>
      <c r="O59" s="100">
        <v>3.9379280970842325E-18</v>
      </c>
      <c r="P59" s="100">
        <v>3.9379280970842325E-18</v>
      </c>
      <c r="Q59" s="100">
        <v>3.9379280970842325E-18</v>
      </c>
      <c r="R59" s="100">
        <v>3.9379280970842325E-18</v>
      </c>
      <c r="S59" s="100">
        <v>3.8331093135548552E-18</v>
      </c>
      <c r="T59" s="100">
        <v>3.8331093135548552E-18</v>
      </c>
      <c r="U59" s="100">
        <v>3.8331093135548552E-18</v>
      </c>
      <c r="V59" s="100">
        <v>3.8331093135548552E-18</v>
      </c>
      <c r="W59" s="100">
        <v>3.5726480763811592E-18</v>
      </c>
      <c r="X59" s="100">
        <v>3.5726480763811592E-18</v>
      </c>
      <c r="Y59" s="100">
        <v>3.5726480763811592E-18</v>
      </c>
      <c r="Z59" s="100">
        <v>3.5726480763811592E-18</v>
      </c>
      <c r="AA59" s="100">
        <v>3.5012619539120381E-18</v>
      </c>
      <c r="AB59" s="100">
        <v>3.5012619539120381E-18</v>
      </c>
      <c r="AC59" s="100">
        <v>3.5012619539120381E-18</v>
      </c>
      <c r="AD59" s="100">
        <v>3.5012619539120381E-18</v>
      </c>
      <c r="AE59" s="100">
        <v>3.9039025886083875E-18</v>
      </c>
      <c r="AF59" s="100">
        <v>3.9039025886083875E-18</v>
      </c>
      <c r="AG59" s="100">
        <v>3.9039025886083875E-18</v>
      </c>
      <c r="AH59" s="100">
        <v>3.9039025886083875E-18</v>
      </c>
      <c r="AI59" s="100">
        <v>3.4674738217480475E-18</v>
      </c>
      <c r="AJ59" s="100">
        <v>3.4674738217480475E-18</v>
      </c>
      <c r="AK59" s="100">
        <v>3.4674738217480475E-18</v>
      </c>
      <c r="AL59" s="100">
        <v>3.4674738217480475E-18</v>
      </c>
      <c r="AM59" s="100">
        <v>3.5023467735550809E-18</v>
      </c>
      <c r="AN59" s="100">
        <v>3.5023467735550809E-18</v>
      </c>
      <c r="AO59" s="100">
        <v>3.5023467735550809E-18</v>
      </c>
      <c r="AP59" s="100">
        <v>3.5023467735550809E-18</v>
      </c>
      <c r="AQ59" s="100">
        <v>3.6330839878696116E-18</v>
      </c>
      <c r="AR59" s="100">
        <v>3.6330839878696116E-18</v>
      </c>
      <c r="AS59" s="100">
        <v>3.6330839878696116E-18</v>
      </c>
      <c r="AT59" s="100">
        <v>3.6330839878696116E-18</v>
      </c>
      <c r="AU59" s="100">
        <v>3.8180246210981134E-18</v>
      </c>
      <c r="AV59" s="100">
        <v>3.8180246210981134E-18</v>
      </c>
      <c r="AW59" s="100">
        <v>3.8180246210981134E-18</v>
      </c>
      <c r="AX59" s="100">
        <v>3.8180246210981134E-18</v>
      </c>
    </row>
    <row r="60" spans="2:51">
      <c r="B60" s="105" t="s">
        <v>106</v>
      </c>
      <c r="C60" s="100">
        <v>139041.1993582249</v>
      </c>
      <c r="D60" s="100">
        <v>139041.1993582249</v>
      </c>
      <c r="E60" s="100">
        <v>139041.1993582249</v>
      </c>
      <c r="F60" s="100">
        <v>139041.1993582249</v>
      </c>
      <c r="G60" s="100">
        <v>242371.06780962291</v>
      </c>
      <c r="H60" s="100">
        <v>242371.06780962291</v>
      </c>
      <c r="I60" s="100">
        <v>242371.06780962291</v>
      </c>
      <c r="J60" s="100">
        <v>242371.06780962291</v>
      </c>
      <c r="K60" s="100">
        <v>236416.70150121776</v>
      </c>
      <c r="L60" s="100">
        <v>236416.70150121776</v>
      </c>
      <c r="M60" s="100">
        <v>236416.70150121776</v>
      </c>
      <c r="N60" s="100">
        <v>236416.70150121776</v>
      </c>
      <c r="O60" s="100">
        <v>229625.72010446709</v>
      </c>
      <c r="P60" s="100">
        <v>229625.72010446709</v>
      </c>
      <c r="Q60" s="100">
        <v>229625.72010446709</v>
      </c>
      <c r="R60" s="100">
        <v>229625.72010446709</v>
      </c>
      <c r="S60" s="100">
        <v>236911.59982083336</v>
      </c>
      <c r="T60" s="100">
        <v>236911.59982083336</v>
      </c>
      <c r="U60" s="100">
        <v>236911.59982083336</v>
      </c>
      <c r="V60" s="100">
        <v>236911.59982083336</v>
      </c>
      <c r="W60" s="100">
        <v>244106.94833412039</v>
      </c>
      <c r="X60" s="100">
        <v>244106.94833412039</v>
      </c>
      <c r="Y60" s="100">
        <v>244106.94833412039</v>
      </c>
      <c r="Z60" s="100">
        <v>244106.94833412039</v>
      </c>
      <c r="AA60" s="100">
        <v>263997.68696483772</v>
      </c>
      <c r="AB60" s="100">
        <v>263997.68696483772</v>
      </c>
      <c r="AC60" s="100">
        <v>263997.68696483772</v>
      </c>
      <c r="AD60" s="100">
        <v>263997.68696483772</v>
      </c>
      <c r="AE60" s="100">
        <v>255148.08246790065</v>
      </c>
      <c r="AF60" s="100">
        <v>255148.08246790065</v>
      </c>
      <c r="AG60" s="100">
        <v>255148.08246790065</v>
      </c>
      <c r="AH60" s="100">
        <v>255148.08246790065</v>
      </c>
      <c r="AI60" s="100">
        <v>0</v>
      </c>
      <c r="AJ60" s="100">
        <v>0</v>
      </c>
      <c r="AK60" s="100">
        <v>0</v>
      </c>
      <c r="AL60" s="100">
        <v>0</v>
      </c>
      <c r="AM60" s="100">
        <v>232313.68972837448</v>
      </c>
      <c r="AN60" s="100">
        <v>232313.68972837448</v>
      </c>
      <c r="AO60" s="100">
        <v>232313.68972837448</v>
      </c>
      <c r="AP60" s="100">
        <v>232313.68972837448</v>
      </c>
      <c r="AQ60" s="100">
        <v>219964.42067078658</v>
      </c>
      <c r="AR60" s="100">
        <v>219964.42067078658</v>
      </c>
      <c r="AS60" s="100">
        <v>219964.42067078658</v>
      </c>
      <c r="AT60" s="100">
        <v>219964.42067078658</v>
      </c>
      <c r="AU60" s="100">
        <v>219949.5650017455</v>
      </c>
      <c r="AV60" s="100">
        <v>219949.5650017455</v>
      </c>
      <c r="AW60" s="100">
        <v>219949.5650017455</v>
      </c>
      <c r="AX60" s="100">
        <v>219949.5650017455</v>
      </c>
    </row>
    <row r="61" spans="2:51">
      <c r="B61" s="105" t="s">
        <v>107</v>
      </c>
      <c r="C61" s="100">
        <v>1124506.8646550809</v>
      </c>
      <c r="D61" s="100">
        <v>1124506.8646550809</v>
      </c>
      <c r="E61" s="100">
        <v>1124506.8646550809</v>
      </c>
      <c r="F61" s="100">
        <v>1124506.8646550809</v>
      </c>
      <c r="G61" s="100">
        <v>1077419.4248147977</v>
      </c>
      <c r="H61" s="100">
        <v>1077419.4248147977</v>
      </c>
      <c r="I61" s="100">
        <v>1077419.4248147977</v>
      </c>
      <c r="J61" s="100">
        <v>1077419.4248147977</v>
      </c>
      <c r="K61" s="100">
        <v>1106971.2614146052</v>
      </c>
      <c r="L61" s="100">
        <v>1106971.2614146052</v>
      </c>
      <c r="M61" s="100">
        <v>1106971.2614146052</v>
      </c>
      <c r="N61" s="100">
        <v>1106971.2614146052</v>
      </c>
      <c r="O61" s="100">
        <v>1229849.1575956219</v>
      </c>
      <c r="P61" s="100">
        <v>1229849.1575956219</v>
      </c>
      <c r="Q61" s="100">
        <v>466690.14233343489</v>
      </c>
      <c r="R61" s="100">
        <v>1229849.1575956219</v>
      </c>
      <c r="S61" s="100">
        <v>1171569.3030665852</v>
      </c>
      <c r="T61" s="100">
        <v>1171569.3030665852</v>
      </c>
      <c r="U61" s="100">
        <v>1171569.3030665852</v>
      </c>
      <c r="V61" s="100">
        <v>1171569.3030665852</v>
      </c>
      <c r="W61" s="100">
        <v>1054357.0386991955</v>
      </c>
      <c r="X61" s="100">
        <v>1054357.0386991955</v>
      </c>
      <c r="Y61" s="100">
        <v>1054357.0386991955</v>
      </c>
      <c r="Z61" s="100">
        <v>1054357.0386991955</v>
      </c>
      <c r="AA61" s="100">
        <v>1135729.5491689544</v>
      </c>
      <c r="AB61" s="100">
        <v>1135729.5491689544</v>
      </c>
      <c r="AC61" s="100">
        <v>1135729.5491689544</v>
      </c>
      <c r="AD61" s="100">
        <v>1135729.5491689544</v>
      </c>
      <c r="AE61" s="100">
        <v>1055312.2460766623</v>
      </c>
      <c r="AF61" s="100">
        <v>1055312.2460766623</v>
      </c>
      <c r="AG61" s="100">
        <v>1055312.2460766623</v>
      </c>
      <c r="AH61" s="100">
        <v>1055312.2460766623</v>
      </c>
      <c r="AI61" s="100">
        <v>1172701.5042057135</v>
      </c>
      <c r="AJ61" s="100">
        <v>1172701.5042057135</v>
      </c>
      <c r="AK61" s="100">
        <v>578885.29851620051</v>
      </c>
      <c r="AL61" s="100">
        <v>579965.17172539816</v>
      </c>
      <c r="AM61" s="100">
        <v>591231.0269380766</v>
      </c>
      <c r="AN61" s="100">
        <v>592316.99749302294</v>
      </c>
      <c r="AO61" s="100">
        <v>1193272.275479906</v>
      </c>
      <c r="AP61" s="100">
        <v>1193272.275479906</v>
      </c>
      <c r="AQ61" s="100">
        <v>1206266.9121149136</v>
      </c>
      <c r="AR61" s="100">
        <v>1206266.9121149136</v>
      </c>
      <c r="AS61" s="100">
        <v>1206266.9121149136</v>
      </c>
      <c r="AT61" s="100">
        <v>1206266.9121149136</v>
      </c>
      <c r="AU61" s="100">
        <v>1143608.6884605202</v>
      </c>
      <c r="AV61" s="100">
        <v>1143608.6884605202</v>
      </c>
      <c r="AW61" s="100">
        <v>1143608.6884605202</v>
      </c>
      <c r="AX61" s="100">
        <v>1143608.6884605202</v>
      </c>
    </row>
    <row r="62" spans="2:51">
      <c r="B62" s="105" t="s">
        <v>108</v>
      </c>
      <c r="C62" s="100">
        <v>3.0290370895662775E-18</v>
      </c>
      <c r="D62" s="100">
        <v>3.0290370895662775E-18</v>
      </c>
      <c r="E62" s="100">
        <v>3.0290370895662775E-18</v>
      </c>
      <c r="F62" s="100">
        <v>3.0290370895662775E-18</v>
      </c>
      <c r="G62" s="100">
        <v>3.0335931157208112E-18</v>
      </c>
      <c r="H62" s="100">
        <v>3.0335931157208112E-18</v>
      </c>
      <c r="I62" s="100">
        <v>3.0335931157208112E-18</v>
      </c>
      <c r="J62" s="100">
        <v>3.0335931157208112E-18</v>
      </c>
      <c r="K62" s="100">
        <v>3.0768738609705641E-18</v>
      </c>
      <c r="L62" s="100">
        <v>3.0768738609705641E-18</v>
      </c>
      <c r="M62" s="100">
        <v>3.0768738609705641E-18</v>
      </c>
      <c r="N62" s="100">
        <v>3.0768738609705641E-18</v>
      </c>
      <c r="O62" s="100">
        <v>3.0943926691284078E-18</v>
      </c>
      <c r="P62" s="100">
        <v>3.0943926691284078E-18</v>
      </c>
      <c r="Q62" s="100">
        <v>3.0943926691284078E-18</v>
      </c>
      <c r="R62" s="100">
        <v>3.0943926691284078E-18</v>
      </c>
      <c r="S62" s="100">
        <v>3.1021181359059038E-18</v>
      </c>
      <c r="T62" s="100">
        <v>3.1021181359059038E-18</v>
      </c>
      <c r="U62" s="100">
        <v>3.1021181359059038E-18</v>
      </c>
      <c r="V62" s="100">
        <v>3.1021181359059038E-18</v>
      </c>
      <c r="W62" s="100">
        <v>3.1422687538655603E-18</v>
      </c>
      <c r="X62" s="100">
        <v>3.1422687538655603E-18</v>
      </c>
      <c r="Y62" s="100">
        <v>3.1422687538655603E-18</v>
      </c>
      <c r="Z62" s="100">
        <v>3.1422687538655603E-18</v>
      </c>
      <c r="AA62" s="100">
        <v>3.1120715391477265E-18</v>
      </c>
      <c r="AB62" s="100">
        <v>3.1120715391477265E-18</v>
      </c>
      <c r="AC62" s="100">
        <v>3.1120715391477265E-18</v>
      </c>
      <c r="AD62" s="100">
        <v>3.1120715391477265E-18</v>
      </c>
      <c r="AE62" s="100">
        <v>3.0972840579892855E-18</v>
      </c>
      <c r="AF62" s="100">
        <v>3.0972840579892855E-18</v>
      </c>
      <c r="AG62" s="100">
        <v>3.0972840579892855E-18</v>
      </c>
      <c r="AH62" s="100">
        <v>3.0972840579892855E-18</v>
      </c>
      <c r="AI62" s="100">
        <v>3.0589313055626079E-18</v>
      </c>
      <c r="AJ62" s="100">
        <v>3.0589313055626079E-18</v>
      </c>
      <c r="AK62" s="100">
        <v>3.0589313055626079E-18</v>
      </c>
      <c r="AL62" s="100">
        <v>3.0589313055626079E-18</v>
      </c>
      <c r="AM62" s="100">
        <v>3.0534748951260516E-18</v>
      </c>
      <c r="AN62" s="100">
        <v>3.0534748951260516E-18</v>
      </c>
      <c r="AO62" s="100">
        <v>3.0534748951260516E-18</v>
      </c>
      <c r="AP62" s="100">
        <v>3.0534748951260516E-18</v>
      </c>
      <c r="AQ62" s="100">
        <v>3.0941460315471849E-18</v>
      </c>
      <c r="AR62" s="100">
        <v>3.0941460315471849E-18</v>
      </c>
      <c r="AS62" s="100">
        <v>3.0941460315471849E-18</v>
      </c>
      <c r="AT62" s="100">
        <v>3.0941460315471849E-18</v>
      </c>
      <c r="AU62" s="100">
        <v>3.1987691197785714E-18</v>
      </c>
      <c r="AV62" s="100">
        <v>3.1987691197785714E-18</v>
      </c>
      <c r="AW62" s="100">
        <v>3.1987691197785714E-18</v>
      </c>
      <c r="AX62" s="100">
        <v>3.1987691197785714E-18</v>
      </c>
    </row>
    <row r="63" spans="2:51">
      <c r="B63" s="105" t="s">
        <v>109</v>
      </c>
      <c r="C63" s="100">
        <v>5.099784863815238E-18</v>
      </c>
      <c r="D63" s="100">
        <v>5.099784863815238E-18</v>
      </c>
      <c r="E63" s="100">
        <v>5.099784863815238E-18</v>
      </c>
      <c r="F63" s="100">
        <v>5.099784863815238E-18</v>
      </c>
      <c r="G63" s="100">
        <v>4.4261059201278203E-18</v>
      </c>
      <c r="H63" s="100">
        <v>4.4261059201278203E-18</v>
      </c>
      <c r="I63" s="100">
        <v>4.4261059201278203E-18</v>
      </c>
      <c r="J63" s="100">
        <v>4.4261059201278203E-18</v>
      </c>
      <c r="K63" s="100">
        <v>4.3336448238427563E-18</v>
      </c>
      <c r="L63" s="100">
        <v>4.3336448238427563E-18</v>
      </c>
      <c r="M63" s="100">
        <v>4.3336448238427563E-18</v>
      </c>
      <c r="N63" s="100">
        <v>4.3336448238427563E-18</v>
      </c>
      <c r="O63" s="100">
        <v>4.9144384287300714E-18</v>
      </c>
      <c r="P63" s="100">
        <v>4.9144384287300714E-18</v>
      </c>
      <c r="Q63" s="100">
        <v>4.9144384287300714E-18</v>
      </c>
      <c r="R63" s="100">
        <v>4.9144384287300714E-18</v>
      </c>
      <c r="S63" s="100">
        <v>4.8410974515957946E-18</v>
      </c>
      <c r="T63" s="100">
        <v>4.8410974515957946E-18</v>
      </c>
      <c r="U63" s="100">
        <v>4.8410974515957946E-18</v>
      </c>
      <c r="V63" s="100">
        <v>4.8410974515957946E-18</v>
      </c>
      <c r="W63" s="100">
        <v>4.3775700953943436E-18</v>
      </c>
      <c r="X63" s="100">
        <v>4.3775700953943436E-18</v>
      </c>
      <c r="Y63" s="100">
        <v>4.3775700953943436E-18</v>
      </c>
      <c r="Z63" s="100">
        <v>4.3775700953943436E-18</v>
      </c>
      <c r="AA63" s="100">
        <v>4.9835508060631242E-18</v>
      </c>
      <c r="AB63" s="100">
        <v>4.9835508060631242E-18</v>
      </c>
      <c r="AC63" s="100">
        <v>4.9835508060631242E-18</v>
      </c>
      <c r="AD63" s="100">
        <v>4.9835508060631242E-18</v>
      </c>
      <c r="AE63" s="100">
        <v>4.5205954965586562E-18</v>
      </c>
      <c r="AF63" s="100">
        <v>4.5205954965586562E-18</v>
      </c>
      <c r="AG63" s="100">
        <v>4.5205954965586562E-18</v>
      </c>
      <c r="AH63" s="100">
        <v>4.5205954965586562E-18</v>
      </c>
      <c r="AI63" s="100">
        <v>4.637256440999219E-18</v>
      </c>
      <c r="AJ63" s="100">
        <v>4.637256440999219E-18</v>
      </c>
      <c r="AK63" s="100">
        <v>4.637256440999219E-18</v>
      </c>
      <c r="AL63" s="100">
        <v>4.637256440999219E-18</v>
      </c>
      <c r="AM63" s="100">
        <v>4.4112713425001453E-18</v>
      </c>
      <c r="AN63" s="100">
        <v>4.4112713425001453E-18</v>
      </c>
      <c r="AO63" s="100">
        <v>4.4112713425001453E-18</v>
      </c>
      <c r="AP63" s="100">
        <v>4.4112713425001453E-18</v>
      </c>
      <c r="AQ63" s="100">
        <v>4.6796779046731944E-18</v>
      </c>
      <c r="AR63" s="100">
        <v>4.6796779046731944E-18</v>
      </c>
      <c r="AS63" s="100">
        <v>4.6796779046731944E-18</v>
      </c>
      <c r="AT63" s="100">
        <v>4.6796779046731944E-18</v>
      </c>
      <c r="AU63" s="100">
        <v>4.5644150334931787E-18</v>
      </c>
      <c r="AV63" s="100">
        <v>4.5644150334931787E-18</v>
      </c>
      <c r="AW63" s="100">
        <v>4.5644150334931787E-18</v>
      </c>
      <c r="AX63" s="100">
        <v>4.5644150334931787E-18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88.69755564194719</v>
      </c>
      <c r="D67" s="100">
        <v>88.69755564194719</v>
      </c>
      <c r="E67" s="100">
        <v>88.69755564194719</v>
      </c>
      <c r="F67" s="100">
        <v>88.69755564194719</v>
      </c>
      <c r="G67" s="100">
        <v>88.69755564194719</v>
      </c>
      <c r="H67" s="100">
        <v>88.69755564194719</v>
      </c>
      <c r="I67" s="100">
        <v>88.69755564194719</v>
      </c>
      <c r="J67" s="100">
        <v>88.69755564194719</v>
      </c>
      <c r="K67" s="100">
        <v>88.69755564194719</v>
      </c>
      <c r="L67" s="100">
        <v>88.69755564194719</v>
      </c>
      <c r="M67" s="100">
        <v>88.69755564194719</v>
      </c>
      <c r="N67" s="100">
        <v>88.69755564194719</v>
      </c>
    </row>
    <row r="68" spans="1:14">
      <c r="B68" s="99" t="s">
        <v>330</v>
      </c>
      <c r="C68" s="100">
        <v>1355.5338123512295</v>
      </c>
      <c r="D68" s="100">
        <v>1355.5338123512295</v>
      </c>
      <c r="E68" s="100">
        <v>1355.5338123512295</v>
      </c>
      <c r="F68" s="100">
        <v>1355.5338123512295</v>
      </c>
      <c r="G68" s="100">
        <v>1355.5338123512295</v>
      </c>
      <c r="H68" s="100">
        <v>1355.5338123512295</v>
      </c>
      <c r="I68" s="100">
        <v>1355.5338123512295</v>
      </c>
      <c r="J68" s="100">
        <v>1355.5338123512295</v>
      </c>
      <c r="K68" s="100">
        <v>1355.5338123512295</v>
      </c>
      <c r="L68" s="100">
        <v>1355.5338123512295</v>
      </c>
      <c r="M68" s="100">
        <v>1355.5338123512295</v>
      </c>
      <c r="N68" s="100">
        <v>1355.5338123512295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64568.377407769782</v>
      </c>
      <c r="D72" s="100">
        <v>137976.31496610615</v>
      </c>
      <c r="E72" s="100">
        <v>229755.9433199052</v>
      </c>
    </row>
    <row r="73" spans="1:14">
      <c r="B73" s="105" t="s">
        <v>93</v>
      </c>
      <c r="C73" s="100">
        <v>64568.377407769782</v>
      </c>
      <c r="D73" s="100">
        <v>137976.31496610615</v>
      </c>
      <c r="E73" s="100">
        <v>229755.9433199052</v>
      </c>
    </row>
    <row r="74" spans="1:14">
      <c r="B74" s="105" t="s">
        <v>94</v>
      </c>
      <c r="C74" s="100">
        <v>64568.377407769782</v>
      </c>
      <c r="D74" s="100">
        <v>137976.31496610615</v>
      </c>
      <c r="E74" s="100">
        <v>229755.9433199052</v>
      </c>
    </row>
    <row r="75" spans="1:14">
      <c r="B75" s="105" t="s">
        <v>95</v>
      </c>
      <c r="C75" s="100">
        <v>64568.377407769782</v>
      </c>
      <c r="D75" s="100">
        <v>137976.31496610615</v>
      </c>
      <c r="E75" s="100">
        <v>229755.9433199052</v>
      </c>
    </row>
    <row r="76" spans="1:14">
      <c r="B76" s="105" t="s">
        <v>96</v>
      </c>
      <c r="C76" s="100">
        <v>64568.377407769782</v>
      </c>
      <c r="D76" s="100">
        <v>137976.31496610615</v>
      </c>
      <c r="E76" s="100">
        <v>229755.9433199052</v>
      </c>
    </row>
    <row r="77" spans="1:14">
      <c r="B77" s="105" t="s">
        <v>97</v>
      </c>
      <c r="C77" s="100">
        <v>64568.377407769782</v>
      </c>
      <c r="D77" s="100">
        <v>137976.31496610615</v>
      </c>
      <c r="E77" s="100">
        <v>229755.9433199052</v>
      </c>
    </row>
    <row r="78" spans="1:14">
      <c r="B78" s="105" t="s">
        <v>98</v>
      </c>
      <c r="C78" s="100">
        <v>64568.377407769782</v>
      </c>
      <c r="D78" s="100">
        <v>137976.31496610615</v>
      </c>
      <c r="E78" s="100">
        <v>229755.9433199052</v>
      </c>
    </row>
    <row r="79" spans="1:14">
      <c r="B79" s="105" t="s">
        <v>99</v>
      </c>
      <c r="C79" s="100">
        <v>64568.377407769782</v>
      </c>
      <c r="D79" s="100">
        <v>137976.31496610615</v>
      </c>
      <c r="E79" s="100">
        <v>229755.9433199052</v>
      </c>
    </row>
    <row r="80" spans="1:14">
      <c r="B80" s="105" t="s">
        <v>100</v>
      </c>
      <c r="C80" s="100">
        <v>64568.377407769782</v>
      </c>
      <c r="D80" s="100">
        <v>137976.31496610615</v>
      </c>
      <c r="E80" s="100">
        <v>229755.9433199052</v>
      </c>
    </row>
    <row r="81" spans="2:50">
      <c r="B81" s="105" t="s">
        <v>101</v>
      </c>
      <c r="C81" s="100">
        <v>64568.377407769782</v>
      </c>
      <c r="D81" s="100">
        <v>137976.31496610615</v>
      </c>
      <c r="E81" s="100">
        <v>229755.9433199052</v>
      </c>
    </row>
    <row r="82" spans="2:50">
      <c r="B82" s="105" t="s">
        <v>102</v>
      </c>
      <c r="C82" s="100">
        <v>64568.377407769782</v>
      </c>
      <c r="D82" s="100">
        <v>137976.31496610615</v>
      </c>
      <c r="E82" s="100">
        <v>229755.9433199052</v>
      </c>
    </row>
    <row r="83" spans="2:50">
      <c r="B83" s="105" t="s">
        <v>103</v>
      </c>
      <c r="C83" s="100">
        <v>64568.377407769782</v>
      </c>
      <c r="D83" s="100">
        <v>137976.31496610615</v>
      </c>
      <c r="E83" s="100">
        <v>229755.9433199052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2290.8700399017252</v>
      </c>
      <c r="D88" s="100">
        <f>D48+$C$67/4</f>
        <v>2290.8700399017252</v>
      </c>
      <c r="E88" s="100">
        <f>E48+$C$67/4</f>
        <v>2290.8700399017252</v>
      </c>
      <c r="F88" s="100">
        <f>F48+$C$67/4</f>
        <v>2290.8700399017252</v>
      </c>
      <c r="G88" s="100">
        <f>G48+$D$67/4</f>
        <v>2744.6091700999727</v>
      </c>
      <c r="H88" s="100">
        <f>H48+$D$67/4</f>
        <v>2744.6091700999727</v>
      </c>
      <c r="I88" s="100">
        <f>I48+$D$67/4</f>
        <v>2744.6091700999727</v>
      </c>
      <c r="J88" s="100">
        <f>J48+$D$67/4</f>
        <v>2744.6091700999727</v>
      </c>
      <c r="K88" s="100">
        <f>K48+$E$67/4</f>
        <v>2290.8700399017252</v>
      </c>
      <c r="L88" s="100">
        <f>L48+$E$67/4</f>
        <v>2290.8700399017252</v>
      </c>
      <c r="M88" s="100">
        <f>M48+$E$67/4</f>
        <v>2290.8700399017252</v>
      </c>
      <c r="N88" s="100">
        <f>N48+$E$67/4</f>
        <v>2290.8700399017252</v>
      </c>
      <c r="O88" s="100">
        <f>O48+$F$67/4</f>
        <v>2290.8700399017252</v>
      </c>
      <c r="P88" s="100">
        <f>P48+$F$67/4</f>
        <v>2290.8700399017252</v>
      </c>
      <c r="Q88" s="100">
        <f>Q48+$F$67/4</f>
        <v>2290.8700399017252</v>
      </c>
      <c r="R88" s="100">
        <f>R48+$F$67/4</f>
        <v>2290.8700399017252</v>
      </c>
      <c r="S88" s="100">
        <f>S48+$G$67/4</f>
        <v>2290.8700399017252</v>
      </c>
      <c r="T88" s="100">
        <f>T48+$G$67/4</f>
        <v>2290.8700399017252</v>
      </c>
      <c r="U88" s="100">
        <f>U48+$G$67/4</f>
        <v>2290.8700399017252</v>
      </c>
      <c r="V88" s="100">
        <f>V48+$G$67/4</f>
        <v>2290.8700399017252</v>
      </c>
      <c r="W88" s="100">
        <f>W48+$H$67/4</f>
        <v>1837.1309097034778</v>
      </c>
      <c r="X88" s="100">
        <f>X48+$H$67/4</f>
        <v>1837.1309097034778</v>
      </c>
      <c r="Y88" s="100">
        <f>Y48+$H$67/4</f>
        <v>1837.1309097034778</v>
      </c>
      <c r="Z88" s="100">
        <f>Z48+$H$67/4</f>
        <v>1837.1309097034778</v>
      </c>
      <c r="AA88" s="100">
        <f>AA48+$I$67/4</f>
        <v>2290.8700399017252</v>
      </c>
      <c r="AB88" s="100">
        <f>AB48+$I$67/4</f>
        <v>2290.8700399017252</v>
      </c>
      <c r="AC88" s="100">
        <f>AC48+$I$67/4</f>
        <v>2290.8700399017252</v>
      </c>
      <c r="AD88" s="100">
        <f>AD48+$I$67/4</f>
        <v>2290.8700399017252</v>
      </c>
      <c r="AE88" s="100">
        <f>AE48+$J$67/4</f>
        <v>2290.8700399017252</v>
      </c>
      <c r="AF88" s="100">
        <f>AF48+$J$67/4</f>
        <v>2290.8700399017252</v>
      </c>
      <c r="AG88" s="100">
        <f>AG48+$J$67/4</f>
        <v>2290.8700399017252</v>
      </c>
      <c r="AH88" s="100">
        <f>AH48+$J$67/4</f>
        <v>2290.8700399017252</v>
      </c>
      <c r="AI88" s="100">
        <f>AI48+$K$67/4</f>
        <v>2290.8700399017252</v>
      </c>
      <c r="AJ88" s="100">
        <f>AJ48+$K$67/4</f>
        <v>2290.8700399017252</v>
      </c>
      <c r="AK88" s="100">
        <f>AK48+$K$67/4</f>
        <v>2290.8700399017252</v>
      </c>
      <c r="AL88" s="100">
        <f>AL48+$K$67/4</f>
        <v>2290.8700399017252</v>
      </c>
      <c r="AM88" s="100">
        <f>AM48+$L$67/4</f>
        <v>1837.1309097034778</v>
      </c>
      <c r="AN88" s="100">
        <f>AN48+$L$67/4</f>
        <v>1837.1309097034778</v>
      </c>
      <c r="AO88" s="100">
        <f>AO48+$L$67/4</f>
        <v>1837.1309097034778</v>
      </c>
      <c r="AP88" s="100">
        <f>AP48+$L$67/4</f>
        <v>1837.1309097034778</v>
      </c>
      <c r="AQ88" s="100">
        <f>AQ48+$M$67/4</f>
        <v>2290.8700399017252</v>
      </c>
      <c r="AR88" s="100">
        <f>AR48+$M$67/4</f>
        <v>2290.8700399017252</v>
      </c>
      <c r="AS88" s="100">
        <f>AS48+$M$67/4</f>
        <v>2290.8700399017252</v>
      </c>
      <c r="AT88" s="100">
        <f>AT48+$M$67/4</f>
        <v>2290.8700399017252</v>
      </c>
      <c r="AU88" s="100">
        <f>AU48+$N$67/4</f>
        <v>2290.8700399017252</v>
      </c>
      <c r="AV88" s="100">
        <f>AV48+$N$67/4</f>
        <v>2290.8700399017252</v>
      </c>
      <c r="AW88" s="100">
        <f>AW48+$N$67/4</f>
        <v>2290.8700399017252</v>
      </c>
      <c r="AX88" s="100">
        <f>AX48+$N$67/4</f>
        <v>2290.8700399017252</v>
      </c>
    </row>
    <row r="89" spans="2:50">
      <c r="B89" s="99" t="s">
        <v>105</v>
      </c>
      <c r="C89" s="100">
        <f>C49</f>
        <v>2.0980157142886388E-21</v>
      </c>
      <c r="D89" s="100">
        <f t="shared" ref="D89:AX93" si="3">D49</f>
        <v>2.0980157142886388E-21</v>
      </c>
      <c r="E89" s="100">
        <f t="shared" si="3"/>
        <v>2.0980157142886388E-21</v>
      </c>
      <c r="F89" s="100">
        <f t="shared" si="3"/>
        <v>2.0980157142886388E-21</v>
      </c>
      <c r="G89" s="100">
        <f t="shared" si="3"/>
        <v>2.6225196428607981E-21</v>
      </c>
      <c r="H89" s="100">
        <f t="shared" si="3"/>
        <v>2.6225196428607981E-21</v>
      </c>
      <c r="I89" s="100">
        <f t="shared" si="3"/>
        <v>2.6225196428607981E-21</v>
      </c>
      <c r="J89" s="100">
        <f t="shared" si="3"/>
        <v>2.6225196428607981E-21</v>
      </c>
      <c r="K89" s="100">
        <f t="shared" si="3"/>
        <v>3.1470235714329574E-21</v>
      </c>
      <c r="L89" s="100">
        <f t="shared" si="3"/>
        <v>3.1470235714329574E-21</v>
      </c>
      <c r="M89" s="100">
        <f t="shared" si="3"/>
        <v>3.1470235714329574E-21</v>
      </c>
      <c r="N89" s="100">
        <f t="shared" si="3"/>
        <v>3.1470235714329574E-21</v>
      </c>
      <c r="O89" s="100">
        <f t="shared" si="3"/>
        <v>3.1470235714329574E-21</v>
      </c>
      <c r="P89" s="100">
        <f t="shared" si="3"/>
        <v>3.1470235714329574E-21</v>
      </c>
      <c r="Q89" s="100">
        <f t="shared" si="3"/>
        <v>3.1470235714329574E-21</v>
      </c>
      <c r="R89" s="100">
        <f t="shared" si="3"/>
        <v>3.1470235714329574E-21</v>
      </c>
      <c r="S89" s="100">
        <f t="shared" si="3"/>
        <v>2.6225196428607981E-21</v>
      </c>
      <c r="T89" s="100">
        <f t="shared" si="3"/>
        <v>2.6225196428607981E-21</v>
      </c>
      <c r="U89" s="100">
        <f t="shared" si="3"/>
        <v>2.6225196428607981E-21</v>
      </c>
      <c r="V89" s="100">
        <f t="shared" si="3"/>
        <v>2.6225196428607981E-21</v>
      </c>
      <c r="W89" s="100">
        <f t="shared" si="3"/>
        <v>2.0980157142886388E-21</v>
      </c>
      <c r="X89" s="100">
        <f t="shared" si="3"/>
        <v>2.0980157142886388E-21</v>
      </c>
      <c r="Y89" s="100">
        <f t="shared" si="3"/>
        <v>2.0980157142886388E-21</v>
      </c>
      <c r="Z89" s="100">
        <f t="shared" si="3"/>
        <v>2.0980157142886388E-21</v>
      </c>
      <c r="AA89" s="100">
        <f t="shared" si="3"/>
        <v>2.0980157142886388E-21</v>
      </c>
      <c r="AB89" s="100">
        <f t="shared" si="3"/>
        <v>2.0980157142886388E-21</v>
      </c>
      <c r="AC89" s="100">
        <f t="shared" si="3"/>
        <v>2.0980157142886388E-21</v>
      </c>
      <c r="AD89" s="100">
        <f t="shared" si="3"/>
        <v>2.0980157142886388E-21</v>
      </c>
      <c r="AE89" s="100">
        <f t="shared" si="3"/>
        <v>3.1470235714329574E-21</v>
      </c>
      <c r="AF89" s="100">
        <f t="shared" si="3"/>
        <v>3.1470235714329574E-21</v>
      </c>
      <c r="AG89" s="100">
        <f t="shared" si="3"/>
        <v>3.1470235714329574E-21</v>
      </c>
      <c r="AH89" s="100">
        <f t="shared" si="3"/>
        <v>3.1470235714329574E-21</v>
      </c>
      <c r="AI89" s="100">
        <f t="shared" si="3"/>
        <v>2.6225196428607981E-21</v>
      </c>
      <c r="AJ89" s="100">
        <f t="shared" si="3"/>
        <v>2.6225196428607981E-21</v>
      </c>
      <c r="AK89" s="100">
        <f t="shared" si="3"/>
        <v>2.6225196428607981E-21</v>
      </c>
      <c r="AL89" s="100">
        <f t="shared" si="3"/>
        <v>2.6225196428607981E-21</v>
      </c>
      <c r="AM89" s="100">
        <f t="shared" si="3"/>
        <v>2.6225196428607981E-21</v>
      </c>
      <c r="AN89" s="100">
        <f t="shared" si="3"/>
        <v>2.6225196428607981E-21</v>
      </c>
      <c r="AO89" s="100">
        <f t="shared" si="3"/>
        <v>2.6225196428607981E-21</v>
      </c>
      <c r="AP89" s="100">
        <f t="shared" si="3"/>
        <v>2.6225196428607981E-21</v>
      </c>
      <c r="AQ89" s="100">
        <f t="shared" si="3"/>
        <v>2.6225196428607981E-21</v>
      </c>
      <c r="AR89" s="100">
        <f t="shared" si="3"/>
        <v>2.6225196428607981E-21</v>
      </c>
      <c r="AS89" s="100">
        <f t="shared" si="3"/>
        <v>2.6225196428607981E-21</v>
      </c>
      <c r="AT89" s="100">
        <f t="shared" si="3"/>
        <v>2.6225196428607981E-21</v>
      </c>
      <c r="AU89" s="100">
        <f t="shared" si="3"/>
        <v>2.6225196428607981E-21</v>
      </c>
      <c r="AV89" s="100">
        <f t="shared" si="3"/>
        <v>2.6225196428607981E-21</v>
      </c>
      <c r="AW89" s="100">
        <f t="shared" si="3"/>
        <v>2.6225196428607981E-21</v>
      </c>
      <c r="AX89" s="100">
        <f t="shared" si="3"/>
        <v>2.6225196428607981E-21</v>
      </c>
    </row>
    <row r="90" spans="2:50">
      <c r="B90" s="99" t="s">
        <v>106</v>
      </c>
      <c r="C90" s="100">
        <f t="shared" ref="C90:R93" si="4">C50</f>
        <v>100</v>
      </c>
      <c r="D90" s="100">
        <f t="shared" si="4"/>
        <v>100</v>
      </c>
      <c r="E90" s="100">
        <f t="shared" si="4"/>
        <v>100</v>
      </c>
      <c r="F90" s="100">
        <f t="shared" si="4"/>
        <v>100</v>
      </c>
      <c r="G90" s="100">
        <f t="shared" si="4"/>
        <v>160</v>
      </c>
      <c r="H90" s="100">
        <f t="shared" si="4"/>
        <v>160</v>
      </c>
      <c r="I90" s="100">
        <f t="shared" si="4"/>
        <v>160</v>
      </c>
      <c r="J90" s="100">
        <f t="shared" si="4"/>
        <v>160</v>
      </c>
      <c r="K90" s="100">
        <f t="shared" si="4"/>
        <v>160</v>
      </c>
      <c r="L90" s="100">
        <f t="shared" si="4"/>
        <v>160</v>
      </c>
      <c r="M90" s="100">
        <f t="shared" si="4"/>
        <v>160</v>
      </c>
      <c r="N90" s="100">
        <f t="shared" si="4"/>
        <v>160</v>
      </c>
      <c r="O90" s="100">
        <f t="shared" si="4"/>
        <v>160</v>
      </c>
      <c r="P90" s="100">
        <f t="shared" si="4"/>
        <v>160</v>
      </c>
      <c r="Q90" s="100">
        <f t="shared" si="4"/>
        <v>160</v>
      </c>
      <c r="R90" s="100">
        <f t="shared" si="4"/>
        <v>160</v>
      </c>
      <c r="S90" s="100">
        <f t="shared" si="3"/>
        <v>160</v>
      </c>
      <c r="T90" s="100">
        <f t="shared" si="3"/>
        <v>160</v>
      </c>
      <c r="U90" s="100">
        <f t="shared" si="3"/>
        <v>160</v>
      </c>
      <c r="V90" s="100">
        <f t="shared" si="3"/>
        <v>160</v>
      </c>
      <c r="W90" s="100">
        <f t="shared" si="3"/>
        <v>160</v>
      </c>
      <c r="X90" s="100">
        <f t="shared" si="3"/>
        <v>160</v>
      </c>
      <c r="Y90" s="100">
        <f t="shared" si="3"/>
        <v>160</v>
      </c>
      <c r="Z90" s="100">
        <f t="shared" si="3"/>
        <v>160</v>
      </c>
      <c r="AA90" s="100">
        <f t="shared" si="3"/>
        <v>160</v>
      </c>
      <c r="AB90" s="100">
        <f t="shared" si="3"/>
        <v>160</v>
      </c>
      <c r="AC90" s="100">
        <f t="shared" si="3"/>
        <v>160</v>
      </c>
      <c r="AD90" s="100">
        <f t="shared" si="3"/>
        <v>160</v>
      </c>
      <c r="AE90" s="100">
        <f t="shared" si="3"/>
        <v>160</v>
      </c>
      <c r="AF90" s="100">
        <f t="shared" si="3"/>
        <v>160</v>
      </c>
      <c r="AG90" s="100">
        <f t="shared" si="3"/>
        <v>160</v>
      </c>
      <c r="AH90" s="100">
        <f t="shared" si="3"/>
        <v>160</v>
      </c>
      <c r="AI90" s="100">
        <f t="shared" si="3"/>
        <v>0</v>
      </c>
      <c r="AJ90" s="100">
        <f t="shared" si="3"/>
        <v>0</v>
      </c>
      <c r="AK90" s="100">
        <f t="shared" si="3"/>
        <v>0</v>
      </c>
      <c r="AL90" s="100">
        <f t="shared" si="3"/>
        <v>0</v>
      </c>
      <c r="AM90" s="100">
        <f t="shared" si="3"/>
        <v>160</v>
      </c>
      <c r="AN90" s="100">
        <f t="shared" si="3"/>
        <v>160</v>
      </c>
      <c r="AO90" s="100">
        <f t="shared" si="3"/>
        <v>160</v>
      </c>
      <c r="AP90" s="100">
        <f t="shared" si="3"/>
        <v>160</v>
      </c>
      <c r="AQ90" s="100">
        <f t="shared" si="3"/>
        <v>160</v>
      </c>
      <c r="AR90" s="100">
        <f t="shared" si="3"/>
        <v>160</v>
      </c>
      <c r="AS90" s="100">
        <f t="shared" si="3"/>
        <v>160</v>
      </c>
      <c r="AT90" s="100">
        <f t="shared" si="3"/>
        <v>160</v>
      </c>
      <c r="AU90" s="100">
        <f t="shared" si="3"/>
        <v>160</v>
      </c>
      <c r="AV90" s="100">
        <f t="shared" si="3"/>
        <v>160</v>
      </c>
      <c r="AW90" s="100">
        <f t="shared" si="3"/>
        <v>160</v>
      </c>
      <c r="AX90" s="100">
        <f t="shared" si="3"/>
        <v>160</v>
      </c>
    </row>
    <row r="91" spans="2:50">
      <c r="B91" s="99" t="s">
        <v>107</v>
      </c>
      <c r="C91" s="100">
        <f t="shared" si="4"/>
        <v>816.53258344327242</v>
      </c>
      <c r="D91" s="100">
        <f t="shared" si="3"/>
        <v>816.53258344327242</v>
      </c>
      <c r="E91" s="100">
        <f t="shared" si="3"/>
        <v>816.53258344327242</v>
      </c>
      <c r="F91" s="100">
        <f t="shared" si="3"/>
        <v>816.53258344327242</v>
      </c>
      <c r="G91" s="100">
        <f t="shared" si="3"/>
        <v>816.53258344327242</v>
      </c>
      <c r="H91" s="100">
        <f t="shared" si="3"/>
        <v>816.53258344327242</v>
      </c>
      <c r="I91" s="100">
        <f t="shared" si="3"/>
        <v>816.53258344327242</v>
      </c>
      <c r="J91" s="100">
        <f t="shared" si="3"/>
        <v>816.53258344327242</v>
      </c>
      <c r="K91" s="100">
        <f t="shared" si="3"/>
        <v>816.53258344327242</v>
      </c>
      <c r="L91" s="100">
        <f t="shared" si="3"/>
        <v>816.53258344327242</v>
      </c>
      <c r="M91" s="100">
        <f t="shared" si="3"/>
        <v>816.53258344327242</v>
      </c>
      <c r="N91" s="100">
        <f t="shared" si="3"/>
        <v>816.53258344327242</v>
      </c>
      <c r="O91" s="100">
        <f t="shared" si="3"/>
        <v>816.53258344327242</v>
      </c>
      <c r="P91" s="100">
        <f t="shared" si="3"/>
        <v>816.53258344327242</v>
      </c>
      <c r="Q91" s="100">
        <f t="shared" si="3"/>
        <v>309.84914307053936</v>
      </c>
      <c r="R91" s="100">
        <f t="shared" si="3"/>
        <v>816.53258344327242</v>
      </c>
      <c r="S91" s="100">
        <f t="shared" si="3"/>
        <v>816.53258344327242</v>
      </c>
      <c r="T91" s="100">
        <f t="shared" si="3"/>
        <v>816.53258344327242</v>
      </c>
      <c r="U91" s="100">
        <f t="shared" si="3"/>
        <v>816.53258344327242</v>
      </c>
      <c r="V91" s="100">
        <f t="shared" si="3"/>
        <v>816.53258344327242</v>
      </c>
      <c r="W91" s="100">
        <f t="shared" si="3"/>
        <v>816.53258344327242</v>
      </c>
      <c r="X91" s="100">
        <f t="shared" si="3"/>
        <v>816.53258344327242</v>
      </c>
      <c r="Y91" s="100">
        <f t="shared" si="3"/>
        <v>816.53258344327242</v>
      </c>
      <c r="Z91" s="100">
        <f t="shared" si="3"/>
        <v>816.53258344327242</v>
      </c>
      <c r="AA91" s="100">
        <f t="shared" si="3"/>
        <v>816.53258344327242</v>
      </c>
      <c r="AB91" s="100">
        <f t="shared" si="3"/>
        <v>816.53258344327242</v>
      </c>
      <c r="AC91" s="100">
        <f t="shared" si="3"/>
        <v>816.53258344327242</v>
      </c>
      <c r="AD91" s="100">
        <f t="shared" si="3"/>
        <v>816.53258344327242</v>
      </c>
      <c r="AE91" s="100">
        <f t="shared" si="3"/>
        <v>816.53258344327242</v>
      </c>
      <c r="AF91" s="100">
        <f t="shared" si="3"/>
        <v>816.53258344327242</v>
      </c>
      <c r="AG91" s="100">
        <f t="shared" si="3"/>
        <v>816.53258344327242</v>
      </c>
      <c r="AH91" s="100">
        <f t="shared" si="3"/>
        <v>816.53258344327242</v>
      </c>
      <c r="AI91" s="100">
        <f t="shared" si="3"/>
        <v>653.22606675461793</v>
      </c>
      <c r="AJ91" s="100">
        <f t="shared" si="3"/>
        <v>653.22606675461793</v>
      </c>
      <c r="AK91" s="100">
        <f t="shared" si="3"/>
        <v>322.45457628873072</v>
      </c>
      <c r="AL91" s="100">
        <f t="shared" si="3"/>
        <v>323.05609451524282</v>
      </c>
      <c r="AM91" s="100">
        <f t="shared" si="3"/>
        <v>323.65414516542739</v>
      </c>
      <c r="AN91" s="100">
        <f t="shared" si="3"/>
        <v>324.24863167851896</v>
      </c>
      <c r="AO91" s="100">
        <f t="shared" si="3"/>
        <v>653.22606675461793</v>
      </c>
      <c r="AP91" s="100">
        <f t="shared" si="3"/>
        <v>653.22606675461793</v>
      </c>
      <c r="AQ91" s="100">
        <f t="shared" si="3"/>
        <v>816.53258344327242</v>
      </c>
      <c r="AR91" s="100">
        <f t="shared" si="3"/>
        <v>816.53258344327242</v>
      </c>
      <c r="AS91" s="100">
        <f t="shared" si="3"/>
        <v>816.53258344327242</v>
      </c>
      <c r="AT91" s="100">
        <f t="shared" si="3"/>
        <v>816.53258344327242</v>
      </c>
      <c r="AU91" s="100">
        <f t="shared" si="3"/>
        <v>816.53258344327242</v>
      </c>
      <c r="AV91" s="100">
        <f t="shared" si="3"/>
        <v>816.53258344327242</v>
      </c>
      <c r="AW91" s="100">
        <f t="shared" si="3"/>
        <v>816.53258344327242</v>
      </c>
      <c r="AX91" s="100">
        <f t="shared" si="3"/>
        <v>816.53258344327242</v>
      </c>
    </row>
    <row r="92" spans="2:50">
      <c r="B92" s="99" t="s">
        <v>108</v>
      </c>
      <c r="C92" s="100">
        <f t="shared" si="4"/>
        <v>2.3643858670271544E-21</v>
      </c>
      <c r="D92" s="100">
        <f t="shared" si="4"/>
        <v>2.3643858670271544E-21</v>
      </c>
      <c r="E92" s="100">
        <f t="shared" si="4"/>
        <v>2.3643858670271544E-21</v>
      </c>
      <c r="F92" s="100">
        <f t="shared" si="4"/>
        <v>2.3643858670271544E-21</v>
      </c>
      <c r="G92" s="100">
        <f t="shared" si="4"/>
        <v>2.3643858670271544E-21</v>
      </c>
      <c r="H92" s="100">
        <f t="shared" si="4"/>
        <v>2.3643858670271544E-21</v>
      </c>
      <c r="I92" s="100">
        <f t="shared" si="4"/>
        <v>2.3643858670271544E-21</v>
      </c>
      <c r="J92" s="100">
        <f t="shared" si="4"/>
        <v>2.3643858670271544E-21</v>
      </c>
      <c r="K92" s="100">
        <f t="shared" si="4"/>
        <v>2.3643858670271544E-21</v>
      </c>
      <c r="L92" s="100">
        <f t="shared" si="4"/>
        <v>2.3643858670271544E-21</v>
      </c>
      <c r="M92" s="100">
        <f t="shared" si="4"/>
        <v>2.3643858670271544E-21</v>
      </c>
      <c r="N92" s="100">
        <f t="shared" si="4"/>
        <v>2.3643858670271544E-21</v>
      </c>
      <c r="O92" s="100">
        <f t="shared" si="4"/>
        <v>2.3643858670271544E-21</v>
      </c>
      <c r="P92" s="100">
        <f t="shared" si="4"/>
        <v>2.3643858670271544E-21</v>
      </c>
      <c r="Q92" s="100">
        <f t="shared" si="4"/>
        <v>2.3643858670271544E-21</v>
      </c>
      <c r="R92" s="100">
        <f t="shared" si="4"/>
        <v>2.3643858670271544E-21</v>
      </c>
      <c r="S92" s="100">
        <f t="shared" si="3"/>
        <v>2.3643858670271544E-21</v>
      </c>
      <c r="T92" s="100">
        <f t="shared" si="3"/>
        <v>2.3643858670271544E-21</v>
      </c>
      <c r="U92" s="100">
        <f t="shared" si="3"/>
        <v>2.3643858670271544E-21</v>
      </c>
      <c r="V92" s="100">
        <f t="shared" si="3"/>
        <v>2.3643858670271544E-21</v>
      </c>
      <c r="W92" s="100">
        <f t="shared" si="3"/>
        <v>2.3643858670271544E-21</v>
      </c>
      <c r="X92" s="100">
        <f t="shared" si="3"/>
        <v>2.3643858670271544E-21</v>
      </c>
      <c r="Y92" s="100">
        <f t="shared" si="3"/>
        <v>2.3643858670271544E-21</v>
      </c>
      <c r="Z92" s="100">
        <f t="shared" si="3"/>
        <v>2.3643858670271544E-21</v>
      </c>
      <c r="AA92" s="100">
        <f t="shared" si="3"/>
        <v>2.3643858670271544E-21</v>
      </c>
      <c r="AB92" s="100">
        <f t="shared" si="3"/>
        <v>2.3643858670271544E-21</v>
      </c>
      <c r="AC92" s="100">
        <f t="shared" si="3"/>
        <v>2.3643858670271544E-21</v>
      </c>
      <c r="AD92" s="100">
        <f t="shared" si="3"/>
        <v>2.3643858670271544E-21</v>
      </c>
      <c r="AE92" s="100">
        <f t="shared" si="3"/>
        <v>2.3643858670271544E-21</v>
      </c>
      <c r="AF92" s="100">
        <f t="shared" si="3"/>
        <v>2.3643858670271544E-21</v>
      </c>
      <c r="AG92" s="100">
        <f t="shared" si="3"/>
        <v>2.3643858670271544E-21</v>
      </c>
      <c r="AH92" s="100">
        <f t="shared" si="3"/>
        <v>2.3643858670271544E-21</v>
      </c>
      <c r="AI92" s="100">
        <f t="shared" si="3"/>
        <v>2.3643858670271544E-21</v>
      </c>
      <c r="AJ92" s="100">
        <f t="shared" si="3"/>
        <v>2.3643858670271544E-21</v>
      </c>
      <c r="AK92" s="100">
        <f t="shared" si="3"/>
        <v>2.3643858670271544E-21</v>
      </c>
      <c r="AL92" s="100">
        <f t="shared" si="3"/>
        <v>2.3643858670271544E-21</v>
      </c>
      <c r="AM92" s="100">
        <f t="shared" si="3"/>
        <v>2.3643858670271544E-21</v>
      </c>
      <c r="AN92" s="100">
        <f t="shared" si="3"/>
        <v>2.3643858670271544E-21</v>
      </c>
      <c r="AO92" s="100">
        <f t="shared" si="3"/>
        <v>2.3643858670271544E-21</v>
      </c>
      <c r="AP92" s="100">
        <f t="shared" si="3"/>
        <v>2.3643858670271544E-21</v>
      </c>
      <c r="AQ92" s="100">
        <f t="shared" si="3"/>
        <v>2.3643858670271544E-21</v>
      </c>
      <c r="AR92" s="100">
        <f t="shared" si="3"/>
        <v>2.3643858670271544E-21</v>
      </c>
      <c r="AS92" s="100">
        <f t="shared" si="3"/>
        <v>2.3643858670271544E-21</v>
      </c>
      <c r="AT92" s="100">
        <f t="shared" si="3"/>
        <v>2.3643858670271544E-21</v>
      </c>
      <c r="AU92" s="100">
        <f t="shared" si="3"/>
        <v>2.3643858670271544E-21</v>
      </c>
      <c r="AV92" s="100">
        <f t="shared" si="3"/>
        <v>2.3643858670271544E-21</v>
      </c>
      <c r="AW92" s="100">
        <f t="shared" si="3"/>
        <v>2.3643858670271544E-21</v>
      </c>
      <c r="AX92" s="100">
        <f t="shared" si="3"/>
        <v>2.3643858670271544E-21</v>
      </c>
    </row>
    <row r="93" spans="2:50">
      <c r="B93" s="99" t="s">
        <v>109</v>
      </c>
      <c r="C93" s="100">
        <f t="shared" si="4"/>
        <v>3.6788461275295697E-21</v>
      </c>
      <c r="D93" s="100">
        <f t="shared" si="4"/>
        <v>3.6788461275295697E-21</v>
      </c>
      <c r="E93" s="100">
        <f t="shared" si="4"/>
        <v>3.6788461275295697E-21</v>
      </c>
      <c r="F93" s="100">
        <f t="shared" si="4"/>
        <v>3.6788461275295697E-21</v>
      </c>
      <c r="G93" s="100">
        <f t="shared" si="4"/>
        <v>3.0657051062746413E-21</v>
      </c>
      <c r="H93" s="100">
        <f t="shared" si="4"/>
        <v>3.0657051062746413E-21</v>
      </c>
      <c r="I93" s="100">
        <f t="shared" si="4"/>
        <v>3.0657051062746413E-21</v>
      </c>
      <c r="J93" s="100">
        <f t="shared" si="4"/>
        <v>3.0657051062746413E-21</v>
      </c>
      <c r="K93" s="100">
        <f t="shared" si="4"/>
        <v>3.0657051062746413E-21</v>
      </c>
      <c r="L93" s="100">
        <f t="shared" si="4"/>
        <v>3.0657051062746413E-21</v>
      </c>
      <c r="M93" s="100">
        <f t="shared" si="4"/>
        <v>3.0657051062746413E-21</v>
      </c>
      <c r="N93" s="100">
        <f t="shared" si="4"/>
        <v>3.0657051062746413E-21</v>
      </c>
      <c r="O93" s="100">
        <f t="shared" si="4"/>
        <v>3.6788461275295697E-21</v>
      </c>
      <c r="P93" s="100">
        <f t="shared" si="4"/>
        <v>3.6788461275295697E-21</v>
      </c>
      <c r="Q93" s="100">
        <f t="shared" si="4"/>
        <v>3.6788461275295697E-21</v>
      </c>
      <c r="R93" s="100">
        <f t="shared" si="4"/>
        <v>3.6788461275295697E-21</v>
      </c>
      <c r="S93" s="100">
        <f t="shared" si="3"/>
        <v>3.6788461275295697E-21</v>
      </c>
      <c r="T93" s="100">
        <f t="shared" si="3"/>
        <v>3.6788461275295697E-21</v>
      </c>
      <c r="U93" s="100">
        <f t="shared" si="3"/>
        <v>3.6788461275295697E-21</v>
      </c>
      <c r="V93" s="100">
        <f t="shared" si="3"/>
        <v>3.6788461275295697E-21</v>
      </c>
      <c r="W93" s="100">
        <f t="shared" si="3"/>
        <v>3.0657051062746413E-21</v>
      </c>
      <c r="X93" s="100">
        <f t="shared" si="3"/>
        <v>3.0657051062746413E-21</v>
      </c>
      <c r="Y93" s="100">
        <f t="shared" si="3"/>
        <v>3.0657051062746413E-21</v>
      </c>
      <c r="Z93" s="100">
        <f t="shared" si="3"/>
        <v>3.0657051062746413E-21</v>
      </c>
      <c r="AA93" s="100">
        <f t="shared" si="3"/>
        <v>3.6788461275295697E-21</v>
      </c>
      <c r="AB93" s="100">
        <f t="shared" si="3"/>
        <v>3.6788461275295697E-21</v>
      </c>
      <c r="AC93" s="100">
        <f t="shared" si="3"/>
        <v>3.6788461275295697E-21</v>
      </c>
      <c r="AD93" s="100">
        <f t="shared" si="3"/>
        <v>3.6788461275295697E-21</v>
      </c>
      <c r="AE93" s="100">
        <f t="shared" si="3"/>
        <v>3.0657051062746413E-21</v>
      </c>
      <c r="AF93" s="100">
        <f t="shared" si="3"/>
        <v>3.0657051062746413E-21</v>
      </c>
      <c r="AG93" s="100">
        <f t="shared" si="3"/>
        <v>3.0657051062746413E-21</v>
      </c>
      <c r="AH93" s="100">
        <f t="shared" si="3"/>
        <v>3.0657051062746413E-21</v>
      </c>
      <c r="AI93" s="100">
        <f t="shared" si="3"/>
        <v>3.0657051062746413E-21</v>
      </c>
      <c r="AJ93" s="100">
        <f t="shared" si="3"/>
        <v>3.0657051062746413E-21</v>
      </c>
      <c r="AK93" s="100">
        <f t="shared" si="3"/>
        <v>3.0657051062746413E-21</v>
      </c>
      <c r="AL93" s="100">
        <f t="shared" si="3"/>
        <v>3.0657051062746413E-21</v>
      </c>
      <c r="AM93" s="100">
        <f t="shared" si="3"/>
        <v>3.0657051062746413E-21</v>
      </c>
      <c r="AN93" s="100">
        <f t="shared" si="3"/>
        <v>3.0657051062746413E-21</v>
      </c>
      <c r="AO93" s="100">
        <f t="shared" si="3"/>
        <v>3.0657051062746413E-21</v>
      </c>
      <c r="AP93" s="100">
        <f t="shared" si="3"/>
        <v>3.0657051062746413E-21</v>
      </c>
      <c r="AQ93" s="100">
        <f t="shared" si="3"/>
        <v>3.0657051062746413E-21</v>
      </c>
      <c r="AR93" s="100">
        <f t="shared" si="3"/>
        <v>3.0657051062746413E-21</v>
      </c>
      <c r="AS93" s="100">
        <f t="shared" si="3"/>
        <v>3.0657051062746413E-21</v>
      </c>
      <c r="AT93" s="100">
        <f t="shared" si="3"/>
        <v>3.0657051062746413E-21</v>
      </c>
      <c r="AU93" s="100">
        <f t="shared" si="3"/>
        <v>3.0657051062746413E-21</v>
      </c>
      <c r="AV93" s="100">
        <f t="shared" si="3"/>
        <v>3.0657051062746413E-21</v>
      </c>
      <c r="AW93" s="100">
        <f t="shared" si="3"/>
        <v>3.0657051062746413E-21</v>
      </c>
      <c r="AX93" s="100">
        <f t="shared" si="3"/>
        <v>3.0657051062746413E-21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3.6704640722942836E-20</v>
      </c>
      <c r="D98" s="100">
        <v>3.6704640722942836E-20</v>
      </c>
      <c r="E98" s="100">
        <v>3.6704640722942836E-20</v>
      </c>
      <c r="F98" s="100">
        <v>3.6704640722942836E-20</v>
      </c>
      <c r="G98" s="100">
        <v>4.3974512634394315E-20</v>
      </c>
      <c r="H98" s="100">
        <v>4.3974512634394315E-20</v>
      </c>
      <c r="I98" s="100">
        <v>4.3974512634394315E-20</v>
      </c>
      <c r="J98" s="100">
        <v>4.3974512634394315E-20</v>
      </c>
      <c r="K98" s="100">
        <v>3.6704640722942836E-20</v>
      </c>
      <c r="L98" s="100">
        <v>3.6704640722942836E-20</v>
      </c>
      <c r="M98" s="100">
        <v>3.6704640722942836E-20</v>
      </c>
      <c r="N98" s="100">
        <v>3.6704640722942836E-20</v>
      </c>
      <c r="O98" s="100">
        <v>3.6704640722942836E-20</v>
      </c>
      <c r="P98" s="100">
        <v>3.6704640722942836E-20</v>
      </c>
      <c r="Q98" s="100">
        <v>3.6704640722942836E-20</v>
      </c>
      <c r="R98" s="100">
        <v>3.6704640722942836E-20</v>
      </c>
      <c r="S98" s="100">
        <v>3.6704640722942836E-20</v>
      </c>
      <c r="T98" s="100">
        <v>3.6704640722942836E-20</v>
      </c>
      <c r="U98" s="100">
        <v>3.6704640722942836E-20</v>
      </c>
      <c r="V98" s="100">
        <v>3.6704640722942836E-20</v>
      </c>
      <c r="W98" s="100">
        <v>2.943476881149137E-20</v>
      </c>
      <c r="X98" s="100">
        <v>2.943476881149137E-20</v>
      </c>
      <c r="Y98" s="100">
        <v>2.943476881149137E-20</v>
      </c>
      <c r="Z98" s="100">
        <v>2.943476881149137E-20</v>
      </c>
      <c r="AA98" s="100">
        <v>3.6704640722942836E-20</v>
      </c>
      <c r="AB98" s="100">
        <v>3.6704640722942836E-20</v>
      </c>
      <c r="AC98" s="100">
        <v>3.6704640722942836E-20</v>
      </c>
      <c r="AD98" s="100">
        <v>3.6704640722942836E-20</v>
      </c>
      <c r="AE98" s="100">
        <v>3.6704640722942836E-20</v>
      </c>
      <c r="AF98" s="100">
        <v>3.6704640722942836E-20</v>
      </c>
      <c r="AG98" s="100">
        <v>3.6704640722942836E-20</v>
      </c>
      <c r="AH98" s="100">
        <v>3.6704640722942836E-20</v>
      </c>
      <c r="AI98" s="100">
        <v>3.6704640722942836E-20</v>
      </c>
      <c r="AJ98" s="100">
        <v>3.6704640722942836E-20</v>
      </c>
      <c r="AK98" s="100">
        <v>3.6704640722942836E-20</v>
      </c>
      <c r="AL98" s="100">
        <v>3.6704640722942836E-20</v>
      </c>
      <c r="AM98" s="100">
        <v>2.943476881149137E-20</v>
      </c>
      <c r="AN98" s="100">
        <v>2.943476881149137E-20</v>
      </c>
      <c r="AO98" s="100">
        <v>2.943476881149137E-20</v>
      </c>
      <c r="AP98" s="100">
        <v>2.943476881149137E-20</v>
      </c>
      <c r="AQ98" s="100">
        <v>3.6704640722942836E-20</v>
      </c>
      <c r="AR98" s="100">
        <v>3.6704640722942836E-20</v>
      </c>
      <c r="AS98" s="100">
        <v>3.6704640722942836E-20</v>
      </c>
      <c r="AT98" s="100">
        <v>3.6704640722942836E-20</v>
      </c>
      <c r="AU98" s="100">
        <v>3.6704640722942836E-20</v>
      </c>
      <c r="AV98" s="100">
        <v>3.6704640722942836E-20</v>
      </c>
      <c r="AW98" s="100">
        <v>3.6704640722942836E-20</v>
      </c>
      <c r="AX98" s="100">
        <v>3.6704640722942836E-20</v>
      </c>
    </row>
    <row r="99" spans="1:50">
      <c r="B99" s="105" t="s">
        <v>12</v>
      </c>
      <c r="C99" s="100">
        <v>313229.53803003236</v>
      </c>
      <c r="D99" s="100">
        <v>313229.53803003236</v>
      </c>
      <c r="E99" s="100">
        <v>313229.53803003236</v>
      </c>
      <c r="F99" s="100">
        <v>313229.53803003236</v>
      </c>
      <c r="G99" s="100">
        <v>375269.06696998165</v>
      </c>
      <c r="H99" s="100">
        <v>375269.06696998165</v>
      </c>
      <c r="I99" s="100">
        <v>375269.06696998165</v>
      </c>
      <c r="J99" s="100">
        <v>375269.06696998165</v>
      </c>
      <c r="K99" s="100">
        <v>313229.53803003236</v>
      </c>
      <c r="L99" s="100">
        <v>313229.53803003236</v>
      </c>
      <c r="M99" s="100">
        <v>313229.53803003236</v>
      </c>
      <c r="N99" s="100">
        <v>313229.53803003236</v>
      </c>
      <c r="O99" s="100">
        <v>313229.53803003236</v>
      </c>
      <c r="P99" s="100">
        <v>313229.53803003236</v>
      </c>
      <c r="Q99" s="100">
        <v>313229.53803003236</v>
      </c>
      <c r="R99" s="100">
        <v>313229.53803003236</v>
      </c>
      <c r="S99" s="100">
        <v>313229.53803003236</v>
      </c>
      <c r="T99" s="100">
        <v>313229.53803003236</v>
      </c>
      <c r="U99" s="100">
        <v>313229.53803003236</v>
      </c>
      <c r="V99" s="100">
        <v>313229.53803003236</v>
      </c>
      <c r="W99" s="100">
        <v>251190.0090900831</v>
      </c>
      <c r="X99" s="100">
        <v>251190.0090900831</v>
      </c>
      <c r="Y99" s="100">
        <v>251190.0090900831</v>
      </c>
      <c r="Z99" s="100">
        <v>251190.0090900831</v>
      </c>
      <c r="AA99" s="100">
        <v>313229.53803003236</v>
      </c>
      <c r="AB99" s="100">
        <v>313229.53803003236</v>
      </c>
      <c r="AC99" s="100">
        <v>313229.53803003236</v>
      </c>
      <c r="AD99" s="100">
        <v>313229.53803003236</v>
      </c>
      <c r="AE99" s="100">
        <v>313229.53803003236</v>
      </c>
      <c r="AF99" s="100">
        <v>313229.53803003236</v>
      </c>
      <c r="AG99" s="100">
        <v>313229.53803003236</v>
      </c>
      <c r="AH99" s="100">
        <v>313229.53803003236</v>
      </c>
      <c r="AI99" s="100">
        <v>313229.53803003236</v>
      </c>
      <c r="AJ99" s="100">
        <v>313229.53803003236</v>
      </c>
      <c r="AK99" s="100">
        <v>313229.53803003236</v>
      </c>
      <c r="AL99" s="100">
        <v>313229.53803003236</v>
      </c>
      <c r="AM99" s="100">
        <v>251190.0090900831</v>
      </c>
      <c r="AN99" s="100">
        <v>251190.0090900831</v>
      </c>
      <c r="AO99" s="100">
        <v>251190.0090900831</v>
      </c>
      <c r="AP99" s="100">
        <v>251190.0090900831</v>
      </c>
      <c r="AQ99" s="100">
        <v>313229.53803003236</v>
      </c>
      <c r="AR99" s="100">
        <v>313229.53803003236</v>
      </c>
      <c r="AS99" s="100">
        <v>313229.53803003236</v>
      </c>
      <c r="AT99" s="100">
        <v>313229.53803003236</v>
      </c>
      <c r="AU99" s="100">
        <v>313229.53803003236</v>
      </c>
      <c r="AV99" s="100">
        <v>313229.53803003236</v>
      </c>
      <c r="AW99" s="100">
        <v>313229.53803003236</v>
      </c>
      <c r="AX99" s="100">
        <v>313229.53803003236</v>
      </c>
    </row>
    <row r="100" spans="1:50">
      <c r="B100" s="105" t="s">
        <v>22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0</v>
      </c>
      <c r="R100" s="100">
        <v>0</v>
      </c>
      <c r="S100" s="100">
        <v>0</v>
      </c>
      <c r="T100" s="100">
        <v>0</v>
      </c>
      <c r="U100" s="100">
        <v>0</v>
      </c>
      <c r="V100" s="100">
        <v>0</v>
      </c>
      <c r="W100" s="100">
        <v>0</v>
      </c>
      <c r="X100" s="100">
        <v>0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  <c r="AQ100" s="100">
        <v>0</v>
      </c>
      <c r="AR100" s="100">
        <v>0</v>
      </c>
      <c r="AS100" s="100">
        <v>0</v>
      </c>
      <c r="AT100" s="100">
        <v>0</v>
      </c>
      <c r="AU100" s="100">
        <v>0</v>
      </c>
      <c r="AV100" s="100">
        <v>0</v>
      </c>
      <c r="AW100" s="100">
        <v>0</v>
      </c>
      <c r="AX100" s="100">
        <v>0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267688.91411109781</v>
      </c>
      <c r="D102" s="100">
        <v>267688.91411109781</v>
      </c>
      <c r="E102" s="100">
        <v>267688.91411109781</v>
      </c>
      <c r="F102" s="100">
        <v>267688.91411109781</v>
      </c>
      <c r="G102" s="100">
        <v>320708.48001265951</v>
      </c>
      <c r="H102" s="100">
        <v>320708.48001265951</v>
      </c>
      <c r="I102" s="100">
        <v>320708.48001265951</v>
      </c>
      <c r="J102" s="100">
        <v>320708.48001265951</v>
      </c>
      <c r="K102" s="100">
        <v>267688.91411109781</v>
      </c>
      <c r="L102" s="100">
        <v>267688.91411109781</v>
      </c>
      <c r="M102" s="100">
        <v>267688.91411109781</v>
      </c>
      <c r="N102" s="100">
        <v>267688.91411109781</v>
      </c>
      <c r="O102" s="100">
        <v>267688.91411109781</v>
      </c>
      <c r="P102" s="100">
        <v>267688.91411109781</v>
      </c>
      <c r="Q102" s="100">
        <v>267688.91411109781</v>
      </c>
      <c r="R102" s="100">
        <v>267688.91411109781</v>
      </c>
      <c r="S102" s="100">
        <v>267688.91411109781</v>
      </c>
      <c r="T102" s="100">
        <v>267688.91411109781</v>
      </c>
      <c r="U102" s="100">
        <v>267688.91411109781</v>
      </c>
      <c r="V102" s="100">
        <v>267688.91411109781</v>
      </c>
      <c r="W102" s="100">
        <v>214669.34820953602</v>
      </c>
      <c r="X102" s="100">
        <v>214669.34820953602</v>
      </c>
      <c r="Y102" s="100">
        <v>214669.34820953602</v>
      </c>
      <c r="Z102" s="100">
        <v>214669.34820953602</v>
      </c>
      <c r="AA102" s="100">
        <v>267688.91411109781</v>
      </c>
      <c r="AB102" s="100">
        <v>267688.91411109781</v>
      </c>
      <c r="AC102" s="100">
        <v>267688.91411109781</v>
      </c>
      <c r="AD102" s="100">
        <v>267688.91411109781</v>
      </c>
      <c r="AE102" s="100">
        <v>267688.91411109781</v>
      </c>
      <c r="AF102" s="100">
        <v>267688.91411109781</v>
      </c>
      <c r="AG102" s="100">
        <v>267688.91411109781</v>
      </c>
      <c r="AH102" s="100">
        <v>267688.91411109781</v>
      </c>
      <c r="AI102" s="100">
        <v>267688.91411109781</v>
      </c>
      <c r="AJ102" s="100">
        <v>267688.91411109781</v>
      </c>
      <c r="AK102" s="100">
        <v>267688.91411109781</v>
      </c>
      <c r="AL102" s="100">
        <v>267688.91411109781</v>
      </c>
      <c r="AM102" s="100">
        <v>214669.34820953602</v>
      </c>
      <c r="AN102" s="100">
        <v>214669.34820953602</v>
      </c>
      <c r="AO102" s="100">
        <v>214669.34820953602</v>
      </c>
      <c r="AP102" s="100">
        <v>214669.34820953602</v>
      </c>
      <c r="AQ102" s="100">
        <v>267688.91411109781</v>
      </c>
      <c r="AR102" s="100">
        <v>267688.91411109781</v>
      </c>
      <c r="AS102" s="100">
        <v>267688.91411109781</v>
      </c>
      <c r="AT102" s="100">
        <v>267688.91411109781</v>
      </c>
      <c r="AU102" s="100">
        <v>267688.91411109781</v>
      </c>
      <c r="AV102" s="100">
        <v>267688.91411109781</v>
      </c>
      <c r="AW102" s="100">
        <v>267688.91411109781</v>
      </c>
      <c r="AX102" s="100">
        <v>267688.91411109781</v>
      </c>
    </row>
    <row r="103" spans="1:50">
      <c r="B103" s="100" t="s">
        <v>278</v>
      </c>
      <c r="C103" s="105">
        <f>SUM(C$98:C$102)</f>
        <v>580918.45214113011</v>
      </c>
      <c r="D103" s="105">
        <f t="shared" ref="D103:AX103" si="5">SUM(D$98:D$102)</f>
        <v>580918.45214113011</v>
      </c>
      <c r="E103" s="105">
        <f t="shared" si="5"/>
        <v>580918.45214113011</v>
      </c>
      <c r="F103" s="105">
        <f t="shared" si="5"/>
        <v>580918.45214113011</v>
      </c>
      <c r="G103" s="105">
        <f t="shared" si="5"/>
        <v>695977.5469826411</v>
      </c>
      <c r="H103" s="105">
        <f t="shared" si="5"/>
        <v>695977.5469826411</v>
      </c>
      <c r="I103" s="105">
        <f t="shared" si="5"/>
        <v>695977.5469826411</v>
      </c>
      <c r="J103" s="105">
        <f t="shared" si="5"/>
        <v>695977.5469826411</v>
      </c>
      <c r="K103" s="105">
        <f t="shared" si="5"/>
        <v>580918.45214113011</v>
      </c>
      <c r="L103" s="105">
        <f t="shared" si="5"/>
        <v>580918.45214113011</v>
      </c>
      <c r="M103" s="105">
        <f t="shared" si="5"/>
        <v>580918.45214113011</v>
      </c>
      <c r="N103" s="105">
        <f t="shared" si="5"/>
        <v>580918.45214113011</v>
      </c>
      <c r="O103" s="105">
        <f t="shared" si="5"/>
        <v>580918.45214113011</v>
      </c>
      <c r="P103" s="105">
        <f t="shared" si="5"/>
        <v>580918.45214113011</v>
      </c>
      <c r="Q103" s="105">
        <f t="shared" si="5"/>
        <v>580918.45214113011</v>
      </c>
      <c r="R103" s="105">
        <f t="shared" si="5"/>
        <v>580918.45214113011</v>
      </c>
      <c r="S103" s="105">
        <f t="shared" si="5"/>
        <v>580918.45214113011</v>
      </c>
      <c r="T103" s="105">
        <f t="shared" si="5"/>
        <v>580918.45214113011</v>
      </c>
      <c r="U103" s="105">
        <f t="shared" si="5"/>
        <v>580918.45214113011</v>
      </c>
      <c r="V103" s="105">
        <f t="shared" si="5"/>
        <v>580918.45214113011</v>
      </c>
      <c r="W103" s="105">
        <f t="shared" si="5"/>
        <v>465859.35729961912</v>
      </c>
      <c r="X103" s="105">
        <f t="shared" si="5"/>
        <v>465859.35729961912</v>
      </c>
      <c r="Y103" s="105">
        <f t="shared" si="5"/>
        <v>465859.35729961912</v>
      </c>
      <c r="Z103" s="105">
        <f t="shared" si="5"/>
        <v>465859.35729961912</v>
      </c>
      <c r="AA103" s="105">
        <f t="shared" si="5"/>
        <v>580918.45214113011</v>
      </c>
      <c r="AB103" s="105">
        <f t="shared" si="5"/>
        <v>580918.45214113011</v>
      </c>
      <c r="AC103" s="105">
        <f t="shared" si="5"/>
        <v>580918.45214113011</v>
      </c>
      <c r="AD103" s="105">
        <f t="shared" si="5"/>
        <v>580918.45214113011</v>
      </c>
      <c r="AE103" s="105">
        <f t="shared" si="5"/>
        <v>580918.45214113011</v>
      </c>
      <c r="AF103" s="105">
        <f t="shared" si="5"/>
        <v>580918.45214113011</v>
      </c>
      <c r="AG103" s="105">
        <f t="shared" si="5"/>
        <v>580918.45214113011</v>
      </c>
      <c r="AH103" s="105">
        <f t="shared" si="5"/>
        <v>580918.45214113011</v>
      </c>
      <c r="AI103" s="105">
        <f t="shared" si="5"/>
        <v>580918.45214113011</v>
      </c>
      <c r="AJ103" s="105">
        <f t="shared" si="5"/>
        <v>580918.45214113011</v>
      </c>
      <c r="AK103" s="105">
        <f t="shared" si="5"/>
        <v>580918.45214113011</v>
      </c>
      <c r="AL103" s="105">
        <f t="shared" si="5"/>
        <v>580918.45214113011</v>
      </c>
      <c r="AM103" s="105">
        <f t="shared" si="5"/>
        <v>465859.35729961912</v>
      </c>
      <c r="AN103" s="105">
        <f t="shared" si="5"/>
        <v>465859.35729961912</v>
      </c>
      <c r="AO103" s="105">
        <f t="shared" si="5"/>
        <v>465859.35729961912</v>
      </c>
      <c r="AP103" s="105">
        <f t="shared" si="5"/>
        <v>465859.35729961912</v>
      </c>
      <c r="AQ103" s="105">
        <f t="shared" si="5"/>
        <v>580918.45214113011</v>
      </c>
      <c r="AR103" s="105">
        <f t="shared" si="5"/>
        <v>580918.45214113011</v>
      </c>
      <c r="AS103" s="105">
        <f t="shared" si="5"/>
        <v>580918.45214113011</v>
      </c>
      <c r="AT103" s="105">
        <f t="shared" si="5"/>
        <v>580918.45214113011</v>
      </c>
      <c r="AU103" s="105">
        <f t="shared" si="5"/>
        <v>580918.45214113011</v>
      </c>
      <c r="AV103" s="105">
        <f t="shared" si="5"/>
        <v>580918.45214113011</v>
      </c>
      <c r="AW103" s="105">
        <f t="shared" si="5"/>
        <v>580918.45214113011</v>
      </c>
      <c r="AX103" s="105">
        <f t="shared" si="5"/>
        <v>580918.45214113011</v>
      </c>
    </row>
    <row r="104" spans="1:50">
      <c r="A104" s="105" t="s">
        <v>105</v>
      </c>
      <c r="B104" s="105" t="s">
        <v>10</v>
      </c>
      <c r="C104" s="100">
        <v>5.7310139832351402E-20</v>
      </c>
      <c r="D104" s="100">
        <v>5.7310139832351402E-20</v>
      </c>
      <c r="E104" s="100">
        <v>5.7310139832351402E-20</v>
      </c>
      <c r="F104" s="100">
        <v>5.7310139832351402E-20</v>
      </c>
      <c r="G104" s="100">
        <v>7.1637674790439246E-20</v>
      </c>
      <c r="H104" s="100">
        <v>7.1637674790439246E-20</v>
      </c>
      <c r="I104" s="100">
        <v>7.1637674790439246E-20</v>
      </c>
      <c r="J104" s="100">
        <v>7.1637674790439246E-20</v>
      </c>
      <c r="K104" s="100">
        <v>8.596520974852709E-20</v>
      </c>
      <c r="L104" s="100">
        <v>8.596520974852709E-20</v>
      </c>
      <c r="M104" s="100">
        <v>8.596520974852709E-20</v>
      </c>
      <c r="N104" s="100">
        <v>8.596520974852709E-20</v>
      </c>
      <c r="O104" s="100">
        <v>8.596520974852709E-20</v>
      </c>
      <c r="P104" s="100">
        <v>8.596520974852709E-20</v>
      </c>
      <c r="Q104" s="100">
        <v>8.596520974852709E-20</v>
      </c>
      <c r="R104" s="100">
        <v>8.596520974852709E-20</v>
      </c>
      <c r="S104" s="100">
        <v>7.1637674790439246E-20</v>
      </c>
      <c r="T104" s="100">
        <v>7.1637674790439246E-20</v>
      </c>
      <c r="U104" s="100">
        <v>7.1637674790439246E-20</v>
      </c>
      <c r="V104" s="100">
        <v>7.1637674790439246E-20</v>
      </c>
      <c r="W104" s="100">
        <v>5.7310139832351402E-20</v>
      </c>
      <c r="X104" s="100">
        <v>5.7310139832351402E-20</v>
      </c>
      <c r="Y104" s="100">
        <v>5.7310139832351402E-20</v>
      </c>
      <c r="Z104" s="100">
        <v>5.7310139832351402E-20</v>
      </c>
      <c r="AA104" s="100">
        <v>5.7310139832351402E-20</v>
      </c>
      <c r="AB104" s="100">
        <v>5.7310139832351402E-20</v>
      </c>
      <c r="AC104" s="100">
        <v>5.7310139832351402E-20</v>
      </c>
      <c r="AD104" s="100">
        <v>5.7310139832351402E-20</v>
      </c>
      <c r="AE104" s="100">
        <v>8.596520974852709E-20</v>
      </c>
      <c r="AF104" s="100">
        <v>8.596520974852709E-20</v>
      </c>
      <c r="AG104" s="100">
        <v>8.596520974852709E-20</v>
      </c>
      <c r="AH104" s="100">
        <v>8.596520974852709E-20</v>
      </c>
      <c r="AI104" s="100">
        <v>7.1637674790439246E-20</v>
      </c>
      <c r="AJ104" s="100">
        <v>7.1637674790439246E-20</v>
      </c>
      <c r="AK104" s="100">
        <v>7.1637674790439246E-20</v>
      </c>
      <c r="AL104" s="100">
        <v>7.1637674790439246E-20</v>
      </c>
      <c r="AM104" s="100">
        <v>7.1637674790439246E-20</v>
      </c>
      <c r="AN104" s="100">
        <v>7.1637674790439246E-20</v>
      </c>
      <c r="AO104" s="100">
        <v>7.1637674790439246E-20</v>
      </c>
      <c r="AP104" s="100">
        <v>7.1637674790439246E-20</v>
      </c>
      <c r="AQ104" s="100">
        <v>7.1637674790439246E-20</v>
      </c>
      <c r="AR104" s="100">
        <v>7.1637674790439246E-20</v>
      </c>
      <c r="AS104" s="100">
        <v>7.1637674790439246E-20</v>
      </c>
      <c r="AT104" s="100">
        <v>7.1637674790439246E-20</v>
      </c>
      <c r="AU104" s="100">
        <v>7.1637674790439246E-20</v>
      </c>
      <c r="AV104" s="100">
        <v>7.1637674790439246E-20</v>
      </c>
      <c r="AW104" s="100">
        <v>7.1637674790439246E-20</v>
      </c>
      <c r="AX104" s="100">
        <v>7.1637674790439246E-20</v>
      </c>
    </row>
    <row r="105" spans="1:50">
      <c r="B105" s="105" t="s">
        <v>12</v>
      </c>
      <c r="C105" s="100">
        <v>1.3498172707265273E-19</v>
      </c>
      <c r="D105" s="100">
        <v>1.3498172707265273E-19</v>
      </c>
      <c r="E105" s="100">
        <v>1.3498172707265273E-19</v>
      </c>
      <c r="F105" s="100">
        <v>1.3498172707265273E-19</v>
      </c>
      <c r="G105" s="100">
        <v>1.6872715884081587E-19</v>
      </c>
      <c r="H105" s="100">
        <v>1.6872715884081587E-19</v>
      </c>
      <c r="I105" s="100">
        <v>1.6872715884081587E-19</v>
      </c>
      <c r="J105" s="100">
        <v>1.6872715884081587E-19</v>
      </c>
      <c r="K105" s="100">
        <v>2.0247259060897902E-19</v>
      </c>
      <c r="L105" s="100">
        <v>2.0247259060897902E-19</v>
      </c>
      <c r="M105" s="100">
        <v>2.0247259060897902E-19</v>
      </c>
      <c r="N105" s="100">
        <v>2.0247259060897902E-19</v>
      </c>
      <c r="O105" s="100">
        <v>2.0247259060897902E-19</v>
      </c>
      <c r="P105" s="100">
        <v>2.0247259060897902E-19</v>
      </c>
      <c r="Q105" s="100">
        <v>2.0247259060897902E-19</v>
      </c>
      <c r="R105" s="100">
        <v>2.0247259060897902E-19</v>
      </c>
      <c r="S105" s="100">
        <v>1.6872715884081587E-19</v>
      </c>
      <c r="T105" s="100">
        <v>1.6872715884081587E-19</v>
      </c>
      <c r="U105" s="100">
        <v>1.6872715884081587E-19</v>
      </c>
      <c r="V105" s="100">
        <v>1.6872715884081587E-19</v>
      </c>
      <c r="W105" s="100">
        <v>1.3498172707265273E-19</v>
      </c>
      <c r="X105" s="100">
        <v>1.3498172707265273E-19</v>
      </c>
      <c r="Y105" s="100">
        <v>1.3498172707265273E-19</v>
      </c>
      <c r="Z105" s="100">
        <v>1.3498172707265273E-19</v>
      </c>
      <c r="AA105" s="100">
        <v>1.3498172707265273E-19</v>
      </c>
      <c r="AB105" s="100">
        <v>1.3498172707265273E-19</v>
      </c>
      <c r="AC105" s="100">
        <v>1.3498172707265273E-19</v>
      </c>
      <c r="AD105" s="100">
        <v>1.3498172707265273E-19</v>
      </c>
      <c r="AE105" s="100">
        <v>2.0247259060897902E-19</v>
      </c>
      <c r="AF105" s="100">
        <v>2.0247259060897902E-19</v>
      </c>
      <c r="AG105" s="100">
        <v>2.0247259060897902E-19</v>
      </c>
      <c r="AH105" s="100">
        <v>2.0247259060897902E-19</v>
      </c>
      <c r="AI105" s="100">
        <v>1.6872715884081587E-19</v>
      </c>
      <c r="AJ105" s="100">
        <v>1.6872715884081587E-19</v>
      </c>
      <c r="AK105" s="100">
        <v>1.6872715884081587E-19</v>
      </c>
      <c r="AL105" s="100">
        <v>1.6872715884081587E-19</v>
      </c>
      <c r="AM105" s="100">
        <v>1.6872715884081587E-19</v>
      </c>
      <c r="AN105" s="100">
        <v>1.6872715884081587E-19</v>
      </c>
      <c r="AO105" s="100">
        <v>1.6872715884081587E-19</v>
      </c>
      <c r="AP105" s="100">
        <v>1.6872715884081587E-19</v>
      </c>
      <c r="AQ105" s="100">
        <v>1.6872715884081587E-19</v>
      </c>
      <c r="AR105" s="100">
        <v>1.6872715884081587E-19</v>
      </c>
      <c r="AS105" s="100">
        <v>1.6872715884081587E-19</v>
      </c>
      <c r="AT105" s="100">
        <v>1.6872715884081587E-19</v>
      </c>
      <c r="AU105" s="100">
        <v>1.6872715884081587E-19</v>
      </c>
      <c r="AV105" s="100">
        <v>1.6872715884081587E-19</v>
      </c>
      <c r="AW105" s="100">
        <v>1.6872715884081587E-19</v>
      </c>
      <c r="AX105" s="100">
        <v>1.6872715884081587E-19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0">
        <v>0</v>
      </c>
      <c r="L107" s="100">
        <v>0</v>
      </c>
      <c r="M107" s="100">
        <v>0</v>
      </c>
      <c r="N107" s="100">
        <v>0</v>
      </c>
      <c r="O107" s="100">
        <v>0</v>
      </c>
      <c r="P107" s="100">
        <v>0</v>
      </c>
      <c r="Q107" s="100">
        <v>0</v>
      </c>
      <c r="R107" s="100">
        <v>0</v>
      </c>
      <c r="S107" s="100">
        <v>0</v>
      </c>
      <c r="T107" s="100">
        <v>0</v>
      </c>
      <c r="U107" s="100">
        <v>0</v>
      </c>
      <c r="V107" s="100">
        <v>0</v>
      </c>
      <c r="W107" s="100">
        <v>0</v>
      </c>
      <c r="X107" s="100">
        <v>0</v>
      </c>
      <c r="Y107" s="100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0</v>
      </c>
      <c r="AR107" s="100">
        <v>0</v>
      </c>
      <c r="AS107" s="100">
        <v>0</v>
      </c>
      <c r="AT107" s="100">
        <v>0</v>
      </c>
      <c r="AU107" s="100">
        <v>0</v>
      </c>
      <c r="AV107" s="100">
        <v>0</v>
      </c>
      <c r="AW107" s="100">
        <v>0</v>
      </c>
      <c r="AX107" s="100">
        <v>0</v>
      </c>
    </row>
    <row r="108" spans="1:50">
      <c r="B108" s="105" t="s">
        <v>59</v>
      </c>
      <c r="C108" s="100">
        <v>6.318587404999228E-19</v>
      </c>
      <c r="D108" s="100">
        <v>6.318587404999228E-19</v>
      </c>
      <c r="E108" s="100">
        <v>6.318587404999228E-19</v>
      </c>
      <c r="F108" s="100">
        <v>6.318587404999228E-19</v>
      </c>
      <c r="G108" s="100">
        <v>7.898234256249033E-19</v>
      </c>
      <c r="H108" s="100">
        <v>7.898234256249033E-19</v>
      </c>
      <c r="I108" s="100">
        <v>7.898234256249033E-19</v>
      </c>
      <c r="J108" s="100">
        <v>7.898234256249033E-19</v>
      </c>
      <c r="K108" s="100">
        <v>9.47788110749884E-19</v>
      </c>
      <c r="L108" s="100">
        <v>9.47788110749884E-19</v>
      </c>
      <c r="M108" s="100">
        <v>9.47788110749884E-19</v>
      </c>
      <c r="N108" s="100">
        <v>9.47788110749884E-19</v>
      </c>
      <c r="O108" s="100">
        <v>9.47788110749884E-19</v>
      </c>
      <c r="P108" s="100">
        <v>9.47788110749884E-19</v>
      </c>
      <c r="Q108" s="100">
        <v>9.47788110749884E-19</v>
      </c>
      <c r="R108" s="100">
        <v>9.47788110749884E-19</v>
      </c>
      <c r="S108" s="100">
        <v>7.898234256249033E-19</v>
      </c>
      <c r="T108" s="100">
        <v>7.898234256249033E-19</v>
      </c>
      <c r="U108" s="100">
        <v>7.898234256249033E-19</v>
      </c>
      <c r="V108" s="100">
        <v>7.898234256249033E-19</v>
      </c>
      <c r="W108" s="100">
        <v>6.318587404999228E-19</v>
      </c>
      <c r="X108" s="100">
        <v>6.318587404999228E-19</v>
      </c>
      <c r="Y108" s="100">
        <v>6.318587404999228E-19</v>
      </c>
      <c r="Z108" s="100">
        <v>6.318587404999228E-19</v>
      </c>
      <c r="AA108" s="100">
        <v>6.318587404999228E-19</v>
      </c>
      <c r="AB108" s="100">
        <v>6.318587404999228E-19</v>
      </c>
      <c r="AC108" s="100">
        <v>6.318587404999228E-19</v>
      </c>
      <c r="AD108" s="100">
        <v>6.318587404999228E-19</v>
      </c>
      <c r="AE108" s="100">
        <v>9.47788110749884E-19</v>
      </c>
      <c r="AF108" s="100">
        <v>9.47788110749884E-19</v>
      </c>
      <c r="AG108" s="100">
        <v>9.47788110749884E-19</v>
      </c>
      <c r="AH108" s="100">
        <v>9.47788110749884E-19</v>
      </c>
      <c r="AI108" s="100">
        <v>7.898234256249033E-19</v>
      </c>
      <c r="AJ108" s="100">
        <v>7.898234256249033E-19</v>
      </c>
      <c r="AK108" s="100">
        <v>7.898234256249033E-19</v>
      </c>
      <c r="AL108" s="100">
        <v>7.898234256249033E-19</v>
      </c>
      <c r="AM108" s="100">
        <v>7.898234256249033E-19</v>
      </c>
      <c r="AN108" s="100">
        <v>7.898234256249033E-19</v>
      </c>
      <c r="AO108" s="100">
        <v>7.898234256249033E-19</v>
      </c>
      <c r="AP108" s="100">
        <v>7.898234256249033E-19</v>
      </c>
      <c r="AQ108" s="100">
        <v>7.898234256249033E-19</v>
      </c>
      <c r="AR108" s="100">
        <v>7.898234256249033E-19</v>
      </c>
      <c r="AS108" s="100">
        <v>7.898234256249033E-19</v>
      </c>
      <c r="AT108" s="100">
        <v>7.898234256249033E-19</v>
      </c>
      <c r="AU108" s="100">
        <v>7.898234256249033E-19</v>
      </c>
      <c r="AV108" s="100">
        <v>7.898234256249033E-19</v>
      </c>
      <c r="AW108" s="100">
        <v>7.898234256249033E-19</v>
      </c>
      <c r="AX108" s="100">
        <v>7.898234256249033E-19</v>
      </c>
    </row>
    <row r="109" spans="1:50">
      <c r="B109" s="101" t="s">
        <v>278</v>
      </c>
      <c r="C109" s="105">
        <f>SUM(C$104:C$108)</f>
        <v>8.241506074049269E-19</v>
      </c>
      <c r="D109" s="105">
        <f t="shared" ref="D109:AX109" si="6">SUM(D$104:D$108)</f>
        <v>8.241506074049269E-19</v>
      </c>
      <c r="E109" s="105">
        <f t="shared" si="6"/>
        <v>8.241506074049269E-19</v>
      </c>
      <c r="F109" s="105">
        <f t="shared" si="6"/>
        <v>8.241506074049269E-19</v>
      </c>
      <c r="G109" s="105">
        <f t="shared" si="6"/>
        <v>1.0301882592561584E-18</v>
      </c>
      <c r="H109" s="105">
        <f t="shared" si="6"/>
        <v>1.0301882592561584E-18</v>
      </c>
      <c r="I109" s="105">
        <f t="shared" si="6"/>
        <v>1.0301882592561584E-18</v>
      </c>
      <c r="J109" s="105">
        <f t="shared" si="6"/>
        <v>1.0301882592561584E-18</v>
      </c>
      <c r="K109" s="105">
        <f t="shared" si="6"/>
        <v>1.2362259111073902E-18</v>
      </c>
      <c r="L109" s="105">
        <f t="shared" si="6"/>
        <v>1.2362259111073902E-18</v>
      </c>
      <c r="M109" s="105">
        <f t="shared" si="6"/>
        <v>1.2362259111073902E-18</v>
      </c>
      <c r="N109" s="105">
        <f t="shared" si="6"/>
        <v>1.2362259111073902E-18</v>
      </c>
      <c r="O109" s="105">
        <f t="shared" si="6"/>
        <v>1.2362259111073902E-18</v>
      </c>
      <c r="P109" s="105">
        <f t="shared" si="6"/>
        <v>1.2362259111073902E-18</v>
      </c>
      <c r="Q109" s="105">
        <f t="shared" si="6"/>
        <v>1.2362259111073902E-18</v>
      </c>
      <c r="R109" s="105">
        <f t="shared" si="6"/>
        <v>1.2362259111073902E-18</v>
      </c>
      <c r="S109" s="105">
        <f t="shared" si="6"/>
        <v>1.0301882592561584E-18</v>
      </c>
      <c r="T109" s="105">
        <f t="shared" si="6"/>
        <v>1.0301882592561584E-18</v>
      </c>
      <c r="U109" s="105">
        <f t="shared" si="6"/>
        <v>1.0301882592561584E-18</v>
      </c>
      <c r="V109" s="105">
        <f t="shared" si="6"/>
        <v>1.0301882592561584E-18</v>
      </c>
      <c r="W109" s="105">
        <f t="shared" si="6"/>
        <v>8.241506074049269E-19</v>
      </c>
      <c r="X109" s="105">
        <f t="shared" si="6"/>
        <v>8.241506074049269E-19</v>
      </c>
      <c r="Y109" s="105">
        <f t="shared" si="6"/>
        <v>8.241506074049269E-19</v>
      </c>
      <c r="Z109" s="105">
        <f t="shared" si="6"/>
        <v>8.241506074049269E-19</v>
      </c>
      <c r="AA109" s="105">
        <f t="shared" si="6"/>
        <v>8.241506074049269E-19</v>
      </c>
      <c r="AB109" s="105">
        <f t="shared" si="6"/>
        <v>8.241506074049269E-19</v>
      </c>
      <c r="AC109" s="105">
        <f t="shared" si="6"/>
        <v>8.241506074049269E-19</v>
      </c>
      <c r="AD109" s="105">
        <f t="shared" si="6"/>
        <v>8.241506074049269E-19</v>
      </c>
      <c r="AE109" s="105">
        <f t="shared" si="6"/>
        <v>1.2362259111073902E-18</v>
      </c>
      <c r="AF109" s="105">
        <f t="shared" si="6"/>
        <v>1.2362259111073902E-18</v>
      </c>
      <c r="AG109" s="105">
        <f t="shared" si="6"/>
        <v>1.2362259111073902E-18</v>
      </c>
      <c r="AH109" s="105">
        <f t="shared" si="6"/>
        <v>1.2362259111073902E-18</v>
      </c>
      <c r="AI109" s="105">
        <f t="shared" si="6"/>
        <v>1.0301882592561584E-18</v>
      </c>
      <c r="AJ109" s="105">
        <f t="shared" si="6"/>
        <v>1.0301882592561584E-18</v>
      </c>
      <c r="AK109" s="105">
        <f t="shared" si="6"/>
        <v>1.0301882592561584E-18</v>
      </c>
      <c r="AL109" s="105">
        <f t="shared" si="6"/>
        <v>1.0301882592561584E-18</v>
      </c>
      <c r="AM109" s="105">
        <f t="shared" si="6"/>
        <v>1.0301882592561584E-18</v>
      </c>
      <c r="AN109" s="105">
        <f t="shared" si="6"/>
        <v>1.0301882592561584E-18</v>
      </c>
      <c r="AO109" s="105">
        <f t="shared" si="6"/>
        <v>1.0301882592561584E-18</v>
      </c>
      <c r="AP109" s="105">
        <f t="shared" si="6"/>
        <v>1.0301882592561584E-18</v>
      </c>
      <c r="AQ109" s="105">
        <f t="shared" si="6"/>
        <v>1.0301882592561584E-18</v>
      </c>
      <c r="AR109" s="105">
        <f t="shared" si="6"/>
        <v>1.0301882592561584E-18</v>
      </c>
      <c r="AS109" s="105">
        <f t="shared" si="6"/>
        <v>1.0301882592561584E-18</v>
      </c>
      <c r="AT109" s="105">
        <f t="shared" si="6"/>
        <v>1.0301882592561584E-18</v>
      </c>
      <c r="AU109" s="105">
        <f t="shared" si="6"/>
        <v>1.0301882592561584E-18</v>
      </c>
      <c r="AV109" s="105">
        <f t="shared" si="6"/>
        <v>1.0301882592561584E-18</v>
      </c>
      <c r="AW109" s="105">
        <f t="shared" si="6"/>
        <v>1.0301882592561584E-18</v>
      </c>
      <c r="AX109" s="105">
        <f t="shared" si="6"/>
        <v>1.0301882592561584E-18</v>
      </c>
    </row>
    <row r="110" spans="1:50">
      <c r="A110" s="105" t="s">
        <v>106</v>
      </c>
      <c r="B110" s="105" t="s">
        <v>10</v>
      </c>
      <c r="C110" s="100">
        <v>5.3345013839606299E-20</v>
      </c>
      <c r="D110" s="100">
        <v>5.3345013839606299E-20</v>
      </c>
      <c r="E110" s="100">
        <v>5.3345013839606299E-20</v>
      </c>
      <c r="F110" s="100">
        <v>5.3345013839606299E-20</v>
      </c>
      <c r="G110" s="100">
        <v>8.5352022143370066E-20</v>
      </c>
      <c r="H110" s="100">
        <v>8.5352022143370066E-20</v>
      </c>
      <c r="I110" s="100">
        <v>8.5352022143370066E-20</v>
      </c>
      <c r="J110" s="100">
        <v>8.5352022143370066E-20</v>
      </c>
      <c r="K110" s="100">
        <v>8.5352022143370066E-20</v>
      </c>
      <c r="L110" s="100">
        <v>8.5352022143370066E-20</v>
      </c>
      <c r="M110" s="100">
        <v>8.5352022143370066E-20</v>
      </c>
      <c r="N110" s="100">
        <v>8.5352022143370066E-20</v>
      </c>
      <c r="O110" s="100">
        <v>8.5352022143370066E-20</v>
      </c>
      <c r="P110" s="100">
        <v>8.5352022143370066E-20</v>
      </c>
      <c r="Q110" s="100">
        <v>8.5352022143370066E-20</v>
      </c>
      <c r="R110" s="100">
        <v>8.5352022143370066E-20</v>
      </c>
      <c r="S110" s="100">
        <v>8.5352022143370066E-20</v>
      </c>
      <c r="T110" s="100">
        <v>8.5352022143370066E-20</v>
      </c>
      <c r="U110" s="100">
        <v>8.5352022143370066E-20</v>
      </c>
      <c r="V110" s="100">
        <v>8.5352022143370066E-20</v>
      </c>
      <c r="W110" s="100">
        <v>8.5352022143370066E-20</v>
      </c>
      <c r="X110" s="100">
        <v>8.5352022143370066E-20</v>
      </c>
      <c r="Y110" s="100">
        <v>8.5352022143370066E-20</v>
      </c>
      <c r="Z110" s="100">
        <v>8.5352022143370066E-20</v>
      </c>
      <c r="AA110" s="100">
        <v>8.5352022143370066E-20</v>
      </c>
      <c r="AB110" s="100">
        <v>8.5352022143370066E-20</v>
      </c>
      <c r="AC110" s="100">
        <v>8.5352022143370066E-20</v>
      </c>
      <c r="AD110" s="100">
        <v>8.5352022143370066E-20</v>
      </c>
      <c r="AE110" s="100">
        <v>8.5352022143370066E-20</v>
      </c>
      <c r="AF110" s="100">
        <v>8.5352022143370066E-20</v>
      </c>
      <c r="AG110" s="100">
        <v>8.5352022143370066E-20</v>
      </c>
      <c r="AH110" s="100">
        <v>8.5352022143370066E-20</v>
      </c>
      <c r="AI110" s="100">
        <v>0</v>
      </c>
      <c r="AJ110" s="100">
        <v>0</v>
      </c>
      <c r="AK110" s="100">
        <v>0</v>
      </c>
      <c r="AL110" s="100">
        <v>0</v>
      </c>
      <c r="AM110" s="100">
        <v>8.5352022143370066E-20</v>
      </c>
      <c r="AN110" s="100">
        <v>8.5352022143370066E-20</v>
      </c>
      <c r="AO110" s="100">
        <v>8.5352022143370066E-20</v>
      </c>
      <c r="AP110" s="100">
        <v>8.5352022143370066E-20</v>
      </c>
      <c r="AQ110" s="100">
        <v>8.5352022143370066E-20</v>
      </c>
      <c r="AR110" s="100">
        <v>8.5352022143370066E-20</v>
      </c>
      <c r="AS110" s="100">
        <v>8.5352022143370066E-20</v>
      </c>
      <c r="AT110" s="100">
        <v>8.5352022143370066E-20</v>
      </c>
      <c r="AU110" s="100">
        <v>8.5352022143370066E-20</v>
      </c>
      <c r="AV110" s="100">
        <v>8.5352022143370066E-20</v>
      </c>
      <c r="AW110" s="100">
        <v>8.5352022143370066E-20</v>
      </c>
      <c r="AX110" s="100">
        <v>8.5352022143370066E-20</v>
      </c>
    </row>
    <row r="111" spans="1:50">
      <c r="B111" s="105" t="s">
        <v>12</v>
      </c>
      <c r="C111" s="100">
        <v>4.0910188894820741E-20</v>
      </c>
      <c r="D111" s="100">
        <v>4.0910188894820741E-20</v>
      </c>
      <c r="E111" s="100">
        <v>4.0910188894820741E-20</v>
      </c>
      <c r="F111" s="100">
        <v>4.0910188894820741E-20</v>
      </c>
      <c r="G111" s="100">
        <v>6.5456302231713202E-20</v>
      </c>
      <c r="H111" s="100">
        <v>6.5456302231713202E-20</v>
      </c>
      <c r="I111" s="100">
        <v>6.5456302231713202E-20</v>
      </c>
      <c r="J111" s="100">
        <v>6.5456302231713202E-20</v>
      </c>
      <c r="K111" s="100">
        <v>6.5456302231713202E-20</v>
      </c>
      <c r="L111" s="100">
        <v>6.5456302231713202E-20</v>
      </c>
      <c r="M111" s="100">
        <v>6.5456302231713202E-20</v>
      </c>
      <c r="N111" s="100">
        <v>6.5456302231713202E-20</v>
      </c>
      <c r="O111" s="100">
        <v>6.5456302231713202E-20</v>
      </c>
      <c r="P111" s="100">
        <v>6.5456302231713202E-20</v>
      </c>
      <c r="Q111" s="100">
        <v>6.5456302231713202E-20</v>
      </c>
      <c r="R111" s="100">
        <v>6.5456302231713202E-20</v>
      </c>
      <c r="S111" s="100">
        <v>6.5456302231713202E-20</v>
      </c>
      <c r="T111" s="100">
        <v>6.5456302231713202E-20</v>
      </c>
      <c r="U111" s="100">
        <v>6.5456302231713202E-20</v>
      </c>
      <c r="V111" s="100">
        <v>6.5456302231713202E-20</v>
      </c>
      <c r="W111" s="100">
        <v>6.5456302231713202E-20</v>
      </c>
      <c r="X111" s="100">
        <v>6.5456302231713202E-20</v>
      </c>
      <c r="Y111" s="100">
        <v>6.5456302231713202E-20</v>
      </c>
      <c r="Z111" s="100">
        <v>6.5456302231713202E-20</v>
      </c>
      <c r="AA111" s="100">
        <v>6.5456302231713202E-20</v>
      </c>
      <c r="AB111" s="100">
        <v>6.5456302231713202E-20</v>
      </c>
      <c r="AC111" s="100">
        <v>6.5456302231713202E-20</v>
      </c>
      <c r="AD111" s="100">
        <v>6.5456302231713202E-20</v>
      </c>
      <c r="AE111" s="100">
        <v>6.5456302231713202E-20</v>
      </c>
      <c r="AF111" s="100">
        <v>6.5456302231713202E-20</v>
      </c>
      <c r="AG111" s="100">
        <v>6.5456302231713202E-20</v>
      </c>
      <c r="AH111" s="100">
        <v>6.5456302231713202E-20</v>
      </c>
      <c r="AI111" s="100">
        <v>0</v>
      </c>
      <c r="AJ111" s="100">
        <v>0</v>
      </c>
      <c r="AK111" s="100">
        <v>0</v>
      </c>
      <c r="AL111" s="100">
        <v>0</v>
      </c>
      <c r="AM111" s="100">
        <v>6.5456302231713202E-20</v>
      </c>
      <c r="AN111" s="100">
        <v>6.5456302231713202E-20</v>
      </c>
      <c r="AO111" s="100">
        <v>6.5456302231713202E-20</v>
      </c>
      <c r="AP111" s="100">
        <v>6.5456302231713202E-20</v>
      </c>
      <c r="AQ111" s="100">
        <v>6.5456302231713202E-20</v>
      </c>
      <c r="AR111" s="100">
        <v>6.5456302231713202E-20</v>
      </c>
      <c r="AS111" s="100">
        <v>6.5456302231713202E-20</v>
      </c>
      <c r="AT111" s="100">
        <v>6.5456302231713202E-20</v>
      </c>
      <c r="AU111" s="100">
        <v>6.5456302231713202E-20</v>
      </c>
      <c r="AV111" s="100">
        <v>6.5456302231713202E-20</v>
      </c>
      <c r="AW111" s="100">
        <v>6.5456302231713202E-20</v>
      </c>
      <c r="AX111" s="100">
        <v>6.5456302231713202E-20</v>
      </c>
    </row>
    <row r="112" spans="1:50">
      <c r="B112" s="105" t="s">
        <v>22</v>
      </c>
      <c r="C112" s="100">
        <v>2112</v>
      </c>
      <c r="D112" s="100">
        <v>2112</v>
      </c>
      <c r="E112" s="100">
        <v>2112</v>
      </c>
      <c r="F112" s="100">
        <v>2112</v>
      </c>
      <c r="G112" s="100">
        <v>3379.2</v>
      </c>
      <c r="H112" s="100">
        <v>3379.2</v>
      </c>
      <c r="I112" s="100">
        <v>3379.2</v>
      </c>
      <c r="J112" s="100">
        <v>3379.2</v>
      </c>
      <c r="K112" s="100">
        <v>3379.2</v>
      </c>
      <c r="L112" s="100">
        <v>3379.2</v>
      </c>
      <c r="M112" s="100">
        <v>3379.2</v>
      </c>
      <c r="N112" s="100">
        <v>3379.2</v>
      </c>
      <c r="O112" s="100">
        <v>3379.2</v>
      </c>
      <c r="P112" s="100">
        <v>3379.2</v>
      </c>
      <c r="Q112" s="100">
        <v>3379.2</v>
      </c>
      <c r="R112" s="100">
        <v>3379.2</v>
      </c>
      <c r="S112" s="100">
        <v>3379.2</v>
      </c>
      <c r="T112" s="100">
        <v>3379.2</v>
      </c>
      <c r="U112" s="100">
        <v>3379.2</v>
      </c>
      <c r="V112" s="100">
        <v>3379.2</v>
      </c>
      <c r="W112" s="100">
        <v>3379.2</v>
      </c>
      <c r="X112" s="100">
        <v>3379.2</v>
      </c>
      <c r="Y112" s="100">
        <v>3379.2</v>
      </c>
      <c r="Z112" s="100">
        <v>3379.2</v>
      </c>
      <c r="AA112" s="100">
        <v>3379.2</v>
      </c>
      <c r="AB112" s="100">
        <v>3379.2</v>
      </c>
      <c r="AC112" s="100">
        <v>3379.2</v>
      </c>
      <c r="AD112" s="100">
        <v>3379.2</v>
      </c>
      <c r="AE112" s="100">
        <v>3379.2</v>
      </c>
      <c r="AF112" s="100">
        <v>3379.2</v>
      </c>
      <c r="AG112" s="100">
        <v>3379.2</v>
      </c>
      <c r="AH112" s="100">
        <v>3379.2</v>
      </c>
      <c r="AI112" s="100">
        <v>0</v>
      </c>
      <c r="AJ112" s="100">
        <v>0</v>
      </c>
      <c r="AK112" s="100">
        <v>0</v>
      </c>
      <c r="AL112" s="100">
        <v>0</v>
      </c>
      <c r="AM112" s="100">
        <v>3379.2</v>
      </c>
      <c r="AN112" s="100">
        <v>3379.2</v>
      </c>
      <c r="AO112" s="100">
        <v>3379.2</v>
      </c>
      <c r="AP112" s="100">
        <v>3379.2</v>
      </c>
      <c r="AQ112" s="100">
        <v>3379.2</v>
      </c>
      <c r="AR112" s="100">
        <v>3379.2</v>
      </c>
      <c r="AS112" s="100">
        <v>3379.2</v>
      </c>
      <c r="AT112" s="100">
        <v>3379.2</v>
      </c>
      <c r="AU112" s="100">
        <v>3379.2</v>
      </c>
      <c r="AV112" s="100">
        <v>3379.2</v>
      </c>
      <c r="AW112" s="100">
        <v>3379.2</v>
      </c>
      <c r="AX112" s="100">
        <v>3379.2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1.3209725582671473E-20</v>
      </c>
      <c r="D114" s="100">
        <v>1.3209725582671473E-20</v>
      </c>
      <c r="E114" s="100">
        <v>1.3209725582671473E-20</v>
      </c>
      <c r="F114" s="100">
        <v>1.3209725582671473E-20</v>
      </c>
      <c r="G114" s="100">
        <v>2.1135560932274357E-20</v>
      </c>
      <c r="H114" s="100">
        <v>2.1135560932274357E-20</v>
      </c>
      <c r="I114" s="100">
        <v>2.1135560932274357E-20</v>
      </c>
      <c r="J114" s="100">
        <v>2.1135560932274357E-20</v>
      </c>
      <c r="K114" s="100">
        <v>2.1135560932274357E-20</v>
      </c>
      <c r="L114" s="100">
        <v>2.1135560932274357E-20</v>
      </c>
      <c r="M114" s="100">
        <v>2.1135560932274357E-20</v>
      </c>
      <c r="N114" s="100">
        <v>2.1135560932274357E-20</v>
      </c>
      <c r="O114" s="100">
        <v>2.1135560932274357E-20</v>
      </c>
      <c r="P114" s="100">
        <v>2.1135560932274357E-20</v>
      </c>
      <c r="Q114" s="100">
        <v>2.1135560932274357E-20</v>
      </c>
      <c r="R114" s="100">
        <v>2.1135560932274357E-20</v>
      </c>
      <c r="S114" s="100">
        <v>2.1135560932274357E-20</v>
      </c>
      <c r="T114" s="100">
        <v>2.1135560932274357E-20</v>
      </c>
      <c r="U114" s="100">
        <v>2.1135560932274357E-20</v>
      </c>
      <c r="V114" s="100">
        <v>2.1135560932274357E-20</v>
      </c>
      <c r="W114" s="100">
        <v>2.1135560932274357E-20</v>
      </c>
      <c r="X114" s="100">
        <v>2.1135560932274357E-20</v>
      </c>
      <c r="Y114" s="100">
        <v>2.1135560932274357E-20</v>
      </c>
      <c r="Z114" s="100">
        <v>2.1135560932274357E-20</v>
      </c>
      <c r="AA114" s="100">
        <v>2.1135560932274357E-20</v>
      </c>
      <c r="AB114" s="100">
        <v>2.1135560932274357E-20</v>
      </c>
      <c r="AC114" s="100">
        <v>2.1135560932274357E-20</v>
      </c>
      <c r="AD114" s="100">
        <v>2.1135560932274357E-20</v>
      </c>
      <c r="AE114" s="100">
        <v>2.1135560932274357E-20</v>
      </c>
      <c r="AF114" s="100">
        <v>2.1135560932274357E-20</v>
      </c>
      <c r="AG114" s="100">
        <v>2.1135560932274357E-20</v>
      </c>
      <c r="AH114" s="100">
        <v>2.1135560932274357E-20</v>
      </c>
      <c r="AI114" s="100">
        <v>0</v>
      </c>
      <c r="AJ114" s="100">
        <v>0</v>
      </c>
      <c r="AK114" s="100">
        <v>0</v>
      </c>
      <c r="AL114" s="100">
        <v>0</v>
      </c>
      <c r="AM114" s="100">
        <v>2.1135560932274357E-20</v>
      </c>
      <c r="AN114" s="100">
        <v>2.1135560932274357E-20</v>
      </c>
      <c r="AO114" s="100">
        <v>2.1135560932274357E-20</v>
      </c>
      <c r="AP114" s="100">
        <v>2.1135560932274357E-20</v>
      </c>
      <c r="AQ114" s="100">
        <v>2.1135560932274357E-20</v>
      </c>
      <c r="AR114" s="100">
        <v>2.1135560932274357E-20</v>
      </c>
      <c r="AS114" s="100">
        <v>2.1135560932274357E-20</v>
      </c>
      <c r="AT114" s="100">
        <v>2.1135560932274357E-20</v>
      </c>
      <c r="AU114" s="100">
        <v>2.1135560932274357E-20</v>
      </c>
      <c r="AV114" s="100">
        <v>2.1135560932274357E-20</v>
      </c>
      <c r="AW114" s="100">
        <v>2.1135560932274357E-20</v>
      </c>
      <c r="AX114" s="100">
        <v>2.1135560932274357E-20</v>
      </c>
    </row>
    <row r="115" spans="1:50">
      <c r="B115" s="100" t="s">
        <v>278</v>
      </c>
      <c r="C115" s="105">
        <f>SUM(C$110:C$114)</f>
        <v>2112</v>
      </c>
      <c r="D115" s="105">
        <f t="shared" ref="D115:AX115" si="7">SUM(D$110:D$114)</f>
        <v>2112</v>
      </c>
      <c r="E115" s="105">
        <f t="shared" si="7"/>
        <v>2112</v>
      </c>
      <c r="F115" s="105">
        <f t="shared" si="7"/>
        <v>2112</v>
      </c>
      <c r="G115" s="105">
        <f t="shared" si="7"/>
        <v>3379.2</v>
      </c>
      <c r="H115" s="105">
        <f t="shared" si="7"/>
        <v>3379.2</v>
      </c>
      <c r="I115" s="105">
        <f t="shared" si="7"/>
        <v>3379.2</v>
      </c>
      <c r="J115" s="105">
        <f t="shared" si="7"/>
        <v>3379.2</v>
      </c>
      <c r="K115" s="105">
        <f t="shared" si="7"/>
        <v>3379.2</v>
      </c>
      <c r="L115" s="105">
        <f t="shared" si="7"/>
        <v>3379.2</v>
      </c>
      <c r="M115" s="105">
        <f t="shared" si="7"/>
        <v>3379.2</v>
      </c>
      <c r="N115" s="105">
        <f t="shared" si="7"/>
        <v>3379.2</v>
      </c>
      <c r="O115" s="105">
        <f t="shared" si="7"/>
        <v>3379.2</v>
      </c>
      <c r="P115" s="105">
        <f t="shared" si="7"/>
        <v>3379.2</v>
      </c>
      <c r="Q115" s="105">
        <f t="shared" si="7"/>
        <v>3379.2</v>
      </c>
      <c r="R115" s="105">
        <f t="shared" si="7"/>
        <v>3379.2</v>
      </c>
      <c r="S115" s="105">
        <f t="shared" si="7"/>
        <v>3379.2</v>
      </c>
      <c r="T115" s="105">
        <f t="shared" si="7"/>
        <v>3379.2</v>
      </c>
      <c r="U115" s="105">
        <f t="shared" si="7"/>
        <v>3379.2</v>
      </c>
      <c r="V115" s="105">
        <f t="shared" si="7"/>
        <v>3379.2</v>
      </c>
      <c r="W115" s="105">
        <f t="shared" si="7"/>
        <v>3379.2</v>
      </c>
      <c r="X115" s="105">
        <f t="shared" si="7"/>
        <v>3379.2</v>
      </c>
      <c r="Y115" s="105">
        <f t="shared" si="7"/>
        <v>3379.2</v>
      </c>
      <c r="Z115" s="105">
        <f t="shared" si="7"/>
        <v>3379.2</v>
      </c>
      <c r="AA115" s="105">
        <f t="shared" si="7"/>
        <v>3379.2</v>
      </c>
      <c r="AB115" s="105">
        <f t="shared" si="7"/>
        <v>3379.2</v>
      </c>
      <c r="AC115" s="105">
        <f t="shared" si="7"/>
        <v>3379.2</v>
      </c>
      <c r="AD115" s="105">
        <f t="shared" si="7"/>
        <v>3379.2</v>
      </c>
      <c r="AE115" s="105">
        <f t="shared" si="7"/>
        <v>3379.2</v>
      </c>
      <c r="AF115" s="105">
        <f t="shared" si="7"/>
        <v>3379.2</v>
      </c>
      <c r="AG115" s="105">
        <f t="shared" si="7"/>
        <v>3379.2</v>
      </c>
      <c r="AH115" s="105">
        <f t="shared" si="7"/>
        <v>3379.2</v>
      </c>
      <c r="AI115" s="105">
        <f t="shared" si="7"/>
        <v>0</v>
      </c>
      <c r="AJ115" s="105">
        <f t="shared" si="7"/>
        <v>0</v>
      </c>
      <c r="AK115" s="105">
        <f t="shared" si="7"/>
        <v>0</v>
      </c>
      <c r="AL115" s="105">
        <f t="shared" si="7"/>
        <v>0</v>
      </c>
      <c r="AM115" s="105">
        <f t="shared" si="7"/>
        <v>3379.2</v>
      </c>
      <c r="AN115" s="105">
        <f t="shared" si="7"/>
        <v>3379.2</v>
      </c>
      <c r="AO115" s="105">
        <f t="shared" si="7"/>
        <v>3379.2</v>
      </c>
      <c r="AP115" s="105">
        <f t="shared" si="7"/>
        <v>3379.2</v>
      </c>
      <c r="AQ115" s="105">
        <f t="shared" si="7"/>
        <v>3379.2</v>
      </c>
      <c r="AR115" s="105">
        <f t="shared" si="7"/>
        <v>3379.2</v>
      </c>
      <c r="AS115" s="105">
        <f t="shared" si="7"/>
        <v>3379.2</v>
      </c>
      <c r="AT115" s="105">
        <f t="shared" si="7"/>
        <v>3379.2</v>
      </c>
      <c r="AU115" s="105">
        <f t="shared" si="7"/>
        <v>3379.2</v>
      </c>
      <c r="AV115" s="105">
        <f t="shared" si="7"/>
        <v>3379.2</v>
      </c>
      <c r="AW115" s="105">
        <f t="shared" si="7"/>
        <v>3379.2</v>
      </c>
      <c r="AX115" s="105">
        <f t="shared" si="7"/>
        <v>3379.2</v>
      </c>
    </row>
    <row r="116" spans="1:50">
      <c r="A116" s="105" t="s">
        <v>107</v>
      </c>
      <c r="B116" s="105" t="s">
        <v>10</v>
      </c>
      <c r="C116" s="100">
        <v>11616</v>
      </c>
      <c r="D116" s="100">
        <v>11616</v>
      </c>
      <c r="E116" s="100">
        <v>11616</v>
      </c>
      <c r="F116" s="100">
        <v>11616</v>
      </c>
      <c r="G116" s="100">
        <v>11616</v>
      </c>
      <c r="H116" s="100">
        <v>11616</v>
      </c>
      <c r="I116" s="100">
        <v>11616</v>
      </c>
      <c r="J116" s="100">
        <v>11616</v>
      </c>
      <c r="K116" s="100">
        <v>11616</v>
      </c>
      <c r="L116" s="100">
        <v>11616</v>
      </c>
      <c r="M116" s="100">
        <v>11616</v>
      </c>
      <c r="N116" s="100">
        <v>11616</v>
      </c>
      <c r="O116" s="100">
        <v>11616</v>
      </c>
      <c r="P116" s="100">
        <v>11616</v>
      </c>
      <c r="Q116" s="100">
        <v>4407.9167431748128</v>
      </c>
      <c r="R116" s="100">
        <v>11616</v>
      </c>
      <c r="S116" s="100">
        <v>11616</v>
      </c>
      <c r="T116" s="100">
        <v>11616</v>
      </c>
      <c r="U116" s="100">
        <v>11616</v>
      </c>
      <c r="V116" s="100">
        <v>11616</v>
      </c>
      <c r="W116" s="100">
        <v>11616</v>
      </c>
      <c r="X116" s="100">
        <v>11616</v>
      </c>
      <c r="Y116" s="100">
        <v>11616</v>
      </c>
      <c r="Z116" s="100">
        <v>11616</v>
      </c>
      <c r="AA116" s="100">
        <v>11616</v>
      </c>
      <c r="AB116" s="100">
        <v>11616</v>
      </c>
      <c r="AC116" s="100">
        <v>11616</v>
      </c>
      <c r="AD116" s="100">
        <v>11616</v>
      </c>
      <c r="AE116" s="100">
        <v>11616</v>
      </c>
      <c r="AF116" s="100">
        <v>11616</v>
      </c>
      <c r="AG116" s="100">
        <v>11616</v>
      </c>
      <c r="AH116" s="100">
        <v>11616</v>
      </c>
      <c r="AI116" s="100">
        <v>9292.8000000000011</v>
      </c>
      <c r="AJ116" s="100">
        <v>9292.8000000000011</v>
      </c>
      <c r="AK116" s="100">
        <v>4587.2417514249992</v>
      </c>
      <c r="AL116" s="100">
        <v>4595.7989552167937</v>
      </c>
      <c r="AM116" s="100">
        <v>4604.3068292360385</v>
      </c>
      <c r="AN116" s="100">
        <v>4612.7639998084014</v>
      </c>
      <c r="AO116" s="100">
        <v>9292.8000000000011</v>
      </c>
      <c r="AP116" s="100">
        <v>9292.8000000000011</v>
      </c>
      <c r="AQ116" s="100">
        <v>11616</v>
      </c>
      <c r="AR116" s="100">
        <v>11616</v>
      </c>
      <c r="AS116" s="100">
        <v>11616</v>
      </c>
      <c r="AT116" s="100">
        <v>11616</v>
      </c>
      <c r="AU116" s="100">
        <v>11616</v>
      </c>
      <c r="AV116" s="100">
        <v>11616</v>
      </c>
      <c r="AW116" s="100">
        <v>11616</v>
      </c>
      <c r="AX116" s="100">
        <v>11616</v>
      </c>
    </row>
    <row r="117" spans="1:50">
      <c r="B117" s="105" t="s">
        <v>12</v>
      </c>
      <c r="C117" s="100">
        <v>1.665598445249049E-19</v>
      </c>
      <c r="D117" s="100">
        <v>1.665598445249049E-19</v>
      </c>
      <c r="E117" s="100">
        <v>1.665598445249049E-19</v>
      </c>
      <c r="F117" s="100">
        <v>1.665598445249049E-19</v>
      </c>
      <c r="G117" s="100">
        <v>1.665598445249049E-19</v>
      </c>
      <c r="H117" s="100">
        <v>1.665598445249049E-19</v>
      </c>
      <c r="I117" s="100">
        <v>1.665598445249049E-19</v>
      </c>
      <c r="J117" s="100">
        <v>1.665598445249049E-19</v>
      </c>
      <c r="K117" s="100">
        <v>1.665598445249049E-19</v>
      </c>
      <c r="L117" s="100">
        <v>1.665598445249049E-19</v>
      </c>
      <c r="M117" s="100">
        <v>1.665598445249049E-19</v>
      </c>
      <c r="N117" s="100">
        <v>1.665598445249049E-19</v>
      </c>
      <c r="O117" s="100">
        <v>1.665598445249049E-19</v>
      </c>
      <c r="P117" s="100">
        <v>1.665598445249049E-19</v>
      </c>
      <c r="Q117" s="100">
        <v>6.3204367030124129E-20</v>
      </c>
      <c r="R117" s="100">
        <v>1.665598445249049E-19</v>
      </c>
      <c r="S117" s="100">
        <v>1.665598445249049E-19</v>
      </c>
      <c r="T117" s="100">
        <v>1.665598445249049E-19</v>
      </c>
      <c r="U117" s="100">
        <v>1.665598445249049E-19</v>
      </c>
      <c r="V117" s="100">
        <v>1.665598445249049E-19</v>
      </c>
      <c r="W117" s="100">
        <v>1.665598445249049E-19</v>
      </c>
      <c r="X117" s="100">
        <v>1.665598445249049E-19</v>
      </c>
      <c r="Y117" s="100">
        <v>1.665598445249049E-19</v>
      </c>
      <c r="Z117" s="100">
        <v>1.665598445249049E-19</v>
      </c>
      <c r="AA117" s="100">
        <v>1.665598445249049E-19</v>
      </c>
      <c r="AB117" s="100">
        <v>1.665598445249049E-19</v>
      </c>
      <c r="AC117" s="100">
        <v>1.665598445249049E-19</v>
      </c>
      <c r="AD117" s="100">
        <v>1.665598445249049E-19</v>
      </c>
      <c r="AE117" s="100">
        <v>1.665598445249049E-19</v>
      </c>
      <c r="AF117" s="100">
        <v>1.665598445249049E-19</v>
      </c>
      <c r="AG117" s="100">
        <v>1.665598445249049E-19</v>
      </c>
      <c r="AH117" s="100">
        <v>1.665598445249049E-19</v>
      </c>
      <c r="AI117" s="100">
        <v>1.3324787561992389E-19</v>
      </c>
      <c r="AJ117" s="100">
        <v>1.3324787561992389E-19</v>
      </c>
      <c r="AK117" s="100">
        <v>6.5775677764764136E-20</v>
      </c>
      <c r="AL117" s="100">
        <v>6.5898378051707084E-20</v>
      </c>
      <c r="AM117" s="100">
        <v>6.6020371007447687E-20</v>
      </c>
      <c r="AN117" s="100">
        <v>6.6141636935103796E-20</v>
      </c>
      <c r="AO117" s="100">
        <v>1.3324787561992389E-19</v>
      </c>
      <c r="AP117" s="100">
        <v>1.3324787561992389E-19</v>
      </c>
      <c r="AQ117" s="100">
        <v>1.665598445249049E-19</v>
      </c>
      <c r="AR117" s="100">
        <v>1.665598445249049E-19</v>
      </c>
      <c r="AS117" s="100">
        <v>1.665598445249049E-19</v>
      </c>
      <c r="AT117" s="100">
        <v>1.665598445249049E-19</v>
      </c>
      <c r="AU117" s="100">
        <v>1.665598445249049E-19</v>
      </c>
      <c r="AV117" s="100">
        <v>1.665598445249049E-19</v>
      </c>
      <c r="AW117" s="100">
        <v>1.665598445249049E-19</v>
      </c>
      <c r="AX117" s="100">
        <v>1.665598445249049E-19</v>
      </c>
    </row>
    <row r="118" spans="1:50">
      <c r="B118" s="105" t="s">
        <v>22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  <c r="AQ118" s="100">
        <v>0</v>
      </c>
      <c r="AR118" s="100">
        <v>0</v>
      </c>
      <c r="AS118" s="100">
        <v>0</v>
      </c>
      <c r="AT118" s="100">
        <v>0</v>
      </c>
      <c r="AU118" s="100">
        <v>0</v>
      </c>
      <c r="AV118" s="100">
        <v>0</v>
      </c>
      <c r="AW118" s="100">
        <v>0</v>
      </c>
      <c r="AX118" s="100">
        <v>0</v>
      </c>
    </row>
    <row r="119" spans="1:50">
      <c r="B119" s="105" t="s">
        <v>46</v>
      </c>
      <c r="C119" s="100">
        <v>619.28318864775895</v>
      </c>
      <c r="D119" s="100">
        <v>619.28318864775895</v>
      </c>
      <c r="E119" s="100">
        <v>619.28318864775895</v>
      </c>
      <c r="F119" s="100">
        <v>619.28318864775895</v>
      </c>
      <c r="G119" s="100">
        <v>619.28318864775895</v>
      </c>
      <c r="H119" s="100">
        <v>619.28318864775895</v>
      </c>
      <c r="I119" s="100">
        <v>619.28318864775895</v>
      </c>
      <c r="J119" s="100">
        <v>619.28318864775895</v>
      </c>
      <c r="K119" s="100">
        <v>619.28318864775895</v>
      </c>
      <c r="L119" s="100">
        <v>619.28318864775895</v>
      </c>
      <c r="M119" s="100">
        <v>619.28318864775895</v>
      </c>
      <c r="N119" s="100">
        <v>619.28318864775895</v>
      </c>
      <c r="O119" s="100">
        <v>619.28318864775895</v>
      </c>
      <c r="P119" s="100">
        <v>619.28318864775895</v>
      </c>
      <c r="Q119" s="100">
        <v>234.99903030364521</v>
      </c>
      <c r="R119" s="100">
        <v>619.28318864775895</v>
      </c>
      <c r="S119" s="100">
        <v>619.28318864775895</v>
      </c>
      <c r="T119" s="100">
        <v>619.28318864775895</v>
      </c>
      <c r="U119" s="100">
        <v>619.28318864775895</v>
      </c>
      <c r="V119" s="100">
        <v>619.28318864775895</v>
      </c>
      <c r="W119" s="100">
        <v>619.28318864775895</v>
      </c>
      <c r="X119" s="100">
        <v>619.28318864775895</v>
      </c>
      <c r="Y119" s="100">
        <v>619.28318864775895</v>
      </c>
      <c r="Z119" s="100">
        <v>619.28318864775895</v>
      </c>
      <c r="AA119" s="100">
        <v>619.28318864775895</v>
      </c>
      <c r="AB119" s="100">
        <v>619.28318864775895</v>
      </c>
      <c r="AC119" s="100">
        <v>619.28318864775895</v>
      </c>
      <c r="AD119" s="100">
        <v>619.28318864775895</v>
      </c>
      <c r="AE119" s="100">
        <v>619.28318864775895</v>
      </c>
      <c r="AF119" s="100">
        <v>619.28318864775895</v>
      </c>
      <c r="AG119" s="100">
        <v>619.28318864775895</v>
      </c>
      <c r="AH119" s="100">
        <v>619.28318864775895</v>
      </c>
      <c r="AI119" s="100">
        <v>495.42655091820717</v>
      </c>
      <c r="AJ119" s="100">
        <v>495.42655091820717</v>
      </c>
      <c r="AK119" s="100">
        <v>244.5593749070768</v>
      </c>
      <c r="AL119" s="100">
        <v>245.01558465656811</v>
      </c>
      <c r="AM119" s="100">
        <v>245.46916449052574</v>
      </c>
      <c r="AN119" s="100">
        <v>245.92004117432316</v>
      </c>
      <c r="AO119" s="100">
        <v>495.42655091820717</v>
      </c>
      <c r="AP119" s="100">
        <v>495.42655091820717</v>
      </c>
      <c r="AQ119" s="100">
        <v>619.28318864775895</v>
      </c>
      <c r="AR119" s="100">
        <v>619.28318864775895</v>
      </c>
      <c r="AS119" s="100">
        <v>619.28318864775895</v>
      </c>
      <c r="AT119" s="100">
        <v>619.28318864775895</v>
      </c>
      <c r="AU119" s="100">
        <v>619.28318864775895</v>
      </c>
      <c r="AV119" s="100">
        <v>619.28318864775895</v>
      </c>
      <c r="AW119" s="100">
        <v>619.28318864775895</v>
      </c>
      <c r="AX119" s="100">
        <v>619.28318864775895</v>
      </c>
    </row>
    <row r="120" spans="1:50">
      <c r="B120" s="105" t="s">
        <v>59</v>
      </c>
      <c r="C120" s="100">
        <v>7.0078340648142169E-19</v>
      </c>
      <c r="D120" s="100">
        <v>7.0078340648142169E-19</v>
      </c>
      <c r="E120" s="100">
        <v>7.0078340648142169E-19</v>
      </c>
      <c r="F120" s="100">
        <v>7.0078340648142169E-19</v>
      </c>
      <c r="G120" s="100">
        <v>7.0078340648142169E-19</v>
      </c>
      <c r="H120" s="100">
        <v>7.0078340648142169E-19</v>
      </c>
      <c r="I120" s="100">
        <v>7.0078340648142169E-19</v>
      </c>
      <c r="J120" s="100">
        <v>7.0078340648142169E-19</v>
      </c>
      <c r="K120" s="100">
        <v>7.0078340648142169E-19</v>
      </c>
      <c r="L120" s="100">
        <v>7.0078340648142169E-19</v>
      </c>
      <c r="M120" s="100">
        <v>7.0078340648142169E-19</v>
      </c>
      <c r="N120" s="100">
        <v>7.0078340648142169E-19</v>
      </c>
      <c r="O120" s="100">
        <v>7.0078340648142169E-19</v>
      </c>
      <c r="P120" s="100">
        <v>7.0078340648142169E-19</v>
      </c>
      <c r="Q120" s="100">
        <v>2.659258704174018E-19</v>
      </c>
      <c r="R120" s="100">
        <v>7.0078340648142169E-19</v>
      </c>
      <c r="S120" s="100">
        <v>7.0078340648142169E-19</v>
      </c>
      <c r="T120" s="100">
        <v>7.0078340648142169E-19</v>
      </c>
      <c r="U120" s="100">
        <v>7.0078340648142169E-19</v>
      </c>
      <c r="V120" s="100">
        <v>7.0078340648142169E-19</v>
      </c>
      <c r="W120" s="100">
        <v>7.0078340648142169E-19</v>
      </c>
      <c r="X120" s="100">
        <v>7.0078340648142169E-19</v>
      </c>
      <c r="Y120" s="100">
        <v>7.0078340648142169E-19</v>
      </c>
      <c r="Z120" s="100">
        <v>7.0078340648142169E-19</v>
      </c>
      <c r="AA120" s="100">
        <v>7.0078340648142169E-19</v>
      </c>
      <c r="AB120" s="100">
        <v>7.0078340648142169E-19</v>
      </c>
      <c r="AC120" s="100">
        <v>7.0078340648142169E-19</v>
      </c>
      <c r="AD120" s="100">
        <v>7.0078340648142169E-19</v>
      </c>
      <c r="AE120" s="100">
        <v>7.0078340648142169E-19</v>
      </c>
      <c r="AF120" s="100">
        <v>7.0078340648142169E-19</v>
      </c>
      <c r="AG120" s="100">
        <v>7.0078340648142169E-19</v>
      </c>
      <c r="AH120" s="100">
        <v>7.0078340648142169E-19</v>
      </c>
      <c r="AI120" s="100">
        <v>5.6062672518513739E-19</v>
      </c>
      <c r="AJ120" s="100">
        <v>5.6062672518513739E-19</v>
      </c>
      <c r="AK120" s="100">
        <v>2.7674439574013551E-19</v>
      </c>
      <c r="AL120" s="100">
        <v>2.7726064457133122E-19</v>
      </c>
      <c r="AM120" s="100">
        <v>2.7777391737927903E-19</v>
      </c>
      <c r="AN120" s="100">
        <v>2.7828413129137395E-19</v>
      </c>
      <c r="AO120" s="100">
        <v>5.6062672518513739E-19</v>
      </c>
      <c r="AP120" s="100">
        <v>5.6062672518513739E-19</v>
      </c>
      <c r="AQ120" s="100">
        <v>7.0078340648142169E-19</v>
      </c>
      <c r="AR120" s="100">
        <v>7.0078340648142169E-19</v>
      </c>
      <c r="AS120" s="100">
        <v>7.0078340648142169E-19</v>
      </c>
      <c r="AT120" s="100">
        <v>7.0078340648142169E-19</v>
      </c>
      <c r="AU120" s="100">
        <v>7.0078340648142169E-19</v>
      </c>
      <c r="AV120" s="100">
        <v>7.0078340648142169E-19</v>
      </c>
      <c r="AW120" s="100">
        <v>7.0078340648142169E-19</v>
      </c>
      <c r="AX120" s="100">
        <v>7.0078340648142169E-19</v>
      </c>
    </row>
    <row r="121" spans="1:50">
      <c r="B121" s="100" t="s">
        <v>278</v>
      </c>
      <c r="C121" s="105">
        <f>SUM(C$116:C$120)</f>
        <v>12235.28318864776</v>
      </c>
      <c r="D121" s="105">
        <f t="shared" ref="D121:AX121" si="8">SUM(D$116:D$120)</f>
        <v>12235.28318864776</v>
      </c>
      <c r="E121" s="105">
        <f t="shared" si="8"/>
        <v>12235.28318864776</v>
      </c>
      <c r="F121" s="105">
        <f t="shared" si="8"/>
        <v>12235.28318864776</v>
      </c>
      <c r="G121" s="105">
        <f t="shared" si="8"/>
        <v>12235.28318864776</v>
      </c>
      <c r="H121" s="105">
        <f t="shared" si="8"/>
        <v>12235.28318864776</v>
      </c>
      <c r="I121" s="105">
        <f t="shared" si="8"/>
        <v>12235.28318864776</v>
      </c>
      <c r="J121" s="105">
        <f t="shared" si="8"/>
        <v>12235.28318864776</v>
      </c>
      <c r="K121" s="105">
        <f t="shared" si="8"/>
        <v>12235.28318864776</v>
      </c>
      <c r="L121" s="105">
        <f t="shared" si="8"/>
        <v>12235.28318864776</v>
      </c>
      <c r="M121" s="105">
        <f t="shared" si="8"/>
        <v>12235.28318864776</v>
      </c>
      <c r="N121" s="105">
        <f t="shared" si="8"/>
        <v>12235.28318864776</v>
      </c>
      <c r="O121" s="105">
        <f t="shared" si="8"/>
        <v>12235.28318864776</v>
      </c>
      <c r="P121" s="105">
        <f t="shared" si="8"/>
        <v>12235.28318864776</v>
      </c>
      <c r="Q121" s="105">
        <f t="shared" si="8"/>
        <v>4642.9157734784585</v>
      </c>
      <c r="R121" s="105">
        <f t="shared" si="8"/>
        <v>12235.28318864776</v>
      </c>
      <c r="S121" s="105">
        <f t="shared" si="8"/>
        <v>12235.28318864776</v>
      </c>
      <c r="T121" s="105">
        <f t="shared" si="8"/>
        <v>12235.28318864776</v>
      </c>
      <c r="U121" s="105">
        <f t="shared" si="8"/>
        <v>12235.28318864776</v>
      </c>
      <c r="V121" s="105">
        <f t="shared" si="8"/>
        <v>12235.28318864776</v>
      </c>
      <c r="W121" s="105">
        <f t="shared" si="8"/>
        <v>12235.28318864776</v>
      </c>
      <c r="X121" s="105">
        <f t="shared" si="8"/>
        <v>12235.28318864776</v>
      </c>
      <c r="Y121" s="105">
        <f t="shared" si="8"/>
        <v>12235.28318864776</v>
      </c>
      <c r="Z121" s="105">
        <f t="shared" si="8"/>
        <v>12235.28318864776</v>
      </c>
      <c r="AA121" s="105">
        <f t="shared" si="8"/>
        <v>12235.28318864776</v>
      </c>
      <c r="AB121" s="105">
        <f t="shared" si="8"/>
        <v>12235.28318864776</v>
      </c>
      <c r="AC121" s="105">
        <f t="shared" si="8"/>
        <v>12235.28318864776</v>
      </c>
      <c r="AD121" s="105">
        <f t="shared" si="8"/>
        <v>12235.28318864776</v>
      </c>
      <c r="AE121" s="105">
        <f t="shared" si="8"/>
        <v>12235.28318864776</v>
      </c>
      <c r="AF121" s="105">
        <f t="shared" si="8"/>
        <v>12235.28318864776</v>
      </c>
      <c r="AG121" s="105">
        <f t="shared" si="8"/>
        <v>12235.28318864776</v>
      </c>
      <c r="AH121" s="105">
        <f t="shared" si="8"/>
        <v>12235.28318864776</v>
      </c>
      <c r="AI121" s="105">
        <f t="shared" si="8"/>
        <v>9788.2265509182089</v>
      </c>
      <c r="AJ121" s="105">
        <f t="shared" si="8"/>
        <v>9788.2265509182089</v>
      </c>
      <c r="AK121" s="105">
        <f t="shared" si="8"/>
        <v>4831.8011263320759</v>
      </c>
      <c r="AL121" s="105">
        <f t="shared" si="8"/>
        <v>4840.8145398733623</v>
      </c>
      <c r="AM121" s="105">
        <f t="shared" si="8"/>
        <v>4849.7759937265646</v>
      </c>
      <c r="AN121" s="105">
        <f t="shared" si="8"/>
        <v>4858.6840409827246</v>
      </c>
      <c r="AO121" s="105">
        <f t="shared" si="8"/>
        <v>9788.2265509182089</v>
      </c>
      <c r="AP121" s="105">
        <f t="shared" si="8"/>
        <v>9788.2265509182089</v>
      </c>
      <c r="AQ121" s="105">
        <f t="shared" si="8"/>
        <v>12235.28318864776</v>
      </c>
      <c r="AR121" s="105">
        <f t="shared" si="8"/>
        <v>12235.28318864776</v>
      </c>
      <c r="AS121" s="105">
        <f t="shared" si="8"/>
        <v>12235.28318864776</v>
      </c>
      <c r="AT121" s="105">
        <f t="shared" si="8"/>
        <v>12235.28318864776</v>
      </c>
      <c r="AU121" s="105">
        <f t="shared" si="8"/>
        <v>12235.28318864776</v>
      </c>
      <c r="AV121" s="105">
        <f t="shared" si="8"/>
        <v>12235.28318864776</v>
      </c>
      <c r="AW121" s="105">
        <f t="shared" si="8"/>
        <v>12235.28318864776</v>
      </c>
      <c r="AX121" s="105">
        <f t="shared" si="8"/>
        <v>12235.28318864776</v>
      </c>
    </row>
    <row r="122" spans="1:50">
      <c r="A122" s="105" t="s">
        <v>108</v>
      </c>
      <c r="B122" s="105" t="s">
        <v>10</v>
      </c>
      <c r="C122" s="100">
        <v>1.1576753177676048E-19</v>
      </c>
      <c r="D122" s="100">
        <v>1.1576753177676048E-19</v>
      </c>
      <c r="E122" s="100">
        <v>1.1576753177676048E-19</v>
      </c>
      <c r="F122" s="100">
        <v>1.1576753177676048E-19</v>
      </c>
      <c r="G122" s="100">
        <v>1.1576753177676048E-19</v>
      </c>
      <c r="H122" s="100">
        <v>1.1576753177676048E-19</v>
      </c>
      <c r="I122" s="100">
        <v>1.1576753177676048E-19</v>
      </c>
      <c r="J122" s="100">
        <v>1.1576753177676048E-19</v>
      </c>
      <c r="K122" s="100">
        <v>1.1576753177676048E-19</v>
      </c>
      <c r="L122" s="100">
        <v>1.1576753177676048E-19</v>
      </c>
      <c r="M122" s="100">
        <v>1.1576753177676048E-19</v>
      </c>
      <c r="N122" s="100">
        <v>1.1576753177676048E-19</v>
      </c>
      <c r="O122" s="100">
        <v>1.1576753177676048E-19</v>
      </c>
      <c r="P122" s="100">
        <v>1.1576753177676048E-19</v>
      </c>
      <c r="Q122" s="100">
        <v>1.1576753177676048E-19</v>
      </c>
      <c r="R122" s="100">
        <v>1.1576753177676048E-19</v>
      </c>
      <c r="S122" s="100">
        <v>1.1576753177676048E-19</v>
      </c>
      <c r="T122" s="100">
        <v>1.1576753177676048E-19</v>
      </c>
      <c r="U122" s="100">
        <v>1.1576753177676048E-19</v>
      </c>
      <c r="V122" s="100">
        <v>1.1576753177676048E-19</v>
      </c>
      <c r="W122" s="100">
        <v>1.1576753177676048E-19</v>
      </c>
      <c r="X122" s="100">
        <v>1.1576753177676048E-19</v>
      </c>
      <c r="Y122" s="100">
        <v>1.1576753177676048E-19</v>
      </c>
      <c r="Z122" s="100">
        <v>1.1576753177676048E-19</v>
      </c>
      <c r="AA122" s="100">
        <v>1.1576753177676048E-19</v>
      </c>
      <c r="AB122" s="100">
        <v>1.1576753177676048E-19</v>
      </c>
      <c r="AC122" s="100">
        <v>1.1576753177676048E-19</v>
      </c>
      <c r="AD122" s="100">
        <v>1.1576753177676048E-19</v>
      </c>
      <c r="AE122" s="100">
        <v>1.1576753177676048E-19</v>
      </c>
      <c r="AF122" s="100">
        <v>1.1576753177676048E-19</v>
      </c>
      <c r="AG122" s="100">
        <v>1.1576753177676048E-19</v>
      </c>
      <c r="AH122" s="100">
        <v>1.1576753177676048E-19</v>
      </c>
      <c r="AI122" s="100">
        <v>1.1576753177676048E-19</v>
      </c>
      <c r="AJ122" s="100">
        <v>1.1576753177676048E-19</v>
      </c>
      <c r="AK122" s="100">
        <v>1.1576753177676048E-19</v>
      </c>
      <c r="AL122" s="100">
        <v>1.1576753177676048E-19</v>
      </c>
      <c r="AM122" s="100">
        <v>1.1576753177676048E-19</v>
      </c>
      <c r="AN122" s="100">
        <v>1.1576753177676048E-19</v>
      </c>
      <c r="AO122" s="100">
        <v>1.1576753177676048E-19</v>
      </c>
      <c r="AP122" s="100">
        <v>1.1576753177676048E-19</v>
      </c>
      <c r="AQ122" s="100">
        <v>1.1576753177676048E-19</v>
      </c>
      <c r="AR122" s="100">
        <v>1.1576753177676048E-19</v>
      </c>
      <c r="AS122" s="100">
        <v>1.1576753177676048E-19</v>
      </c>
      <c r="AT122" s="100">
        <v>1.1576753177676048E-19</v>
      </c>
      <c r="AU122" s="100">
        <v>1.1576753177676048E-19</v>
      </c>
      <c r="AV122" s="100">
        <v>1.1576753177676048E-19</v>
      </c>
      <c r="AW122" s="100">
        <v>1.1576753177676048E-19</v>
      </c>
      <c r="AX122" s="100">
        <v>1.1576753177676048E-19</v>
      </c>
    </row>
    <row r="123" spans="1:50">
      <c r="B123" s="105" t="s">
        <v>12</v>
      </c>
      <c r="C123" s="100">
        <v>4.7706758378158712E-19</v>
      </c>
      <c r="D123" s="100">
        <v>4.7706758378158712E-19</v>
      </c>
      <c r="E123" s="100">
        <v>4.7706758378158712E-19</v>
      </c>
      <c r="F123" s="100">
        <v>4.7706758378158712E-19</v>
      </c>
      <c r="G123" s="100">
        <v>4.7706758378158712E-19</v>
      </c>
      <c r="H123" s="100">
        <v>4.7706758378158712E-19</v>
      </c>
      <c r="I123" s="100">
        <v>4.7706758378158712E-19</v>
      </c>
      <c r="J123" s="100">
        <v>4.7706758378158712E-19</v>
      </c>
      <c r="K123" s="100">
        <v>4.7706758378158712E-19</v>
      </c>
      <c r="L123" s="100">
        <v>4.7706758378158712E-19</v>
      </c>
      <c r="M123" s="100">
        <v>4.7706758378158712E-19</v>
      </c>
      <c r="N123" s="100">
        <v>4.7706758378158712E-19</v>
      </c>
      <c r="O123" s="100">
        <v>4.7706758378158712E-19</v>
      </c>
      <c r="P123" s="100">
        <v>4.7706758378158712E-19</v>
      </c>
      <c r="Q123" s="100">
        <v>4.7706758378158712E-19</v>
      </c>
      <c r="R123" s="100">
        <v>4.7706758378158712E-19</v>
      </c>
      <c r="S123" s="100">
        <v>4.7706758378158712E-19</v>
      </c>
      <c r="T123" s="100">
        <v>4.7706758378158712E-19</v>
      </c>
      <c r="U123" s="100">
        <v>4.7706758378158712E-19</v>
      </c>
      <c r="V123" s="100">
        <v>4.7706758378158712E-19</v>
      </c>
      <c r="W123" s="100">
        <v>4.7706758378158712E-19</v>
      </c>
      <c r="X123" s="100">
        <v>4.7706758378158712E-19</v>
      </c>
      <c r="Y123" s="100">
        <v>4.7706758378158712E-19</v>
      </c>
      <c r="Z123" s="100">
        <v>4.7706758378158712E-19</v>
      </c>
      <c r="AA123" s="100">
        <v>4.7706758378158712E-19</v>
      </c>
      <c r="AB123" s="100">
        <v>4.7706758378158712E-19</v>
      </c>
      <c r="AC123" s="100">
        <v>4.7706758378158712E-19</v>
      </c>
      <c r="AD123" s="100">
        <v>4.7706758378158712E-19</v>
      </c>
      <c r="AE123" s="100">
        <v>4.7706758378158712E-19</v>
      </c>
      <c r="AF123" s="100">
        <v>4.7706758378158712E-19</v>
      </c>
      <c r="AG123" s="100">
        <v>4.7706758378158712E-19</v>
      </c>
      <c r="AH123" s="100">
        <v>4.7706758378158712E-19</v>
      </c>
      <c r="AI123" s="100">
        <v>4.7706758378158712E-19</v>
      </c>
      <c r="AJ123" s="100">
        <v>4.7706758378158712E-19</v>
      </c>
      <c r="AK123" s="100">
        <v>4.7706758378158712E-19</v>
      </c>
      <c r="AL123" s="100">
        <v>4.7706758378158712E-19</v>
      </c>
      <c r="AM123" s="100">
        <v>4.7706758378158712E-19</v>
      </c>
      <c r="AN123" s="100">
        <v>4.7706758378158712E-19</v>
      </c>
      <c r="AO123" s="100">
        <v>4.7706758378158712E-19</v>
      </c>
      <c r="AP123" s="100">
        <v>4.7706758378158712E-19</v>
      </c>
      <c r="AQ123" s="100">
        <v>4.7706758378158712E-19</v>
      </c>
      <c r="AR123" s="100">
        <v>4.7706758378158712E-19</v>
      </c>
      <c r="AS123" s="100">
        <v>4.7706758378158712E-19</v>
      </c>
      <c r="AT123" s="100">
        <v>4.7706758378158712E-19</v>
      </c>
      <c r="AU123" s="100">
        <v>4.7706758378158712E-19</v>
      </c>
      <c r="AV123" s="100">
        <v>4.7706758378158712E-19</v>
      </c>
      <c r="AW123" s="100">
        <v>4.7706758378158712E-19</v>
      </c>
      <c r="AX123" s="100">
        <v>4.7706758378158712E-19</v>
      </c>
    </row>
    <row r="124" spans="1:50">
      <c r="B124" s="105" t="s">
        <v>22</v>
      </c>
      <c r="C124" s="100">
        <v>9.4807515730946004E-20</v>
      </c>
      <c r="D124" s="100">
        <v>9.4807515730946004E-20</v>
      </c>
      <c r="E124" s="100">
        <v>9.4807515730946004E-20</v>
      </c>
      <c r="F124" s="100">
        <v>9.4807515730946004E-20</v>
      </c>
      <c r="G124" s="100">
        <v>9.4807515730946004E-20</v>
      </c>
      <c r="H124" s="100">
        <v>9.4807515730946004E-20</v>
      </c>
      <c r="I124" s="100">
        <v>9.4807515730946004E-20</v>
      </c>
      <c r="J124" s="100">
        <v>9.4807515730946004E-20</v>
      </c>
      <c r="K124" s="100">
        <v>9.4807515730946004E-20</v>
      </c>
      <c r="L124" s="100">
        <v>9.4807515730946004E-20</v>
      </c>
      <c r="M124" s="100">
        <v>9.4807515730946004E-20</v>
      </c>
      <c r="N124" s="100">
        <v>9.4807515730946004E-20</v>
      </c>
      <c r="O124" s="100">
        <v>9.4807515730946004E-20</v>
      </c>
      <c r="P124" s="100">
        <v>9.4807515730946004E-20</v>
      </c>
      <c r="Q124" s="100">
        <v>9.4807515730946004E-20</v>
      </c>
      <c r="R124" s="100">
        <v>9.4807515730946004E-20</v>
      </c>
      <c r="S124" s="100">
        <v>9.4807515730946004E-20</v>
      </c>
      <c r="T124" s="100">
        <v>9.4807515730946004E-20</v>
      </c>
      <c r="U124" s="100">
        <v>9.4807515730946004E-20</v>
      </c>
      <c r="V124" s="100">
        <v>9.4807515730946004E-20</v>
      </c>
      <c r="W124" s="100">
        <v>9.4807515730946004E-20</v>
      </c>
      <c r="X124" s="100">
        <v>9.4807515730946004E-20</v>
      </c>
      <c r="Y124" s="100">
        <v>9.4807515730946004E-20</v>
      </c>
      <c r="Z124" s="100">
        <v>9.4807515730946004E-20</v>
      </c>
      <c r="AA124" s="100">
        <v>9.4807515730946004E-20</v>
      </c>
      <c r="AB124" s="100">
        <v>9.4807515730946004E-20</v>
      </c>
      <c r="AC124" s="100">
        <v>9.4807515730946004E-20</v>
      </c>
      <c r="AD124" s="100">
        <v>9.4807515730946004E-20</v>
      </c>
      <c r="AE124" s="100">
        <v>9.4807515730946004E-20</v>
      </c>
      <c r="AF124" s="100">
        <v>9.4807515730946004E-20</v>
      </c>
      <c r="AG124" s="100">
        <v>9.4807515730946004E-20</v>
      </c>
      <c r="AH124" s="100">
        <v>9.4807515730946004E-20</v>
      </c>
      <c r="AI124" s="100">
        <v>9.4807515730946004E-20</v>
      </c>
      <c r="AJ124" s="100">
        <v>9.4807515730946004E-20</v>
      </c>
      <c r="AK124" s="100">
        <v>9.4807515730946004E-20</v>
      </c>
      <c r="AL124" s="100">
        <v>9.4807515730946004E-20</v>
      </c>
      <c r="AM124" s="100">
        <v>9.4807515730946004E-20</v>
      </c>
      <c r="AN124" s="100">
        <v>9.4807515730946004E-20</v>
      </c>
      <c r="AO124" s="100">
        <v>9.4807515730946004E-20</v>
      </c>
      <c r="AP124" s="100">
        <v>9.4807515730946004E-20</v>
      </c>
      <c r="AQ124" s="100">
        <v>9.4807515730946004E-20</v>
      </c>
      <c r="AR124" s="100">
        <v>9.4807515730946004E-20</v>
      </c>
      <c r="AS124" s="100">
        <v>9.4807515730946004E-20</v>
      </c>
      <c r="AT124" s="100">
        <v>9.4807515730946004E-20</v>
      </c>
      <c r="AU124" s="100">
        <v>9.4807515730946004E-20</v>
      </c>
      <c r="AV124" s="100">
        <v>9.4807515730946004E-20</v>
      </c>
      <c r="AW124" s="100">
        <v>9.4807515730946004E-20</v>
      </c>
      <c r="AX124" s="100">
        <v>9.4807515730946004E-20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6.8764263128929361E-19</v>
      </c>
      <c r="D127" s="105">
        <f t="shared" ref="D127:AX127" si="9">SUM(D$122:D$126)</f>
        <v>6.8764263128929361E-19</v>
      </c>
      <c r="E127" s="105">
        <f t="shared" si="9"/>
        <v>6.8764263128929361E-19</v>
      </c>
      <c r="F127" s="105">
        <f t="shared" si="9"/>
        <v>6.8764263128929361E-19</v>
      </c>
      <c r="G127" s="105">
        <f t="shared" si="9"/>
        <v>6.8764263128929361E-19</v>
      </c>
      <c r="H127" s="105">
        <f t="shared" si="9"/>
        <v>6.8764263128929361E-19</v>
      </c>
      <c r="I127" s="105">
        <f t="shared" si="9"/>
        <v>6.8764263128929361E-19</v>
      </c>
      <c r="J127" s="105">
        <f t="shared" si="9"/>
        <v>6.8764263128929361E-19</v>
      </c>
      <c r="K127" s="105">
        <f t="shared" si="9"/>
        <v>6.8764263128929361E-19</v>
      </c>
      <c r="L127" s="105">
        <f t="shared" si="9"/>
        <v>6.8764263128929361E-19</v>
      </c>
      <c r="M127" s="105">
        <f t="shared" si="9"/>
        <v>6.8764263128929361E-19</v>
      </c>
      <c r="N127" s="105">
        <f t="shared" si="9"/>
        <v>6.8764263128929361E-19</v>
      </c>
      <c r="O127" s="105">
        <f t="shared" si="9"/>
        <v>6.8764263128929361E-19</v>
      </c>
      <c r="P127" s="105">
        <f t="shared" si="9"/>
        <v>6.8764263128929361E-19</v>
      </c>
      <c r="Q127" s="105">
        <f t="shared" si="9"/>
        <v>6.8764263128929361E-19</v>
      </c>
      <c r="R127" s="105">
        <f t="shared" si="9"/>
        <v>6.8764263128929361E-19</v>
      </c>
      <c r="S127" s="105">
        <f t="shared" si="9"/>
        <v>6.8764263128929361E-19</v>
      </c>
      <c r="T127" s="105">
        <f t="shared" si="9"/>
        <v>6.8764263128929361E-19</v>
      </c>
      <c r="U127" s="105">
        <f t="shared" si="9"/>
        <v>6.8764263128929361E-19</v>
      </c>
      <c r="V127" s="105">
        <f t="shared" si="9"/>
        <v>6.8764263128929361E-19</v>
      </c>
      <c r="W127" s="105">
        <f t="shared" si="9"/>
        <v>6.8764263128929361E-19</v>
      </c>
      <c r="X127" s="105">
        <f t="shared" si="9"/>
        <v>6.8764263128929361E-19</v>
      </c>
      <c r="Y127" s="105">
        <f t="shared" si="9"/>
        <v>6.8764263128929361E-19</v>
      </c>
      <c r="Z127" s="105">
        <f t="shared" si="9"/>
        <v>6.8764263128929361E-19</v>
      </c>
      <c r="AA127" s="105">
        <f t="shared" si="9"/>
        <v>6.8764263128929361E-19</v>
      </c>
      <c r="AB127" s="105">
        <f t="shared" si="9"/>
        <v>6.8764263128929361E-19</v>
      </c>
      <c r="AC127" s="105">
        <f t="shared" si="9"/>
        <v>6.8764263128929361E-19</v>
      </c>
      <c r="AD127" s="105">
        <f t="shared" si="9"/>
        <v>6.8764263128929361E-19</v>
      </c>
      <c r="AE127" s="105">
        <f t="shared" si="9"/>
        <v>6.8764263128929361E-19</v>
      </c>
      <c r="AF127" s="105">
        <f t="shared" si="9"/>
        <v>6.8764263128929361E-19</v>
      </c>
      <c r="AG127" s="105">
        <f t="shared" si="9"/>
        <v>6.8764263128929361E-19</v>
      </c>
      <c r="AH127" s="105">
        <f t="shared" si="9"/>
        <v>6.8764263128929361E-19</v>
      </c>
      <c r="AI127" s="105">
        <f t="shared" si="9"/>
        <v>6.8764263128929361E-19</v>
      </c>
      <c r="AJ127" s="105">
        <f t="shared" si="9"/>
        <v>6.8764263128929361E-19</v>
      </c>
      <c r="AK127" s="105">
        <f t="shared" si="9"/>
        <v>6.8764263128929361E-19</v>
      </c>
      <c r="AL127" s="105">
        <f t="shared" si="9"/>
        <v>6.8764263128929361E-19</v>
      </c>
      <c r="AM127" s="105">
        <f t="shared" si="9"/>
        <v>6.8764263128929361E-19</v>
      </c>
      <c r="AN127" s="105">
        <f t="shared" si="9"/>
        <v>6.8764263128929361E-19</v>
      </c>
      <c r="AO127" s="105">
        <f t="shared" si="9"/>
        <v>6.8764263128929361E-19</v>
      </c>
      <c r="AP127" s="105">
        <f t="shared" si="9"/>
        <v>6.8764263128929361E-19</v>
      </c>
      <c r="AQ127" s="105">
        <f t="shared" si="9"/>
        <v>6.8764263128929361E-19</v>
      </c>
      <c r="AR127" s="105">
        <f t="shared" si="9"/>
        <v>6.8764263128929361E-19</v>
      </c>
      <c r="AS127" s="105">
        <f t="shared" si="9"/>
        <v>6.8764263128929361E-19</v>
      </c>
      <c r="AT127" s="105">
        <f t="shared" si="9"/>
        <v>6.8764263128929361E-19</v>
      </c>
      <c r="AU127" s="105">
        <f t="shared" si="9"/>
        <v>6.8764263128929361E-19</v>
      </c>
      <c r="AV127" s="105">
        <f t="shared" si="9"/>
        <v>6.8764263128929361E-19</v>
      </c>
      <c r="AW127" s="105">
        <f t="shared" si="9"/>
        <v>6.8764263128929361E-19</v>
      </c>
      <c r="AX127" s="105">
        <f t="shared" si="9"/>
        <v>6.8764263128929361E-19</v>
      </c>
    </row>
    <row r="128" spans="1:50">
      <c r="A128" s="105" t="s">
        <v>109</v>
      </c>
      <c r="B128" s="105" t="s">
        <v>10</v>
      </c>
      <c r="C128" s="100">
        <v>7.0625627351256678E-19</v>
      </c>
      <c r="D128" s="100">
        <v>7.0625627351256678E-19</v>
      </c>
      <c r="E128" s="100">
        <v>7.0625627351256678E-19</v>
      </c>
      <c r="F128" s="100">
        <v>7.0625627351256678E-19</v>
      </c>
      <c r="G128" s="100">
        <v>5.8854689459380567E-19</v>
      </c>
      <c r="H128" s="100">
        <v>5.8854689459380567E-19</v>
      </c>
      <c r="I128" s="100">
        <v>5.8854689459380567E-19</v>
      </c>
      <c r="J128" s="100">
        <v>5.8854689459380567E-19</v>
      </c>
      <c r="K128" s="100">
        <v>5.8854689459380567E-19</v>
      </c>
      <c r="L128" s="100">
        <v>5.8854689459380567E-19</v>
      </c>
      <c r="M128" s="100">
        <v>5.8854689459380567E-19</v>
      </c>
      <c r="N128" s="100">
        <v>5.8854689459380567E-19</v>
      </c>
      <c r="O128" s="100">
        <v>7.0625627351256678E-19</v>
      </c>
      <c r="P128" s="100">
        <v>7.0625627351256678E-19</v>
      </c>
      <c r="Q128" s="100">
        <v>7.0625627351256678E-19</v>
      </c>
      <c r="R128" s="100">
        <v>7.0625627351256678E-19</v>
      </c>
      <c r="S128" s="100">
        <v>7.0625627351256678E-19</v>
      </c>
      <c r="T128" s="100">
        <v>7.0625627351256678E-19</v>
      </c>
      <c r="U128" s="100">
        <v>7.0625627351256678E-19</v>
      </c>
      <c r="V128" s="100">
        <v>7.0625627351256678E-19</v>
      </c>
      <c r="W128" s="100">
        <v>5.8854689459380567E-19</v>
      </c>
      <c r="X128" s="100">
        <v>5.8854689459380567E-19</v>
      </c>
      <c r="Y128" s="100">
        <v>5.8854689459380567E-19</v>
      </c>
      <c r="Z128" s="100">
        <v>5.8854689459380567E-19</v>
      </c>
      <c r="AA128" s="100">
        <v>7.0625627351256678E-19</v>
      </c>
      <c r="AB128" s="100">
        <v>7.0625627351256678E-19</v>
      </c>
      <c r="AC128" s="100">
        <v>7.0625627351256678E-19</v>
      </c>
      <c r="AD128" s="100">
        <v>7.0625627351256678E-19</v>
      </c>
      <c r="AE128" s="100">
        <v>5.8854689459380567E-19</v>
      </c>
      <c r="AF128" s="100">
        <v>5.8854689459380567E-19</v>
      </c>
      <c r="AG128" s="100">
        <v>5.8854689459380567E-19</v>
      </c>
      <c r="AH128" s="100">
        <v>5.8854689459380567E-19</v>
      </c>
      <c r="AI128" s="100">
        <v>5.8854689459380567E-19</v>
      </c>
      <c r="AJ128" s="100">
        <v>5.8854689459380567E-19</v>
      </c>
      <c r="AK128" s="100">
        <v>5.8854689459380567E-19</v>
      </c>
      <c r="AL128" s="100">
        <v>5.8854689459380567E-19</v>
      </c>
      <c r="AM128" s="100">
        <v>5.8854689459380567E-19</v>
      </c>
      <c r="AN128" s="100">
        <v>5.8854689459380567E-19</v>
      </c>
      <c r="AO128" s="100">
        <v>5.8854689459380567E-19</v>
      </c>
      <c r="AP128" s="100">
        <v>5.8854689459380567E-19</v>
      </c>
      <c r="AQ128" s="100">
        <v>5.8854689459380567E-19</v>
      </c>
      <c r="AR128" s="100">
        <v>5.8854689459380567E-19</v>
      </c>
      <c r="AS128" s="100">
        <v>5.8854689459380567E-19</v>
      </c>
      <c r="AT128" s="100">
        <v>5.8854689459380567E-19</v>
      </c>
      <c r="AU128" s="100">
        <v>5.8854689459380567E-19</v>
      </c>
      <c r="AV128" s="100">
        <v>5.8854689459380567E-19</v>
      </c>
      <c r="AW128" s="100">
        <v>5.8854689459380567E-19</v>
      </c>
      <c r="AX128" s="100">
        <v>5.8854689459380567E-19</v>
      </c>
    </row>
    <row r="129" spans="2:50">
      <c r="B129" s="105" t="s">
        <v>12</v>
      </c>
      <c r="C129" s="100">
        <v>6.0024075003967765E-19</v>
      </c>
      <c r="D129" s="100">
        <v>6.0024075003967765E-19</v>
      </c>
      <c r="E129" s="100">
        <v>6.0024075003967765E-19</v>
      </c>
      <c r="F129" s="100">
        <v>6.0024075003967765E-19</v>
      </c>
      <c r="G129" s="100">
        <v>5.0020062503306468E-19</v>
      </c>
      <c r="H129" s="100">
        <v>5.0020062503306468E-19</v>
      </c>
      <c r="I129" s="100">
        <v>5.0020062503306468E-19</v>
      </c>
      <c r="J129" s="100">
        <v>5.0020062503306468E-19</v>
      </c>
      <c r="K129" s="100">
        <v>5.0020062503306468E-19</v>
      </c>
      <c r="L129" s="100">
        <v>5.0020062503306468E-19</v>
      </c>
      <c r="M129" s="100">
        <v>5.0020062503306468E-19</v>
      </c>
      <c r="N129" s="100">
        <v>5.0020062503306468E-19</v>
      </c>
      <c r="O129" s="100">
        <v>6.0024075003967765E-19</v>
      </c>
      <c r="P129" s="100">
        <v>6.0024075003967765E-19</v>
      </c>
      <c r="Q129" s="100">
        <v>6.0024075003967765E-19</v>
      </c>
      <c r="R129" s="100">
        <v>6.0024075003967765E-19</v>
      </c>
      <c r="S129" s="100">
        <v>6.0024075003967765E-19</v>
      </c>
      <c r="T129" s="100">
        <v>6.0024075003967765E-19</v>
      </c>
      <c r="U129" s="100">
        <v>6.0024075003967765E-19</v>
      </c>
      <c r="V129" s="100">
        <v>6.0024075003967765E-19</v>
      </c>
      <c r="W129" s="100">
        <v>5.0020062503306468E-19</v>
      </c>
      <c r="X129" s="100">
        <v>5.0020062503306468E-19</v>
      </c>
      <c r="Y129" s="100">
        <v>5.0020062503306468E-19</v>
      </c>
      <c r="Z129" s="100">
        <v>5.0020062503306468E-19</v>
      </c>
      <c r="AA129" s="100">
        <v>6.0024075003967765E-19</v>
      </c>
      <c r="AB129" s="100">
        <v>6.0024075003967765E-19</v>
      </c>
      <c r="AC129" s="100">
        <v>6.0024075003967765E-19</v>
      </c>
      <c r="AD129" s="100">
        <v>6.0024075003967765E-19</v>
      </c>
      <c r="AE129" s="100">
        <v>5.0020062503306468E-19</v>
      </c>
      <c r="AF129" s="100">
        <v>5.0020062503306468E-19</v>
      </c>
      <c r="AG129" s="100">
        <v>5.0020062503306468E-19</v>
      </c>
      <c r="AH129" s="100">
        <v>5.0020062503306468E-19</v>
      </c>
      <c r="AI129" s="100">
        <v>5.0020062503306468E-19</v>
      </c>
      <c r="AJ129" s="100">
        <v>5.0020062503306468E-19</v>
      </c>
      <c r="AK129" s="100">
        <v>5.0020062503306468E-19</v>
      </c>
      <c r="AL129" s="100">
        <v>5.0020062503306468E-19</v>
      </c>
      <c r="AM129" s="100">
        <v>5.0020062503306468E-19</v>
      </c>
      <c r="AN129" s="100">
        <v>5.0020062503306468E-19</v>
      </c>
      <c r="AO129" s="100">
        <v>5.0020062503306468E-19</v>
      </c>
      <c r="AP129" s="100">
        <v>5.0020062503306468E-19</v>
      </c>
      <c r="AQ129" s="100">
        <v>5.0020062503306468E-19</v>
      </c>
      <c r="AR129" s="100">
        <v>5.0020062503306468E-19</v>
      </c>
      <c r="AS129" s="100">
        <v>5.0020062503306468E-19</v>
      </c>
      <c r="AT129" s="100">
        <v>5.0020062503306468E-19</v>
      </c>
      <c r="AU129" s="100">
        <v>5.0020062503306468E-19</v>
      </c>
      <c r="AV129" s="100">
        <v>5.0020062503306468E-19</v>
      </c>
      <c r="AW129" s="100">
        <v>5.0020062503306468E-19</v>
      </c>
      <c r="AX129" s="100">
        <v>5.0020062503306468E-19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2.2347676988052231E-20</v>
      </c>
      <c r="D132" s="100">
        <v>2.2347676988052231E-20</v>
      </c>
      <c r="E132" s="100">
        <v>2.2347676988052231E-20</v>
      </c>
      <c r="F132" s="100">
        <v>2.2347676988052231E-20</v>
      </c>
      <c r="G132" s="100">
        <v>1.8623064156710191E-20</v>
      </c>
      <c r="H132" s="100">
        <v>1.8623064156710191E-20</v>
      </c>
      <c r="I132" s="100">
        <v>1.8623064156710191E-20</v>
      </c>
      <c r="J132" s="100">
        <v>1.8623064156710191E-20</v>
      </c>
      <c r="K132" s="100">
        <v>1.8623064156710191E-20</v>
      </c>
      <c r="L132" s="100">
        <v>1.8623064156710191E-20</v>
      </c>
      <c r="M132" s="100">
        <v>1.8623064156710191E-20</v>
      </c>
      <c r="N132" s="100">
        <v>1.8623064156710191E-20</v>
      </c>
      <c r="O132" s="100">
        <v>2.2347676988052231E-20</v>
      </c>
      <c r="P132" s="100">
        <v>2.2347676988052231E-20</v>
      </c>
      <c r="Q132" s="100">
        <v>2.2347676988052231E-20</v>
      </c>
      <c r="R132" s="100">
        <v>2.2347676988052231E-20</v>
      </c>
      <c r="S132" s="100">
        <v>2.2347676988052231E-20</v>
      </c>
      <c r="T132" s="100">
        <v>2.2347676988052231E-20</v>
      </c>
      <c r="U132" s="100">
        <v>2.2347676988052231E-20</v>
      </c>
      <c r="V132" s="100">
        <v>2.2347676988052231E-20</v>
      </c>
      <c r="W132" s="100">
        <v>1.8623064156710191E-20</v>
      </c>
      <c r="X132" s="100">
        <v>1.8623064156710191E-20</v>
      </c>
      <c r="Y132" s="100">
        <v>1.8623064156710191E-20</v>
      </c>
      <c r="Z132" s="100">
        <v>1.8623064156710191E-20</v>
      </c>
      <c r="AA132" s="100">
        <v>2.2347676988052231E-20</v>
      </c>
      <c r="AB132" s="100">
        <v>2.2347676988052231E-20</v>
      </c>
      <c r="AC132" s="100">
        <v>2.2347676988052231E-20</v>
      </c>
      <c r="AD132" s="100">
        <v>2.2347676988052231E-20</v>
      </c>
      <c r="AE132" s="100">
        <v>1.8623064156710191E-20</v>
      </c>
      <c r="AF132" s="100">
        <v>1.8623064156710191E-20</v>
      </c>
      <c r="AG132" s="100">
        <v>1.8623064156710191E-20</v>
      </c>
      <c r="AH132" s="100">
        <v>1.8623064156710191E-20</v>
      </c>
      <c r="AI132" s="100">
        <v>1.8623064156710191E-20</v>
      </c>
      <c r="AJ132" s="100">
        <v>1.8623064156710191E-20</v>
      </c>
      <c r="AK132" s="100">
        <v>1.8623064156710191E-20</v>
      </c>
      <c r="AL132" s="100">
        <v>1.8623064156710191E-20</v>
      </c>
      <c r="AM132" s="100">
        <v>1.8623064156710191E-20</v>
      </c>
      <c r="AN132" s="100">
        <v>1.8623064156710191E-20</v>
      </c>
      <c r="AO132" s="100">
        <v>1.8623064156710191E-20</v>
      </c>
      <c r="AP132" s="100">
        <v>1.8623064156710191E-20</v>
      </c>
      <c r="AQ132" s="100">
        <v>1.8623064156710191E-20</v>
      </c>
      <c r="AR132" s="100">
        <v>1.8623064156710191E-20</v>
      </c>
      <c r="AS132" s="100">
        <v>1.8623064156710191E-20</v>
      </c>
      <c r="AT132" s="100">
        <v>1.8623064156710191E-20</v>
      </c>
      <c r="AU132" s="100">
        <v>1.8623064156710191E-20</v>
      </c>
      <c r="AV132" s="100">
        <v>1.8623064156710191E-20</v>
      </c>
      <c r="AW132" s="100">
        <v>1.8623064156710191E-20</v>
      </c>
      <c r="AX132" s="100">
        <v>1.8623064156710191E-20</v>
      </c>
    </row>
    <row r="133" spans="2:50">
      <c r="B133" s="100" t="s">
        <v>278</v>
      </c>
      <c r="C133" s="105">
        <f>SUM(C$128:C$132)</f>
        <v>1.3288447005402968E-18</v>
      </c>
      <c r="D133" s="105">
        <f t="shared" ref="D133:AX133" si="10">SUM(D$128:D$132)</f>
        <v>1.3288447005402968E-18</v>
      </c>
      <c r="E133" s="105">
        <f t="shared" si="10"/>
        <v>1.3288447005402968E-18</v>
      </c>
      <c r="F133" s="105">
        <f t="shared" si="10"/>
        <v>1.3288447005402968E-18</v>
      </c>
      <c r="G133" s="105">
        <f t="shared" si="10"/>
        <v>1.1073705837835805E-18</v>
      </c>
      <c r="H133" s="105">
        <f t="shared" si="10"/>
        <v>1.1073705837835805E-18</v>
      </c>
      <c r="I133" s="105">
        <f t="shared" si="10"/>
        <v>1.1073705837835805E-18</v>
      </c>
      <c r="J133" s="105">
        <f t="shared" si="10"/>
        <v>1.1073705837835805E-18</v>
      </c>
      <c r="K133" s="105">
        <f t="shared" si="10"/>
        <v>1.1073705837835805E-18</v>
      </c>
      <c r="L133" s="105">
        <f t="shared" si="10"/>
        <v>1.1073705837835805E-18</v>
      </c>
      <c r="M133" s="105">
        <f t="shared" si="10"/>
        <v>1.1073705837835805E-18</v>
      </c>
      <c r="N133" s="105">
        <f t="shared" si="10"/>
        <v>1.1073705837835805E-18</v>
      </c>
      <c r="O133" s="105">
        <f t="shared" si="10"/>
        <v>1.3288447005402968E-18</v>
      </c>
      <c r="P133" s="105">
        <f t="shared" si="10"/>
        <v>1.3288447005402968E-18</v>
      </c>
      <c r="Q133" s="105">
        <f t="shared" si="10"/>
        <v>1.3288447005402968E-18</v>
      </c>
      <c r="R133" s="105">
        <f t="shared" si="10"/>
        <v>1.3288447005402968E-18</v>
      </c>
      <c r="S133" s="105">
        <f t="shared" si="10"/>
        <v>1.3288447005402968E-18</v>
      </c>
      <c r="T133" s="105">
        <f t="shared" si="10"/>
        <v>1.3288447005402968E-18</v>
      </c>
      <c r="U133" s="105">
        <f t="shared" si="10"/>
        <v>1.3288447005402968E-18</v>
      </c>
      <c r="V133" s="105">
        <f t="shared" si="10"/>
        <v>1.3288447005402968E-18</v>
      </c>
      <c r="W133" s="105">
        <f t="shared" si="10"/>
        <v>1.1073705837835805E-18</v>
      </c>
      <c r="X133" s="105">
        <f t="shared" si="10"/>
        <v>1.1073705837835805E-18</v>
      </c>
      <c r="Y133" s="105">
        <f t="shared" si="10"/>
        <v>1.1073705837835805E-18</v>
      </c>
      <c r="Z133" s="105">
        <f t="shared" si="10"/>
        <v>1.1073705837835805E-18</v>
      </c>
      <c r="AA133" s="105">
        <f t="shared" si="10"/>
        <v>1.3288447005402968E-18</v>
      </c>
      <c r="AB133" s="105">
        <f t="shared" si="10"/>
        <v>1.3288447005402968E-18</v>
      </c>
      <c r="AC133" s="105">
        <f t="shared" si="10"/>
        <v>1.3288447005402968E-18</v>
      </c>
      <c r="AD133" s="105">
        <f t="shared" si="10"/>
        <v>1.3288447005402968E-18</v>
      </c>
      <c r="AE133" s="105">
        <f t="shared" si="10"/>
        <v>1.1073705837835805E-18</v>
      </c>
      <c r="AF133" s="105">
        <f t="shared" si="10"/>
        <v>1.1073705837835805E-18</v>
      </c>
      <c r="AG133" s="105">
        <f t="shared" si="10"/>
        <v>1.1073705837835805E-18</v>
      </c>
      <c r="AH133" s="105">
        <f t="shared" si="10"/>
        <v>1.1073705837835805E-18</v>
      </c>
      <c r="AI133" s="105">
        <f t="shared" si="10"/>
        <v>1.1073705837835805E-18</v>
      </c>
      <c r="AJ133" s="105">
        <f t="shared" si="10"/>
        <v>1.1073705837835805E-18</v>
      </c>
      <c r="AK133" s="105">
        <f t="shared" si="10"/>
        <v>1.1073705837835805E-18</v>
      </c>
      <c r="AL133" s="105">
        <f t="shared" si="10"/>
        <v>1.1073705837835805E-18</v>
      </c>
      <c r="AM133" s="105">
        <f t="shared" si="10"/>
        <v>1.1073705837835805E-18</v>
      </c>
      <c r="AN133" s="105">
        <f t="shared" si="10"/>
        <v>1.1073705837835805E-18</v>
      </c>
      <c r="AO133" s="105">
        <f t="shared" si="10"/>
        <v>1.1073705837835805E-18</v>
      </c>
      <c r="AP133" s="105">
        <f t="shared" si="10"/>
        <v>1.1073705837835805E-18</v>
      </c>
      <c r="AQ133" s="105">
        <f t="shared" si="10"/>
        <v>1.1073705837835805E-18</v>
      </c>
      <c r="AR133" s="105">
        <f t="shared" si="10"/>
        <v>1.1073705837835805E-18</v>
      </c>
      <c r="AS133" s="105">
        <f t="shared" si="10"/>
        <v>1.1073705837835805E-18</v>
      </c>
      <c r="AT133" s="105">
        <f t="shared" si="10"/>
        <v>1.1073705837835805E-18</v>
      </c>
      <c r="AU133" s="105">
        <f t="shared" si="10"/>
        <v>1.1073705837835805E-18</v>
      </c>
      <c r="AV133" s="105">
        <f t="shared" si="10"/>
        <v>1.1073705837835805E-18</v>
      </c>
      <c r="AW133" s="105">
        <f t="shared" si="10"/>
        <v>1.1073705837835805E-18</v>
      </c>
      <c r="AX133" s="105">
        <f t="shared" si="10"/>
        <v>1.1073705837835805E-18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600</v>
      </c>
      <c r="E7" s="144">
        <v>600</v>
      </c>
      <c r="F7" s="144">
        <v>600</v>
      </c>
      <c r="G7" s="144">
        <v>600</v>
      </c>
      <c r="H7" s="144">
        <v>600</v>
      </c>
      <c r="I7" s="144">
        <v>600</v>
      </c>
      <c r="J7" s="144">
        <v>600</v>
      </c>
      <c r="K7" s="144">
        <v>600</v>
      </c>
      <c r="L7" s="144">
        <v>600</v>
      </c>
      <c r="M7" s="144">
        <v>600</v>
      </c>
      <c r="N7" s="144">
        <v>600</v>
      </c>
      <c r="O7" s="144">
        <v>600</v>
      </c>
      <c r="P7" s="144">
        <v>600</v>
      </c>
      <c r="Q7" s="144">
        <v>600</v>
      </c>
      <c r="R7" s="144">
        <v>227.68164995737669</v>
      </c>
      <c r="S7" s="144">
        <v>600</v>
      </c>
      <c r="T7" s="144">
        <v>600</v>
      </c>
      <c r="U7" s="144">
        <v>600</v>
      </c>
      <c r="V7" s="144">
        <v>600</v>
      </c>
      <c r="W7" s="144">
        <v>600</v>
      </c>
      <c r="X7" s="144">
        <v>600</v>
      </c>
      <c r="Y7" s="144">
        <v>600</v>
      </c>
      <c r="Z7" s="144">
        <v>600</v>
      </c>
      <c r="AA7" s="144">
        <v>600</v>
      </c>
      <c r="AB7" s="144">
        <v>600</v>
      </c>
      <c r="AC7" s="144">
        <v>600</v>
      </c>
      <c r="AD7" s="144">
        <v>600</v>
      </c>
      <c r="AE7" s="144">
        <v>600</v>
      </c>
      <c r="AF7" s="144">
        <v>600</v>
      </c>
      <c r="AG7" s="144">
        <v>600</v>
      </c>
      <c r="AH7" s="144">
        <v>600</v>
      </c>
      <c r="AI7" s="144">
        <v>600</v>
      </c>
      <c r="AJ7" s="144">
        <v>480.00000000000006</v>
      </c>
      <c r="AK7" s="144">
        <v>480.00000000000006</v>
      </c>
      <c r="AL7" s="144">
        <v>236.94430534220038</v>
      </c>
      <c r="AM7" s="144">
        <v>237.38630967028894</v>
      </c>
      <c r="AN7" s="144">
        <v>237.8257659729359</v>
      </c>
      <c r="AO7" s="144">
        <v>238.26260329588851</v>
      </c>
      <c r="AP7" s="144">
        <v>480.00000000000006</v>
      </c>
      <c r="AQ7" s="144">
        <v>480.00000000000006</v>
      </c>
      <c r="AR7" s="144">
        <v>600</v>
      </c>
      <c r="AS7" s="144">
        <v>600</v>
      </c>
      <c r="AT7" s="144">
        <v>600</v>
      </c>
      <c r="AU7" s="144">
        <v>600</v>
      </c>
      <c r="AV7" s="144">
        <v>600</v>
      </c>
      <c r="AW7" s="144">
        <v>600</v>
      </c>
      <c r="AX7" s="144">
        <v>600</v>
      </c>
      <c r="AY7" s="144">
        <v>600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600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600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481.26469461577267</v>
      </c>
      <c r="D13" s="138">
        <f t="shared" ref="D13:AY13" si="1">D$7-D$10</f>
        <v>600</v>
      </c>
      <c r="E13" s="138">
        <f t="shared" si="1"/>
        <v>600</v>
      </c>
      <c r="F13" s="138">
        <f t="shared" si="1"/>
        <v>600</v>
      </c>
      <c r="G13" s="138">
        <f t="shared" si="1"/>
        <v>600</v>
      </c>
      <c r="H13" s="138">
        <f t="shared" si="1"/>
        <v>600</v>
      </c>
      <c r="I13" s="138">
        <f t="shared" si="1"/>
        <v>600</v>
      </c>
      <c r="J13" s="138">
        <f t="shared" si="1"/>
        <v>600</v>
      </c>
      <c r="K13" s="138">
        <f t="shared" si="1"/>
        <v>600</v>
      </c>
      <c r="L13" s="138">
        <f t="shared" si="1"/>
        <v>600</v>
      </c>
      <c r="M13" s="138">
        <f t="shared" si="1"/>
        <v>600</v>
      </c>
      <c r="N13" s="138">
        <f t="shared" si="1"/>
        <v>600</v>
      </c>
      <c r="O13" s="138">
        <f t="shared" si="1"/>
        <v>600</v>
      </c>
      <c r="P13" s="138">
        <f t="shared" si="1"/>
        <v>600</v>
      </c>
      <c r="Q13" s="138">
        <f t="shared" si="1"/>
        <v>600</v>
      </c>
      <c r="R13" s="138">
        <f t="shared" si="1"/>
        <v>227.68164995737669</v>
      </c>
      <c r="S13" s="138">
        <f t="shared" si="1"/>
        <v>600</v>
      </c>
      <c r="T13" s="138">
        <f t="shared" si="1"/>
        <v>600</v>
      </c>
      <c r="U13" s="138">
        <f t="shared" si="1"/>
        <v>600</v>
      </c>
      <c r="V13" s="138">
        <f t="shared" si="1"/>
        <v>600</v>
      </c>
      <c r="W13" s="138">
        <f t="shared" si="1"/>
        <v>600</v>
      </c>
      <c r="X13" s="138">
        <f t="shared" si="1"/>
        <v>600</v>
      </c>
      <c r="Y13" s="138">
        <f t="shared" si="1"/>
        <v>600</v>
      </c>
      <c r="Z13" s="138">
        <f t="shared" si="1"/>
        <v>600</v>
      </c>
      <c r="AA13" s="138">
        <f t="shared" si="1"/>
        <v>0</v>
      </c>
      <c r="AB13" s="138">
        <f t="shared" si="1"/>
        <v>600</v>
      </c>
      <c r="AC13" s="138">
        <f t="shared" si="1"/>
        <v>600</v>
      </c>
      <c r="AD13" s="138">
        <f t="shared" si="1"/>
        <v>600</v>
      </c>
      <c r="AE13" s="138">
        <f t="shared" si="1"/>
        <v>600</v>
      </c>
      <c r="AF13" s="138">
        <f t="shared" si="1"/>
        <v>600</v>
      </c>
      <c r="AG13" s="138">
        <f t="shared" si="1"/>
        <v>600</v>
      </c>
      <c r="AH13" s="138">
        <f t="shared" si="1"/>
        <v>600</v>
      </c>
      <c r="AI13" s="138">
        <f t="shared" si="1"/>
        <v>600</v>
      </c>
      <c r="AJ13" s="138">
        <f t="shared" si="1"/>
        <v>480.00000000000006</v>
      </c>
      <c r="AK13" s="138">
        <f t="shared" si="1"/>
        <v>480.00000000000006</v>
      </c>
      <c r="AL13" s="138">
        <f t="shared" si="1"/>
        <v>236.94430534220038</v>
      </c>
      <c r="AM13" s="138">
        <f t="shared" si="1"/>
        <v>237.38630967028894</v>
      </c>
      <c r="AN13" s="138">
        <f t="shared" si="1"/>
        <v>237.8257659729359</v>
      </c>
      <c r="AO13" s="138">
        <f t="shared" si="1"/>
        <v>238.26260329588851</v>
      </c>
      <c r="AP13" s="138">
        <f t="shared" si="1"/>
        <v>480.00000000000006</v>
      </c>
      <c r="AQ13" s="138">
        <f t="shared" si="1"/>
        <v>480.00000000000006</v>
      </c>
      <c r="AR13" s="138">
        <f t="shared" si="1"/>
        <v>600</v>
      </c>
      <c r="AS13" s="138">
        <f t="shared" si="1"/>
        <v>600</v>
      </c>
      <c r="AT13" s="138">
        <f t="shared" si="1"/>
        <v>600</v>
      </c>
      <c r="AU13" s="138">
        <f t="shared" si="1"/>
        <v>600</v>
      </c>
      <c r="AV13" s="138">
        <f t="shared" si="1"/>
        <v>600</v>
      </c>
      <c r="AW13" s="138">
        <f t="shared" si="1"/>
        <v>600</v>
      </c>
      <c r="AX13" s="138">
        <f t="shared" si="1"/>
        <v>600</v>
      </c>
      <c r="AY13" s="138">
        <f t="shared" si="1"/>
        <v>600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600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 t="s">
        <v>339</v>
      </c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0.5124495025036494</v>
      </c>
      <c r="C21" s="156" t="s">
        <v>293</v>
      </c>
      <c r="D21" s="106">
        <f>IF(C$20="Yes",0,SUM(C$13:C$16)*$B$21)</f>
        <v>246.62385332842345</v>
      </c>
      <c r="E21" s="106">
        <f t="shared" ref="E21:AY21" si="3">IF(D$20="Yes",0,SUM(D$13:D$16)*$B$21)</f>
        <v>307.46970150218965</v>
      </c>
      <c r="F21" s="106">
        <f t="shared" si="3"/>
        <v>307.46970150218965</v>
      </c>
      <c r="G21" s="106">
        <f t="shared" si="3"/>
        <v>307.46970150218965</v>
      </c>
      <c r="H21" s="106">
        <f t="shared" si="3"/>
        <v>307.46970150218965</v>
      </c>
      <c r="I21" s="106">
        <f t="shared" si="3"/>
        <v>307.46970150218965</v>
      </c>
      <c r="J21" s="106">
        <f t="shared" si="3"/>
        <v>307.46970150218965</v>
      </c>
      <c r="K21" s="106">
        <f t="shared" si="3"/>
        <v>307.46970150218965</v>
      </c>
      <c r="L21" s="106">
        <f t="shared" si="3"/>
        <v>307.46970150218965</v>
      </c>
      <c r="M21" s="106">
        <f t="shared" si="3"/>
        <v>307.46970150218965</v>
      </c>
      <c r="N21" s="106">
        <f t="shared" si="3"/>
        <v>307.46970150218965</v>
      </c>
      <c r="O21" s="106">
        <f t="shared" si="3"/>
        <v>307.46970150218965</v>
      </c>
      <c r="P21" s="106">
        <f t="shared" si="3"/>
        <v>307.46970150218965</v>
      </c>
      <c r="Q21" s="106">
        <f t="shared" si="3"/>
        <v>307.46970150218965</v>
      </c>
      <c r="R21" s="106">
        <f t="shared" si="3"/>
        <v>307.46970150218965</v>
      </c>
      <c r="S21" s="106">
        <f t="shared" si="3"/>
        <v>116.67534824986774</v>
      </c>
      <c r="T21" s="106">
        <f t="shared" si="3"/>
        <v>307.46970150218965</v>
      </c>
      <c r="U21" s="106">
        <f t="shared" si="3"/>
        <v>307.46970150218965</v>
      </c>
      <c r="V21" s="106">
        <f t="shared" si="3"/>
        <v>307.46970150218965</v>
      </c>
      <c r="W21" s="106">
        <f t="shared" si="3"/>
        <v>307.46970150218965</v>
      </c>
      <c r="X21" s="106">
        <f t="shared" si="3"/>
        <v>307.46970150218965</v>
      </c>
      <c r="Y21" s="106">
        <f t="shared" si="3"/>
        <v>307.46970150218965</v>
      </c>
      <c r="Z21" s="106">
        <f t="shared" si="3"/>
        <v>307.46970150218965</v>
      </c>
      <c r="AA21" s="106">
        <f t="shared" si="3"/>
        <v>0</v>
      </c>
      <c r="AB21" s="106">
        <f t="shared" si="3"/>
        <v>307.46970150218965</v>
      </c>
      <c r="AC21" s="106">
        <f t="shared" si="3"/>
        <v>307.46970150218965</v>
      </c>
      <c r="AD21" s="106">
        <f t="shared" si="3"/>
        <v>307.46970150218965</v>
      </c>
      <c r="AE21" s="106">
        <f t="shared" si="3"/>
        <v>307.46970150218965</v>
      </c>
      <c r="AF21" s="106">
        <f t="shared" si="3"/>
        <v>307.46970150218965</v>
      </c>
      <c r="AG21" s="106">
        <f t="shared" si="3"/>
        <v>307.46970150218965</v>
      </c>
      <c r="AH21" s="106">
        <f t="shared" si="3"/>
        <v>307.46970150218965</v>
      </c>
      <c r="AI21" s="106">
        <f t="shared" si="3"/>
        <v>307.46970150218965</v>
      </c>
      <c r="AJ21" s="106">
        <f t="shared" si="3"/>
        <v>307.46970150218965</v>
      </c>
      <c r="AK21" s="106">
        <f t="shared" si="3"/>
        <v>245.97576120175174</v>
      </c>
      <c r="AL21" s="106">
        <f t="shared" si="3"/>
        <v>245.97576120175174</v>
      </c>
      <c r="AM21" s="106">
        <f t="shared" si="3"/>
        <v>121.42199139368338</v>
      </c>
      <c r="AN21" s="106">
        <f t="shared" si="3"/>
        <v>121.64849629171682</v>
      </c>
      <c r="AO21" s="106">
        <f t="shared" si="3"/>
        <v>121.87369545538036</v>
      </c>
      <c r="AP21" s="106">
        <f t="shared" si="3"/>
        <v>122.09755252420244</v>
      </c>
      <c r="AQ21" s="106">
        <f t="shared" si="3"/>
        <v>245.97576120175174</v>
      </c>
      <c r="AR21" s="106">
        <f t="shared" si="3"/>
        <v>245.97576120175174</v>
      </c>
      <c r="AS21" s="106">
        <f t="shared" si="3"/>
        <v>307.46970150218965</v>
      </c>
      <c r="AT21" s="106">
        <f t="shared" si="3"/>
        <v>307.46970150218965</v>
      </c>
      <c r="AU21" s="106">
        <f t="shared" si="3"/>
        <v>307.46970150218965</v>
      </c>
      <c r="AV21" s="106">
        <f t="shared" si="3"/>
        <v>307.46970150218965</v>
      </c>
      <c r="AW21" s="106">
        <f t="shared" si="3"/>
        <v>307.46970150218965</v>
      </c>
      <c r="AX21" s="106">
        <f t="shared" si="3"/>
        <v>307.46970150218965</v>
      </c>
      <c r="AY21" s="106">
        <f t="shared" si="3"/>
        <v>307.46970150218965</v>
      </c>
      <c r="AZ21" s="157">
        <f>SUM($D21:$AY21)</f>
        <v>13210.622937631299</v>
      </c>
    </row>
    <row r="22" spans="1:52" s="110" customFormat="1">
      <c r="A22" s="158" t="s">
        <v>123</v>
      </c>
      <c r="B22" s="159">
        <f>1-$B$21</f>
        <v>0.4875504974963506</v>
      </c>
      <c r="C22" s="159" t="s">
        <v>293</v>
      </c>
      <c r="D22" s="114">
        <f>IF(C$20="Yes",0,SUM(C$13:C$16)*$B$22)</f>
        <v>234.64084128734922</v>
      </c>
      <c r="E22" s="114">
        <f t="shared" ref="E22:AY22" si="4">IF(D$20="Yes",0,SUM(D$13:D$16)*$B$22)</f>
        <v>292.53029849781035</v>
      </c>
      <c r="F22" s="114">
        <f t="shared" si="4"/>
        <v>292.53029849781035</v>
      </c>
      <c r="G22" s="114">
        <f t="shared" si="4"/>
        <v>292.53029849781035</v>
      </c>
      <c r="H22" s="114">
        <f t="shared" si="4"/>
        <v>292.53029849781035</v>
      </c>
      <c r="I22" s="114">
        <f t="shared" si="4"/>
        <v>292.53029849781035</v>
      </c>
      <c r="J22" s="114">
        <f t="shared" si="4"/>
        <v>292.53029849781035</v>
      </c>
      <c r="K22" s="114">
        <f t="shared" si="4"/>
        <v>292.53029849781035</v>
      </c>
      <c r="L22" s="114">
        <f t="shared" si="4"/>
        <v>292.53029849781035</v>
      </c>
      <c r="M22" s="114">
        <f t="shared" si="4"/>
        <v>292.53029849781035</v>
      </c>
      <c r="N22" s="114">
        <f t="shared" si="4"/>
        <v>292.53029849781035</v>
      </c>
      <c r="O22" s="114">
        <f t="shared" si="4"/>
        <v>292.53029849781035</v>
      </c>
      <c r="P22" s="114">
        <f t="shared" si="4"/>
        <v>292.53029849781035</v>
      </c>
      <c r="Q22" s="114">
        <f t="shared" si="4"/>
        <v>292.53029849781035</v>
      </c>
      <c r="R22" s="114">
        <f t="shared" si="4"/>
        <v>292.53029849781035</v>
      </c>
      <c r="S22" s="114">
        <f t="shared" si="4"/>
        <v>111.00630170750895</v>
      </c>
      <c r="T22" s="114">
        <f t="shared" si="4"/>
        <v>292.53029849781035</v>
      </c>
      <c r="U22" s="114">
        <f t="shared" si="4"/>
        <v>292.53029849781035</v>
      </c>
      <c r="V22" s="114">
        <f t="shared" si="4"/>
        <v>292.53029849781035</v>
      </c>
      <c r="W22" s="114">
        <f t="shared" si="4"/>
        <v>292.53029849781035</v>
      </c>
      <c r="X22" s="114">
        <f t="shared" si="4"/>
        <v>292.53029849781035</v>
      </c>
      <c r="Y22" s="114">
        <f t="shared" si="4"/>
        <v>292.53029849781035</v>
      </c>
      <c r="Z22" s="114">
        <f t="shared" si="4"/>
        <v>292.53029849781035</v>
      </c>
      <c r="AA22" s="114">
        <f t="shared" si="4"/>
        <v>0</v>
      </c>
      <c r="AB22" s="114">
        <f t="shared" si="4"/>
        <v>292.53029849781035</v>
      </c>
      <c r="AC22" s="114">
        <f t="shared" si="4"/>
        <v>292.53029849781035</v>
      </c>
      <c r="AD22" s="114">
        <f t="shared" si="4"/>
        <v>292.53029849781035</v>
      </c>
      <c r="AE22" s="114">
        <f t="shared" si="4"/>
        <v>292.53029849781035</v>
      </c>
      <c r="AF22" s="114">
        <f t="shared" si="4"/>
        <v>292.53029849781035</v>
      </c>
      <c r="AG22" s="114">
        <f t="shared" si="4"/>
        <v>292.53029849781035</v>
      </c>
      <c r="AH22" s="114">
        <f t="shared" si="4"/>
        <v>292.53029849781035</v>
      </c>
      <c r="AI22" s="114">
        <f t="shared" si="4"/>
        <v>292.53029849781035</v>
      </c>
      <c r="AJ22" s="114">
        <f t="shared" si="4"/>
        <v>292.53029849781035</v>
      </c>
      <c r="AK22" s="114">
        <f t="shared" si="4"/>
        <v>234.02423879824832</v>
      </c>
      <c r="AL22" s="114">
        <f t="shared" si="4"/>
        <v>234.02423879824832</v>
      </c>
      <c r="AM22" s="114">
        <f t="shared" si="4"/>
        <v>115.522313948517</v>
      </c>
      <c r="AN22" s="114">
        <f t="shared" si="4"/>
        <v>115.73781337857211</v>
      </c>
      <c r="AO22" s="114">
        <f t="shared" si="4"/>
        <v>115.95207051755554</v>
      </c>
      <c r="AP22" s="114">
        <f t="shared" si="4"/>
        <v>116.16505077168607</v>
      </c>
      <c r="AQ22" s="114">
        <f t="shared" si="4"/>
        <v>234.02423879824832</v>
      </c>
      <c r="AR22" s="114">
        <f t="shared" si="4"/>
        <v>234.02423879824832</v>
      </c>
      <c r="AS22" s="114">
        <f t="shared" si="4"/>
        <v>292.53029849781035</v>
      </c>
      <c r="AT22" s="114">
        <f t="shared" si="4"/>
        <v>292.53029849781035</v>
      </c>
      <c r="AU22" s="114">
        <f t="shared" si="4"/>
        <v>292.53029849781035</v>
      </c>
      <c r="AV22" s="114">
        <f t="shared" si="4"/>
        <v>292.53029849781035</v>
      </c>
      <c r="AW22" s="114">
        <f t="shared" si="4"/>
        <v>292.53029849781035</v>
      </c>
      <c r="AX22" s="114">
        <f t="shared" si="4"/>
        <v>292.53029849781035</v>
      </c>
      <c r="AY22" s="114">
        <f t="shared" si="4"/>
        <v>292.53029849781035</v>
      </c>
      <c r="AZ22" s="141">
        <f t="shared" ref="AZ22:AZ30" si="5">SUM($D22:$AY22)</f>
        <v>12568.742391223164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493247.70665684692</v>
      </c>
      <c r="E23" s="100">
        <f t="shared" ref="E23:AY23" si="6">E$21*$B$23</f>
        <v>614939.40300437924</v>
      </c>
      <c r="F23" s="100">
        <f t="shared" si="6"/>
        <v>614939.40300437924</v>
      </c>
      <c r="G23" s="100">
        <f t="shared" si="6"/>
        <v>614939.40300437924</v>
      </c>
      <c r="H23" s="100">
        <f t="shared" si="6"/>
        <v>614939.40300437924</v>
      </c>
      <c r="I23" s="100">
        <f t="shared" si="6"/>
        <v>614939.40300437924</v>
      </c>
      <c r="J23" s="100">
        <f t="shared" si="6"/>
        <v>614939.40300437924</v>
      </c>
      <c r="K23" s="100">
        <f t="shared" si="6"/>
        <v>614939.40300437924</v>
      </c>
      <c r="L23" s="100">
        <f t="shared" si="6"/>
        <v>614939.40300437924</v>
      </c>
      <c r="M23" s="100">
        <f t="shared" si="6"/>
        <v>614939.40300437924</v>
      </c>
      <c r="N23" s="100">
        <f t="shared" si="6"/>
        <v>614939.40300437924</v>
      </c>
      <c r="O23" s="100">
        <f t="shared" si="6"/>
        <v>614939.40300437924</v>
      </c>
      <c r="P23" s="100">
        <f t="shared" si="6"/>
        <v>614939.40300437924</v>
      </c>
      <c r="Q23" s="100">
        <f t="shared" si="6"/>
        <v>614939.40300437924</v>
      </c>
      <c r="R23" s="100">
        <f t="shared" si="6"/>
        <v>614939.40300437924</v>
      </c>
      <c r="S23" s="100">
        <f t="shared" si="6"/>
        <v>233350.69649973547</v>
      </c>
      <c r="T23" s="100">
        <f t="shared" si="6"/>
        <v>614939.40300437924</v>
      </c>
      <c r="U23" s="100">
        <f t="shared" si="6"/>
        <v>614939.40300437924</v>
      </c>
      <c r="V23" s="100">
        <f t="shared" si="6"/>
        <v>614939.40300437924</v>
      </c>
      <c r="W23" s="100">
        <f t="shared" si="6"/>
        <v>614939.40300437924</v>
      </c>
      <c r="X23" s="100">
        <f t="shared" si="6"/>
        <v>614939.40300437924</v>
      </c>
      <c r="Y23" s="100">
        <f t="shared" si="6"/>
        <v>614939.40300437924</v>
      </c>
      <c r="Z23" s="100">
        <f t="shared" si="6"/>
        <v>614939.40300437924</v>
      </c>
      <c r="AA23" s="100">
        <f t="shared" si="6"/>
        <v>0</v>
      </c>
      <c r="AB23" s="100">
        <f t="shared" si="6"/>
        <v>614939.40300437924</v>
      </c>
      <c r="AC23" s="100">
        <f t="shared" si="6"/>
        <v>614939.40300437924</v>
      </c>
      <c r="AD23" s="100">
        <f t="shared" si="6"/>
        <v>614939.40300437924</v>
      </c>
      <c r="AE23" s="100">
        <f t="shared" si="6"/>
        <v>614939.40300437924</v>
      </c>
      <c r="AF23" s="100">
        <f t="shared" si="6"/>
        <v>614939.40300437924</v>
      </c>
      <c r="AG23" s="100">
        <f t="shared" si="6"/>
        <v>614939.40300437924</v>
      </c>
      <c r="AH23" s="100">
        <f t="shared" si="6"/>
        <v>614939.40300437924</v>
      </c>
      <c r="AI23" s="100">
        <f t="shared" si="6"/>
        <v>614939.40300437924</v>
      </c>
      <c r="AJ23" s="100">
        <f t="shared" si="6"/>
        <v>614939.40300437924</v>
      </c>
      <c r="AK23" s="100">
        <f t="shared" si="6"/>
        <v>491951.52240350348</v>
      </c>
      <c r="AL23" s="100">
        <f t="shared" si="6"/>
        <v>491951.52240350348</v>
      </c>
      <c r="AM23" s="100">
        <f t="shared" si="6"/>
        <v>242843.98278736678</v>
      </c>
      <c r="AN23" s="100">
        <f t="shared" si="6"/>
        <v>243296.99258343366</v>
      </c>
      <c r="AO23" s="100">
        <f t="shared" si="6"/>
        <v>243747.3909107607</v>
      </c>
      <c r="AP23" s="100">
        <f t="shared" si="6"/>
        <v>244195.10504840489</v>
      </c>
      <c r="AQ23" s="100">
        <f t="shared" si="6"/>
        <v>491951.52240350348</v>
      </c>
      <c r="AR23" s="100">
        <f t="shared" si="6"/>
        <v>491951.52240350348</v>
      </c>
      <c r="AS23" s="100">
        <f t="shared" si="6"/>
        <v>614939.40300437924</v>
      </c>
      <c r="AT23" s="100">
        <f t="shared" si="6"/>
        <v>614939.40300437924</v>
      </c>
      <c r="AU23" s="100">
        <f t="shared" si="6"/>
        <v>614939.40300437924</v>
      </c>
      <c r="AV23" s="100">
        <f t="shared" si="6"/>
        <v>614939.40300437924</v>
      </c>
      <c r="AW23" s="100">
        <f t="shared" si="6"/>
        <v>614939.40300437924</v>
      </c>
      <c r="AX23" s="100">
        <f t="shared" si="6"/>
        <v>614939.40300437924</v>
      </c>
      <c r="AY23" s="100">
        <f t="shared" si="6"/>
        <v>614939.40300437924</v>
      </c>
      <c r="AZ23" s="139">
        <f t="shared" si="5"/>
        <v>26421245.875262592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234640.84128734921</v>
      </c>
      <c r="E24" s="106">
        <f t="shared" ref="E24:AY24" si="7">E$22*$B$24</f>
        <v>292530.29849781038</v>
      </c>
      <c r="F24" s="106">
        <f t="shared" si="7"/>
        <v>292530.29849781038</v>
      </c>
      <c r="G24" s="106">
        <f t="shared" si="7"/>
        <v>292530.29849781038</v>
      </c>
      <c r="H24" s="106">
        <f t="shared" si="7"/>
        <v>292530.29849781038</v>
      </c>
      <c r="I24" s="106">
        <f t="shared" si="7"/>
        <v>292530.29849781038</v>
      </c>
      <c r="J24" s="106">
        <f t="shared" si="7"/>
        <v>292530.29849781038</v>
      </c>
      <c r="K24" s="106">
        <f t="shared" si="7"/>
        <v>292530.29849781038</v>
      </c>
      <c r="L24" s="106">
        <f t="shared" si="7"/>
        <v>292530.29849781038</v>
      </c>
      <c r="M24" s="106">
        <f t="shared" si="7"/>
        <v>292530.29849781038</v>
      </c>
      <c r="N24" s="106">
        <f t="shared" si="7"/>
        <v>292530.29849781038</v>
      </c>
      <c r="O24" s="106">
        <f t="shared" si="7"/>
        <v>292530.29849781038</v>
      </c>
      <c r="P24" s="106">
        <f t="shared" si="7"/>
        <v>292530.29849781038</v>
      </c>
      <c r="Q24" s="106">
        <f t="shared" si="7"/>
        <v>292530.29849781038</v>
      </c>
      <c r="R24" s="106">
        <f t="shared" si="7"/>
        <v>292530.29849781038</v>
      </c>
      <c r="S24" s="106">
        <f t="shared" si="7"/>
        <v>111006.30170750896</v>
      </c>
      <c r="T24" s="106">
        <f t="shared" si="7"/>
        <v>292530.29849781038</v>
      </c>
      <c r="U24" s="106">
        <f t="shared" si="7"/>
        <v>292530.29849781038</v>
      </c>
      <c r="V24" s="106">
        <f t="shared" si="7"/>
        <v>292530.29849781038</v>
      </c>
      <c r="W24" s="106">
        <f t="shared" si="7"/>
        <v>292530.29849781038</v>
      </c>
      <c r="X24" s="106">
        <f t="shared" si="7"/>
        <v>292530.29849781038</v>
      </c>
      <c r="Y24" s="106">
        <f t="shared" si="7"/>
        <v>292530.29849781038</v>
      </c>
      <c r="Z24" s="106">
        <f t="shared" si="7"/>
        <v>292530.29849781038</v>
      </c>
      <c r="AA24" s="106">
        <f t="shared" si="7"/>
        <v>0</v>
      </c>
      <c r="AB24" s="106">
        <f t="shared" si="7"/>
        <v>292530.29849781038</v>
      </c>
      <c r="AC24" s="106">
        <f t="shared" si="7"/>
        <v>292530.29849781038</v>
      </c>
      <c r="AD24" s="106">
        <f t="shared" si="7"/>
        <v>292530.29849781038</v>
      </c>
      <c r="AE24" s="106">
        <f t="shared" si="7"/>
        <v>292530.29849781038</v>
      </c>
      <c r="AF24" s="106">
        <f t="shared" si="7"/>
        <v>292530.29849781038</v>
      </c>
      <c r="AG24" s="106">
        <f t="shared" si="7"/>
        <v>292530.29849781038</v>
      </c>
      <c r="AH24" s="106">
        <f t="shared" si="7"/>
        <v>292530.29849781038</v>
      </c>
      <c r="AI24" s="106">
        <f t="shared" si="7"/>
        <v>292530.29849781038</v>
      </c>
      <c r="AJ24" s="106">
        <f t="shared" si="7"/>
        <v>292530.29849781038</v>
      </c>
      <c r="AK24" s="106">
        <f t="shared" si="7"/>
        <v>234024.23879824832</v>
      </c>
      <c r="AL24" s="106">
        <f t="shared" si="7"/>
        <v>234024.23879824832</v>
      </c>
      <c r="AM24" s="106">
        <f t="shared" si="7"/>
        <v>115522.313948517</v>
      </c>
      <c r="AN24" s="106">
        <f t="shared" si="7"/>
        <v>115737.81337857211</v>
      </c>
      <c r="AO24" s="106">
        <f t="shared" si="7"/>
        <v>115952.07051755553</v>
      </c>
      <c r="AP24" s="106">
        <f t="shared" si="7"/>
        <v>116165.05077168607</v>
      </c>
      <c r="AQ24" s="106">
        <f t="shared" si="7"/>
        <v>234024.23879824832</v>
      </c>
      <c r="AR24" s="106">
        <f t="shared" si="7"/>
        <v>234024.23879824832</v>
      </c>
      <c r="AS24" s="106">
        <f t="shared" si="7"/>
        <v>292530.29849781038</v>
      </c>
      <c r="AT24" s="106">
        <f t="shared" si="7"/>
        <v>292530.29849781038</v>
      </c>
      <c r="AU24" s="106">
        <f t="shared" si="7"/>
        <v>292530.29849781038</v>
      </c>
      <c r="AV24" s="106">
        <f t="shared" si="7"/>
        <v>292530.29849781038</v>
      </c>
      <c r="AW24" s="106">
        <f t="shared" si="7"/>
        <v>292530.29849781038</v>
      </c>
      <c r="AX24" s="106">
        <f t="shared" si="7"/>
        <v>292530.29849781038</v>
      </c>
      <c r="AY24" s="106">
        <f t="shared" si="7"/>
        <v>292530.29849781038</v>
      </c>
      <c r="AZ24" s="141">
        <f t="shared" si="5"/>
        <v>12568742.391223164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5</v>
      </c>
      <c r="E27" s="124">
        <f t="shared" ref="E27:AY27" si="8">D27-D28+D29</f>
        <v>17</v>
      </c>
      <c r="F27" s="124">
        <f t="shared" si="8"/>
        <v>5</v>
      </c>
      <c r="G27" s="124">
        <f t="shared" si="8"/>
        <v>17</v>
      </c>
      <c r="H27" s="124">
        <f t="shared" si="8"/>
        <v>5</v>
      </c>
      <c r="I27" s="124">
        <f t="shared" si="8"/>
        <v>17</v>
      </c>
      <c r="J27" s="124">
        <f t="shared" si="8"/>
        <v>5</v>
      </c>
      <c r="K27" s="124">
        <f t="shared" si="8"/>
        <v>17</v>
      </c>
      <c r="L27" s="124">
        <f t="shared" si="8"/>
        <v>5</v>
      </c>
      <c r="M27" s="124">
        <f t="shared" si="8"/>
        <v>17</v>
      </c>
      <c r="N27" s="124">
        <f t="shared" si="8"/>
        <v>5</v>
      </c>
      <c r="O27" s="124">
        <f t="shared" si="8"/>
        <v>17</v>
      </c>
      <c r="P27" s="124">
        <f t="shared" si="8"/>
        <v>5</v>
      </c>
      <c r="Q27" s="124">
        <f t="shared" si="8"/>
        <v>17</v>
      </c>
      <c r="R27" s="124">
        <f t="shared" si="8"/>
        <v>5</v>
      </c>
      <c r="S27" s="124">
        <f t="shared" si="8"/>
        <v>17</v>
      </c>
      <c r="T27" s="124">
        <f t="shared" si="8"/>
        <v>14</v>
      </c>
      <c r="U27" s="124">
        <f t="shared" si="8"/>
        <v>8</v>
      </c>
      <c r="V27" s="124">
        <f t="shared" si="8"/>
        <v>14</v>
      </c>
      <c r="W27" s="124">
        <f t="shared" si="8"/>
        <v>8</v>
      </c>
      <c r="X27" s="124">
        <f t="shared" si="8"/>
        <v>14</v>
      </c>
      <c r="Y27" s="124">
        <f t="shared" si="8"/>
        <v>8</v>
      </c>
      <c r="Z27" s="124">
        <f t="shared" si="8"/>
        <v>14</v>
      </c>
      <c r="AA27" s="124">
        <f t="shared" si="8"/>
        <v>8</v>
      </c>
      <c r="AB27" s="124">
        <f t="shared" si="8"/>
        <v>22</v>
      </c>
      <c r="AC27" s="124">
        <f t="shared" si="8"/>
        <v>1</v>
      </c>
      <c r="AD27" s="124">
        <f t="shared" si="8"/>
        <v>21</v>
      </c>
      <c r="AE27" s="124">
        <f t="shared" si="8"/>
        <v>1</v>
      </c>
      <c r="AF27" s="124">
        <f t="shared" si="8"/>
        <v>21</v>
      </c>
      <c r="AG27" s="124">
        <f t="shared" si="8"/>
        <v>1</v>
      </c>
      <c r="AH27" s="124">
        <f t="shared" si="8"/>
        <v>21</v>
      </c>
      <c r="AI27" s="124">
        <f t="shared" si="8"/>
        <v>1</v>
      </c>
      <c r="AJ27" s="124">
        <f t="shared" si="8"/>
        <v>21</v>
      </c>
      <c r="AK27" s="124">
        <f t="shared" si="8"/>
        <v>1</v>
      </c>
      <c r="AL27" s="124">
        <f t="shared" si="8"/>
        <v>21</v>
      </c>
      <c r="AM27" s="124">
        <f t="shared" si="8"/>
        <v>5</v>
      </c>
      <c r="AN27" s="124">
        <f t="shared" si="8"/>
        <v>17</v>
      </c>
      <c r="AO27" s="124">
        <f t="shared" si="8"/>
        <v>13</v>
      </c>
      <c r="AP27" s="124">
        <f t="shared" si="8"/>
        <v>13</v>
      </c>
      <c r="AQ27" s="124">
        <f t="shared" si="8"/>
        <v>13</v>
      </c>
      <c r="AR27" s="124">
        <f t="shared" si="8"/>
        <v>9</v>
      </c>
      <c r="AS27" s="124">
        <f t="shared" si="8"/>
        <v>13</v>
      </c>
      <c r="AT27" s="124">
        <f t="shared" si="8"/>
        <v>9</v>
      </c>
      <c r="AU27" s="124">
        <f t="shared" si="8"/>
        <v>13</v>
      </c>
      <c r="AV27" s="124">
        <f t="shared" si="8"/>
        <v>9</v>
      </c>
      <c r="AW27" s="124">
        <f t="shared" si="8"/>
        <v>13</v>
      </c>
      <c r="AX27" s="124">
        <f t="shared" si="8"/>
        <v>9</v>
      </c>
      <c r="AY27" s="164">
        <f t="shared" si="8"/>
        <v>13</v>
      </c>
      <c r="AZ27" s="106"/>
    </row>
    <row r="28" spans="1:52">
      <c r="B28" s="165" t="s">
        <v>310</v>
      </c>
      <c r="C28" s="110">
        <v>17</v>
      </c>
      <c r="D28" s="110">
        <v>5</v>
      </c>
      <c r="E28" s="110">
        <v>17</v>
      </c>
      <c r="F28" s="110">
        <v>5</v>
      </c>
      <c r="G28" s="110">
        <v>17</v>
      </c>
      <c r="H28" s="110">
        <v>5</v>
      </c>
      <c r="I28" s="110">
        <v>17</v>
      </c>
      <c r="J28" s="110">
        <v>5</v>
      </c>
      <c r="K28" s="110">
        <v>17</v>
      </c>
      <c r="L28" s="110">
        <v>5</v>
      </c>
      <c r="M28" s="110">
        <v>17</v>
      </c>
      <c r="N28" s="110">
        <v>5</v>
      </c>
      <c r="O28" s="110">
        <v>17</v>
      </c>
      <c r="P28" s="110">
        <v>5</v>
      </c>
      <c r="Q28" s="110">
        <v>17</v>
      </c>
      <c r="R28" s="110">
        <v>5</v>
      </c>
      <c r="S28" s="110">
        <v>8</v>
      </c>
      <c r="T28" s="110">
        <v>14</v>
      </c>
      <c r="U28" s="110">
        <v>8</v>
      </c>
      <c r="V28" s="110">
        <v>14</v>
      </c>
      <c r="W28" s="110">
        <v>8</v>
      </c>
      <c r="X28" s="110">
        <v>14</v>
      </c>
      <c r="Y28" s="110">
        <v>8</v>
      </c>
      <c r="Z28" s="110">
        <v>14</v>
      </c>
      <c r="AA28" s="110">
        <v>0</v>
      </c>
      <c r="AB28" s="110">
        <v>21</v>
      </c>
      <c r="AC28" s="110">
        <v>1</v>
      </c>
      <c r="AD28" s="110">
        <v>21</v>
      </c>
      <c r="AE28" s="110">
        <v>1</v>
      </c>
      <c r="AF28" s="110">
        <v>21</v>
      </c>
      <c r="AG28" s="110">
        <v>1</v>
      </c>
      <c r="AH28" s="110">
        <v>21</v>
      </c>
      <c r="AI28" s="110">
        <v>1</v>
      </c>
      <c r="AJ28" s="110">
        <v>21</v>
      </c>
      <c r="AK28" s="110">
        <v>1</v>
      </c>
      <c r="AL28" s="110">
        <v>17</v>
      </c>
      <c r="AM28" s="110">
        <v>5</v>
      </c>
      <c r="AN28" s="110">
        <v>9</v>
      </c>
      <c r="AO28" s="110">
        <v>9</v>
      </c>
      <c r="AP28" s="110">
        <v>9</v>
      </c>
      <c r="AQ28" s="110">
        <v>13</v>
      </c>
      <c r="AR28" s="110">
        <v>9</v>
      </c>
      <c r="AS28" s="110">
        <v>13</v>
      </c>
      <c r="AT28" s="110">
        <v>9</v>
      </c>
      <c r="AU28" s="110">
        <v>13</v>
      </c>
      <c r="AV28" s="110">
        <v>9</v>
      </c>
      <c r="AW28" s="110">
        <v>13</v>
      </c>
      <c r="AX28" s="110">
        <v>9</v>
      </c>
      <c r="AY28" s="166">
        <v>13</v>
      </c>
      <c r="AZ28" s="106"/>
    </row>
    <row r="29" spans="1:52">
      <c r="B29" s="136" t="s">
        <v>311</v>
      </c>
      <c r="C29" s="125">
        <v>1</v>
      </c>
      <c r="D29" s="125">
        <f>C$28</f>
        <v>17</v>
      </c>
      <c r="E29" s="125">
        <f t="shared" ref="E29:AY29" si="9">D$28</f>
        <v>5</v>
      </c>
      <c r="F29" s="125">
        <f t="shared" si="9"/>
        <v>17</v>
      </c>
      <c r="G29" s="125">
        <f t="shared" si="9"/>
        <v>5</v>
      </c>
      <c r="H29" s="125">
        <f t="shared" si="9"/>
        <v>17</v>
      </c>
      <c r="I29" s="125">
        <f t="shared" si="9"/>
        <v>5</v>
      </c>
      <c r="J29" s="125">
        <f t="shared" si="9"/>
        <v>17</v>
      </c>
      <c r="K29" s="125">
        <f t="shared" si="9"/>
        <v>5</v>
      </c>
      <c r="L29" s="125">
        <f t="shared" si="9"/>
        <v>17</v>
      </c>
      <c r="M29" s="125">
        <f t="shared" si="9"/>
        <v>5</v>
      </c>
      <c r="N29" s="125">
        <f t="shared" si="9"/>
        <v>17</v>
      </c>
      <c r="O29" s="125">
        <f t="shared" si="9"/>
        <v>5</v>
      </c>
      <c r="P29" s="125">
        <f t="shared" si="9"/>
        <v>17</v>
      </c>
      <c r="Q29" s="125">
        <f t="shared" si="9"/>
        <v>5</v>
      </c>
      <c r="R29" s="125">
        <f t="shared" si="9"/>
        <v>17</v>
      </c>
      <c r="S29" s="125">
        <f t="shared" si="9"/>
        <v>5</v>
      </c>
      <c r="T29" s="125">
        <f t="shared" si="9"/>
        <v>8</v>
      </c>
      <c r="U29" s="125">
        <f t="shared" si="9"/>
        <v>14</v>
      </c>
      <c r="V29" s="125">
        <f t="shared" si="9"/>
        <v>8</v>
      </c>
      <c r="W29" s="125">
        <f t="shared" si="9"/>
        <v>14</v>
      </c>
      <c r="X29" s="125">
        <f t="shared" si="9"/>
        <v>8</v>
      </c>
      <c r="Y29" s="125">
        <f t="shared" si="9"/>
        <v>14</v>
      </c>
      <c r="Z29" s="125">
        <f t="shared" si="9"/>
        <v>8</v>
      </c>
      <c r="AA29" s="125">
        <f t="shared" si="9"/>
        <v>14</v>
      </c>
      <c r="AB29" s="125">
        <f t="shared" si="9"/>
        <v>0</v>
      </c>
      <c r="AC29" s="125">
        <f t="shared" si="9"/>
        <v>21</v>
      </c>
      <c r="AD29" s="125">
        <f t="shared" si="9"/>
        <v>1</v>
      </c>
      <c r="AE29" s="125">
        <f t="shared" si="9"/>
        <v>21</v>
      </c>
      <c r="AF29" s="125">
        <f t="shared" si="9"/>
        <v>1</v>
      </c>
      <c r="AG29" s="125">
        <f t="shared" si="9"/>
        <v>21</v>
      </c>
      <c r="AH29" s="125">
        <f t="shared" si="9"/>
        <v>1</v>
      </c>
      <c r="AI29" s="125">
        <f t="shared" si="9"/>
        <v>21</v>
      </c>
      <c r="AJ29" s="125">
        <f t="shared" si="9"/>
        <v>1</v>
      </c>
      <c r="AK29" s="125">
        <f t="shared" si="9"/>
        <v>21</v>
      </c>
      <c r="AL29" s="125">
        <f t="shared" si="9"/>
        <v>1</v>
      </c>
      <c r="AM29" s="125">
        <f t="shared" si="9"/>
        <v>17</v>
      </c>
      <c r="AN29" s="125">
        <f t="shared" si="9"/>
        <v>5</v>
      </c>
      <c r="AO29" s="125">
        <f t="shared" si="9"/>
        <v>9</v>
      </c>
      <c r="AP29" s="125">
        <f t="shared" si="9"/>
        <v>9</v>
      </c>
      <c r="AQ29" s="125">
        <f t="shared" si="9"/>
        <v>9</v>
      </c>
      <c r="AR29" s="125">
        <f t="shared" si="9"/>
        <v>13</v>
      </c>
      <c r="AS29" s="125">
        <f t="shared" si="9"/>
        <v>9</v>
      </c>
      <c r="AT29" s="125">
        <f t="shared" si="9"/>
        <v>13</v>
      </c>
      <c r="AU29" s="125">
        <f t="shared" si="9"/>
        <v>9</v>
      </c>
      <c r="AV29" s="125">
        <f t="shared" si="9"/>
        <v>13</v>
      </c>
      <c r="AW29" s="125">
        <f t="shared" si="9"/>
        <v>9</v>
      </c>
      <c r="AX29" s="125">
        <f t="shared" si="9"/>
        <v>13</v>
      </c>
      <c r="AY29" s="167">
        <f t="shared" si="9"/>
        <v>9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50</v>
      </c>
      <c r="E30" s="117">
        <f t="shared" ref="E30:AY30" si="10">E$27*$B$30</f>
        <v>170</v>
      </c>
      <c r="F30" s="117">
        <f t="shared" si="10"/>
        <v>50</v>
      </c>
      <c r="G30" s="117">
        <f t="shared" si="10"/>
        <v>170</v>
      </c>
      <c r="H30" s="117">
        <f t="shared" si="10"/>
        <v>50</v>
      </c>
      <c r="I30" s="117">
        <f t="shared" si="10"/>
        <v>170</v>
      </c>
      <c r="J30" s="117">
        <f t="shared" si="10"/>
        <v>50</v>
      </c>
      <c r="K30" s="117">
        <f t="shared" si="10"/>
        <v>170</v>
      </c>
      <c r="L30" s="117">
        <f t="shared" si="10"/>
        <v>50</v>
      </c>
      <c r="M30" s="117">
        <f t="shared" si="10"/>
        <v>170</v>
      </c>
      <c r="N30" s="117">
        <f t="shared" si="10"/>
        <v>50</v>
      </c>
      <c r="O30" s="117">
        <f t="shared" si="10"/>
        <v>170</v>
      </c>
      <c r="P30" s="117">
        <f t="shared" si="10"/>
        <v>50</v>
      </c>
      <c r="Q30" s="117">
        <f t="shared" si="10"/>
        <v>170</v>
      </c>
      <c r="R30" s="117">
        <f>R$27*$B$30</f>
        <v>50</v>
      </c>
      <c r="S30" s="117">
        <f t="shared" si="10"/>
        <v>170</v>
      </c>
      <c r="T30" s="117">
        <f t="shared" si="10"/>
        <v>140</v>
      </c>
      <c r="U30" s="117">
        <f t="shared" si="10"/>
        <v>80</v>
      </c>
      <c r="V30" s="117">
        <f t="shared" si="10"/>
        <v>140</v>
      </c>
      <c r="W30" s="117">
        <f t="shared" si="10"/>
        <v>80</v>
      </c>
      <c r="X30" s="117">
        <f t="shared" si="10"/>
        <v>140</v>
      </c>
      <c r="Y30" s="117">
        <f t="shared" si="10"/>
        <v>80</v>
      </c>
      <c r="Z30" s="117">
        <f t="shared" si="10"/>
        <v>140</v>
      </c>
      <c r="AA30" s="117">
        <f t="shared" si="10"/>
        <v>80</v>
      </c>
      <c r="AB30" s="117">
        <f t="shared" si="10"/>
        <v>220</v>
      </c>
      <c r="AC30" s="117">
        <f t="shared" si="10"/>
        <v>10</v>
      </c>
      <c r="AD30" s="117">
        <f t="shared" si="10"/>
        <v>210</v>
      </c>
      <c r="AE30" s="117">
        <f>AE$27*$B$30</f>
        <v>10</v>
      </c>
      <c r="AF30" s="117">
        <f t="shared" si="10"/>
        <v>210</v>
      </c>
      <c r="AG30" s="117">
        <f t="shared" si="10"/>
        <v>10</v>
      </c>
      <c r="AH30" s="117">
        <f t="shared" si="10"/>
        <v>210</v>
      </c>
      <c r="AI30" s="117">
        <f t="shared" si="10"/>
        <v>10</v>
      </c>
      <c r="AJ30" s="117">
        <f t="shared" si="10"/>
        <v>210</v>
      </c>
      <c r="AK30" s="117">
        <f t="shared" si="10"/>
        <v>10</v>
      </c>
      <c r="AL30" s="117">
        <f t="shared" si="10"/>
        <v>210</v>
      </c>
      <c r="AM30" s="117">
        <f t="shared" si="10"/>
        <v>50</v>
      </c>
      <c r="AN30" s="117">
        <f t="shared" si="10"/>
        <v>170</v>
      </c>
      <c r="AO30" s="117">
        <f t="shared" si="10"/>
        <v>130</v>
      </c>
      <c r="AP30" s="117">
        <f t="shared" si="10"/>
        <v>130</v>
      </c>
      <c r="AQ30" s="117">
        <f t="shared" si="10"/>
        <v>130</v>
      </c>
      <c r="AR30" s="117">
        <f t="shared" si="10"/>
        <v>90</v>
      </c>
      <c r="AS30" s="117">
        <f t="shared" si="10"/>
        <v>130</v>
      </c>
      <c r="AT30" s="117">
        <f t="shared" si="10"/>
        <v>90</v>
      </c>
      <c r="AU30" s="117">
        <f t="shared" si="10"/>
        <v>130</v>
      </c>
      <c r="AV30" s="117">
        <f t="shared" si="10"/>
        <v>90</v>
      </c>
      <c r="AW30" s="117">
        <f t="shared" si="10"/>
        <v>130</v>
      </c>
      <c r="AX30" s="117">
        <f t="shared" si="10"/>
        <v>90</v>
      </c>
      <c r="AY30" s="117">
        <f t="shared" si="10"/>
        <v>130</v>
      </c>
      <c r="AZ30" s="141">
        <f t="shared" si="5"/>
        <v>5450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125.57838519040455</v>
      </c>
      <c r="E33" s="124">
        <f>E$21*shipping_manufacturing!$D$27/100</f>
        <v>156.56047899877126</v>
      </c>
      <c r="F33" s="124">
        <f>F$21*shipping_manufacturing!$D$27/100</f>
        <v>156.56047899877126</v>
      </c>
      <c r="G33" s="124">
        <f>G$21*shipping_manufacturing!$D$27/100</f>
        <v>156.56047899877126</v>
      </c>
      <c r="H33" s="124">
        <f>H$21*shipping_manufacturing!$D$27/100</f>
        <v>156.56047899877126</v>
      </c>
      <c r="I33" s="124">
        <f>I$21*shipping_manufacturing!$D$27/100</f>
        <v>156.56047899877126</v>
      </c>
      <c r="J33" s="124">
        <f>J$21*shipping_manufacturing!$D$27/100</f>
        <v>156.56047899877126</v>
      </c>
      <c r="K33" s="124">
        <f>K$21*shipping_manufacturing!$D$27/100</f>
        <v>156.56047899877126</v>
      </c>
      <c r="L33" s="124">
        <f>L$21*shipping_manufacturing!$D$27/100</f>
        <v>156.56047899877126</v>
      </c>
      <c r="M33" s="124">
        <f>M$21*shipping_manufacturing!$D$27/100</f>
        <v>156.56047899877126</v>
      </c>
      <c r="N33" s="124">
        <f>N$21*shipping_manufacturing!$D$27/100</f>
        <v>156.56047899877126</v>
      </c>
      <c r="O33" s="124">
        <f>O$21*shipping_manufacturing!$D$27/100</f>
        <v>156.56047899877126</v>
      </c>
      <c r="P33" s="124">
        <f>P$21*shipping_manufacturing!$D$27/100</f>
        <v>156.56047899877126</v>
      </c>
      <c r="Q33" s="124">
        <f>Q$21*shipping_manufacturing!$D$27/100</f>
        <v>156.56047899877126</v>
      </c>
      <c r="R33" s="124">
        <f>R$21*shipping_manufacturing!$D$27/100</f>
        <v>156.56047899877126</v>
      </c>
      <c r="S33" s="124">
        <f>S$21*shipping_manufacturing!$D$27/100</f>
        <v>59.40991362759577</v>
      </c>
      <c r="T33" s="124">
        <f>T$21*shipping_manufacturing!$D$27/100</f>
        <v>156.56047899877126</v>
      </c>
      <c r="U33" s="124">
        <f>U$21*shipping_manufacturing!$D$27/100</f>
        <v>156.56047899877126</v>
      </c>
      <c r="V33" s="124">
        <f>V$21*shipping_manufacturing!$D$27/100</f>
        <v>156.56047899877126</v>
      </c>
      <c r="W33" s="124">
        <f>W$21*shipping_manufacturing!$D$27/100</f>
        <v>156.56047899877126</v>
      </c>
      <c r="X33" s="124">
        <f>X$21*shipping_manufacturing!$D$27/100</f>
        <v>156.56047899877126</v>
      </c>
      <c r="Y33" s="124">
        <f>Y$21*shipping_manufacturing!$D$27/100</f>
        <v>156.56047899877126</v>
      </c>
      <c r="Z33" s="124">
        <f>Z$21*shipping_manufacturing!$D$27/100</f>
        <v>156.56047899877126</v>
      </c>
      <c r="AA33" s="124">
        <f>AA$21*shipping_manufacturing!$D$27/100</f>
        <v>0</v>
      </c>
      <c r="AB33" s="124">
        <f>AB$21*shipping_manufacturing!$D$27/100</f>
        <v>156.56047899877126</v>
      </c>
      <c r="AC33" s="124">
        <f>AC$21*shipping_manufacturing!$D$27/100</f>
        <v>156.56047899877126</v>
      </c>
      <c r="AD33" s="124">
        <f>AD$21*shipping_manufacturing!$D$27/100</f>
        <v>156.56047899877126</v>
      </c>
      <c r="AE33" s="124">
        <f>AE$21*shipping_manufacturing!$D$27/100</f>
        <v>156.56047899877126</v>
      </c>
      <c r="AF33" s="124">
        <f>AF$21*shipping_manufacturing!$D$27/100</f>
        <v>156.56047899877126</v>
      </c>
      <c r="AG33" s="124">
        <f>AG$21*shipping_manufacturing!$D$27/100</f>
        <v>156.56047899877126</v>
      </c>
      <c r="AH33" s="124">
        <f>AH$21*shipping_manufacturing!$D$27/100</f>
        <v>156.56047899877126</v>
      </c>
      <c r="AI33" s="124">
        <f>AI$21*shipping_manufacturing!$D$27/100</f>
        <v>156.56047899877126</v>
      </c>
      <c r="AJ33" s="124">
        <f>AJ$21*shipping_manufacturing!$D$27/100</f>
        <v>156.56047899877126</v>
      </c>
      <c r="AK33" s="124">
        <f>AK$21*shipping_manufacturing!$D$27/100</f>
        <v>125.24838319901701</v>
      </c>
      <c r="AL33" s="124">
        <f>AL$21*shipping_manufacturing!$D$27/100</f>
        <v>125.24838319901701</v>
      </c>
      <c r="AM33" s="124">
        <f>AM$21*shipping_manufacturing!$D$27/100</f>
        <v>61.826856567343341</v>
      </c>
      <c r="AN33" s="124">
        <f>AN$21*shipping_manufacturing!$D$27/100</f>
        <v>61.942190582885132</v>
      </c>
      <c r="AO33" s="124">
        <f>AO$21*shipping_manufacturing!$D$27/100</f>
        <v>62.056859731620861</v>
      </c>
      <c r="AP33" s="124">
        <f>AP$21*shipping_manufacturing!$D$27/100</f>
        <v>62.170845499164194</v>
      </c>
      <c r="AQ33" s="124">
        <f>AQ$21*shipping_manufacturing!$D$27/100</f>
        <v>125.24838319901701</v>
      </c>
      <c r="AR33" s="124">
        <f>AR$21*shipping_manufacturing!$D$27/100</f>
        <v>125.24838319901701</v>
      </c>
      <c r="AS33" s="124">
        <f>AS$21*shipping_manufacturing!$D$27/100</f>
        <v>156.56047899877126</v>
      </c>
      <c r="AT33" s="124">
        <f>AT$21*shipping_manufacturing!$D$27/100</f>
        <v>156.56047899877126</v>
      </c>
      <c r="AU33" s="124">
        <f>AU$21*shipping_manufacturing!$D$27/100</f>
        <v>156.56047899877126</v>
      </c>
      <c r="AV33" s="124">
        <f>AV$21*shipping_manufacturing!$D$27/100</f>
        <v>156.56047899877126</v>
      </c>
      <c r="AW33" s="124">
        <f>AW$21*shipping_manufacturing!$D$27/100</f>
        <v>156.56047899877126</v>
      </c>
      <c r="AX33" s="124">
        <f>AX$21*shipping_manufacturing!$D$27/100</f>
        <v>156.56047899877126</v>
      </c>
      <c r="AY33" s="124">
        <f>AY$21*shipping_manufacturing!$D$27/100</f>
        <v>156.56047899877126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106.09822031530906</v>
      </c>
      <c r="E34" s="110">
        <f>E$22*shipping_manufacturing!$E$27/100</f>
        <v>132.27426175528794</v>
      </c>
      <c r="F34" s="110">
        <f>F$22*shipping_manufacturing!$E$27/100</f>
        <v>132.27426175528794</v>
      </c>
      <c r="G34" s="110">
        <f>G$22*shipping_manufacturing!$E$27/100</f>
        <v>132.27426175528794</v>
      </c>
      <c r="H34" s="110">
        <f>H$22*shipping_manufacturing!$E$27/100</f>
        <v>132.27426175528794</v>
      </c>
      <c r="I34" s="110">
        <f>I$22*shipping_manufacturing!$E$27/100</f>
        <v>132.27426175528794</v>
      </c>
      <c r="J34" s="110">
        <f>J$22*shipping_manufacturing!$E$27/100</f>
        <v>132.27426175528794</v>
      </c>
      <c r="K34" s="110">
        <f>K$22*shipping_manufacturing!$E$27/100</f>
        <v>132.27426175528794</v>
      </c>
      <c r="L34" s="110">
        <f>L$22*shipping_manufacturing!$E$27/100</f>
        <v>132.27426175528794</v>
      </c>
      <c r="M34" s="110">
        <f>M$22*shipping_manufacturing!$E$27/100</f>
        <v>132.27426175528794</v>
      </c>
      <c r="N34" s="110">
        <f>N$22*shipping_manufacturing!$E$27/100</f>
        <v>132.27426175528794</v>
      </c>
      <c r="O34" s="110">
        <f>O$22*shipping_manufacturing!$E$27/100</f>
        <v>132.27426175528794</v>
      </c>
      <c r="P34" s="110">
        <f>P$22*shipping_manufacturing!$E$27/100</f>
        <v>132.27426175528794</v>
      </c>
      <c r="Q34" s="110">
        <f>Q$22*shipping_manufacturing!$E$27/100</f>
        <v>132.27426175528794</v>
      </c>
      <c r="R34" s="110">
        <f>R$22*shipping_manufacturing!$E$27/100</f>
        <v>132.27426175528794</v>
      </c>
      <c r="S34" s="110">
        <f>S$22*shipping_manufacturing!$E$27/100</f>
        <v>50.194036938896481</v>
      </c>
      <c r="T34" s="110">
        <f>T$22*shipping_manufacturing!$E$27/100</f>
        <v>132.27426175528794</v>
      </c>
      <c r="U34" s="110">
        <f>U$22*shipping_manufacturing!$E$27/100</f>
        <v>132.27426175528794</v>
      </c>
      <c r="V34" s="110">
        <f>V$22*shipping_manufacturing!$E$27/100</f>
        <v>132.27426175528794</v>
      </c>
      <c r="W34" s="110">
        <f>W$22*shipping_manufacturing!$E$27/100</f>
        <v>132.27426175528794</v>
      </c>
      <c r="X34" s="110">
        <f>X$22*shipping_manufacturing!$E$27/100</f>
        <v>132.27426175528794</v>
      </c>
      <c r="Y34" s="110">
        <f>Y$22*shipping_manufacturing!$E$27/100</f>
        <v>132.27426175528794</v>
      </c>
      <c r="Z34" s="110">
        <f>Z$22*shipping_manufacturing!$E$27/100</f>
        <v>132.27426175528794</v>
      </c>
      <c r="AA34" s="110">
        <f>AA$22*shipping_manufacturing!$E$27/100</f>
        <v>0</v>
      </c>
      <c r="AB34" s="110">
        <f>AB$22*shipping_manufacturing!$E$27/100</f>
        <v>132.27426175528794</v>
      </c>
      <c r="AC34" s="110">
        <f>AC$22*shipping_manufacturing!$E$27/100</f>
        <v>132.27426175528794</v>
      </c>
      <c r="AD34" s="110">
        <f>AD$22*shipping_manufacturing!$E$27/100</f>
        <v>132.27426175528794</v>
      </c>
      <c r="AE34" s="110">
        <f>AE$22*shipping_manufacturing!$E$27/100</f>
        <v>132.27426175528794</v>
      </c>
      <c r="AF34" s="110">
        <f>AF$22*shipping_manufacturing!$E$27/100</f>
        <v>132.27426175528794</v>
      </c>
      <c r="AG34" s="110">
        <f>AG$22*shipping_manufacturing!$E$27/100</f>
        <v>132.27426175528794</v>
      </c>
      <c r="AH34" s="110">
        <f>AH$22*shipping_manufacturing!$E$27/100</f>
        <v>132.27426175528794</v>
      </c>
      <c r="AI34" s="110">
        <f>AI$22*shipping_manufacturing!$E$27/100</f>
        <v>132.27426175528794</v>
      </c>
      <c r="AJ34" s="110">
        <f>AJ$22*shipping_manufacturing!$E$27/100</f>
        <v>132.27426175528794</v>
      </c>
      <c r="AK34" s="110">
        <f>AK$22*shipping_manufacturing!$E$27/100</f>
        <v>105.81940940423037</v>
      </c>
      <c r="AL34" s="110">
        <f>AL$22*shipping_manufacturing!$E$27/100</f>
        <v>105.81940940423037</v>
      </c>
      <c r="AM34" s="110">
        <f>AM$22*shipping_manufacturing!$E$27/100</f>
        <v>52.236055110431806</v>
      </c>
      <c r="AN34" s="110">
        <f>AN$22*shipping_manufacturing!$E$27/100</f>
        <v>52.333498104082736</v>
      </c>
      <c r="AO34" s="110">
        <f>AO$22*shipping_manufacturing!$E$27/100</f>
        <v>52.430379367426625</v>
      </c>
      <c r="AP34" s="110">
        <f>AP$22*shipping_manufacturing!$E$27/100</f>
        <v>52.526683258094479</v>
      </c>
      <c r="AQ34" s="110">
        <f>AQ$22*shipping_manufacturing!$E$27/100</f>
        <v>105.81940940423037</v>
      </c>
      <c r="AR34" s="110">
        <f>AR$22*shipping_manufacturing!$E$27/100</f>
        <v>105.81940940423037</v>
      </c>
      <c r="AS34" s="110">
        <f>AS$22*shipping_manufacturing!$E$27/100</f>
        <v>132.27426175528794</v>
      </c>
      <c r="AT34" s="110">
        <f>AT$22*shipping_manufacturing!$E$27/100</f>
        <v>132.27426175528794</v>
      </c>
      <c r="AU34" s="110">
        <f>AU$22*shipping_manufacturing!$E$27/100</f>
        <v>132.27426175528794</v>
      </c>
      <c r="AV34" s="110">
        <f>AV$22*shipping_manufacturing!$E$27/100</f>
        <v>132.27426175528794</v>
      </c>
      <c r="AW34" s="110">
        <f>AW$22*shipping_manufacturing!$E$27/100</f>
        <v>132.27426175528794</v>
      </c>
      <c r="AX34" s="110">
        <f>AX$22*shipping_manufacturing!$E$27/100</f>
        <v>132.27426175528794</v>
      </c>
      <c r="AY34" s="110">
        <f>AY$22*shipping_manufacturing!$E$27/100</f>
        <v>132.27426175528794</v>
      </c>
    </row>
    <row r="35" spans="1:52">
      <c r="A35" s="110">
        <v>1225</v>
      </c>
      <c r="B35" s="165" t="s">
        <v>343</v>
      </c>
      <c r="C35" s="110"/>
      <c r="D35" s="110">
        <f>SUM(D33:D34)</f>
        <v>231.67660550571361</v>
      </c>
      <c r="E35" s="110">
        <f t="shared" ref="E35:AY35" si="11">SUM(E33:E34)</f>
        <v>288.83474075405923</v>
      </c>
      <c r="F35" s="110">
        <f t="shared" si="11"/>
        <v>288.83474075405923</v>
      </c>
      <c r="G35" s="110">
        <f t="shared" si="11"/>
        <v>288.83474075405923</v>
      </c>
      <c r="H35" s="110">
        <f t="shared" si="11"/>
        <v>288.83474075405923</v>
      </c>
      <c r="I35" s="110">
        <f t="shared" si="11"/>
        <v>288.83474075405923</v>
      </c>
      <c r="J35" s="110">
        <f t="shared" si="11"/>
        <v>288.83474075405923</v>
      </c>
      <c r="K35" s="110">
        <f t="shared" si="11"/>
        <v>288.83474075405923</v>
      </c>
      <c r="L35" s="110">
        <f t="shared" si="11"/>
        <v>288.83474075405923</v>
      </c>
      <c r="M35" s="110">
        <f t="shared" si="11"/>
        <v>288.83474075405923</v>
      </c>
      <c r="N35" s="110">
        <f t="shared" si="11"/>
        <v>288.83474075405923</v>
      </c>
      <c r="O35" s="110">
        <f t="shared" si="11"/>
        <v>288.83474075405923</v>
      </c>
      <c r="P35" s="110">
        <f t="shared" si="11"/>
        <v>288.83474075405923</v>
      </c>
      <c r="Q35" s="110">
        <f t="shared" si="11"/>
        <v>288.83474075405923</v>
      </c>
      <c r="R35" s="110">
        <f t="shared" si="11"/>
        <v>288.83474075405923</v>
      </c>
      <c r="S35" s="110">
        <f t="shared" si="11"/>
        <v>109.60395056649224</v>
      </c>
      <c r="T35" s="110">
        <f t="shared" si="11"/>
        <v>288.83474075405923</v>
      </c>
      <c r="U35" s="110">
        <f t="shared" si="11"/>
        <v>288.83474075405923</v>
      </c>
      <c r="V35" s="110">
        <f t="shared" si="11"/>
        <v>288.83474075405923</v>
      </c>
      <c r="W35" s="110">
        <f t="shared" si="11"/>
        <v>288.83474075405923</v>
      </c>
      <c r="X35" s="110">
        <f t="shared" si="11"/>
        <v>288.83474075405923</v>
      </c>
      <c r="Y35" s="110">
        <f t="shared" si="11"/>
        <v>288.83474075405923</v>
      </c>
      <c r="Z35" s="110">
        <f t="shared" si="11"/>
        <v>288.83474075405923</v>
      </c>
      <c r="AA35" s="110">
        <f t="shared" si="11"/>
        <v>0</v>
      </c>
      <c r="AB35" s="110">
        <f t="shared" si="11"/>
        <v>288.83474075405923</v>
      </c>
      <c r="AC35" s="110">
        <f t="shared" si="11"/>
        <v>288.83474075405923</v>
      </c>
      <c r="AD35" s="110">
        <f t="shared" si="11"/>
        <v>288.83474075405923</v>
      </c>
      <c r="AE35" s="110">
        <f t="shared" si="11"/>
        <v>288.83474075405923</v>
      </c>
      <c r="AF35" s="110">
        <f t="shared" si="11"/>
        <v>288.83474075405923</v>
      </c>
      <c r="AG35" s="110">
        <f t="shared" si="11"/>
        <v>288.83474075405923</v>
      </c>
      <c r="AH35" s="110">
        <f t="shared" si="11"/>
        <v>288.83474075405923</v>
      </c>
      <c r="AI35" s="110">
        <f t="shared" si="11"/>
        <v>288.83474075405923</v>
      </c>
      <c r="AJ35" s="110">
        <f t="shared" si="11"/>
        <v>288.83474075405923</v>
      </c>
      <c r="AK35" s="110">
        <f t="shared" si="11"/>
        <v>231.06779260324737</v>
      </c>
      <c r="AL35" s="110">
        <f t="shared" si="11"/>
        <v>231.06779260324737</v>
      </c>
      <c r="AM35" s="110">
        <f t="shared" si="11"/>
        <v>114.06291167777515</v>
      </c>
      <c r="AN35" s="110">
        <f t="shared" si="11"/>
        <v>114.27568868696787</v>
      </c>
      <c r="AO35" s="110">
        <f t="shared" si="11"/>
        <v>114.48723909904749</v>
      </c>
      <c r="AP35" s="110">
        <f t="shared" si="11"/>
        <v>114.69752875725868</v>
      </c>
      <c r="AQ35" s="110">
        <f t="shared" si="11"/>
        <v>231.06779260324737</v>
      </c>
      <c r="AR35" s="110">
        <f t="shared" si="11"/>
        <v>231.06779260324737</v>
      </c>
      <c r="AS35" s="110">
        <f t="shared" si="11"/>
        <v>288.83474075405923</v>
      </c>
      <c r="AT35" s="110">
        <f t="shared" si="11"/>
        <v>288.83474075405923</v>
      </c>
      <c r="AU35" s="110">
        <f t="shared" si="11"/>
        <v>288.83474075405923</v>
      </c>
      <c r="AV35" s="110">
        <f t="shared" si="11"/>
        <v>288.83474075405923</v>
      </c>
      <c r="AW35" s="110">
        <f t="shared" si="11"/>
        <v>288.83474075405923</v>
      </c>
      <c r="AX35" s="110">
        <f t="shared" si="11"/>
        <v>288.83474075405923</v>
      </c>
      <c r="AY35" s="110">
        <f t="shared" si="11"/>
        <v>288.83474075405923</v>
      </c>
    </row>
    <row r="36" spans="1:52">
      <c r="A36" s="110"/>
      <c r="B36" s="165" t="s">
        <v>344</v>
      </c>
      <c r="C36" s="110"/>
      <c r="D36" s="110">
        <v>32.522503059716371</v>
      </c>
      <c r="E36" s="110">
        <v>130.09001223886548</v>
      </c>
      <c r="F36" s="110">
        <v>32.522503059716371</v>
      </c>
      <c r="G36" s="110">
        <v>130.09001223886548</v>
      </c>
      <c r="H36" s="110">
        <v>32.522503059716371</v>
      </c>
      <c r="I36" s="110">
        <v>130.09001223886548</v>
      </c>
      <c r="J36" s="110">
        <v>32.522503059716371</v>
      </c>
      <c r="K36" s="110">
        <v>130.09001223886548</v>
      </c>
      <c r="L36" s="110">
        <v>32.522503059716371</v>
      </c>
      <c r="M36" s="110">
        <v>130.09001223886548</v>
      </c>
      <c r="N36" s="110">
        <v>32.522503059716371</v>
      </c>
      <c r="O36" s="110">
        <v>130.09001223886548</v>
      </c>
      <c r="P36" s="110">
        <v>32.522503059716371</v>
      </c>
      <c r="Q36" s="110">
        <v>130.09001223886548</v>
      </c>
      <c r="R36" s="110">
        <v>32.522503059716371</v>
      </c>
      <c r="S36" s="110">
        <v>59.409913627595763</v>
      </c>
      <c r="T36" s="110">
        <v>113.8287607090073</v>
      </c>
      <c r="U36" s="110">
        <v>65.045006119432742</v>
      </c>
      <c r="V36" s="110">
        <v>113.8287607090073</v>
      </c>
      <c r="W36" s="110">
        <v>65.045006119432742</v>
      </c>
      <c r="X36" s="110">
        <v>113.8287607090073</v>
      </c>
      <c r="Y36" s="110">
        <v>65.045006119432742</v>
      </c>
      <c r="Z36" s="110">
        <v>113.8287607090073</v>
      </c>
      <c r="AA36" s="110"/>
      <c r="AB36" s="110">
        <v>156.56047899877126</v>
      </c>
      <c r="AC36" s="110"/>
      <c r="AD36" s="110">
        <v>156.56047899877126</v>
      </c>
      <c r="AE36" s="110"/>
      <c r="AF36" s="110">
        <v>156.56047899877126</v>
      </c>
      <c r="AG36" s="110"/>
      <c r="AH36" s="110">
        <v>156.56047899877126</v>
      </c>
      <c r="AI36" s="110"/>
      <c r="AJ36" s="110">
        <v>156.56047899877126</v>
      </c>
      <c r="AK36" s="110"/>
      <c r="AL36" s="110">
        <v>125.24838319901701</v>
      </c>
      <c r="AM36" s="110">
        <v>32.522503059716371</v>
      </c>
      <c r="AN36" s="110">
        <v>61.942190582885132</v>
      </c>
      <c r="AO36" s="110">
        <v>62.056859731620861</v>
      </c>
      <c r="AP36" s="110">
        <v>62.170845499164194</v>
      </c>
      <c r="AQ36" s="110">
        <v>97.567509179149113</v>
      </c>
      <c r="AR36" s="110">
        <v>65.045006119432742</v>
      </c>
      <c r="AS36" s="110">
        <v>97.567509179149113</v>
      </c>
      <c r="AT36" s="110">
        <v>65.045006119432742</v>
      </c>
      <c r="AU36" s="110">
        <v>97.567509179149113</v>
      </c>
      <c r="AV36" s="110">
        <v>65.045006119432742</v>
      </c>
      <c r="AW36" s="110">
        <v>97.567509179149113</v>
      </c>
      <c r="AX36" s="110">
        <v>65.045006119432742</v>
      </c>
      <c r="AY36" s="110">
        <v>97.567509179149113</v>
      </c>
    </row>
    <row r="37" spans="1:52">
      <c r="A37" s="110"/>
      <c r="B37" s="165" t="s">
        <v>345</v>
      </c>
      <c r="C37" s="110"/>
      <c r="D37" s="110">
        <v>27.477496940283633</v>
      </c>
      <c r="E37" s="110">
        <v>109.9099877611345</v>
      </c>
      <c r="F37" s="110">
        <v>27.477496940283626</v>
      </c>
      <c r="G37" s="110">
        <v>109.9099877611345</v>
      </c>
      <c r="H37" s="110">
        <v>27.477496940283626</v>
      </c>
      <c r="I37" s="110">
        <v>109.9099877611345</v>
      </c>
      <c r="J37" s="110">
        <v>27.477496940283626</v>
      </c>
      <c r="K37" s="110">
        <v>109.9099877611345</v>
      </c>
      <c r="L37" s="110">
        <v>27.477496940283626</v>
      </c>
      <c r="M37" s="110">
        <v>109.9099877611345</v>
      </c>
      <c r="N37" s="110">
        <v>27.477496940283626</v>
      </c>
      <c r="O37" s="110">
        <v>109.9099877611345</v>
      </c>
      <c r="P37" s="110">
        <v>27.477496940283626</v>
      </c>
      <c r="Q37" s="110">
        <v>109.9099877611345</v>
      </c>
      <c r="R37" s="110">
        <v>27.477496940283626</v>
      </c>
      <c r="S37" s="110">
        <v>50.194036938896481</v>
      </c>
      <c r="T37" s="110">
        <v>96.171239290992688</v>
      </c>
      <c r="U37" s="110">
        <v>54.954993880567244</v>
      </c>
      <c r="V37" s="110">
        <v>96.171239290992688</v>
      </c>
      <c r="W37" s="110">
        <v>54.954993880567244</v>
      </c>
      <c r="X37" s="110">
        <v>96.171239290992688</v>
      </c>
      <c r="Y37" s="110">
        <v>54.954993880567244</v>
      </c>
      <c r="Z37" s="110">
        <v>96.171239290992688</v>
      </c>
      <c r="AA37" s="110"/>
      <c r="AB37" s="110">
        <v>132.27426175528794</v>
      </c>
      <c r="AC37" s="110"/>
      <c r="AD37" s="110">
        <v>132.27426175528794</v>
      </c>
      <c r="AE37" s="110"/>
      <c r="AF37" s="110">
        <v>132.27426175528794</v>
      </c>
      <c r="AG37" s="110"/>
      <c r="AH37" s="110">
        <v>132.27426175528794</v>
      </c>
      <c r="AI37" s="110"/>
      <c r="AJ37" s="110">
        <v>132.27426175528794</v>
      </c>
      <c r="AK37" s="110"/>
      <c r="AL37" s="110">
        <v>105.81940940423038</v>
      </c>
      <c r="AM37" s="110">
        <v>27.477496940283629</v>
      </c>
      <c r="AN37" s="110">
        <v>52.333498104082736</v>
      </c>
      <c r="AO37" s="110">
        <v>52.430379367426625</v>
      </c>
      <c r="AP37" s="110">
        <v>52.526683258094479</v>
      </c>
      <c r="AQ37" s="110">
        <v>82.432490820850902</v>
      </c>
      <c r="AR37" s="110">
        <v>54.954993880567265</v>
      </c>
      <c r="AS37" s="110">
        <v>82.432490820850873</v>
      </c>
      <c r="AT37" s="110">
        <v>54.954993880567244</v>
      </c>
      <c r="AU37" s="110">
        <v>82.432490820850873</v>
      </c>
      <c r="AV37" s="110">
        <v>54.954993880567244</v>
      </c>
      <c r="AW37" s="110">
        <v>82.432490820850873</v>
      </c>
      <c r="AX37" s="110">
        <v>54.954993880567244</v>
      </c>
      <c r="AY37" s="110">
        <v>82.432490820850873</v>
      </c>
    </row>
    <row r="38" spans="1:52">
      <c r="A38" s="110"/>
      <c r="B38" s="165" t="s">
        <v>346</v>
      </c>
      <c r="C38" s="110"/>
      <c r="D38" s="110">
        <v>2</v>
      </c>
      <c r="E38" s="110">
        <v>8</v>
      </c>
      <c r="F38" s="110">
        <v>2</v>
      </c>
      <c r="G38" s="110">
        <v>8</v>
      </c>
      <c r="H38" s="110">
        <v>2</v>
      </c>
      <c r="I38" s="110">
        <v>8</v>
      </c>
      <c r="J38" s="110">
        <v>2</v>
      </c>
      <c r="K38" s="110">
        <v>8</v>
      </c>
      <c r="L38" s="110">
        <v>2</v>
      </c>
      <c r="M38" s="110">
        <v>8</v>
      </c>
      <c r="N38" s="110">
        <v>2</v>
      </c>
      <c r="O38" s="110">
        <v>8</v>
      </c>
      <c r="P38" s="110">
        <v>2</v>
      </c>
      <c r="Q38" s="110">
        <v>8</v>
      </c>
      <c r="R38" s="110">
        <v>2</v>
      </c>
      <c r="S38" s="110">
        <v>4</v>
      </c>
      <c r="T38" s="110">
        <v>7</v>
      </c>
      <c r="U38" s="110">
        <v>4</v>
      </c>
      <c r="V38" s="110">
        <v>7</v>
      </c>
      <c r="W38" s="110">
        <v>4</v>
      </c>
      <c r="X38" s="110">
        <v>7</v>
      </c>
      <c r="Y38" s="110">
        <v>4</v>
      </c>
      <c r="Z38" s="110">
        <v>7</v>
      </c>
      <c r="AA38" s="110"/>
      <c r="AB38" s="110">
        <v>10</v>
      </c>
      <c r="AC38" s="110"/>
      <c r="AD38" s="110">
        <v>10</v>
      </c>
      <c r="AE38" s="110"/>
      <c r="AF38" s="110">
        <v>10</v>
      </c>
      <c r="AG38" s="110"/>
      <c r="AH38" s="110">
        <v>10</v>
      </c>
      <c r="AI38" s="110"/>
      <c r="AJ38" s="110">
        <v>10</v>
      </c>
      <c r="AK38" s="110"/>
      <c r="AL38" s="110">
        <v>8</v>
      </c>
      <c r="AM38" s="110">
        <v>2</v>
      </c>
      <c r="AN38" s="110">
        <v>4</v>
      </c>
      <c r="AO38" s="110">
        <v>4</v>
      </c>
      <c r="AP38" s="110">
        <v>4</v>
      </c>
      <c r="AQ38" s="110">
        <v>6</v>
      </c>
      <c r="AR38" s="110">
        <v>4</v>
      </c>
      <c r="AS38" s="110">
        <v>6</v>
      </c>
      <c r="AT38" s="110">
        <v>4</v>
      </c>
      <c r="AU38" s="110">
        <v>6</v>
      </c>
      <c r="AV38" s="110">
        <v>4</v>
      </c>
      <c r="AW38" s="110">
        <v>6</v>
      </c>
      <c r="AX38" s="110">
        <v>4</v>
      </c>
      <c r="AY38" s="110">
        <v>6</v>
      </c>
    </row>
    <row r="39" spans="1:52">
      <c r="A39" s="110"/>
      <c r="B39" s="165" t="s">
        <v>347</v>
      </c>
      <c r="C39" s="110"/>
      <c r="D39" s="110">
        <f>D33-D36</f>
        <v>93.055882130688175</v>
      </c>
      <c r="E39" s="110">
        <f t="shared" ref="E39:AY39" si="12">E33-E36</f>
        <v>26.470466759905776</v>
      </c>
      <c r="F39" s="110">
        <f t="shared" si="12"/>
        <v>124.03797593905489</v>
      </c>
      <c r="G39" s="110">
        <f t="shared" si="12"/>
        <v>26.470466759905776</v>
      </c>
      <c r="H39" s="110">
        <f t="shared" si="12"/>
        <v>124.03797593905489</v>
      </c>
      <c r="I39" s="110">
        <f t="shared" si="12"/>
        <v>26.470466759905776</v>
      </c>
      <c r="J39" s="110">
        <f t="shared" si="12"/>
        <v>124.03797593905489</v>
      </c>
      <c r="K39" s="110">
        <f t="shared" si="12"/>
        <v>26.470466759905776</v>
      </c>
      <c r="L39" s="110">
        <f t="shared" si="12"/>
        <v>124.03797593905489</v>
      </c>
      <c r="M39" s="110">
        <f t="shared" si="12"/>
        <v>26.470466759905776</v>
      </c>
      <c r="N39" s="110">
        <f t="shared" si="12"/>
        <v>124.03797593905489</v>
      </c>
      <c r="O39" s="110">
        <f t="shared" si="12"/>
        <v>26.470466759905776</v>
      </c>
      <c r="P39" s="110">
        <f t="shared" si="12"/>
        <v>124.03797593905489</v>
      </c>
      <c r="Q39" s="110">
        <f t="shared" si="12"/>
        <v>26.470466759905776</v>
      </c>
      <c r="R39" s="110">
        <f t="shared" si="12"/>
        <v>124.03797593905489</v>
      </c>
      <c r="S39" s="110">
        <f t="shared" si="12"/>
        <v>0</v>
      </c>
      <c r="T39" s="110">
        <f t="shared" si="12"/>
        <v>42.731718289763961</v>
      </c>
      <c r="U39" s="110">
        <f t="shared" si="12"/>
        <v>91.515472879338517</v>
      </c>
      <c r="V39" s="110">
        <f t="shared" si="12"/>
        <v>42.731718289763961</v>
      </c>
      <c r="W39" s="110">
        <f t="shared" si="12"/>
        <v>91.515472879338517</v>
      </c>
      <c r="X39" s="110">
        <f t="shared" si="12"/>
        <v>42.731718289763961</v>
      </c>
      <c r="Y39" s="110">
        <f t="shared" si="12"/>
        <v>91.515472879338517</v>
      </c>
      <c r="Z39" s="110">
        <f t="shared" si="12"/>
        <v>42.731718289763961</v>
      </c>
      <c r="AA39" s="110">
        <f t="shared" si="12"/>
        <v>0</v>
      </c>
      <c r="AB39" s="110">
        <f t="shared" si="12"/>
        <v>0</v>
      </c>
      <c r="AC39" s="110">
        <f t="shared" si="12"/>
        <v>156.56047899877126</v>
      </c>
      <c r="AD39" s="110">
        <f t="shared" si="12"/>
        <v>0</v>
      </c>
      <c r="AE39" s="110">
        <f t="shared" si="12"/>
        <v>156.56047899877126</v>
      </c>
      <c r="AF39" s="110">
        <f t="shared" si="12"/>
        <v>0</v>
      </c>
      <c r="AG39" s="110">
        <f t="shared" si="12"/>
        <v>156.56047899877126</v>
      </c>
      <c r="AH39" s="110">
        <f t="shared" si="12"/>
        <v>0</v>
      </c>
      <c r="AI39" s="110">
        <f t="shared" si="12"/>
        <v>156.56047899877126</v>
      </c>
      <c r="AJ39" s="110">
        <f t="shared" si="12"/>
        <v>0</v>
      </c>
      <c r="AK39" s="110">
        <f t="shared" si="12"/>
        <v>125.24838319901701</v>
      </c>
      <c r="AL39" s="110">
        <f t="shared" si="12"/>
        <v>0</v>
      </c>
      <c r="AM39" s="110">
        <f t="shared" si="12"/>
        <v>29.304353507626971</v>
      </c>
      <c r="AN39" s="110">
        <f t="shared" si="12"/>
        <v>0</v>
      </c>
      <c r="AO39" s="110">
        <f t="shared" si="12"/>
        <v>0</v>
      </c>
      <c r="AP39" s="110">
        <f t="shared" si="12"/>
        <v>0</v>
      </c>
      <c r="AQ39" s="110">
        <f t="shared" si="12"/>
        <v>27.6808740198679</v>
      </c>
      <c r="AR39" s="110">
        <f t="shared" si="12"/>
        <v>60.203377079584271</v>
      </c>
      <c r="AS39" s="110">
        <f t="shared" si="12"/>
        <v>58.992969819622147</v>
      </c>
      <c r="AT39" s="110">
        <f t="shared" si="12"/>
        <v>91.515472879338517</v>
      </c>
      <c r="AU39" s="110">
        <f t="shared" si="12"/>
        <v>58.992969819622147</v>
      </c>
      <c r="AV39" s="110">
        <f t="shared" si="12"/>
        <v>91.515472879338517</v>
      </c>
      <c r="AW39" s="110">
        <f t="shared" si="12"/>
        <v>58.992969819622147</v>
      </c>
      <c r="AX39" s="110">
        <f t="shared" si="12"/>
        <v>91.515472879338517</v>
      </c>
      <c r="AY39" s="110">
        <f t="shared" si="12"/>
        <v>58.992969819622147</v>
      </c>
    </row>
    <row r="40" spans="1:52">
      <c r="A40" s="110"/>
      <c r="B40" s="165" t="s">
        <v>348</v>
      </c>
      <c r="C40" s="110"/>
      <c r="D40" s="110">
        <f>D34-D37</f>
        <v>78.620723375025435</v>
      </c>
      <c r="E40" s="110">
        <f t="shared" ref="E40:AY40" si="13">E34-E37</f>
        <v>22.364273994153436</v>
      </c>
      <c r="F40" s="110">
        <f t="shared" si="13"/>
        <v>104.79676481500431</v>
      </c>
      <c r="G40" s="110">
        <f t="shared" si="13"/>
        <v>22.364273994153436</v>
      </c>
      <c r="H40" s="110">
        <f t="shared" si="13"/>
        <v>104.79676481500431</v>
      </c>
      <c r="I40" s="110">
        <f t="shared" si="13"/>
        <v>22.364273994153436</v>
      </c>
      <c r="J40" s="110">
        <f t="shared" si="13"/>
        <v>104.79676481500431</v>
      </c>
      <c r="K40" s="110">
        <f t="shared" si="13"/>
        <v>22.364273994153436</v>
      </c>
      <c r="L40" s="110">
        <f t="shared" si="13"/>
        <v>104.79676481500431</v>
      </c>
      <c r="M40" s="110">
        <f t="shared" si="13"/>
        <v>22.364273994153436</v>
      </c>
      <c r="N40" s="110">
        <f t="shared" si="13"/>
        <v>104.79676481500431</v>
      </c>
      <c r="O40" s="110">
        <f t="shared" si="13"/>
        <v>22.364273994153436</v>
      </c>
      <c r="P40" s="110">
        <f t="shared" si="13"/>
        <v>104.79676481500431</v>
      </c>
      <c r="Q40" s="110">
        <f t="shared" si="13"/>
        <v>22.364273994153436</v>
      </c>
      <c r="R40" s="110">
        <f t="shared" si="13"/>
        <v>104.79676481500431</v>
      </c>
      <c r="S40" s="110">
        <f t="shared" si="13"/>
        <v>0</v>
      </c>
      <c r="T40" s="110">
        <f t="shared" si="13"/>
        <v>36.10302246429525</v>
      </c>
      <c r="U40" s="110">
        <f t="shared" si="13"/>
        <v>77.319267874720694</v>
      </c>
      <c r="V40" s="110">
        <f t="shared" si="13"/>
        <v>36.10302246429525</v>
      </c>
      <c r="W40" s="110">
        <f t="shared" si="13"/>
        <v>77.319267874720694</v>
      </c>
      <c r="X40" s="110">
        <f t="shared" si="13"/>
        <v>36.10302246429525</v>
      </c>
      <c r="Y40" s="110">
        <f t="shared" si="13"/>
        <v>77.319267874720694</v>
      </c>
      <c r="Z40" s="110">
        <f t="shared" si="13"/>
        <v>36.10302246429525</v>
      </c>
      <c r="AA40" s="110">
        <f t="shared" si="13"/>
        <v>0</v>
      </c>
      <c r="AB40" s="110">
        <f t="shared" si="13"/>
        <v>0</v>
      </c>
      <c r="AC40" s="110">
        <f t="shared" si="13"/>
        <v>132.27426175528794</v>
      </c>
      <c r="AD40" s="110">
        <f t="shared" si="13"/>
        <v>0</v>
      </c>
      <c r="AE40" s="110">
        <f t="shared" si="13"/>
        <v>132.27426175528794</v>
      </c>
      <c r="AF40" s="110">
        <f t="shared" si="13"/>
        <v>0</v>
      </c>
      <c r="AG40" s="110">
        <f t="shared" si="13"/>
        <v>132.27426175528794</v>
      </c>
      <c r="AH40" s="110">
        <f t="shared" si="13"/>
        <v>0</v>
      </c>
      <c r="AI40" s="110">
        <f t="shared" si="13"/>
        <v>132.27426175528794</v>
      </c>
      <c r="AJ40" s="110">
        <f t="shared" si="13"/>
        <v>0</v>
      </c>
      <c r="AK40" s="110">
        <f t="shared" si="13"/>
        <v>105.81940940423037</v>
      </c>
      <c r="AL40" s="110">
        <f t="shared" si="13"/>
        <v>0</v>
      </c>
      <c r="AM40" s="110">
        <f t="shared" si="13"/>
        <v>24.758558170148177</v>
      </c>
      <c r="AN40" s="110">
        <f t="shared" si="13"/>
        <v>0</v>
      </c>
      <c r="AO40" s="110">
        <f t="shared" si="13"/>
        <v>0</v>
      </c>
      <c r="AP40" s="110">
        <f t="shared" si="13"/>
        <v>0</v>
      </c>
      <c r="AQ40" s="110">
        <f t="shared" si="13"/>
        <v>23.386918583379469</v>
      </c>
      <c r="AR40" s="110">
        <f t="shared" si="13"/>
        <v>50.864415523663105</v>
      </c>
      <c r="AS40" s="110">
        <f t="shared" si="13"/>
        <v>49.841770934437065</v>
      </c>
      <c r="AT40" s="110">
        <f t="shared" si="13"/>
        <v>77.319267874720694</v>
      </c>
      <c r="AU40" s="110">
        <f t="shared" si="13"/>
        <v>49.841770934437065</v>
      </c>
      <c r="AV40" s="110">
        <f t="shared" si="13"/>
        <v>77.319267874720694</v>
      </c>
      <c r="AW40" s="110">
        <f t="shared" si="13"/>
        <v>49.841770934437065</v>
      </c>
      <c r="AX40" s="110">
        <f t="shared" si="13"/>
        <v>77.319267874720694</v>
      </c>
      <c r="AY40" s="110">
        <f t="shared" si="13"/>
        <v>49.841770934437065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1</v>
      </c>
      <c r="G41" s="110">
        <v>2</v>
      </c>
      <c r="H41" s="110">
        <v>2</v>
      </c>
      <c r="I41" s="110">
        <v>1</v>
      </c>
      <c r="J41" s="110">
        <v>1</v>
      </c>
      <c r="K41" s="110">
        <v>2</v>
      </c>
      <c r="L41" s="110">
        <v>2</v>
      </c>
      <c r="M41" s="110">
        <v>2</v>
      </c>
      <c r="N41" s="110">
        <v>1</v>
      </c>
      <c r="O41" s="110">
        <v>2</v>
      </c>
      <c r="P41" s="110">
        <v>3</v>
      </c>
      <c r="Q41" s="110">
        <v>1</v>
      </c>
      <c r="R41" s="110">
        <v>2</v>
      </c>
      <c r="S41" s="110">
        <v>1</v>
      </c>
      <c r="T41" s="110">
        <v>3</v>
      </c>
      <c r="U41" s="110">
        <v>1</v>
      </c>
      <c r="V41" s="110">
        <v>1</v>
      </c>
      <c r="W41" s="110">
        <v>1</v>
      </c>
      <c r="X41" s="110">
        <v>2</v>
      </c>
      <c r="Y41" s="110">
        <v>1</v>
      </c>
      <c r="Z41" s="110">
        <v>3</v>
      </c>
      <c r="AA41" s="110">
        <v>1</v>
      </c>
      <c r="AB41" s="110">
        <v>1</v>
      </c>
      <c r="AC41" s="110">
        <v>1</v>
      </c>
      <c r="AD41" s="110">
        <v>1</v>
      </c>
      <c r="AE41" s="110">
        <v>1</v>
      </c>
      <c r="AF41" s="110">
        <v>2</v>
      </c>
      <c r="AG41" s="110">
        <v>2</v>
      </c>
      <c r="AH41" s="110">
        <v>3</v>
      </c>
      <c r="AI41" s="110">
        <v>1</v>
      </c>
      <c r="AJ41" s="110">
        <v>2</v>
      </c>
      <c r="AK41" s="110">
        <v>1</v>
      </c>
      <c r="AL41" s="110">
        <v>1</v>
      </c>
      <c r="AM41" s="110">
        <v>3</v>
      </c>
      <c r="AN41" s="110">
        <v>1</v>
      </c>
      <c r="AO41" s="110">
        <v>2</v>
      </c>
      <c r="AP41" s="110">
        <v>1</v>
      </c>
      <c r="AQ41" s="110">
        <v>1</v>
      </c>
      <c r="AR41" s="110">
        <v>3</v>
      </c>
      <c r="AS41" s="110">
        <v>1</v>
      </c>
      <c r="AT41" s="110">
        <v>1</v>
      </c>
      <c r="AU41" s="110">
        <v>1</v>
      </c>
      <c r="AV41" s="110">
        <v>2</v>
      </c>
      <c r="AW41" s="110">
        <v>1</v>
      </c>
      <c r="AX41" s="110">
        <v>2</v>
      </c>
      <c r="AY41" s="110">
        <v>1</v>
      </c>
    </row>
    <row r="42" spans="1:52">
      <c r="A42" s="110"/>
      <c r="B42" s="178" t="s">
        <v>350</v>
      </c>
      <c r="C42" s="110"/>
      <c r="D42" s="110">
        <v>88200</v>
      </c>
      <c r="E42" s="110">
        <v>352800</v>
      </c>
      <c r="F42" s="110">
        <v>88200</v>
      </c>
      <c r="G42" s="110">
        <v>352800</v>
      </c>
      <c r="H42" s="110">
        <v>88200</v>
      </c>
      <c r="I42" s="110">
        <v>352800</v>
      </c>
      <c r="J42" s="110">
        <v>88200</v>
      </c>
      <c r="K42" s="110">
        <v>352800</v>
      </c>
      <c r="L42" s="110">
        <v>88200</v>
      </c>
      <c r="M42" s="110">
        <v>352800</v>
      </c>
      <c r="N42" s="110">
        <v>88200</v>
      </c>
      <c r="O42" s="110">
        <v>352800</v>
      </c>
      <c r="P42" s="110">
        <v>88200</v>
      </c>
      <c r="Q42" s="110">
        <v>352800</v>
      </c>
      <c r="R42" s="110">
        <v>88200</v>
      </c>
      <c r="S42" s="110">
        <v>176400</v>
      </c>
      <c r="T42" s="110">
        <v>308700</v>
      </c>
      <c r="U42" s="110">
        <v>176400</v>
      </c>
      <c r="V42" s="110">
        <v>308700</v>
      </c>
      <c r="W42" s="110">
        <v>176400</v>
      </c>
      <c r="X42" s="110">
        <v>308700</v>
      </c>
      <c r="Y42" s="110">
        <v>176400</v>
      </c>
      <c r="Z42" s="110">
        <v>308700</v>
      </c>
      <c r="AA42" s="110">
        <v>0</v>
      </c>
      <c r="AB42" s="110">
        <v>441000</v>
      </c>
      <c r="AC42" s="110">
        <v>0</v>
      </c>
      <c r="AD42" s="110">
        <v>441000</v>
      </c>
      <c r="AE42" s="110">
        <v>0</v>
      </c>
      <c r="AF42" s="110">
        <v>441000</v>
      </c>
      <c r="AG42" s="110">
        <v>0</v>
      </c>
      <c r="AH42" s="110">
        <v>441000</v>
      </c>
      <c r="AI42" s="110">
        <v>0</v>
      </c>
      <c r="AJ42" s="110">
        <v>441000</v>
      </c>
      <c r="AK42" s="110">
        <v>0</v>
      </c>
      <c r="AL42" s="110">
        <v>352800</v>
      </c>
      <c r="AM42" s="110">
        <v>88200</v>
      </c>
      <c r="AN42" s="110">
        <v>176400</v>
      </c>
      <c r="AO42" s="110">
        <v>176400</v>
      </c>
      <c r="AP42" s="110">
        <v>176400</v>
      </c>
      <c r="AQ42" s="110">
        <v>264600</v>
      </c>
      <c r="AR42" s="110">
        <v>176400</v>
      </c>
      <c r="AS42" s="110">
        <v>264600</v>
      </c>
      <c r="AT42" s="110">
        <v>176400</v>
      </c>
      <c r="AU42" s="110">
        <v>264600</v>
      </c>
      <c r="AV42" s="110">
        <v>176400</v>
      </c>
      <c r="AW42" s="110">
        <v>264600</v>
      </c>
      <c r="AX42" s="110">
        <v>176400</v>
      </c>
      <c r="AY42" s="110">
        <v>264600</v>
      </c>
      <c r="AZ42" s="100">
        <f>SUM($D$42:$AY$42)</f>
        <v>10319400</v>
      </c>
    </row>
    <row r="43" spans="1:52">
      <c r="A43" s="110"/>
      <c r="B43" s="178" t="s">
        <v>351</v>
      </c>
      <c r="C43" s="110"/>
      <c r="D43" s="110">
        <v>136697.49713392445</v>
      </c>
      <c r="E43" s="110">
        <v>38884.662325419653</v>
      </c>
      <c r="F43" s="110">
        <v>182209.66232541966</v>
      </c>
      <c r="G43" s="110">
        <v>38884.662325419653</v>
      </c>
      <c r="H43" s="110">
        <v>182209.66232541966</v>
      </c>
      <c r="I43" s="110">
        <v>38884.662325419653</v>
      </c>
      <c r="J43" s="110">
        <v>182209.66232541966</v>
      </c>
      <c r="K43" s="110">
        <v>38884.662325419653</v>
      </c>
      <c r="L43" s="110">
        <v>182209.66232541966</v>
      </c>
      <c r="M43" s="110">
        <v>38884.662325419653</v>
      </c>
      <c r="N43" s="110">
        <v>182209.66232541966</v>
      </c>
      <c r="O43" s="110">
        <v>38884.662325419653</v>
      </c>
      <c r="P43" s="110">
        <v>182209.66232541966</v>
      </c>
      <c r="Q43" s="110">
        <v>38884.662325419653</v>
      </c>
      <c r="R43" s="110">
        <v>182209.66232541966</v>
      </c>
      <c r="S43" s="110">
        <v>0</v>
      </c>
      <c r="T43" s="110">
        <v>62772.162325419653</v>
      </c>
      <c r="U43" s="110">
        <v>134434.66232541966</v>
      </c>
      <c r="V43" s="110">
        <v>62772.162325419653</v>
      </c>
      <c r="W43" s="110">
        <v>134434.66232541966</v>
      </c>
      <c r="X43" s="110">
        <v>62772.162325419653</v>
      </c>
      <c r="Y43" s="110">
        <v>134434.66232541966</v>
      </c>
      <c r="Z43" s="110">
        <v>62772.162325419653</v>
      </c>
      <c r="AA43" s="110">
        <v>0</v>
      </c>
      <c r="AB43" s="110">
        <v>0</v>
      </c>
      <c r="AC43" s="110">
        <v>229984.66232541966</v>
      </c>
      <c r="AD43" s="110">
        <v>0</v>
      </c>
      <c r="AE43" s="110">
        <v>229984.66232541966</v>
      </c>
      <c r="AF43" s="110">
        <v>0</v>
      </c>
      <c r="AG43" s="110">
        <v>229984.66232541966</v>
      </c>
      <c r="AH43" s="110">
        <v>0</v>
      </c>
      <c r="AI43" s="110">
        <v>229984.66232541966</v>
      </c>
      <c r="AJ43" s="110">
        <v>0</v>
      </c>
      <c r="AK43" s="110">
        <v>183987.72986033573</v>
      </c>
      <c r="AL43" s="110">
        <v>0</v>
      </c>
      <c r="AM43" s="110">
        <v>43047.593423428465</v>
      </c>
      <c r="AN43" s="110">
        <v>0</v>
      </c>
      <c r="AO43" s="110">
        <v>0</v>
      </c>
      <c r="AP43" s="110">
        <v>0</v>
      </c>
      <c r="AQ43" s="110">
        <v>40662.729860335719</v>
      </c>
      <c r="AR43" s="110">
        <v>88437.729860335719</v>
      </c>
      <c r="AS43" s="110">
        <v>86659.662325419646</v>
      </c>
      <c r="AT43" s="110">
        <v>134434.66232541966</v>
      </c>
      <c r="AU43" s="110">
        <v>86659.662325419646</v>
      </c>
      <c r="AV43" s="110">
        <v>134434.66232541966</v>
      </c>
      <c r="AW43" s="110">
        <v>86659.662325419646</v>
      </c>
      <c r="AX43" s="110">
        <v>134434.66232541966</v>
      </c>
      <c r="AY43" s="110">
        <v>86659.662325419646</v>
      </c>
      <c r="AZ43" s="100">
        <f>SUM($D$43:$AY$43)</f>
        <v>4364767.4745517867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121.04546813801888</v>
      </c>
      <c r="E44" s="124">
        <f>E$21*shipping_manufacturing!$D$28/100</f>
        <v>150.90922250341836</v>
      </c>
      <c r="F44" s="124">
        <f>F$21*shipping_manufacturing!$D$28/100</f>
        <v>150.90922250341836</v>
      </c>
      <c r="G44" s="124">
        <f>G$21*shipping_manufacturing!$D$28/100</f>
        <v>150.90922250341836</v>
      </c>
      <c r="H44" s="124">
        <f>H$21*shipping_manufacturing!$D$28/100</f>
        <v>150.90922250341836</v>
      </c>
      <c r="I44" s="124">
        <f>I$21*shipping_manufacturing!$D$28/100</f>
        <v>150.90922250341836</v>
      </c>
      <c r="J44" s="124">
        <f>J$21*shipping_manufacturing!$D$28/100</f>
        <v>150.90922250341836</v>
      </c>
      <c r="K44" s="124">
        <f>K$21*shipping_manufacturing!$D$28/100</f>
        <v>150.90922250341836</v>
      </c>
      <c r="L44" s="124">
        <f>L$21*shipping_manufacturing!$D$28/100</f>
        <v>150.90922250341836</v>
      </c>
      <c r="M44" s="124">
        <f>M$21*shipping_manufacturing!$D$28/100</f>
        <v>150.90922250341836</v>
      </c>
      <c r="N44" s="124">
        <f>N$21*shipping_manufacturing!$D$28/100</f>
        <v>150.90922250341836</v>
      </c>
      <c r="O44" s="124">
        <f>O$21*shipping_manufacturing!$D$28/100</f>
        <v>150.90922250341836</v>
      </c>
      <c r="P44" s="124">
        <f>P$21*shipping_manufacturing!$D$28/100</f>
        <v>150.90922250341836</v>
      </c>
      <c r="Q44" s="124">
        <f>Q$21*shipping_manufacturing!$D$28/100</f>
        <v>150.90922250341836</v>
      </c>
      <c r="R44" s="124">
        <f>R$21*shipping_manufacturing!$D$28/100</f>
        <v>150.90922250341836</v>
      </c>
      <c r="S44" s="124">
        <f>S$21*shipping_manufacturing!$D$28/100</f>
        <v>57.265434622271961</v>
      </c>
      <c r="T44" s="124">
        <f>T$21*shipping_manufacturing!$D$28/100</f>
        <v>150.90922250341836</v>
      </c>
      <c r="U44" s="124">
        <f>U$21*shipping_manufacturing!$D$28/100</f>
        <v>150.90922250341836</v>
      </c>
      <c r="V44" s="124">
        <f>V$21*shipping_manufacturing!$D$28/100</f>
        <v>150.90922250341836</v>
      </c>
      <c r="W44" s="124">
        <f>W$21*shipping_manufacturing!$D$28/100</f>
        <v>150.90922250341836</v>
      </c>
      <c r="X44" s="124">
        <f>X$21*shipping_manufacturing!$D$28/100</f>
        <v>150.90922250341836</v>
      </c>
      <c r="Y44" s="124">
        <f>Y$21*shipping_manufacturing!$D$28/100</f>
        <v>150.90922250341836</v>
      </c>
      <c r="Z44" s="124">
        <f>Z$21*shipping_manufacturing!$D$28/100</f>
        <v>150.90922250341836</v>
      </c>
      <c r="AA44" s="124">
        <f>AA$21*shipping_manufacturing!$D$28/100</f>
        <v>0</v>
      </c>
      <c r="AB44" s="124">
        <f>AB$21*shipping_manufacturing!$D$28/100</f>
        <v>150.90922250341836</v>
      </c>
      <c r="AC44" s="124">
        <f>AC$21*shipping_manufacturing!$D$28/100</f>
        <v>150.90922250341836</v>
      </c>
      <c r="AD44" s="124">
        <f>AD$21*shipping_manufacturing!$D$28/100</f>
        <v>150.90922250341836</v>
      </c>
      <c r="AE44" s="124">
        <f>AE$21*shipping_manufacturing!$D$28/100</f>
        <v>150.90922250341836</v>
      </c>
      <c r="AF44" s="124">
        <f>AF$21*shipping_manufacturing!$D$28/100</f>
        <v>150.90922250341836</v>
      </c>
      <c r="AG44" s="124">
        <f>AG$21*shipping_manufacturing!$D$28/100</f>
        <v>150.90922250341836</v>
      </c>
      <c r="AH44" s="124">
        <f>AH$21*shipping_manufacturing!$D$28/100</f>
        <v>150.90922250341836</v>
      </c>
      <c r="AI44" s="124">
        <f>AI$21*shipping_manufacturing!$D$28/100</f>
        <v>150.90922250341836</v>
      </c>
      <c r="AJ44" s="124">
        <f>AJ$21*shipping_manufacturing!$D$28/100</f>
        <v>150.90922250341836</v>
      </c>
      <c r="AK44" s="124">
        <f>AK$21*shipping_manufacturing!$D$28/100</f>
        <v>120.7273780027347</v>
      </c>
      <c r="AL44" s="124">
        <f>AL$21*shipping_manufacturing!$D$28/100</f>
        <v>120.7273780027347</v>
      </c>
      <c r="AM44" s="124">
        <f>AM$21*shipping_manufacturing!$D$28/100</f>
        <v>59.595134826340029</v>
      </c>
      <c r="AN44" s="124">
        <f>AN$21*shipping_manufacturing!$D$28/100</f>
        <v>59.706305708831678</v>
      </c>
      <c r="AO44" s="124">
        <f>AO$21*shipping_manufacturing!$D$28/100</f>
        <v>59.816835723759475</v>
      </c>
      <c r="AP44" s="124">
        <f>AP$21*shipping_manufacturing!$D$28/100</f>
        <v>59.926707025038233</v>
      </c>
      <c r="AQ44" s="124">
        <f>AQ$21*shipping_manufacturing!$D$28/100</f>
        <v>120.7273780027347</v>
      </c>
      <c r="AR44" s="124">
        <f>AR$21*shipping_manufacturing!$D$28/100</f>
        <v>120.7273780027347</v>
      </c>
      <c r="AS44" s="124">
        <f>AS$21*shipping_manufacturing!$D$28/100</f>
        <v>150.90922250341836</v>
      </c>
      <c r="AT44" s="124">
        <f>AT$21*shipping_manufacturing!$D$28/100</f>
        <v>150.90922250341836</v>
      </c>
      <c r="AU44" s="124">
        <f>AU$21*shipping_manufacturing!$D$28/100</f>
        <v>150.90922250341836</v>
      </c>
      <c r="AV44" s="124">
        <f>AV$21*shipping_manufacturing!$D$28/100</f>
        <v>150.90922250341836</v>
      </c>
      <c r="AW44" s="124">
        <f>AW$21*shipping_manufacturing!$D$28/100</f>
        <v>150.90922250341836</v>
      </c>
      <c r="AX44" s="124">
        <f>AX$21*shipping_manufacturing!$D$28/100</f>
        <v>150.90922250341836</v>
      </c>
      <c r="AY44" s="124">
        <f>AY$21*shipping_manufacturing!$D$28/100</f>
        <v>150.90922250341836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128.54262097204014</v>
      </c>
      <c r="E45" s="110">
        <f>E$22*shipping_manufacturing!$E$28/100</f>
        <v>160.25603674252238</v>
      </c>
      <c r="F45" s="110">
        <f>F$22*shipping_manufacturing!$E$28/100</f>
        <v>160.25603674252238</v>
      </c>
      <c r="G45" s="110">
        <f>G$22*shipping_manufacturing!$E$28/100</f>
        <v>160.25603674252238</v>
      </c>
      <c r="H45" s="110">
        <f>H$22*shipping_manufacturing!$E$28/100</f>
        <v>160.25603674252238</v>
      </c>
      <c r="I45" s="110">
        <f>I$22*shipping_manufacturing!$E$28/100</f>
        <v>160.25603674252238</v>
      </c>
      <c r="J45" s="110">
        <f>J$22*shipping_manufacturing!$E$28/100</f>
        <v>160.25603674252238</v>
      </c>
      <c r="K45" s="110">
        <f>K$22*shipping_manufacturing!$E$28/100</f>
        <v>160.25603674252238</v>
      </c>
      <c r="L45" s="110">
        <f>L$22*shipping_manufacturing!$E$28/100</f>
        <v>160.25603674252238</v>
      </c>
      <c r="M45" s="110">
        <f>M$22*shipping_manufacturing!$E$28/100</f>
        <v>160.25603674252238</v>
      </c>
      <c r="N45" s="110">
        <f>N$22*shipping_manufacturing!$E$28/100</f>
        <v>160.25603674252238</v>
      </c>
      <c r="O45" s="110">
        <f>O$22*shipping_manufacturing!$E$28/100</f>
        <v>160.25603674252238</v>
      </c>
      <c r="P45" s="110">
        <f>P$22*shipping_manufacturing!$E$28/100</f>
        <v>160.25603674252238</v>
      </c>
      <c r="Q45" s="110">
        <f>Q$22*shipping_manufacturing!$E$28/100</f>
        <v>160.25603674252238</v>
      </c>
      <c r="R45" s="110">
        <f>R$22*shipping_manufacturing!$E$28/100</f>
        <v>160.25603674252238</v>
      </c>
      <c r="S45" s="110">
        <f>S$22*shipping_manufacturing!$E$28/100</f>
        <v>60.812264768612458</v>
      </c>
      <c r="T45" s="110">
        <f>T$22*shipping_manufacturing!$E$28/100</f>
        <v>160.25603674252238</v>
      </c>
      <c r="U45" s="110">
        <f>U$22*shipping_manufacturing!$E$28/100</f>
        <v>160.25603674252238</v>
      </c>
      <c r="V45" s="110">
        <f>V$22*shipping_manufacturing!$E$28/100</f>
        <v>160.25603674252238</v>
      </c>
      <c r="W45" s="110">
        <f>W$22*shipping_manufacturing!$E$28/100</f>
        <v>160.25603674252238</v>
      </c>
      <c r="X45" s="110">
        <f>X$22*shipping_manufacturing!$E$28/100</f>
        <v>160.25603674252238</v>
      </c>
      <c r="Y45" s="110">
        <f>Y$22*shipping_manufacturing!$E$28/100</f>
        <v>160.25603674252238</v>
      </c>
      <c r="Z45" s="110">
        <f>Z$22*shipping_manufacturing!$E$28/100</f>
        <v>160.25603674252238</v>
      </c>
      <c r="AA45" s="110">
        <f>AA$22*shipping_manufacturing!$E$28/100</f>
        <v>0</v>
      </c>
      <c r="AB45" s="110">
        <f>AB$22*shipping_manufacturing!$E$28/100</f>
        <v>160.25603674252238</v>
      </c>
      <c r="AC45" s="110">
        <f>AC$22*shipping_manufacturing!$E$28/100</f>
        <v>160.25603674252238</v>
      </c>
      <c r="AD45" s="110">
        <f>AD$22*shipping_manufacturing!$E$28/100</f>
        <v>160.25603674252238</v>
      </c>
      <c r="AE45" s="110">
        <f>AE$22*shipping_manufacturing!$E$28/100</f>
        <v>160.25603674252238</v>
      </c>
      <c r="AF45" s="110">
        <f>AF$22*shipping_manufacturing!$E$28/100</f>
        <v>160.25603674252238</v>
      </c>
      <c r="AG45" s="110">
        <f>AG$22*shipping_manufacturing!$E$28/100</f>
        <v>160.25603674252238</v>
      </c>
      <c r="AH45" s="110">
        <f>AH$22*shipping_manufacturing!$E$28/100</f>
        <v>160.25603674252238</v>
      </c>
      <c r="AI45" s="110">
        <f>AI$22*shipping_manufacturing!$E$28/100</f>
        <v>160.25603674252238</v>
      </c>
      <c r="AJ45" s="110">
        <f>AJ$22*shipping_manufacturing!$E$28/100</f>
        <v>160.25603674252238</v>
      </c>
      <c r="AK45" s="110">
        <f>AK$22*shipping_manufacturing!$E$28/100</f>
        <v>128.20482939401793</v>
      </c>
      <c r="AL45" s="110">
        <f>AL$22*shipping_manufacturing!$E$28/100</f>
        <v>128.20482939401793</v>
      </c>
      <c r="AM45" s="110">
        <f>AM$22*shipping_manufacturing!$E$28/100</f>
        <v>63.286258838085168</v>
      </c>
      <c r="AN45" s="110">
        <f>AN$22*shipping_manufacturing!$E$28/100</f>
        <v>63.404315274489363</v>
      </c>
      <c r="AO45" s="110">
        <f>AO$22*shipping_manufacturing!$E$28/100</f>
        <v>63.521691150128902</v>
      </c>
      <c r="AP45" s="110">
        <f>AP$22*shipping_manufacturing!$E$28/100</f>
        <v>63.638367513591568</v>
      </c>
      <c r="AQ45" s="110">
        <f>AQ$22*shipping_manufacturing!$E$28/100</f>
        <v>128.20482939401793</v>
      </c>
      <c r="AR45" s="110">
        <f>AR$22*shipping_manufacturing!$E$28/100</f>
        <v>128.20482939401793</v>
      </c>
      <c r="AS45" s="110">
        <f>AS$22*shipping_manufacturing!$E$28/100</f>
        <v>160.25603674252238</v>
      </c>
      <c r="AT45" s="110">
        <f>AT$22*shipping_manufacturing!$E$28/100</f>
        <v>160.25603674252238</v>
      </c>
      <c r="AU45" s="110">
        <f>AU$22*shipping_manufacturing!$E$28/100</f>
        <v>160.25603674252238</v>
      </c>
      <c r="AV45" s="110">
        <f>AV$22*shipping_manufacturing!$E$28/100</f>
        <v>160.25603674252238</v>
      </c>
      <c r="AW45" s="110">
        <f>AW$22*shipping_manufacturing!$E$28/100</f>
        <v>160.25603674252238</v>
      </c>
      <c r="AX45" s="110">
        <f>AX$22*shipping_manufacturing!$E$28/100</f>
        <v>160.25603674252238</v>
      </c>
      <c r="AY45" s="110">
        <f>AY$22*shipping_manufacturing!$E$28/100</f>
        <v>160.25603674252238</v>
      </c>
    </row>
    <row r="46" spans="1:52">
      <c r="A46" s="110">
        <v>89</v>
      </c>
      <c r="B46" s="165" t="s">
        <v>343</v>
      </c>
      <c r="C46" s="110"/>
      <c r="D46" s="110">
        <f>SUM(D44:D45)</f>
        <v>249.588089110059</v>
      </c>
      <c r="E46" s="110">
        <f t="shared" ref="E46:AY46" si="14">SUM(E44:E45)</f>
        <v>311.16525924594077</v>
      </c>
      <c r="F46" s="110">
        <f t="shared" si="14"/>
        <v>311.16525924594077</v>
      </c>
      <c r="G46" s="110">
        <f t="shared" si="14"/>
        <v>311.16525924594077</v>
      </c>
      <c r="H46" s="110">
        <f t="shared" si="14"/>
        <v>311.16525924594077</v>
      </c>
      <c r="I46" s="110">
        <f t="shared" si="14"/>
        <v>311.16525924594077</v>
      </c>
      <c r="J46" s="110">
        <f t="shared" si="14"/>
        <v>311.16525924594077</v>
      </c>
      <c r="K46" s="110">
        <f t="shared" si="14"/>
        <v>311.16525924594077</v>
      </c>
      <c r="L46" s="110">
        <f t="shared" si="14"/>
        <v>311.16525924594077</v>
      </c>
      <c r="M46" s="110">
        <f t="shared" si="14"/>
        <v>311.16525924594077</v>
      </c>
      <c r="N46" s="110">
        <f t="shared" si="14"/>
        <v>311.16525924594077</v>
      </c>
      <c r="O46" s="110">
        <f t="shared" si="14"/>
        <v>311.16525924594077</v>
      </c>
      <c r="P46" s="110">
        <f t="shared" si="14"/>
        <v>311.16525924594077</v>
      </c>
      <c r="Q46" s="110">
        <f t="shared" si="14"/>
        <v>311.16525924594077</v>
      </c>
      <c r="R46" s="110">
        <f t="shared" si="14"/>
        <v>311.16525924594077</v>
      </c>
      <c r="S46" s="110">
        <f t="shared" si="14"/>
        <v>118.07769939088442</v>
      </c>
      <c r="T46" s="110">
        <f t="shared" si="14"/>
        <v>311.16525924594077</v>
      </c>
      <c r="U46" s="110">
        <f t="shared" si="14"/>
        <v>311.16525924594077</v>
      </c>
      <c r="V46" s="110">
        <f t="shared" si="14"/>
        <v>311.16525924594077</v>
      </c>
      <c r="W46" s="110">
        <f t="shared" si="14"/>
        <v>311.16525924594077</v>
      </c>
      <c r="X46" s="110">
        <f t="shared" si="14"/>
        <v>311.16525924594077</v>
      </c>
      <c r="Y46" s="110">
        <f t="shared" si="14"/>
        <v>311.16525924594077</v>
      </c>
      <c r="Z46" s="110">
        <f t="shared" si="14"/>
        <v>311.16525924594077</v>
      </c>
      <c r="AA46" s="110">
        <f t="shared" si="14"/>
        <v>0</v>
      </c>
      <c r="AB46" s="110">
        <f t="shared" si="14"/>
        <v>311.16525924594077</v>
      </c>
      <c r="AC46" s="110">
        <f t="shared" si="14"/>
        <v>311.16525924594077</v>
      </c>
      <c r="AD46" s="110">
        <f t="shared" si="14"/>
        <v>311.16525924594077</v>
      </c>
      <c r="AE46" s="110">
        <f t="shared" si="14"/>
        <v>311.16525924594077</v>
      </c>
      <c r="AF46" s="110">
        <f t="shared" si="14"/>
        <v>311.16525924594077</v>
      </c>
      <c r="AG46" s="110">
        <f t="shared" si="14"/>
        <v>311.16525924594077</v>
      </c>
      <c r="AH46" s="110">
        <f t="shared" si="14"/>
        <v>311.16525924594077</v>
      </c>
      <c r="AI46" s="110">
        <f t="shared" si="14"/>
        <v>311.16525924594077</v>
      </c>
      <c r="AJ46" s="110">
        <f t="shared" si="14"/>
        <v>311.16525924594077</v>
      </c>
      <c r="AK46" s="110">
        <f t="shared" si="14"/>
        <v>248.93220739675263</v>
      </c>
      <c r="AL46" s="110">
        <f t="shared" si="14"/>
        <v>248.93220739675263</v>
      </c>
      <c r="AM46" s="110">
        <f t="shared" si="14"/>
        <v>122.88139366442519</v>
      </c>
      <c r="AN46" s="110">
        <f t="shared" si="14"/>
        <v>123.11062098332104</v>
      </c>
      <c r="AO46" s="110">
        <f t="shared" si="14"/>
        <v>123.33852687388838</v>
      </c>
      <c r="AP46" s="110">
        <f t="shared" si="14"/>
        <v>123.5650745386298</v>
      </c>
      <c r="AQ46" s="110">
        <f t="shared" si="14"/>
        <v>248.93220739675263</v>
      </c>
      <c r="AR46" s="110">
        <f t="shared" si="14"/>
        <v>248.93220739675263</v>
      </c>
      <c r="AS46" s="110">
        <f t="shared" si="14"/>
        <v>311.16525924594077</v>
      </c>
      <c r="AT46" s="110">
        <f t="shared" si="14"/>
        <v>311.16525924594077</v>
      </c>
      <c r="AU46" s="110">
        <f t="shared" si="14"/>
        <v>311.16525924594077</v>
      </c>
      <c r="AV46" s="110">
        <f t="shared" si="14"/>
        <v>311.16525924594077</v>
      </c>
      <c r="AW46" s="110">
        <f t="shared" si="14"/>
        <v>311.16525924594077</v>
      </c>
      <c r="AX46" s="110">
        <f t="shared" si="14"/>
        <v>311.16525924594077</v>
      </c>
      <c r="AY46" s="110">
        <f t="shared" si="14"/>
        <v>311.16525924594077</v>
      </c>
    </row>
    <row r="47" spans="1:52">
      <c r="A47" s="110"/>
      <c r="B47" s="165" t="s">
        <v>344</v>
      </c>
      <c r="C47" s="110"/>
      <c r="D47" s="110">
        <v>43.648285345931754</v>
      </c>
      <c r="E47" s="110">
        <v>130.94485603779529</v>
      </c>
      <c r="F47" s="110">
        <v>43.648285345931754</v>
      </c>
      <c r="G47" s="110">
        <v>130.94485603779529</v>
      </c>
      <c r="H47" s="110">
        <v>43.648285345931754</v>
      </c>
      <c r="I47" s="110">
        <v>130.94485603779529</v>
      </c>
      <c r="J47" s="110">
        <v>43.648285345931754</v>
      </c>
      <c r="K47" s="110">
        <v>130.94485603779529</v>
      </c>
      <c r="L47" s="110">
        <v>43.648285345931754</v>
      </c>
      <c r="M47" s="110">
        <v>130.94485603779529</v>
      </c>
      <c r="N47" s="110">
        <v>43.648285345931754</v>
      </c>
      <c r="O47" s="110">
        <v>130.94485603779529</v>
      </c>
      <c r="P47" s="110">
        <v>43.648285345931754</v>
      </c>
      <c r="Q47" s="110">
        <v>130.94485603779529</v>
      </c>
      <c r="R47" s="110">
        <v>43.648285345931754</v>
      </c>
      <c r="S47" s="110">
        <v>57.265434622271954</v>
      </c>
      <c r="T47" s="110">
        <v>101.84599914050744</v>
      </c>
      <c r="U47" s="110">
        <v>58.197713794575677</v>
      </c>
      <c r="V47" s="110">
        <v>101.84599914050744</v>
      </c>
      <c r="W47" s="110">
        <v>58.197713794575677</v>
      </c>
      <c r="X47" s="110">
        <v>101.84599914050744</v>
      </c>
      <c r="Y47" s="110">
        <v>58.197713794575677</v>
      </c>
      <c r="Z47" s="110">
        <v>101.84599914050744</v>
      </c>
      <c r="AA47" s="110"/>
      <c r="AB47" s="110">
        <v>150.90922250341836</v>
      </c>
      <c r="AC47" s="110">
        <v>14.549428448643919</v>
      </c>
      <c r="AD47" s="110">
        <v>150.90922250341836</v>
      </c>
      <c r="AE47" s="110">
        <v>14.549428448643919</v>
      </c>
      <c r="AF47" s="110">
        <v>150.90922250341836</v>
      </c>
      <c r="AG47" s="110">
        <v>14.549428448643919</v>
      </c>
      <c r="AH47" s="110">
        <v>150.90922250341836</v>
      </c>
      <c r="AI47" s="110">
        <v>14.549428448643919</v>
      </c>
      <c r="AJ47" s="110">
        <v>150.90922250341836</v>
      </c>
      <c r="AK47" s="110">
        <v>14.549428448643919</v>
      </c>
      <c r="AL47" s="110">
        <v>120.7273780027347</v>
      </c>
      <c r="AM47" s="110">
        <v>43.648285345931768</v>
      </c>
      <c r="AN47" s="110">
        <v>59.706305708831678</v>
      </c>
      <c r="AO47" s="110">
        <v>59.816835723759468</v>
      </c>
      <c r="AP47" s="110">
        <v>59.926707025038233</v>
      </c>
      <c r="AQ47" s="110">
        <v>101.84599914050743</v>
      </c>
      <c r="AR47" s="110">
        <v>72.747142243219585</v>
      </c>
      <c r="AS47" s="110">
        <v>101.84599914050744</v>
      </c>
      <c r="AT47" s="110">
        <v>72.747142243219599</v>
      </c>
      <c r="AU47" s="110">
        <v>101.84599914050744</v>
      </c>
      <c r="AV47" s="110">
        <v>72.747142243219599</v>
      </c>
      <c r="AW47" s="110">
        <v>101.84599914050744</v>
      </c>
      <c r="AX47" s="110">
        <v>72.747142243219599</v>
      </c>
      <c r="AY47" s="110">
        <v>101.84599914050744</v>
      </c>
    </row>
    <row r="48" spans="1:52">
      <c r="A48" s="110"/>
      <c r="B48" s="165" t="s">
        <v>345</v>
      </c>
      <c r="C48" s="110"/>
      <c r="D48" s="110">
        <v>46.351714654068246</v>
      </c>
      <c r="E48" s="110">
        <v>139.05514396220471</v>
      </c>
      <c r="F48" s="110">
        <v>46.351714654068232</v>
      </c>
      <c r="G48" s="110">
        <v>139.05514396220471</v>
      </c>
      <c r="H48" s="110">
        <v>46.351714654068232</v>
      </c>
      <c r="I48" s="110">
        <v>139.05514396220471</v>
      </c>
      <c r="J48" s="110">
        <v>46.351714654068232</v>
      </c>
      <c r="K48" s="110">
        <v>139.05514396220471</v>
      </c>
      <c r="L48" s="110">
        <v>46.351714654068232</v>
      </c>
      <c r="M48" s="110">
        <v>139.05514396220471</v>
      </c>
      <c r="N48" s="110">
        <v>46.351714654068232</v>
      </c>
      <c r="O48" s="110">
        <v>139.05514396220471</v>
      </c>
      <c r="P48" s="110">
        <v>46.351714654068232</v>
      </c>
      <c r="Q48" s="110">
        <v>139.05514396220471</v>
      </c>
      <c r="R48" s="110">
        <v>46.351714654068232</v>
      </c>
      <c r="S48" s="110">
        <v>60.812264768612465</v>
      </c>
      <c r="T48" s="110">
        <v>108.15400085949254</v>
      </c>
      <c r="U48" s="110">
        <v>61.802286205424309</v>
      </c>
      <c r="V48" s="110">
        <v>108.15400085949254</v>
      </c>
      <c r="W48" s="110">
        <v>61.802286205424309</v>
      </c>
      <c r="X48" s="110">
        <v>108.15400085949254</v>
      </c>
      <c r="Y48" s="110">
        <v>61.802286205424309</v>
      </c>
      <c r="Z48" s="110">
        <v>108.15400085949254</v>
      </c>
      <c r="AA48" s="110"/>
      <c r="AB48" s="110">
        <v>160.25603674252241</v>
      </c>
      <c r="AC48" s="110">
        <v>15.450571551356079</v>
      </c>
      <c r="AD48" s="110">
        <v>160.25603674252241</v>
      </c>
      <c r="AE48" s="110">
        <v>15.450571551356079</v>
      </c>
      <c r="AF48" s="110">
        <v>160.25603674252241</v>
      </c>
      <c r="AG48" s="110">
        <v>15.450571551356079</v>
      </c>
      <c r="AH48" s="110">
        <v>160.25603674252241</v>
      </c>
      <c r="AI48" s="110">
        <v>15.450571551356079</v>
      </c>
      <c r="AJ48" s="110">
        <v>160.25603674252241</v>
      </c>
      <c r="AK48" s="110">
        <v>15.450571551356081</v>
      </c>
      <c r="AL48" s="110">
        <v>128.20482939401796</v>
      </c>
      <c r="AM48" s="110">
        <v>46.351714654068246</v>
      </c>
      <c r="AN48" s="110">
        <v>63.404315274489377</v>
      </c>
      <c r="AO48" s="110">
        <v>63.521691150128902</v>
      </c>
      <c r="AP48" s="110">
        <v>63.638367513591582</v>
      </c>
      <c r="AQ48" s="110">
        <v>108.15400085949258</v>
      </c>
      <c r="AR48" s="110">
        <v>77.252857756780415</v>
      </c>
      <c r="AS48" s="110">
        <v>108.15400085949254</v>
      </c>
      <c r="AT48" s="110">
        <v>77.252857756780386</v>
      </c>
      <c r="AU48" s="110">
        <v>108.15400085949254</v>
      </c>
      <c r="AV48" s="110">
        <v>77.252857756780386</v>
      </c>
      <c r="AW48" s="110">
        <v>108.15400085949254</v>
      </c>
      <c r="AX48" s="110">
        <v>77.252857756780386</v>
      </c>
      <c r="AY48" s="110">
        <v>108.15400085949254</v>
      </c>
    </row>
    <row r="49" spans="1:52">
      <c r="A49" s="110"/>
      <c r="B49" s="165" t="s">
        <v>346</v>
      </c>
      <c r="C49" s="110"/>
      <c r="D49" s="110">
        <v>3</v>
      </c>
      <c r="E49" s="110">
        <v>9</v>
      </c>
      <c r="F49" s="110">
        <v>3</v>
      </c>
      <c r="G49" s="110">
        <v>9</v>
      </c>
      <c r="H49" s="110">
        <v>3</v>
      </c>
      <c r="I49" s="110">
        <v>9</v>
      </c>
      <c r="J49" s="110">
        <v>3</v>
      </c>
      <c r="K49" s="110">
        <v>9</v>
      </c>
      <c r="L49" s="110">
        <v>3</v>
      </c>
      <c r="M49" s="110">
        <v>9</v>
      </c>
      <c r="N49" s="110">
        <v>3</v>
      </c>
      <c r="O49" s="110">
        <v>9</v>
      </c>
      <c r="P49" s="110">
        <v>3</v>
      </c>
      <c r="Q49" s="110">
        <v>9</v>
      </c>
      <c r="R49" s="110">
        <v>3</v>
      </c>
      <c r="S49" s="110">
        <v>4</v>
      </c>
      <c r="T49" s="110">
        <v>7</v>
      </c>
      <c r="U49" s="110">
        <v>4</v>
      </c>
      <c r="V49" s="110">
        <v>7</v>
      </c>
      <c r="W49" s="110">
        <v>4</v>
      </c>
      <c r="X49" s="110">
        <v>7</v>
      </c>
      <c r="Y49" s="110">
        <v>4</v>
      </c>
      <c r="Z49" s="110">
        <v>7</v>
      </c>
      <c r="AA49" s="110"/>
      <c r="AB49" s="110">
        <v>11</v>
      </c>
      <c r="AC49" s="110">
        <v>1</v>
      </c>
      <c r="AD49" s="110">
        <v>11</v>
      </c>
      <c r="AE49" s="110">
        <v>1</v>
      </c>
      <c r="AF49" s="110">
        <v>11</v>
      </c>
      <c r="AG49" s="110">
        <v>1</v>
      </c>
      <c r="AH49" s="110">
        <v>11</v>
      </c>
      <c r="AI49" s="110">
        <v>1</v>
      </c>
      <c r="AJ49" s="110">
        <v>11</v>
      </c>
      <c r="AK49" s="110">
        <v>1</v>
      </c>
      <c r="AL49" s="110">
        <v>9</v>
      </c>
      <c r="AM49" s="110">
        <v>3</v>
      </c>
      <c r="AN49" s="110">
        <v>5</v>
      </c>
      <c r="AO49" s="110">
        <v>5</v>
      </c>
      <c r="AP49" s="110">
        <v>5</v>
      </c>
      <c r="AQ49" s="110">
        <v>7</v>
      </c>
      <c r="AR49" s="110">
        <v>5</v>
      </c>
      <c r="AS49" s="110">
        <v>7</v>
      </c>
      <c r="AT49" s="110">
        <v>5</v>
      </c>
      <c r="AU49" s="110">
        <v>7</v>
      </c>
      <c r="AV49" s="110">
        <v>5</v>
      </c>
      <c r="AW49" s="110">
        <v>7</v>
      </c>
      <c r="AX49" s="110">
        <v>5</v>
      </c>
      <c r="AY49" s="110">
        <v>7</v>
      </c>
    </row>
    <row r="50" spans="1:52">
      <c r="A50" s="110"/>
      <c r="B50" s="165" t="s">
        <v>347</v>
      </c>
      <c r="C50" s="110"/>
      <c r="D50" s="110">
        <f>D44-D47</f>
        <v>77.397182792087122</v>
      </c>
      <c r="E50" s="110">
        <f t="shared" ref="E50:AY50" si="15">E44-E47</f>
        <v>19.964366465623073</v>
      </c>
      <c r="F50" s="110">
        <f t="shared" si="15"/>
        <v>107.26093715748661</v>
      </c>
      <c r="G50" s="110">
        <f t="shared" si="15"/>
        <v>19.964366465623073</v>
      </c>
      <c r="H50" s="110">
        <f t="shared" si="15"/>
        <v>107.26093715748661</v>
      </c>
      <c r="I50" s="110">
        <f t="shared" si="15"/>
        <v>19.964366465623073</v>
      </c>
      <c r="J50" s="110">
        <f t="shared" si="15"/>
        <v>107.26093715748661</v>
      </c>
      <c r="K50" s="110">
        <f t="shared" si="15"/>
        <v>19.964366465623073</v>
      </c>
      <c r="L50" s="110">
        <f t="shared" si="15"/>
        <v>107.26093715748661</v>
      </c>
      <c r="M50" s="110">
        <f t="shared" si="15"/>
        <v>19.964366465623073</v>
      </c>
      <c r="N50" s="110">
        <f t="shared" si="15"/>
        <v>107.26093715748661</v>
      </c>
      <c r="O50" s="110">
        <f t="shared" si="15"/>
        <v>19.964366465623073</v>
      </c>
      <c r="P50" s="110">
        <f t="shared" si="15"/>
        <v>107.26093715748661</v>
      </c>
      <c r="Q50" s="110">
        <f t="shared" si="15"/>
        <v>19.964366465623073</v>
      </c>
      <c r="R50" s="110">
        <f t="shared" si="15"/>
        <v>107.26093715748661</v>
      </c>
      <c r="S50" s="110">
        <f t="shared" si="15"/>
        <v>0</v>
      </c>
      <c r="T50" s="110">
        <f t="shared" si="15"/>
        <v>49.063223362910918</v>
      </c>
      <c r="U50" s="110">
        <f t="shared" si="15"/>
        <v>92.711508708842686</v>
      </c>
      <c r="V50" s="110">
        <f t="shared" si="15"/>
        <v>49.063223362910918</v>
      </c>
      <c r="W50" s="110">
        <f t="shared" si="15"/>
        <v>92.711508708842686</v>
      </c>
      <c r="X50" s="110">
        <f t="shared" si="15"/>
        <v>49.063223362910918</v>
      </c>
      <c r="Y50" s="110">
        <f t="shared" si="15"/>
        <v>92.711508708842686</v>
      </c>
      <c r="Z50" s="110">
        <f t="shared" si="15"/>
        <v>49.063223362910918</v>
      </c>
      <c r="AA50" s="110">
        <f t="shared" si="15"/>
        <v>0</v>
      </c>
      <c r="AB50" s="110">
        <f t="shared" si="15"/>
        <v>0</v>
      </c>
      <c r="AC50" s="110">
        <f t="shared" si="15"/>
        <v>136.35979405477445</v>
      </c>
      <c r="AD50" s="110">
        <f t="shared" si="15"/>
        <v>0</v>
      </c>
      <c r="AE50" s="110">
        <f t="shared" si="15"/>
        <v>136.35979405477445</v>
      </c>
      <c r="AF50" s="110">
        <f t="shared" si="15"/>
        <v>0</v>
      </c>
      <c r="AG50" s="110">
        <f t="shared" si="15"/>
        <v>136.35979405477445</v>
      </c>
      <c r="AH50" s="110">
        <f t="shared" si="15"/>
        <v>0</v>
      </c>
      <c r="AI50" s="110">
        <f t="shared" si="15"/>
        <v>136.35979405477445</v>
      </c>
      <c r="AJ50" s="110">
        <f t="shared" si="15"/>
        <v>0</v>
      </c>
      <c r="AK50" s="110">
        <f t="shared" si="15"/>
        <v>106.17794955409077</v>
      </c>
      <c r="AL50" s="110">
        <f t="shared" si="15"/>
        <v>0</v>
      </c>
      <c r="AM50" s="110">
        <f t="shared" si="15"/>
        <v>15.946849480408261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18.881378862227265</v>
      </c>
      <c r="AR50" s="110">
        <f t="shared" si="15"/>
        <v>47.980235759515111</v>
      </c>
      <c r="AS50" s="110">
        <f t="shared" si="15"/>
        <v>49.063223362910918</v>
      </c>
      <c r="AT50" s="110">
        <f t="shared" si="15"/>
        <v>78.162080260198763</v>
      </c>
      <c r="AU50" s="110">
        <f t="shared" si="15"/>
        <v>49.063223362910918</v>
      </c>
      <c r="AV50" s="110">
        <f t="shared" si="15"/>
        <v>78.162080260198763</v>
      </c>
      <c r="AW50" s="110">
        <f t="shared" si="15"/>
        <v>49.063223362910918</v>
      </c>
      <c r="AX50" s="110">
        <f t="shared" si="15"/>
        <v>78.162080260198763</v>
      </c>
      <c r="AY50" s="110">
        <f t="shared" si="15"/>
        <v>49.063223362910918</v>
      </c>
    </row>
    <row r="51" spans="1:52">
      <c r="A51" s="110"/>
      <c r="B51" s="165" t="s">
        <v>348</v>
      </c>
      <c r="C51" s="110"/>
      <c r="D51" s="110">
        <f>D45-D48</f>
        <v>82.190906317971894</v>
      </c>
      <c r="E51" s="110">
        <f t="shared" ref="E51:AY51" si="16">E45-E48</f>
        <v>21.200892780317673</v>
      </c>
      <c r="F51" s="110">
        <f t="shared" si="16"/>
        <v>113.90432208845415</v>
      </c>
      <c r="G51" s="110">
        <f t="shared" si="16"/>
        <v>21.200892780317673</v>
      </c>
      <c r="H51" s="110">
        <f t="shared" si="16"/>
        <v>113.90432208845415</v>
      </c>
      <c r="I51" s="110">
        <f t="shared" si="16"/>
        <v>21.200892780317673</v>
      </c>
      <c r="J51" s="110">
        <f t="shared" si="16"/>
        <v>113.90432208845415</v>
      </c>
      <c r="K51" s="110">
        <f t="shared" si="16"/>
        <v>21.200892780317673</v>
      </c>
      <c r="L51" s="110">
        <f t="shared" si="16"/>
        <v>113.90432208845415</v>
      </c>
      <c r="M51" s="110">
        <f t="shared" si="16"/>
        <v>21.200892780317673</v>
      </c>
      <c r="N51" s="110">
        <f t="shared" si="16"/>
        <v>113.90432208845415</v>
      </c>
      <c r="O51" s="110">
        <f t="shared" si="16"/>
        <v>21.200892780317673</v>
      </c>
      <c r="P51" s="110">
        <f t="shared" si="16"/>
        <v>113.90432208845415</v>
      </c>
      <c r="Q51" s="110">
        <f t="shared" si="16"/>
        <v>21.200892780317673</v>
      </c>
      <c r="R51" s="110">
        <f t="shared" si="16"/>
        <v>113.90432208845415</v>
      </c>
      <c r="S51" s="110">
        <f t="shared" si="16"/>
        <v>0</v>
      </c>
      <c r="T51" s="110">
        <f t="shared" si="16"/>
        <v>52.102035883029842</v>
      </c>
      <c r="U51" s="110">
        <f t="shared" si="16"/>
        <v>98.453750537098074</v>
      </c>
      <c r="V51" s="110">
        <f t="shared" si="16"/>
        <v>52.102035883029842</v>
      </c>
      <c r="W51" s="110">
        <f t="shared" si="16"/>
        <v>98.453750537098074</v>
      </c>
      <c r="X51" s="110">
        <f t="shared" si="16"/>
        <v>52.102035883029842</v>
      </c>
      <c r="Y51" s="110">
        <f t="shared" si="16"/>
        <v>98.453750537098074</v>
      </c>
      <c r="Z51" s="110">
        <f t="shared" si="16"/>
        <v>52.102035883029842</v>
      </c>
      <c r="AA51" s="110">
        <f t="shared" si="16"/>
        <v>0</v>
      </c>
      <c r="AB51" s="110">
        <f t="shared" si="16"/>
        <v>0</v>
      </c>
      <c r="AC51" s="110">
        <f t="shared" si="16"/>
        <v>144.80546519116629</v>
      </c>
      <c r="AD51" s="110">
        <f t="shared" si="16"/>
        <v>0</v>
      </c>
      <c r="AE51" s="110">
        <f t="shared" si="16"/>
        <v>144.80546519116629</v>
      </c>
      <c r="AF51" s="110">
        <f t="shared" si="16"/>
        <v>0</v>
      </c>
      <c r="AG51" s="110">
        <f t="shared" si="16"/>
        <v>144.80546519116629</v>
      </c>
      <c r="AH51" s="110">
        <f t="shared" si="16"/>
        <v>0</v>
      </c>
      <c r="AI51" s="110">
        <f t="shared" si="16"/>
        <v>144.80546519116629</v>
      </c>
      <c r="AJ51" s="110">
        <f t="shared" si="16"/>
        <v>0</v>
      </c>
      <c r="AK51" s="110">
        <f t="shared" si="16"/>
        <v>112.75425784266186</v>
      </c>
      <c r="AL51" s="110">
        <f t="shared" si="16"/>
        <v>0</v>
      </c>
      <c r="AM51" s="110">
        <f t="shared" si="16"/>
        <v>16.934544184016922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20.050828534525351</v>
      </c>
      <c r="AR51" s="110">
        <f t="shared" si="16"/>
        <v>50.95197163723752</v>
      </c>
      <c r="AS51" s="110">
        <f t="shared" si="16"/>
        <v>52.102035883029842</v>
      </c>
      <c r="AT51" s="110">
        <f t="shared" si="16"/>
        <v>83.003178985741997</v>
      </c>
      <c r="AU51" s="110">
        <f t="shared" si="16"/>
        <v>52.102035883029842</v>
      </c>
      <c r="AV51" s="110">
        <f t="shared" si="16"/>
        <v>83.003178985741997</v>
      </c>
      <c r="AW51" s="110">
        <f t="shared" si="16"/>
        <v>52.102035883029842</v>
      </c>
      <c r="AX51" s="110">
        <f t="shared" si="16"/>
        <v>83.003178985741997</v>
      </c>
      <c r="AY51" s="110">
        <f t="shared" si="16"/>
        <v>52.102035883029842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1</v>
      </c>
      <c r="H52" s="110">
        <v>1</v>
      </c>
      <c r="I52" s="110">
        <v>2</v>
      </c>
      <c r="J52" s="110">
        <v>1</v>
      </c>
      <c r="K52" s="110">
        <v>2</v>
      </c>
      <c r="L52" s="110">
        <v>1</v>
      </c>
      <c r="M52" s="110">
        <v>2</v>
      </c>
      <c r="N52" s="110">
        <v>2</v>
      </c>
      <c r="O52" s="110">
        <v>1</v>
      </c>
      <c r="P52" s="110">
        <v>2</v>
      </c>
      <c r="Q52" s="110">
        <v>1</v>
      </c>
      <c r="R52" s="110">
        <v>1</v>
      </c>
      <c r="S52" s="110">
        <v>1</v>
      </c>
      <c r="T52" s="110">
        <v>2</v>
      </c>
      <c r="U52" s="110">
        <v>2</v>
      </c>
      <c r="V52" s="110">
        <v>1</v>
      </c>
      <c r="W52" s="110">
        <v>2</v>
      </c>
      <c r="X52" s="110">
        <v>2</v>
      </c>
      <c r="Y52" s="110">
        <v>1</v>
      </c>
      <c r="Z52" s="110">
        <v>1</v>
      </c>
      <c r="AA52" s="110">
        <v>1</v>
      </c>
      <c r="AB52" s="110">
        <v>1</v>
      </c>
      <c r="AC52" s="110">
        <v>1</v>
      </c>
      <c r="AD52" s="110">
        <v>2</v>
      </c>
      <c r="AE52" s="110">
        <v>3</v>
      </c>
      <c r="AF52" s="110">
        <v>1</v>
      </c>
      <c r="AG52" s="110">
        <v>2</v>
      </c>
      <c r="AH52" s="110">
        <v>1</v>
      </c>
      <c r="AI52" s="110">
        <v>1</v>
      </c>
      <c r="AJ52" s="110">
        <v>1</v>
      </c>
      <c r="AK52" s="110">
        <v>1</v>
      </c>
      <c r="AL52" s="110">
        <v>1</v>
      </c>
      <c r="AM52" s="110">
        <v>1</v>
      </c>
      <c r="AN52" s="110">
        <v>1</v>
      </c>
      <c r="AO52" s="110">
        <v>1</v>
      </c>
      <c r="AP52" s="110">
        <v>2</v>
      </c>
      <c r="AQ52" s="110">
        <v>1</v>
      </c>
      <c r="AR52" s="110">
        <v>1</v>
      </c>
      <c r="AS52" s="110">
        <v>2</v>
      </c>
      <c r="AT52" s="110">
        <v>2</v>
      </c>
      <c r="AU52" s="110">
        <v>1</v>
      </c>
      <c r="AV52" s="110">
        <v>1</v>
      </c>
      <c r="AW52" s="110">
        <v>1</v>
      </c>
      <c r="AX52" s="110">
        <v>1</v>
      </c>
      <c r="AY52" s="110">
        <v>2</v>
      </c>
    </row>
    <row r="53" spans="1:52">
      <c r="A53" s="110"/>
      <c r="B53" s="178" t="s">
        <v>350</v>
      </c>
      <c r="C53" s="110"/>
      <c r="D53" s="110">
        <v>9612</v>
      </c>
      <c r="E53" s="110">
        <v>28836</v>
      </c>
      <c r="F53" s="110">
        <v>9612</v>
      </c>
      <c r="G53" s="110">
        <v>28836</v>
      </c>
      <c r="H53" s="110">
        <v>9612</v>
      </c>
      <c r="I53" s="110">
        <v>28836</v>
      </c>
      <c r="J53" s="110">
        <v>9612</v>
      </c>
      <c r="K53" s="110">
        <v>28836</v>
      </c>
      <c r="L53" s="110">
        <v>9612</v>
      </c>
      <c r="M53" s="110">
        <v>28836</v>
      </c>
      <c r="N53" s="110">
        <v>9612</v>
      </c>
      <c r="O53" s="110">
        <v>28836</v>
      </c>
      <c r="P53" s="110">
        <v>9612</v>
      </c>
      <c r="Q53" s="110">
        <v>28836</v>
      </c>
      <c r="R53" s="110">
        <v>9612</v>
      </c>
      <c r="S53" s="110">
        <v>12816</v>
      </c>
      <c r="T53" s="110">
        <v>22428</v>
      </c>
      <c r="U53" s="110">
        <v>12816</v>
      </c>
      <c r="V53" s="110">
        <v>22428</v>
      </c>
      <c r="W53" s="110">
        <v>12816</v>
      </c>
      <c r="X53" s="110">
        <v>22428</v>
      </c>
      <c r="Y53" s="110">
        <v>12816</v>
      </c>
      <c r="Z53" s="110">
        <v>22428</v>
      </c>
      <c r="AA53" s="110">
        <v>0</v>
      </c>
      <c r="AB53" s="110">
        <v>35244</v>
      </c>
      <c r="AC53" s="110">
        <v>3204</v>
      </c>
      <c r="AD53" s="110">
        <v>35244</v>
      </c>
      <c r="AE53" s="110">
        <v>3204</v>
      </c>
      <c r="AF53" s="110">
        <v>35244</v>
      </c>
      <c r="AG53" s="110">
        <v>3204</v>
      </c>
      <c r="AH53" s="110">
        <v>35244</v>
      </c>
      <c r="AI53" s="110">
        <v>3204</v>
      </c>
      <c r="AJ53" s="110">
        <v>35244</v>
      </c>
      <c r="AK53" s="110">
        <v>3204</v>
      </c>
      <c r="AL53" s="110">
        <v>28836</v>
      </c>
      <c r="AM53" s="110">
        <v>9612</v>
      </c>
      <c r="AN53" s="110">
        <v>16020</v>
      </c>
      <c r="AO53" s="110">
        <v>16020</v>
      </c>
      <c r="AP53" s="110">
        <v>16020</v>
      </c>
      <c r="AQ53" s="110">
        <v>22428</v>
      </c>
      <c r="AR53" s="110">
        <v>16020</v>
      </c>
      <c r="AS53" s="110">
        <v>22428</v>
      </c>
      <c r="AT53" s="110">
        <v>16020</v>
      </c>
      <c r="AU53" s="110">
        <v>22428</v>
      </c>
      <c r="AV53" s="110">
        <v>16020</v>
      </c>
      <c r="AW53" s="110">
        <v>22428</v>
      </c>
      <c r="AX53" s="110">
        <v>16020</v>
      </c>
      <c r="AY53" s="110">
        <v>22428</v>
      </c>
      <c r="AZ53" s="100">
        <f>SUM($D$53:$AY$53)</f>
        <v>874692</v>
      </c>
    </row>
    <row r="54" spans="1:52">
      <c r="A54" s="110"/>
      <c r="B54" s="178" t="s">
        <v>351</v>
      </c>
      <c r="C54" s="110"/>
      <c r="D54" s="110">
        <v>9232.1709550169144</v>
      </c>
      <c r="E54" s="110">
        <v>2381.410247377672</v>
      </c>
      <c r="F54" s="110">
        <v>12794.410247377675</v>
      </c>
      <c r="G54" s="110">
        <v>2381.410247377672</v>
      </c>
      <c r="H54" s="110">
        <v>12794.410247377675</v>
      </c>
      <c r="I54" s="110">
        <v>2381.410247377672</v>
      </c>
      <c r="J54" s="110">
        <v>12794.410247377675</v>
      </c>
      <c r="K54" s="110">
        <v>2381.410247377672</v>
      </c>
      <c r="L54" s="110">
        <v>12794.410247377675</v>
      </c>
      <c r="M54" s="110">
        <v>2381.410247377672</v>
      </c>
      <c r="N54" s="110">
        <v>12794.410247377675</v>
      </c>
      <c r="O54" s="110">
        <v>2381.410247377672</v>
      </c>
      <c r="P54" s="110">
        <v>12794.410247377675</v>
      </c>
      <c r="Q54" s="110">
        <v>2381.410247377672</v>
      </c>
      <c r="R54" s="110">
        <v>12794.410247377675</v>
      </c>
      <c r="S54" s="110">
        <v>0</v>
      </c>
      <c r="T54" s="110">
        <v>5852.4102473776729</v>
      </c>
      <c r="U54" s="110">
        <v>11058.910247377675</v>
      </c>
      <c r="V54" s="110">
        <v>5852.4102473776729</v>
      </c>
      <c r="W54" s="110">
        <v>11058.910247377675</v>
      </c>
      <c r="X54" s="110">
        <v>5852.4102473776729</v>
      </c>
      <c r="Y54" s="110">
        <v>11058.910247377675</v>
      </c>
      <c r="Z54" s="110">
        <v>5852.4102473776729</v>
      </c>
      <c r="AA54" s="110">
        <v>0</v>
      </c>
      <c r="AB54" s="110">
        <v>0</v>
      </c>
      <c r="AC54" s="110">
        <v>16265.410247377675</v>
      </c>
      <c r="AD54" s="110">
        <v>0</v>
      </c>
      <c r="AE54" s="110">
        <v>16265.410247377675</v>
      </c>
      <c r="AF54" s="110">
        <v>0</v>
      </c>
      <c r="AG54" s="110">
        <v>16265.410247377675</v>
      </c>
      <c r="AH54" s="110">
        <v>0</v>
      </c>
      <c r="AI54" s="110">
        <v>16265.410247377675</v>
      </c>
      <c r="AJ54" s="110">
        <v>0</v>
      </c>
      <c r="AK54" s="110">
        <v>12665.228197902141</v>
      </c>
      <c r="AL54" s="110">
        <v>0</v>
      </c>
      <c r="AM54" s="110">
        <v>1902.1886234869967</v>
      </c>
      <c r="AN54" s="110">
        <v>0</v>
      </c>
      <c r="AO54" s="110">
        <v>0</v>
      </c>
      <c r="AP54" s="110">
        <v>0</v>
      </c>
      <c r="AQ54" s="110">
        <v>2252.2281979021391</v>
      </c>
      <c r="AR54" s="110">
        <v>5723.22819790214</v>
      </c>
      <c r="AS54" s="110">
        <v>5852.4102473776729</v>
      </c>
      <c r="AT54" s="110">
        <v>9323.4102473776748</v>
      </c>
      <c r="AU54" s="110">
        <v>5852.4102473776729</v>
      </c>
      <c r="AV54" s="110">
        <v>9323.4102473776748</v>
      </c>
      <c r="AW54" s="110">
        <v>5852.4102473776729</v>
      </c>
      <c r="AX54" s="110">
        <v>9323.4102473776748</v>
      </c>
      <c r="AY54" s="110">
        <v>5852.4102473776729</v>
      </c>
      <c r="AZ54" s="100">
        <f>SUM($D$54:$AY$54)</f>
        <v>311033.67208829604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3</v>
      </c>
      <c r="E63" s="110">
        <v>2</v>
      </c>
      <c r="F63" s="110">
        <v>3</v>
      </c>
      <c r="G63" s="110">
        <v>3</v>
      </c>
      <c r="H63" s="110">
        <v>2</v>
      </c>
      <c r="I63" s="110">
        <v>2</v>
      </c>
      <c r="J63" s="110">
        <v>2</v>
      </c>
      <c r="K63" s="110">
        <v>2</v>
      </c>
      <c r="L63" s="110">
        <v>2</v>
      </c>
      <c r="M63" s="110">
        <v>3</v>
      </c>
      <c r="N63" s="110">
        <v>2</v>
      </c>
      <c r="O63" s="110">
        <v>3</v>
      </c>
      <c r="P63" s="110">
        <v>2</v>
      </c>
      <c r="Q63" s="110">
        <v>2</v>
      </c>
      <c r="R63" s="110">
        <v>2</v>
      </c>
      <c r="S63" s="110">
        <v>2</v>
      </c>
      <c r="T63" s="110">
        <v>3</v>
      </c>
      <c r="U63" s="110">
        <v>2</v>
      </c>
      <c r="V63" s="110">
        <v>2</v>
      </c>
      <c r="W63" s="110">
        <v>3</v>
      </c>
      <c r="X63" s="110">
        <v>2</v>
      </c>
      <c r="Y63" s="110">
        <v>3</v>
      </c>
      <c r="Z63" s="110">
        <v>3</v>
      </c>
      <c r="AA63" s="110">
        <v>2</v>
      </c>
      <c r="AB63" s="110">
        <v>2</v>
      </c>
      <c r="AC63" s="110">
        <v>2</v>
      </c>
      <c r="AD63" s="110">
        <v>2</v>
      </c>
      <c r="AE63" s="110">
        <v>2</v>
      </c>
      <c r="AF63" s="110">
        <v>2</v>
      </c>
      <c r="AG63" s="110">
        <v>2</v>
      </c>
      <c r="AH63" s="110">
        <v>2</v>
      </c>
      <c r="AI63" s="110">
        <v>3</v>
      </c>
      <c r="AJ63" s="110">
        <v>3</v>
      </c>
      <c r="AK63" s="110">
        <v>2</v>
      </c>
      <c r="AL63" s="110">
        <v>3</v>
      </c>
      <c r="AM63" s="110">
        <v>4</v>
      </c>
      <c r="AN63" s="110">
        <v>3</v>
      </c>
      <c r="AO63" s="110">
        <v>2</v>
      </c>
      <c r="AP63" s="110">
        <v>4</v>
      </c>
      <c r="AQ63" s="110">
        <v>2</v>
      </c>
      <c r="AR63" s="110">
        <v>3</v>
      </c>
      <c r="AS63" s="110">
        <v>4</v>
      </c>
      <c r="AT63" s="110">
        <v>2</v>
      </c>
      <c r="AU63" s="110">
        <v>2</v>
      </c>
      <c r="AV63" s="110">
        <v>4</v>
      </c>
      <c r="AW63" s="110">
        <v>2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1226.3312897581723</v>
      </c>
      <c r="E7" s="144">
        <v>1226.3312897581723</v>
      </c>
      <c r="F7" s="144">
        <v>1226.3312897581723</v>
      </c>
      <c r="G7" s="144">
        <v>1226.3312897581723</v>
      </c>
      <c r="H7" s="144">
        <v>1469.2235023490002</v>
      </c>
      <c r="I7" s="144">
        <v>1469.2235023490002</v>
      </c>
      <c r="J7" s="144">
        <v>1469.2235023490002</v>
      </c>
      <c r="K7" s="144">
        <v>1469.2235023490002</v>
      </c>
      <c r="L7" s="144">
        <v>1226.3312897581723</v>
      </c>
      <c r="M7" s="144">
        <v>1226.3312897581723</v>
      </c>
      <c r="N7" s="144">
        <v>1226.3312897581723</v>
      </c>
      <c r="O7" s="144">
        <v>1226.3312897581723</v>
      </c>
      <c r="P7" s="144">
        <v>1226.3312897581723</v>
      </c>
      <c r="Q7" s="144">
        <v>1226.3312897581723</v>
      </c>
      <c r="R7" s="144">
        <v>1226.3312897581723</v>
      </c>
      <c r="S7" s="144">
        <v>1226.3312897581723</v>
      </c>
      <c r="T7" s="144">
        <v>1226.3312897581723</v>
      </c>
      <c r="U7" s="144">
        <v>1226.3312897581723</v>
      </c>
      <c r="V7" s="144">
        <v>1226.3312897581723</v>
      </c>
      <c r="W7" s="144">
        <v>1226.3312897581723</v>
      </c>
      <c r="X7" s="144">
        <v>983.43907716734441</v>
      </c>
      <c r="Y7" s="144">
        <v>983.43907716734441</v>
      </c>
      <c r="Z7" s="144">
        <v>983.43907716734441</v>
      </c>
      <c r="AA7" s="144">
        <v>983.43907716734441</v>
      </c>
      <c r="AB7" s="144">
        <v>1226.3312897581723</v>
      </c>
      <c r="AC7" s="144">
        <v>1226.3312897581723</v>
      </c>
      <c r="AD7" s="144">
        <v>1226.3312897581723</v>
      </c>
      <c r="AE7" s="144">
        <v>1226.3312897581723</v>
      </c>
      <c r="AF7" s="144">
        <v>1226.3312897581723</v>
      </c>
      <c r="AG7" s="144">
        <v>1226.3312897581723</v>
      </c>
      <c r="AH7" s="144">
        <v>1226.3312897581723</v>
      </c>
      <c r="AI7" s="144">
        <v>1226.3312897581723</v>
      </c>
      <c r="AJ7" s="144">
        <v>1226.3312897581723</v>
      </c>
      <c r="AK7" s="144">
        <v>1226.3312897581723</v>
      </c>
      <c r="AL7" s="144">
        <v>1226.3312897581723</v>
      </c>
      <c r="AM7" s="144">
        <v>1226.3312897581723</v>
      </c>
      <c r="AN7" s="144">
        <v>983.43907716734441</v>
      </c>
      <c r="AO7" s="144">
        <v>983.43907716734441</v>
      </c>
      <c r="AP7" s="144">
        <v>983.43907716734441</v>
      </c>
      <c r="AQ7" s="144">
        <v>983.43907716734441</v>
      </c>
      <c r="AR7" s="144">
        <v>1226.3312897581723</v>
      </c>
      <c r="AS7" s="144">
        <v>1226.3312897581723</v>
      </c>
      <c r="AT7" s="144">
        <v>1226.3312897581723</v>
      </c>
      <c r="AU7" s="144">
        <v>1226.3312897581723</v>
      </c>
      <c r="AV7" s="144">
        <v>1226.3312897581723</v>
      </c>
      <c r="AW7" s="144">
        <v>1226.3312897581723</v>
      </c>
      <c r="AX7" s="144">
        <v>1226.3312897581723</v>
      </c>
      <c r="AY7" s="144">
        <v>1226.3312897581723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945.2790506330432</v>
      </c>
      <c r="D13" s="138">
        <f t="shared" ref="D13:AY13" si="1">D$7-D$10</f>
        <v>1226.3312897581723</v>
      </c>
      <c r="E13" s="138">
        <f t="shared" si="1"/>
        <v>1226.3312897581723</v>
      </c>
      <c r="F13" s="138">
        <f t="shared" si="1"/>
        <v>1226.3312897581723</v>
      </c>
      <c r="G13" s="138">
        <f t="shared" si="1"/>
        <v>1226.3312897581723</v>
      </c>
      <c r="H13" s="138">
        <f t="shared" si="1"/>
        <v>1469.2235023490002</v>
      </c>
      <c r="I13" s="138">
        <f t="shared" si="1"/>
        <v>1469.2235023490002</v>
      </c>
      <c r="J13" s="138">
        <f t="shared" si="1"/>
        <v>1469.2235023490002</v>
      </c>
      <c r="K13" s="138">
        <f t="shared" si="1"/>
        <v>1469.2235023490002</v>
      </c>
      <c r="L13" s="138">
        <f t="shared" si="1"/>
        <v>1226.3312897581723</v>
      </c>
      <c r="M13" s="138">
        <f t="shared" si="1"/>
        <v>1226.3312897581723</v>
      </c>
      <c r="N13" s="138">
        <f t="shared" si="1"/>
        <v>1226.3312897581723</v>
      </c>
      <c r="O13" s="138">
        <f t="shared" si="1"/>
        <v>1226.3312897581723</v>
      </c>
      <c r="P13" s="138">
        <f t="shared" si="1"/>
        <v>1226.3312897581723</v>
      </c>
      <c r="Q13" s="138">
        <f t="shared" si="1"/>
        <v>1226.3312897581723</v>
      </c>
      <c r="R13" s="138">
        <f t="shared" si="1"/>
        <v>1226.3312897581723</v>
      </c>
      <c r="S13" s="138">
        <f t="shared" si="1"/>
        <v>1226.3312897581723</v>
      </c>
      <c r="T13" s="138">
        <f t="shared" si="1"/>
        <v>1226.3312897581723</v>
      </c>
      <c r="U13" s="138">
        <f t="shared" si="1"/>
        <v>1226.3312897581723</v>
      </c>
      <c r="V13" s="138">
        <f t="shared" si="1"/>
        <v>1226.3312897581723</v>
      </c>
      <c r="W13" s="138">
        <f t="shared" si="1"/>
        <v>1226.3312897581723</v>
      </c>
      <c r="X13" s="138">
        <f t="shared" si="1"/>
        <v>983.43907716734441</v>
      </c>
      <c r="Y13" s="138">
        <f t="shared" si="1"/>
        <v>983.43907716734441</v>
      </c>
      <c r="Z13" s="138">
        <f t="shared" si="1"/>
        <v>983.43907716734441</v>
      </c>
      <c r="AA13" s="138">
        <f t="shared" si="1"/>
        <v>983.43907716734441</v>
      </c>
      <c r="AB13" s="138">
        <f t="shared" si="1"/>
        <v>1226.3312897581723</v>
      </c>
      <c r="AC13" s="138">
        <f t="shared" si="1"/>
        <v>1226.3312897581723</v>
      </c>
      <c r="AD13" s="138">
        <f t="shared" si="1"/>
        <v>1226.3312897581723</v>
      </c>
      <c r="AE13" s="138">
        <f t="shared" si="1"/>
        <v>1226.3312897581723</v>
      </c>
      <c r="AF13" s="138">
        <f t="shared" si="1"/>
        <v>1226.3312897581723</v>
      </c>
      <c r="AG13" s="138">
        <f t="shared" si="1"/>
        <v>1226.3312897581723</v>
      </c>
      <c r="AH13" s="138">
        <f t="shared" si="1"/>
        <v>1226.3312897581723</v>
      </c>
      <c r="AI13" s="138">
        <f t="shared" si="1"/>
        <v>1226.3312897581723</v>
      </c>
      <c r="AJ13" s="138">
        <f t="shared" si="1"/>
        <v>1226.3312897581723</v>
      </c>
      <c r="AK13" s="138">
        <f t="shared" si="1"/>
        <v>1226.3312897581723</v>
      </c>
      <c r="AL13" s="138">
        <f t="shared" si="1"/>
        <v>1226.3312897581723</v>
      </c>
      <c r="AM13" s="138">
        <f t="shared" si="1"/>
        <v>1226.3312897581723</v>
      </c>
      <c r="AN13" s="138">
        <f t="shared" si="1"/>
        <v>983.43907716734441</v>
      </c>
      <c r="AO13" s="138">
        <f t="shared" si="1"/>
        <v>983.43907716734441</v>
      </c>
      <c r="AP13" s="138">
        <f t="shared" si="1"/>
        <v>983.43907716734441</v>
      </c>
      <c r="AQ13" s="138">
        <f t="shared" si="1"/>
        <v>983.43907716734441</v>
      </c>
      <c r="AR13" s="138">
        <f t="shared" si="1"/>
        <v>1226.3312897581723</v>
      </c>
      <c r="AS13" s="138">
        <f t="shared" si="1"/>
        <v>1226.3312897581723</v>
      </c>
      <c r="AT13" s="138">
        <f t="shared" si="1"/>
        <v>1226.3312897581723</v>
      </c>
      <c r="AU13" s="138">
        <f t="shared" si="1"/>
        <v>1226.3312897581723</v>
      </c>
      <c r="AV13" s="138">
        <f t="shared" si="1"/>
        <v>1226.3312897581723</v>
      </c>
      <c r="AW13" s="138">
        <f t="shared" si="1"/>
        <v>1226.3312897581723</v>
      </c>
      <c r="AX13" s="138">
        <f t="shared" si="1"/>
        <v>1226.3312897581723</v>
      </c>
      <c r="AY13" s="138">
        <f t="shared" si="1"/>
        <v>1226.3312897581723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1226.3312897581723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1226.3312897581723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 t="s">
        <v>339</v>
      </c>
      <c r="AN20" s="117"/>
      <c r="AO20" s="117"/>
      <c r="AP20" s="117"/>
      <c r="AQ20" s="117"/>
      <c r="AR20" s="117" t="s">
        <v>339</v>
      </c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0.50672400183979283</v>
      </c>
      <c r="C21" s="156" t="s">
        <v>293</v>
      </c>
      <c r="D21" s="106">
        <f>IF(C$20="Yes",0,SUM(C$13:C$16)*$B$21)</f>
        <v>478.9955833920958</v>
      </c>
      <c r="E21" s="106">
        <f t="shared" ref="E21:AY21" si="3">IF(D$20="Yes",0,SUM(D$13:D$16)*$B$21)</f>
        <v>621.41149872761559</v>
      </c>
      <c r="F21" s="106">
        <f t="shared" si="3"/>
        <v>621.41149872761559</v>
      </c>
      <c r="G21" s="106">
        <f t="shared" si="3"/>
        <v>621.41149872761559</v>
      </c>
      <c r="H21" s="106">
        <f t="shared" si="3"/>
        <v>621.41149872761559</v>
      </c>
      <c r="I21" s="106">
        <f t="shared" si="3"/>
        <v>744.49081270736167</v>
      </c>
      <c r="J21" s="106">
        <f t="shared" si="3"/>
        <v>744.49081270736167</v>
      </c>
      <c r="K21" s="106">
        <f t="shared" si="3"/>
        <v>744.49081270736167</v>
      </c>
      <c r="L21" s="106">
        <f t="shared" si="3"/>
        <v>744.49081270736167</v>
      </c>
      <c r="M21" s="106">
        <f t="shared" si="3"/>
        <v>621.41149872761559</v>
      </c>
      <c r="N21" s="106">
        <f t="shared" si="3"/>
        <v>621.41149872761559</v>
      </c>
      <c r="O21" s="106">
        <f t="shared" si="3"/>
        <v>621.41149872761559</v>
      </c>
      <c r="P21" s="106">
        <f t="shared" si="3"/>
        <v>621.41149872761559</v>
      </c>
      <c r="Q21" s="106">
        <f t="shared" si="3"/>
        <v>621.41149872761559</v>
      </c>
      <c r="R21" s="106">
        <f t="shared" si="3"/>
        <v>621.41149872761559</v>
      </c>
      <c r="S21" s="106">
        <f t="shared" si="3"/>
        <v>621.41149872761559</v>
      </c>
      <c r="T21" s="106">
        <f t="shared" si="3"/>
        <v>621.41149872761559</v>
      </c>
      <c r="U21" s="106">
        <f t="shared" si="3"/>
        <v>621.41149872761559</v>
      </c>
      <c r="V21" s="106">
        <f t="shared" si="3"/>
        <v>621.41149872761559</v>
      </c>
      <c r="W21" s="106">
        <f t="shared" si="3"/>
        <v>621.41149872761559</v>
      </c>
      <c r="X21" s="106">
        <f t="shared" si="3"/>
        <v>621.41149872761559</v>
      </c>
      <c r="Y21" s="106">
        <f t="shared" si="3"/>
        <v>498.33218474786958</v>
      </c>
      <c r="Z21" s="106">
        <f t="shared" si="3"/>
        <v>498.33218474786958</v>
      </c>
      <c r="AA21" s="106">
        <f t="shared" si="3"/>
        <v>498.33218474786958</v>
      </c>
      <c r="AB21" s="106">
        <f t="shared" si="3"/>
        <v>498.33218474786958</v>
      </c>
      <c r="AC21" s="106">
        <f t="shared" si="3"/>
        <v>621.41149872761559</v>
      </c>
      <c r="AD21" s="106">
        <f t="shared" si="3"/>
        <v>621.41149872761559</v>
      </c>
      <c r="AE21" s="106">
        <f t="shared" si="3"/>
        <v>621.41149872761559</v>
      </c>
      <c r="AF21" s="106">
        <f t="shared" si="3"/>
        <v>621.41149872761559</v>
      </c>
      <c r="AG21" s="106">
        <f t="shared" si="3"/>
        <v>621.41149872761559</v>
      </c>
      <c r="AH21" s="106">
        <f t="shared" si="3"/>
        <v>621.41149872761559</v>
      </c>
      <c r="AI21" s="106">
        <f t="shared" si="3"/>
        <v>621.41149872761559</v>
      </c>
      <c r="AJ21" s="106">
        <f t="shared" si="3"/>
        <v>621.41149872761559</v>
      </c>
      <c r="AK21" s="106">
        <f t="shared" si="3"/>
        <v>621.41149872761559</v>
      </c>
      <c r="AL21" s="106">
        <f t="shared" si="3"/>
        <v>621.41149872761559</v>
      </c>
      <c r="AM21" s="106">
        <f t="shared" si="3"/>
        <v>621.41149872761559</v>
      </c>
      <c r="AN21" s="106">
        <f t="shared" si="3"/>
        <v>0</v>
      </c>
      <c r="AO21" s="106">
        <f t="shared" si="3"/>
        <v>1119.7436834754851</v>
      </c>
      <c r="AP21" s="106">
        <f t="shared" si="3"/>
        <v>498.33218474786958</v>
      </c>
      <c r="AQ21" s="106">
        <f t="shared" si="3"/>
        <v>498.33218474786958</v>
      </c>
      <c r="AR21" s="106">
        <f t="shared" si="3"/>
        <v>498.33218474786958</v>
      </c>
      <c r="AS21" s="106">
        <f t="shared" si="3"/>
        <v>0</v>
      </c>
      <c r="AT21" s="106">
        <f t="shared" si="3"/>
        <v>1242.8229974552312</v>
      </c>
      <c r="AU21" s="106">
        <f t="shared" si="3"/>
        <v>621.41149872761559</v>
      </c>
      <c r="AV21" s="106">
        <f t="shared" si="3"/>
        <v>621.41149872761559</v>
      </c>
      <c r="AW21" s="106">
        <f t="shared" si="3"/>
        <v>621.41149872761559</v>
      </c>
      <c r="AX21" s="106">
        <f t="shared" si="3"/>
        <v>621.41149872761559</v>
      </c>
      <c r="AY21" s="106">
        <f t="shared" si="3"/>
        <v>621.41149872761559</v>
      </c>
      <c r="AZ21" s="157">
        <f>SUM($D21:$AY21)</f>
        <v>29193.018767671034</v>
      </c>
    </row>
    <row r="22" spans="1:52" s="110" customFormat="1">
      <c r="A22" s="158" t="s">
        <v>123</v>
      </c>
      <c r="B22" s="159">
        <f>1-$B$21</f>
        <v>0.49327599816020717</v>
      </c>
      <c r="C22" s="159" t="s">
        <v>293</v>
      </c>
      <c r="D22" s="114">
        <f>IF(C$20="Yes",0,SUM(C$13:C$16)*$B$22)</f>
        <v>466.2834672409474</v>
      </c>
      <c r="E22" s="114">
        <f t="shared" ref="E22:AY22" si="4">IF(D$20="Yes",0,SUM(D$13:D$16)*$B$22)</f>
        <v>604.91979103055667</v>
      </c>
      <c r="F22" s="114">
        <f t="shared" si="4"/>
        <v>604.91979103055667</v>
      </c>
      <c r="G22" s="114">
        <f t="shared" si="4"/>
        <v>604.91979103055667</v>
      </c>
      <c r="H22" s="114">
        <f t="shared" si="4"/>
        <v>604.91979103055667</v>
      </c>
      <c r="I22" s="114">
        <f t="shared" si="4"/>
        <v>724.73268964163856</v>
      </c>
      <c r="J22" s="114">
        <f t="shared" si="4"/>
        <v>724.73268964163856</v>
      </c>
      <c r="K22" s="114">
        <f t="shared" si="4"/>
        <v>724.73268964163856</v>
      </c>
      <c r="L22" s="114">
        <f t="shared" si="4"/>
        <v>724.73268964163856</v>
      </c>
      <c r="M22" s="114">
        <f t="shared" si="4"/>
        <v>604.91979103055667</v>
      </c>
      <c r="N22" s="114">
        <f t="shared" si="4"/>
        <v>604.91979103055667</v>
      </c>
      <c r="O22" s="114">
        <f t="shared" si="4"/>
        <v>604.91979103055667</v>
      </c>
      <c r="P22" s="114">
        <f t="shared" si="4"/>
        <v>604.91979103055667</v>
      </c>
      <c r="Q22" s="114">
        <f t="shared" si="4"/>
        <v>604.91979103055667</v>
      </c>
      <c r="R22" s="114">
        <f t="shared" si="4"/>
        <v>604.91979103055667</v>
      </c>
      <c r="S22" s="114">
        <f t="shared" si="4"/>
        <v>604.91979103055667</v>
      </c>
      <c r="T22" s="114">
        <f t="shared" si="4"/>
        <v>604.91979103055667</v>
      </c>
      <c r="U22" s="114">
        <f t="shared" si="4"/>
        <v>604.91979103055667</v>
      </c>
      <c r="V22" s="114">
        <f t="shared" si="4"/>
        <v>604.91979103055667</v>
      </c>
      <c r="W22" s="114">
        <f t="shared" si="4"/>
        <v>604.91979103055667</v>
      </c>
      <c r="X22" s="114">
        <f t="shared" si="4"/>
        <v>604.91979103055667</v>
      </c>
      <c r="Y22" s="114">
        <f t="shared" si="4"/>
        <v>485.10689241947483</v>
      </c>
      <c r="Z22" s="114">
        <f t="shared" si="4"/>
        <v>485.10689241947483</v>
      </c>
      <c r="AA22" s="114">
        <f t="shared" si="4"/>
        <v>485.10689241947483</v>
      </c>
      <c r="AB22" s="114">
        <f t="shared" si="4"/>
        <v>485.10689241947483</v>
      </c>
      <c r="AC22" s="114">
        <f t="shared" si="4"/>
        <v>604.91979103055667</v>
      </c>
      <c r="AD22" s="114">
        <f t="shared" si="4"/>
        <v>604.91979103055667</v>
      </c>
      <c r="AE22" s="114">
        <f t="shared" si="4"/>
        <v>604.91979103055667</v>
      </c>
      <c r="AF22" s="114">
        <f t="shared" si="4"/>
        <v>604.91979103055667</v>
      </c>
      <c r="AG22" s="114">
        <f t="shared" si="4"/>
        <v>604.91979103055667</v>
      </c>
      <c r="AH22" s="114">
        <f t="shared" si="4"/>
        <v>604.91979103055667</v>
      </c>
      <c r="AI22" s="114">
        <f t="shared" si="4"/>
        <v>604.91979103055667</v>
      </c>
      <c r="AJ22" s="114">
        <f t="shared" si="4"/>
        <v>604.91979103055667</v>
      </c>
      <c r="AK22" s="114">
        <f t="shared" si="4"/>
        <v>604.91979103055667</v>
      </c>
      <c r="AL22" s="114">
        <f t="shared" si="4"/>
        <v>604.91979103055667</v>
      </c>
      <c r="AM22" s="114">
        <f t="shared" si="4"/>
        <v>604.91979103055667</v>
      </c>
      <c r="AN22" s="114">
        <f t="shared" si="4"/>
        <v>0</v>
      </c>
      <c r="AO22" s="114">
        <f t="shared" si="4"/>
        <v>1090.0266834500314</v>
      </c>
      <c r="AP22" s="114">
        <f t="shared" si="4"/>
        <v>485.10689241947483</v>
      </c>
      <c r="AQ22" s="114">
        <f t="shared" si="4"/>
        <v>485.10689241947483</v>
      </c>
      <c r="AR22" s="114">
        <f t="shared" si="4"/>
        <v>485.10689241947483</v>
      </c>
      <c r="AS22" s="114">
        <f t="shared" si="4"/>
        <v>0</v>
      </c>
      <c r="AT22" s="114">
        <f t="shared" si="4"/>
        <v>1209.8395820611133</v>
      </c>
      <c r="AU22" s="114">
        <f t="shared" si="4"/>
        <v>604.91979103055667</v>
      </c>
      <c r="AV22" s="114">
        <f t="shared" si="4"/>
        <v>604.91979103055667</v>
      </c>
      <c r="AW22" s="114">
        <f t="shared" si="4"/>
        <v>604.91979103055667</v>
      </c>
      <c r="AX22" s="114">
        <f t="shared" si="4"/>
        <v>604.91979103055667</v>
      </c>
      <c r="AY22" s="114">
        <f t="shared" si="4"/>
        <v>604.91979103055667</v>
      </c>
      <c r="AZ22" s="141">
        <f t="shared" ref="AZ22:AZ30" si="5">SUM($D22:$AY22)</f>
        <v>28418.262051232778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957991.16678419162</v>
      </c>
      <c r="E23" s="100">
        <f t="shared" ref="E23:AY23" si="6">E$21*$B$23</f>
        <v>1242822.9974552311</v>
      </c>
      <c r="F23" s="100">
        <f t="shared" si="6"/>
        <v>1242822.9974552311</v>
      </c>
      <c r="G23" s="100">
        <f t="shared" si="6"/>
        <v>1242822.9974552311</v>
      </c>
      <c r="H23" s="100">
        <f t="shared" si="6"/>
        <v>1242822.9974552311</v>
      </c>
      <c r="I23" s="100">
        <f t="shared" si="6"/>
        <v>1488981.6254147233</v>
      </c>
      <c r="J23" s="100">
        <f t="shared" si="6"/>
        <v>1488981.6254147233</v>
      </c>
      <c r="K23" s="100">
        <f t="shared" si="6"/>
        <v>1488981.6254147233</v>
      </c>
      <c r="L23" s="100">
        <f t="shared" si="6"/>
        <v>1488981.6254147233</v>
      </c>
      <c r="M23" s="100">
        <f t="shared" si="6"/>
        <v>1242822.9974552311</v>
      </c>
      <c r="N23" s="100">
        <f t="shared" si="6"/>
        <v>1242822.9974552311</v>
      </c>
      <c r="O23" s="100">
        <f t="shared" si="6"/>
        <v>1242822.9974552311</v>
      </c>
      <c r="P23" s="100">
        <f t="shared" si="6"/>
        <v>1242822.9974552311</v>
      </c>
      <c r="Q23" s="100">
        <f t="shared" si="6"/>
        <v>1242822.9974552311</v>
      </c>
      <c r="R23" s="100">
        <f t="shared" si="6"/>
        <v>1242822.9974552311</v>
      </c>
      <c r="S23" s="100">
        <f t="shared" si="6"/>
        <v>1242822.9974552311</v>
      </c>
      <c r="T23" s="100">
        <f t="shared" si="6"/>
        <v>1242822.9974552311</v>
      </c>
      <c r="U23" s="100">
        <f t="shared" si="6"/>
        <v>1242822.9974552311</v>
      </c>
      <c r="V23" s="100">
        <f t="shared" si="6"/>
        <v>1242822.9974552311</v>
      </c>
      <c r="W23" s="100">
        <f t="shared" si="6"/>
        <v>1242822.9974552311</v>
      </c>
      <c r="X23" s="100">
        <f t="shared" si="6"/>
        <v>1242822.9974552311</v>
      </c>
      <c r="Y23" s="100">
        <f t="shared" si="6"/>
        <v>996664.36949573911</v>
      </c>
      <c r="Z23" s="100">
        <f t="shared" si="6"/>
        <v>996664.36949573911</v>
      </c>
      <c r="AA23" s="100">
        <f t="shared" si="6"/>
        <v>996664.36949573911</v>
      </c>
      <c r="AB23" s="100">
        <f t="shared" si="6"/>
        <v>996664.36949573911</v>
      </c>
      <c r="AC23" s="100">
        <f t="shared" si="6"/>
        <v>1242822.9974552311</v>
      </c>
      <c r="AD23" s="100">
        <f t="shared" si="6"/>
        <v>1242822.9974552311</v>
      </c>
      <c r="AE23" s="100">
        <f t="shared" si="6"/>
        <v>1242822.9974552311</v>
      </c>
      <c r="AF23" s="100">
        <f t="shared" si="6"/>
        <v>1242822.9974552311</v>
      </c>
      <c r="AG23" s="100">
        <f t="shared" si="6"/>
        <v>1242822.9974552311</v>
      </c>
      <c r="AH23" s="100">
        <f t="shared" si="6"/>
        <v>1242822.9974552311</v>
      </c>
      <c r="AI23" s="100">
        <f t="shared" si="6"/>
        <v>1242822.9974552311</v>
      </c>
      <c r="AJ23" s="100">
        <f t="shared" si="6"/>
        <v>1242822.9974552311</v>
      </c>
      <c r="AK23" s="100">
        <f t="shared" si="6"/>
        <v>1242822.9974552311</v>
      </c>
      <c r="AL23" s="100">
        <f t="shared" si="6"/>
        <v>1242822.9974552311</v>
      </c>
      <c r="AM23" s="100">
        <f t="shared" si="6"/>
        <v>1242822.9974552311</v>
      </c>
      <c r="AN23" s="100">
        <f t="shared" si="6"/>
        <v>0</v>
      </c>
      <c r="AO23" s="100">
        <f t="shared" si="6"/>
        <v>2239487.3669509701</v>
      </c>
      <c r="AP23" s="100">
        <f t="shared" si="6"/>
        <v>996664.36949573911</v>
      </c>
      <c r="AQ23" s="100">
        <f t="shared" si="6"/>
        <v>996664.36949573911</v>
      </c>
      <c r="AR23" s="100">
        <f t="shared" si="6"/>
        <v>996664.36949573911</v>
      </c>
      <c r="AS23" s="100">
        <f t="shared" si="6"/>
        <v>0</v>
      </c>
      <c r="AT23" s="100">
        <f t="shared" si="6"/>
        <v>2485645.9949104623</v>
      </c>
      <c r="AU23" s="100">
        <f t="shared" si="6"/>
        <v>1242822.9974552311</v>
      </c>
      <c r="AV23" s="100">
        <f t="shared" si="6"/>
        <v>1242822.9974552311</v>
      </c>
      <c r="AW23" s="100">
        <f t="shared" si="6"/>
        <v>1242822.9974552311</v>
      </c>
      <c r="AX23" s="100">
        <f t="shared" si="6"/>
        <v>1242822.9974552311</v>
      </c>
      <c r="AY23" s="100">
        <f t="shared" si="6"/>
        <v>1242822.9974552311</v>
      </c>
      <c r="AZ23" s="139">
        <f t="shared" si="5"/>
        <v>58386037.535342112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466283.46724094742</v>
      </c>
      <c r="E24" s="106">
        <f t="shared" ref="E24:AY24" si="7">E$22*$B$24</f>
        <v>604919.79103055666</v>
      </c>
      <c r="F24" s="106">
        <f t="shared" si="7"/>
        <v>604919.79103055666</v>
      </c>
      <c r="G24" s="106">
        <f t="shared" si="7"/>
        <v>604919.79103055666</v>
      </c>
      <c r="H24" s="106">
        <f t="shared" si="7"/>
        <v>604919.79103055666</v>
      </c>
      <c r="I24" s="106">
        <f t="shared" si="7"/>
        <v>724732.68964163854</v>
      </c>
      <c r="J24" s="106">
        <f t="shared" si="7"/>
        <v>724732.68964163854</v>
      </c>
      <c r="K24" s="106">
        <f t="shared" si="7"/>
        <v>724732.68964163854</v>
      </c>
      <c r="L24" s="106">
        <f t="shared" si="7"/>
        <v>724732.68964163854</v>
      </c>
      <c r="M24" s="106">
        <f t="shared" si="7"/>
        <v>604919.79103055666</v>
      </c>
      <c r="N24" s="106">
        <f t="shared" si="7"/>
        <v>604919.79103055666</v>
      </c>
      <c r="O24" s="106">
        <f t="shared" si="7"/>
        <v>604919.79103055666</v>
      </c>
      <c r="P24" s="106">
        <f t="shared" si="7"/>
        <v>604919.79103055666</v>
      </c>
      <c r="Q24" s="106">
        <f t="shared" si="7"/>
        <v>604919.79103055666</v>
      </c>
      <c r="R24" s="106">
        <f t="shared" si="7"/>
        <v>604919.79103055666</v>
      </c>
      <c r="S24" s="106">
        <f t="shared" si="7"/>
        <v>604919.79103055666</v>
      </c>
      <c r="T24" s="106">
        <f t="shared" si="7"/>
        <v>604919.79103055666</v>
      </c>
      <c r="U24" s="106">
        <f t="shared" si="7"/>
        <v>604919.79103055666</v>
      </c>
      <c r="V24" s="106">
        <f t="shared" si="7"/>
        <v>604919.79103055666</v>
      </c>
      <c r="W24" s="106">
        <f t="shared" si="7"/>
        <v>604919.79103055666</v>
      </c>
      <c r="X24" s="106">
        <f t="shared" si="7"/>
        <v>604919.79103055666</v>
      </c>
      <c r="Y24" s="106">
        <f t="shared" si="7"/>
        <v>485106.89241947484</v>
      </c>
      <c r="Z24" s="106">
        <f t="shared" si="7"/>
        <v>485106.89241947484</v>
      </c>
      <c r="AA24" s="106">
        <f t="shared" si="7"/>
        <v>485106.89241947484</v>
      </c>
      <c r="AB24" s="106">
        <f t="shared" si="7"/>
        <v>485106.89241947484</v>
      </c>
      <c r="AC24" s="106">
        <f t="shared" si="7"/>
        <v>604919.79103055666</v>
      </c>
      <c r="AD24" s="106">
        <f t="shared" si="7"/>
        <v>604919.79103055666</v>
      </c>
      <c r="AE24" s="106">
        <f t="shared" si="7"/>
        <v>604919.79103055666</v>
      </c>
      <c r="AF24" s="106">
        <f t="shared" si="7"/>
        <v>604919.79103055666</v>
      </c>
      <c r="AG24" s="106">
        <f t="shared" si="7"/>
        <v>604919.79103055666</v>
      </c>
      <c r="AH24" s="106">
        <f t="shared" si="7"/>
        <v>604919.79103055666</v>
      </c>
      <c r="AI24" s="106">
        <f t="shared" si="7"/>
        <v>604919.79103055666</v>
      </c>
      <c r="AJ24" s="106">
        <f t="shared" si="7"/>
        <v>604919.79103055666</v>
      </c>
      <c r="AK24" s="106">
        <f t="shared" si="7"/>
        <v>604919.79103055666</v>
      </c>
      <c r="AL24" s="106">
        <f t="shared" si="7"/>
        <v>604919.79103055666</v>
      </c>
      <c r="AM24" s="106">
        <f t="shared" si="7"/>
        <v>604919.79103055666</v>
      </c>
      <c r="AN24" s="106">
        <f t="shared" si="7"/>
        <v>0</v>
      </c>
      <c r="AO24" s="106">
        <f t="shared" si="7"/>
        <v>1090026.6834500313</v>
      </c>
      <c r="AP24" s="106">
        <f t="shared" si="7"/>
        <v>485106.89241947484</v>
      </c>
      <c r="AQ24" s="106">
        <f t="shared" si="7"/>
        <v>485106.89241947484</v>
      </c>
      <c r="AR24" s="106">
        <f t="shared" si="7"/>
        <v>485106.89241947484</v>
      </c>
      <c r="AS24" s="106">
        <f t="shared" si="7"/>
        <v>0</v>
      </c>
      <c r="AT24" s="106">
        <f t="shared" si="7"/>
        <v>1209839.5820611133</v>
      </c>
      <c r="AU24" s="106">
        <f t="shared" si="7"/>
        <v>604919.79103055666</v>
      </c>
      <c r="AV24" s="106">
        <f t="shared" si="7"/>
        <v>604919.79103055666</v>
      </c>
      <c r="AW24" s="106">
        <f t="shared" si="7"/>
        <v>604919.79103055666</v>
      </c>
      <c r="AX24" s="106">
        <f t="shared" si="7"/>
        <v>604919.79103055666</v>
      </c>
      <c r="AY24" s="106">
        <f t="shared" si="7"/>
        <v>604919.79103055666</v>
      </c>
      <c r="AZ24" s="141">
        <f t="shared" si="5"/>
        <v>28418262.05123277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0</v>
      </c>
      <c r="E27" s="124">
        <f t="shared" ref="E27:AY27" si="8">D27-D28+D29</f>
        <v>15</v>
      </c>
      <c r="F27" s="124">
        <f t="shared" si="8"/>
        <v>0</v>
      </c>
      <c r="G27" s="124">
        <f t="shared" si="8"/>
        <v>15</v>
      </c>
      <c r="H27" s="124">
        <f t="shared" si="8"/>
        <v>0</v>
      </c>
      <c r="I27" s="124">
        <f t="shared" si="8"/>
        <v>15</v>
      </c>
      <c r="J27" s="124">
        <f t="shared" si="8"/>
        <v>0</v>
      </c>
      <c r="K27" s="124">
        <f t="shared" si="8"/>
        <v>15</v>
      </c>
      <c r="L27" s="124">
        <f t="shared" si="8"/>
        <v>0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0</v>
      </c>
      <c r="Q27" s="124">
        <f t="shared" si="8"/>
        <v>15</v>
      </c>
      <c r="R27" s="124">
        <f t="shared" si="8"/>
        <v>0</v>
      </c>
      <c r="S27" s="124">
        <f t="shared" si="8"/>
        <v>15</v>
      </c>
      <c r="T27" s="124">
        <f t="shared" si="8"/>
        <v>0</v>
      </c>
      <c r="U27" s="124">
        <f t="shared" si="8"/>
        <v>15</v>
      </c>
      <c r="V27" s="124">
        <f t="shared" si="8"/>
        <v>0</v>
      </c>
      <c r="W27" s="124">
        <f t="shared" si="8"/>
        <v>15</v>
      </c>
      <c r="X27" s="124">
        <f t="shared" si="8"/>
        <v>0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15</v>
      </c>
      <c r="AU27" s="124">
        <f t="shared" si="8"/>
        <v>0</v>
      </c>
      <c r="AV27" s="124">
        <f t="shared" si="8"/>
        <v>15</v>
      </c>
      <c r="AW27" s="124">
        <f t="shared" si="8"/>
        <v>0</v>
      </c>
      <c r="AX27" s="124">
        <f t="shared" si="8"/>
        <v>15</v>
      </c>
      <c r="AY27" s="164">
        <f t="shared" si="8"/>
        <v>0</v>
      </c>
      <c r="AZ27" s="106"/>
    </row>
    <row r="28" spans="1:52">
      <c r="B28" s="165" t="s">
        <v>310</v>
      </c>
      <c r="C28" s="110">
        <v>15</v>
      </c>
      <c r="D28" s="110">
        <v>0</v>
      </c>
      <c r="E28" s="110">
        <v>15</v>
      </c>
      <c r="F28" s="110">
        <v>0</v>
      </c>
      <c r="G28" s="110">
        <v>15</v>
      </c>
      <c r="H28" s="110">
        <v>0</v>
      </c>
      <c r="I28" s="110">
        <v>15</v>
      </c>
      <c r="J28" s="110">
        <v>0</v>
      </c>
      <c r="K28" s="110">
        <v>15</v>
      </c>
      <c r="L28" s="110">
        <v>0</v>
      </c>
      <c r="M28" s="110">
        <v>15</v>
      </c>
      <c r="N28" s="110">
        <v>0</v>
      </c>
      <c r="O28" s="110">
        <v>15</v>
      </c>
      <c r="P28" s="110">
        <v>0</v>
      </c>
      <c r="Q28" s="110">
        <v>15</v>
      </c>
      <c r="R28" s="110">
        <v>0</v>
      </c>
      <c r="S28" s="110">
        <v>15</v>
      </c>
      <c r="T28" s="110">
        <v>0</v>
      </c>
      <c r="U28" s="110">
        <v>15</v>
      </c>
      <c r="V28" s="110">
        <v>0</v>
      </c>
      <c r="W28" s="110">
        <v>15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0</v>
      </c>
      <c r="AT28" s="110">
        <v>15</v>
      </c>
      <c r="AU28" s="110">
        <v>0</v>
      </c>
      <c r="AV28" s="110">
        <v>15</v>
      </c>
      <c r="AW28" s="110">
        <v>0</v>
      </c>
      <c r="AX28" s="110">
        <v>15</v>
      </c>
      <c r="AY28" s="166">
        <v>0</v>
      </c>
      <c r="AZ28" s="106"/>
    </row>
    <row r="29" spans="1:52">
      <c r="B29" s="136" t="s">
        <v>311</v>
      </c>
      <c r="C29" s="125">
        <v>0</v>
      </c>
      <c r="D29" s="125">
        <f>C$28</f>
        <v>15</v>
      </c>
      <c r="E29" s="125">
        <f t="shared" ref="E29:AY29" si="9">D$28</f>
        <v>0</v>
      </c>
      <c r="F29" s="125">
        <f t="shared" si="9"/>
        <v>15</v>
      </c>
      <c r="G29" s="125">
        <f t="shared" si="9"/>
        <v>0</v>
      </c>
      <c r="H29" s="125">
        <f t="shared" si="9"/>
        <v>15</v>
      </c>
      <c r="I29" s="125">
        <f t="shared" si="9"/>
        <v>0</v>
      </c>
      <c r="J29" s="125">
        <f t="shared" si="9"/>
        <v>15</v>
      </c>
      <c r="K29" s="125">
        <f t="shared" si="9"/>
        <v>0</v>
      </c>
      <c r="L29" s="125">
        <f t="shared" si="9"/>
        <v>15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15</v>
      </c>
      <c r="Q29" s="125">
        <f t="shared" si="9"/>
        <v>0</v>
      </c>
      <c r="R29" s="125">
        <f t="shared" si="9"/>
        <v>15</v>
      </c>
      <c r="S29" s="125">
        <f t="shared" si="9"/>
        <v>0</v>
      </c>
      <c r="T29" s="125">
        <f t="shared" si="9"/>
        <v>15</v>
      </c>
      <c r="U29" s="125">
        <f t="shared" si="9"/>
        <v>0</v>
      </c>
      <c r="V29" s="125">
        <f t="shared" si="9"/>
        <v>15</v>
      </c>
      <c r="W29" s="125">
        <f t="shared" si="9"/>
        <v>0</v>
      </c>
      <c r="X29" s="125">
        <f t="shared" si="9"/>
        <v>15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0</v>
      </c>
      <c r="AU29" s="125">
        <f t="shared" si="9"/>
        <v>15</v>
      </c>
      <c r="AV29" s="125">
        <f t="shared" si="9"/>
        <v>0</v>
      </c>
      <c r="AW29" s="125">
        <f t="shared" si="9"/>
        <v>15</v>
      </c>
      <c r="AX29" s="125">
        <f t="shared" si="9"/>
        <v>0</v>
      </c>
      <c r="AY29" s="167">
        <f t="shared" si="9"/>
        <v>15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0</v>
      </c>
      <c r="E30" s="117">
        <f t="shared" ref="E30:AY30" si="10">E$27*$B$30</f>
        <v>150</v>
      </c>
      <c r="F30" s="117">
        <f t="shared" si="10"/>
        <v>0</v>
      </c>
      <c r="G30" s="117">
        <f t="shared" si="10"/>
        <v>150</v>
      </c>
      <c r="H30" s="117">
        <f t="shared" si="10"/>
        <v>0</v>
      </c>
      <c r="I30" s="117">
        <f t="shared" si="10"/>
        <v>150</v>
      </c>
      <c r="J30" s="117">
        <f t="shared" si="10"/>
        <v>0</v>
      </c>
      <c r="K30" s="117">
        <f t="shared" si="10"/>
        <v>150</v>
      </c>
      <c r="L30" s="117">
        <f t="shared" si="10"/>
        <v>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0</v>
      </c>
      <c r="Q30" s="117">
        <f t="shared" si="10"/>
        <v>150</v>
      </c>
      <c r="R30" s="117">
        <f>R$27*$B$30</f>
        <v>0</v>
      </c>
      <c r="S30" s="117">
        <f t="shared" si="10"/>
        <v>150</v>
      </c>
      <c r="T30" s="117">
        <f t="shared" si="10"/>
        <v>0</v>
      </c>
      <c r="U30" s="117">
        <f t="shared" si="10"/>
        <v>150</v>
      </c>
      <c r="V30" s="117">
        <f t="shared" si="10"/>
        <v>0</v>
      </c>
      <c r="W30" s="117">
        <f t="shared" si="10"/>
        <v>150</v>
      </c>
      <c r="X30" s="117">
        <f t="shared" si="10"/>
        <v>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150</v>
      </c>
      <c r="AU30" s="117">
        <f t="shared" si="10"/>
        <v>0</v>
      </c>
      <c r="AV30" s="117">
        <f t="shared" si="10"/>
        <v>150</v>
      </c>
      <c r="AW30" s="117">
        <f t="shared" si="10"/>
        <v>0</v>
      </c>
      <c r="AX30" s="117">
        <f t="shared" si="10"/>
        <v>150</v>
      </c>
      <c r="AY30" s="117">
        <f t="shared" si="10"/>
        <v>0</v>
      </c>
      <c r="AZ30" s="141">
        <f t="shared" si="5"/>
        <v>3600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10.425499846538658</v>
      </c>
      <c r="E33" s="124">
        <f>E$21*shipping_manufacturing!$F$27/100</f>
        <v>13.525230104927559</v>
      </c>
      <c r="F33" s="124">
        <f>F$21*shipping_manufacturing!$F$27/100</f>
        <v>13.525230104927559</v>
      </c>
      <c r="G33" s="124">
        <f>G$21*shipping_manufacturing!$F$27/100</f>
        <v>13.525230104927559</v>
      </c>
      <c r="H33" s="124">
        <f>H$21*shipping_manufacturing!$F$27/100</f>
        <v>13.525230104927559</v>
      </c>
      <c r="I33" s="124">
        <f>I$21*shipping_manufacturing!$F$27/100</f>
        <v>16.204092736438621</v>
      </c>
      <c r="J33" s="124">
        <f>J$21*shipping_manufacturing!$F$27/100</f>
        <v>16.204092736438621</v>
      </c>
      <c r="K33" s="124">
        <f>K$21*shipping_manufacturing!$F$27/100</f>
        <v>16.204092736438621</v>
      </c>
      <c r="L33" s="124">
        <f>L$21*shipping_manufacturing!$F$27/100</f>
        <v>16.204092736438621</v>
      </c>
      <c r="M33" s="124">
        <f>M$21*shipping_manufacturing!$F$27/100</f>
        <v>13.525230104927559</v>
      </c>
      <c r="N33" s="124">
        <f>N$21*shipping_manufacturing!$F$27/100</f>
        <v>13.525230104927559</v>
      </c>
      <c r="O33" s="124">
        <f>O$21*shipping_manufacturing!$F$27/100</f>
        <v>13.525230104927559</v>
      </c>
      <c r="P33" s="124">
        <f>P$21*shipping_manufacturing!$F$27/100</f>
        <v>13.525230104927559</v>
      </c>
      <c r="Q33" s="124">
        <f>Q$21*shipping_manufacturing!$F$27/100</f>
        <v>13.525230104927559</v>
      </c>
      <c r="R33" s="124">
        <f>R$21*shipping_manufacturing!$F$27/100</f>
        <v>13.525230104927559</v>
      </c>
      <c r="S33" s="124">
        <f>S$21*shipping_manufacturing!$F$27/100</f>
        <v>13.525230104927559</v>
      </c>
      <c r="T33" s="124">
        <f>T$21*shipping_manufacturing!$F$27/100</f>
        <v>13.525230104927559</v>
      </c>
      <c r="U33" s="124">
        <f>U$21*shipping_manufacturing!$F$27/100</f>
        <v>13.525230104927559</v>
      </c>
      <c r="V33" s="124">
        <f>V$21*shipping_manufacturing!$F$27/100</f>
        <v>13.525230104927559</v>
      </c>
      <c r="W33" s="124">
        <f>W$21*shipping_manufacturing!$F$27/100</f>
        <v>13.525230104927559</v>
      </c>
      <c r="X33" s="124">
        <f>X$21*shipping_manufacturing!$F$27/100</f>
        <v>13.525230104927559</v>
      </c>
      <c r="Y33" s="124">
        <f>Y$21*shipping_manufacturing!$F$27/100</f>
        <v>10.8463674734165</v>
      </c>
      <c r="Z33" s="124">
        <f>Z$21*shipping_manufacturing!$F$27/100</f>
        <v>10.8463674734165</v>
      </c>
      <c r="AA33" s="124">
        <f>AA$21*shipping_manufacturing!$F$27/100</f>
        <v>10.8463674734165</v>
      </c>
      <c r="AB33" s="124">
        <f>AB$21*shipping_manufacturing!$F$27/100</f>
        <v>10.8463674734165</v>
      </c>
      <c r="AC33" s="124">
        <f>AC$21*shipping_manufacturing!$F$27/100</f>
        <v>13.525230104927559</v>
      </c>
      <c r="AD33" s="124">
        <f>AD$21*shipping_manufacturing!$F$27/100</f>
        <v>13.525230104927559</v>
      </c>
      <c r="AE33" s="124">
        <f>AE$21*shipping_manufacturing!$F$27/100</f>
        <v>13.525230104927559</v>
      </c>
      <c r="AF33" s="124">
        <f>AF$21*shipping_manufacturing!$F$27/100</f>
        <v>13.525230104927559</v>
      </c>
      <c r="AG33" s="124">
        <f>AG$21*shipping_manufacturing!$F$27/100</f>
        <v>13.525230104927559</v>
      </c>
      <c r="AH33" s="124">
        <f>AH$21*shipping_manufacturing!$F$27/100</f>
        <v>13.525230104927559</v>
      </c>
      <c r="AI33" s="124">
        <f>AI$21*shipping_manufacturing!$F$27/100</f>
        <v>13.525230104927559</v>
      </c>
      <c r="AJ33" s="124">
        <f>AJ$21*shipping_manufacturing!$F$27/100</f>
        <v>13.525230104927559</v>
      </c>
      <c r="AK33" s="124">
        <f>AK$21*shipping_manufacturing!$F$27/100</f>
        <v>13.525230104927559</v>
      </c>
      <c r="AL33" s="124">
        <f>AL$21*shipping_manufacturing!$F$27/100</f>
        <v>13.525230104927559</v>
      </c>
      <c r="AM33" s="124">
        <f>AM$21*shipping_manufacturing!$F$27/100</f>
        <v>13.525230104927559</v>
      </c>
      <c r="AN33" s="124">
        <f>AN$21*shipping_manufacturing!$F$27/100</f>
        <v>0</v>
      </c>
      <c r="AO33" s="124">
        <f>AO$21*shipping_manufacturing!$F$27/100</f>
        <v>24.371597578344058</v>
      </c>
      <c r="AP33" s="124">
        <f>AP$21*shipping_manufacturing!$F$27/100</f>
        <v>10.8463674734165</v>
      </c>
      <c r="AQ33" s="124">
        <f>AQ$21*shipping_manufacturing!$F$27/100</f>
        <v>10.8463674734165</v>
      </c>
      <c r="AR33" s="124">
        <f>AR$21*shipping_manufacturing!$F$27/100</f>
        <v>10.8463674734165</v>
      </c>
      <c r="AS33" s="124">
        <f>AS$21*shipping_manufacturing!$F$27/100</f>
        <v>0</v>
      </c>
      <c r="AT33" s="124">
        <f>AT$21*shipping_manufacturing!$F$27/100</f>
        <v>27.050460209855117</v>
      </c>
      <c r="AU33" s="124">
        <f>AU$21*shipping_manufacturing!$F$27/100</f>
        <v>13.525230104927559</v>
      </c>
      <c r="AV33" s="124">
        <f>AV$21*shipping_manufacturing!$F$27/100</f>
        <v>13.525230104927559</v>
      </c>
      <c r="AW33" s="124">
        <f>AW$21*shipping_manufacturing!$F$27/100</f>
        <v>13.525230104927559</v>
      </c>
      <c r="AX33" s="124">
        <f>AX$21*shipping_manufacturing!$F$27/100</f>
        <v>13.525230104927559</v>
      </c>
      <c r="AY33" s="124">
        <f>AY$21*shipping_manufacturing!$F$27/100</f>
        <v>13.525230104927559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0</v>
      </c>
      <c r="E34" s="110">
        <f>E$22*shipping_manufacturing!$G$27/100</f>
        <v>0</v>
      </c>
      <c r="F34" s="110">
        <f>F$22*shipping_manufacturing!$G$27/100</f>
        <v>0</v>
      </c>
      <c r="G34" s="110">
        <f>G$22*shipping_manufacturing!$G$27/100</f>
        <v>0</v>
      </c>
      <c r="H34" s="110">
        <f>H$22*shipping_manufacturing!$G$27/100</f>
        <v>0</v>
      </c>
      <c r="I34" s="110">
        <f>I$22*shipping_manufacturing!$G$27/100</f>
        <v>0</v>
      </c>
      <c r="J34" s="110">
        <f>J$22*shipping_manufacturing!$G$27/100</f>
        <v>0</v>
      </c>
      <c r="K34" s="110">
        <f>K$22*shipping_manufacturing!$G$27/100</f>
        <v>0</v>
      </c>
      <c r="L34" s="110">
        <f>L$22*shipping_manufacturing!$G$27/100</f>
        <v>0</v>
      </c>
      <c r="M34" s="110">
        <f>M$22*shipping_manufacturing!$G$27/100</f>
        <v>0</v>
      </c>
      <c r="N34" s="110">
        <f>N$22*shipping_manufacturing!$G$27/100</f>
        <v>0</v>
      </c>
      <c r="O34" s="110">
        <f>O$22*shipping_manufacturing!$G$27/100</f>
        <v>0</v>
      </c>
      <c r="P34" s="110">
        <f>P$22*shipping_manufacturing!$G$27/100</f>
        <v>0</v>
      </c>
      <c r="Q34" s="110">
        <f>Q$22*shipping_manufacturing!$G$27/100</f>
        <v>0</v>
      </c>
      <c r="R34" s="110">
        <f>R$22*shipping_manufacturing!$G$27/100</f>
        <v>0</v>
      </c>
      <c r="S34" s="110">
        <f>S$22*shipping_manufacturing!$G$27/100</f>
        <v>0</v>
      </c>
      <c r="T34" s="110">
        <f>T$22*shipping_manufacturing!$G$27/100</f>
        <v>0</v>
      </c>
      <c r="U34" s="110">
        <f>U$22*shipping_manufacturing!$G$27/100</f>
        <v>0</v>
      </c>
      <c r="V34" s="110">
        <f>V$22*shipping_manufacturing!$G$27/100</f>
        <v>0</v>
      </c>
      <c r="W34" s="110">
        <f>W$22*shipping_manufacturing!$G$27/100</f>
        <v>0</v>
      </c>
      <c r="X34" s="110">
        <f>X$22*shipping_manufacturing!$G$27/100</f>
        <v>0</v>
      </c>
      <c r="Y34" s="110">
        <f>Y$22*shipping_manufacturing!$G$27/100</f>
        <v>0</v>
      </c>
      <c r="Z34" s="110">
        <f>Z$22*shipping_manufacturing!$G$27/100</f>
        <v>0</v>
      </c>
      <c r="AA34" s="110">
        <f>AA$22*shipping_manufacturing!$G$27/100</f>
        <v>0</v>
      </c>
      <c r="AB34" s="110">
        <f>AB$22*shipping_manufacturing!$G$27/100</f>
        <v>0</v>
      </c>
      <c r="AC34" s="110">
        <f>AC$22*shipping_manufacturing!$G$27/100</f>
        <v>0</v>
      </c>
      <c r="AD34" s="110">
        <f>AD$22*shipping_manufacturing!$G$27/100</f>
        <v>0</v>
      </c>
      <c r="AE34" s="110">
        <f>AE$22*shipping_manufacturing!$G$27/100</f>
        <v>0</v>
      </c>
      <c r="AF34" s="110">
        <f>AF$22*shipping_manufacturing!$G$27/100</f>
        <v>0</v>
      </c>
      <c r="AG34" s="110">
        <f>AG$22*shipping_manufacturing!$G$27/100</f>
        <v>0</v>
      </c>
      <c r="AH34" s="110">
        <f>AH$22*shipping_manufacturing!$G$27/100</f>
        <v>0</v>
      </c>
      <c r="AI34" s="110">
        <f>AI$22*shipping_manufacturing!$G$27/100</f>
        <v>0</v>
      </c>
      <c r="AJ34" s="110">
        <f>AJ$22*shipping_manufacturing!$G$27/100</f>
        <v>0</v>
      </c>
      <c r="AK34" s="110">
        <f>AK$22*shipping_manufacturing!$G$27/100</f>
        <v>0</v>
      </c>
      <c r="AL34" s="110">
        <f>AL$22*shipping_manufacturing!$G$27/100</f>
        <v>0</v>
      </c>
      <c r="AM34" s="110">
        <f>AM$22*shipping_manufacturing!$G$27/100</f>
        <v>0</v>
      </c>
      <c r="AN34" s="110">
        <f>AN$22*shipping_manufacturing!$G$27/100</f>
        <v>0</v>
      </c>
      <c r="AO34" s="110">
        <f>AO$22*shipping_manufacturing!$G$27/100</f>
        <v>0</v>
      </c>
      <c r="AP34" s="110">
        <f>AP$22*shipping_manufacturing!$G$27/100</f>
        <v>0</v>
      </c>
      <c r="AQ34" s="110">
        <f>AQ$22*shipping_manufacturing!$G$27/100</f>
        <v>0</v>
      </c>
      <c r="AR34" s="110">
        <f>AR$22*shipping_manufacturing!$G$27/100</f>
        <v>0</v>
      </c>
      <c r="AS34" s="110">
        <f>AS$22*shipping_manufacturing!$G$27/100</f>
        <v>0</v>
      </c>
      <c r="AT34" s="110">
        <f>AT$22*shipping_manufacturing!$G$27/100</f>
        <v>0</v>
      </c>
      <c r="AU34" s="110">
        <f>AU$22*shipping_manufacturing!$G$27/100</f>
        <v>0</v>
      </c>
      <c r="AV34" s="110">
        <f>AV$22*shipping_manufacturing!$G$27/100</f>
        <v>0</v>
      </c>
      <c r="AW34" s="110">
        <f>AW$22*shipping_manufacturing!$G$27/100</f>
        <v>0</v>
      </c>
      <c r="AX34" s="110">
        <f>AX$22*shipping_manufacturing!$G$27/100</f>
        <v>0</v>
      </c>
      <c r="AY34" s="110">
        <f>AY$22*shipping_manufacturing!$G$27/100</f>
        <v>0</v>
      </c>
    </row>
    <row r="35" spans="1:52">
      <c r="A35" s="110">
        <v>1245</v>
      </c>
      <c r="B35" s="165" t="s">
        <v>343</v>
      </c>
      <c r="C35" s="110"/>
      <c r="D35" s="110">
        <f>SUM(D33:D34)</f>
        <v>10.425499846538658</v>
      </c>
      <c r="E35" s="110">
        <f t="shared" ref="E35:AY35" si="11">SUM(E33:E34)</f>
        <v>13.525230104927559</v>
      </c>
      <c r="F35" s="110">
        <f t="shared" si="11"/>
        <v>13.525230104927559</v>
      </c>
      <c r="G35" s="110">
        <f t="shared" si="11"/>
        <v>13.525230104927559</v>
      </c>
      <c r="H35" s="110">
        <f t="shared" si="11"/>
        <v>13.525230104927559</v>
      </c>
      <c r="I35" s="110">
        <f t="shared" si="11"/>
        <v>16.204092736438621</v>
      </c>
      <c r="J35" s="110">
        <f t="shared" si="11"/>
        <v>16.204092736438621</v>
      </c>
      <c r="K35" s="110">
        <f t="shared" si="11"/>
        <v>16.204092736438621</v>
      </c>
      <c r="L35" s="110">
        <f t="shared" si="11"/>
        <v>16.204092736438621</v>
      </c>
      <c r="M35" s="110">
        <f t="shared" si="11"/>
        <v>13.525230104927559</v>
      </c>
      <c r="N35" s="110">
        <f t="shared" si="11"/>
        <v>13.525230104927559</v>
      </c>
      <c r="O35" s="110">
        <f t="shared" si="11"/>
        <v>13.525230104927559</v>
      </c>
      <c r="P35" s="110">
        <f t="shared" si="11"/>
        <v>13.525230104927559</v>
      </c>
      <c r="Q35" s="110">
        <f t="shared" si="11"/>
        <v>13.525230104927559</v>
      </c>
      <c r="R35" s="110">
        <f t="shared" si="11"/>
        <v>13.525230104927559</v>
      </c>
      <c r="S35" s="110">
        <f t="shared" si="11"/>
        <v>13.525230104927559</v>
      </c>
      <c r="T35" s="110">
        <f t="shared" si="11"/>
        <v>13.525230104927559</v>
      </c>
      <c r="U35" s="110">
        <f t="shared" si="11"/>
        <v>13.525230104927559</v>
      </c>
      <c r="V35" s="110">
        <f t="shared" si="11"/>
        <v>13.525230104927559</v>
      </c>
      <c r="W35" s="110">
        <f t="shared" si="11"/>
        <v>13.525230104927559</v>
      </c>
      <c r="X35" s="110">
        <f t="shared" si="11"/>
        <v>13.525230104927559</v>
      </c>
      <c r="Y35" s="110">
        <f t="shared" si="11"/>
        <v>10.8463674734165</v>
      </c>
      <c r="Z35" s="110">
        <f t="shared" si="11"/>
        <v>10.8463674734165</v>
      </c>
      <c r="AA35" s="110">
        <f t="shared" si="11"/>
        <v>10.8463674734165</v>
      </c>
      <c r="AB35" s="110">
        <f t="shared" si="11"/>
        <v>10.8463674734165</v>
      </c>
      <c r="AC35" s="110">
        <f t="shared" si="11"/>
        <v>13.525230104927559</v>
      </c>
      <c r="AD35" s="110">
        <f t="shared" si="11"/>
        <v>13.525230104927559</v>
      </c>
      <c r="AE35" s="110">
        <f t="shared" si="11"/>
        <v>13.525230104927559</v>
      </c>
      <c r="AF35" s="110">
        <f t="shared" si="11"/>
        <v>13.525230104927559</v>
      </c>
      <c r="AG35" s="110">
        <f t="shared" si="11"/>
        <v>13.525230104927559</v>
      </c>
      <c r="AH35" s="110">
        <f t="shared" si="11"/>
        <v>13.525230104927559</v>
      </c>
      <c r="AI35" s="110">
        <f t="shared" si="11"/>
        <v>13.525230104927559</v>
      </c>
      <c r="AJ35" s="110">
        <f t="shared" si="11"/>
        <v>13.525230104927559</v>
      </c>
      <c r="AK35" s="110">
        <f t="shared" si="11"/>
        <v>13.525230104927559</v>
      </c>
      <c r="AL35" s="110">
        <f t="shared" si="11"/>
        <v>13.525230104927559</v>
      </c>
      <c r="AM35" s="110">
        <f t="shared" si="11"/>
        <v>13.525230104927559</v>
      </c>
      <c r="AN35" s="110">
        <f t="shared" si="11"/>
        <v>0</v>
      </c>
      <c r="AO35" s="110">
        <f t="shared" si="11"/>
        <v>24.371597578344058</v>
      </c>
      <c r="AP35" s="110">
        <f t="shared" si="11"/>
        <v>10.8463674734165</v>
      </c>
      <c r="AQ35" s="110">
        <f t="shared" si="11"/>
        <v>10.8463674734165</v>
      </c>
      <c r="AR35" s="110">
        <f t="shared" si="11"/>
        <v>10.8463674734165</v>
      </c>
      <c r="AS35" s="110">
        <f t="shared" si="11"/>
        <v>0</v>
      </c>
      <c r="AT35" s="110">
        <f t="shared" si="11"/>
        <v>27.050460209855117</v>
      </c>
      <c r="AU35" s="110">
        <f t="shared" si="11"/>
        <v>13.525230104927559</v>
      </c>
      <c r="AV35" s="110">
        <f t="shared" si="11"/>
        <v>13.525230104927559</v>
      </c>
      <c r="AW35" s="110">
        <f t="shared" si="11"/>
        <v>13.525230104927559</v>
      </c>
      <c r="AX35" s="110">
        <f t="shared" si="11"/>
        <v>13.525230104927559</v>
      </c>
      <c r="AY35" s="110">
        <f t="shared" si="11"/>
        <v>13.525230104927559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10.425499846538658</v>
      </c>
      <c r="E39" s="110">
        <f t="shared" ref="E39:AY39" si="12">E33-E36</f>
        <v>13.525230104927559</v>
      </c>
      <c r="F39" s="110">
        <f t="shared" si="12"/>
        <v>13.525230104927559</v>
      </c>
      <c r="G39" s="110">
        <f t="shared" si="12"/>
        <v>13.525230104927559</v>
      </c>
      <c r="H39" s="110">
        <f t="shared" si="12"/>
        <v>13.525230104927559</v>
      </c>
      <c r="I39" s="110">
        <f t="shared" si="12"/>
        <v>16.204092736438621</v>
      </c>
      <c r="J39" s="110">
        <f t="shared" si="12"/>
        <v>16.204092736438621</v>
      </c>
      <c r="K39" s="110">
        <f t="shared" si="12"/>
        <v>16.204092736438621</v>
      </c>
      <c r="L39" s="110">
        <f t="shared" si="12"/>
        <v>16.204092736438621</v>
      </c>
      <c r="M39" s="110">
        <f t="shared" si="12"/>
        <v>13.525230104927559</v>
      </c>
      <c r="N39" s="110">
        <f t="shared" si="12"/>
        <v>13.525230104927559</v>
      </c>
      <c r="O39" s="110">
        <f t="shared" si="12"/>
        <v>13.525230104927559</v>
      </c>
      <c r="P39" s="110">
        <f t="shared" si="12"/>
        <v>13.525230104927559</v>
      </c>
      <c r="Q39" s="110">
        <f t="shared" si="12"/>
        <v>13.525230104927559</v>
      </c>
      <c r="R39" s="110">
        <f t="shared" si="12"/>
        <v>13.525230104927559</v>
      </c>
      <c r="S39" s="110">
        <f t="shared" si="12"/>
        <v>13.525230104927559</v>
      </c>
      <c r="T39" s="110">
        <f t="shared" si="12"/>
        <v>13.525230104927559</v>
      </c>
      <c r="U39" s="110">
        <f t="shared" si="12"/>
        <v>13.525230104927559</v>
      </c>
      <c r="V39" s="110">
        <f t="shared" si="12"/>
        <v>13.525230104927559</v>
      </c>
      <c r="W39" s="110">
        <f t="shared" si="12"/>
        <v>13.525230104927559</v>
      </c>
      <c r="X39" s="110">
        <f t="shared" si="12"/>
        <v>13.525230104927559</v>
      </c>
      <c r="Y39" s="110">
        <f t="shared" si="12"/>
        <v>10.8463674734165</v>
      </c>
      <c r="Z39" s="110">
        <f t="shared" si="12"/>
        <v>10.8463674734165</v>
      </c>
      <c r="AA39" s="110">
        <f t="shared" si="12"/>
        <v>10.8463674734165</v>
      </c>
      <c r="AB39" s="110">
        <f t="shared" si="12"/>
        <v>10.8463674734165</v>
      </c>
      <c r="AC39" s="110">
        <f t="shared" si="12"/>
        <v>13.525230104927559</v>
      </c>
      <c r="AD39" s="110">
        <f t="shared" si="12"/>
        <v>13.525230104927559</v>
      </c>
      <c r="AE39" s="110">
        <f t="shared" si="12"/>
        <v>13.525230104927559</v>
      </c>
      <c r="AF39" s="110">
        <f t="shared" si="12"/>
        <v>13.525230104927559</v>
      </c>
      <c r="AG39" s="110">
        <f t="shared" si="12"/>
        <v>13.525230104927559</v>
      </c>
      <c r="AH39" s="110">
        <f t="shared" si="12"/>
        <v>13.525230104927559</v>
      </c>
      <c r="AI39" s="110">
        <f t="shared" si="12"/>
        <v>13.525230104927559</v>
      </c>
      <c r="AJ39" s="110">
        <f t="shared" si="12"/>
        <v>13.525230104927559</v>
      </c>
      <c r="AK39" s="110">
        <f t="shared" si="12"/>
        <v>13.525230104927559</v>
      </c>
      <c r="AL39" s="110">
        <f t="shared" si="12"/>
        <v>13.525230104927559</v>
      </c>
      <c r="AM39" s="110">
        <f t="shared" si="12"/>
        <v>13.525230104927559</v>
      </c>
      <c r="AN39" s="110">
        <f t="shared" si="12"/>
        <v>0</v>
      </c>
      <c r="AO39" s="110">
        <f t="shared" si="12"/>
        <v>24.371597578344058</v>
      </c>
      <c r="AP39" s="110">
        <f t="shared" si="12"/>
        <v>10.8463674734165</v>
      </c>
      <c r="AQ39" s="110">
        <f t="shared" si="12"/>
        <v>10.8463674734165</v>
      </c>
      <c r="AR39" s="110">
        <f t="shared" si="12"/>
        <v>10.8463674734165</v>
      </c>
      <c r="AS39" s="110">
        <f t="shared" si="12"/>
        <v>0</v>
      </c>
      <c r="AT39" s="110">
        <f t="shared" si="12"/>
        <v>27.050460209855117</v>
      </c>
      <c r="AU39" s="110">
        <f t="shared" si="12"/>
        <v>13.525230104927559</v>
      </c>
      <c r="AV39" s="110">
        <f t="shared" si="12"/>
        <v>13.525230104927559</v>
      </c>
      <c r="AW39" s="110">
        <f t="shared" si="12"/>
        <v>13.525230104927559</v>
      </c>
      <c r="AX39" s="110">
        <f t="shared" si="12"/>
        <v>13.525230104927559</v>
      </c>
      <c r="AY39" s="110">
        <f t="shared" si="12"/>
        <v>13.525230104927559</v>
      </c>
    </row>
    <row r="40" spans="1:52">
      <c r="A40" s="110"/>
      <c r="B40" s="165" t="s">
        <v>348</v>
      </c>
      <c r="C40" s="110"/>
      <c r="D40" s="110">
        <f>D34-D37</f>
        <v>0</v>
      </c>
      <c r="E40" s="110">
        <f t="shared" ref="E40:AY40" si="13">E34-E37</f>
        <v>0</v>
      </c>
      <c r="F40" s="110">
        <f t="shared" si="13"/>
        <v>0</v>
      </c>
      <c r="G40" s="110">
        <f t="shared" si="13"/>
        <v>0</v>
      </c>
      <c r="H40" s="110">
        <f t="shared" si="13"/>
        <v>0</v>
      </c>
      <c r="I40" s="110">
        <f t="shared" si="13"/>
        <v>0</v>
      </c>
      <c r="J40" s="110">
        <f t="shared" si="13"/>
        <v>0</v>
      </c>
      <c r="K40" s="110">
        <f t="shared" si="13"/>
        <v>0</v>
      </c>
      <c r="L40" s="110">
        <f t="shared" si="13"/>
        <v>0</v>
      </c>
      <c r="M40" s="110">
        <f t="shared" si="13"/>
        <v>0</v>
      </c>
      <c r="N40" s="110">
        <f t="shared" si="13"/>
        <v>0</v>
      </c>
      <c r="O40" s="110">
        <f t="shared" si="13"/>
        <v>0</v>
      </c>
      <c r="P40" s="110">
        <f t="shared" si="13"/>
        <v>0</v>
      </c>
      <c r="Q40" s="110">
        <f t="shared" si="13"/>
        <v>0</v>
      </c>
      <c r="R40" s="110">
        <f t="shared" si="13"/>
        <v>0</v>
      </c>
      <c r="S40" s="110">
        <f t="shared" si="13"/>
        <v>0</v>
      </c>
      <c r="T40" s="110">
        <f t="shared" si="13"/>
        <v>0</v>
      </c>
      <c r="U40" s="110">
        <f t="shared" si="13"/>
        <v>0</v>
      </c>
      <c r="V40" s="110">
        <f t="shared" si="13"/>
        <v>0</v>
      </c>
      <c r="W40" s="110">
        <f t="shared" si="13"/>
        <v>0</v>
      </c>
      <c r="X40" s="110">
        <f t="shared" si="13"/>
        <v>0</v>
      </c>
      <c r="Y40" s="110">
        <f t="shared" si="13"/>
        <v>0</v>
      </c>
      <c r="Z40" s="110">
        <f t="shared" si="13"/>
        <v>0</v>
      </c>
      <c r="AA40" s="110">
        <f t="shared" si="13"/>
        <v>0</v>
      </c>
      <c r="AB40" s="110">
        <f t="shared" si="13"/>
        <v>0</v>
      </c>
      <c r="AC40" s="110">
        <f t="shared" si="13"/>
        <v>0</v>
      </c>
      <c r="AD40" s="110">
        <f t="shared" si="13"/>
        <v>0</v>
      </c>
      <c r="AE40" s="110">
        <f t="shared" si="13"/>
        <v>0</v>
      </c>
      <c r="AF40" s="110">
        <f t="shared" si="13"/>
        <v>0</v>
      </c>
      <c r="AG40" s="110">
        <f t="shared" si="13"/>
        <v>0</v>
      </c>
      <c r="AH40" s="110">
        <f t="shared" si="13"/>
        <v>0</v>
      </c>
      <c r="AI40" s="110">
        <f t="shared" si="13"/>
        <v>0</v>
      </c>
      <c r="AJ40" s="110">
        <f t="shared" si="13"/>
        <v>0</v>
      </c>
      <c r="AK40" s="110">
        <f t="shared" si="13"/>
        <v>0</v>
      </c>
      <c r="AL40" s="110">
        <f t="shared" si="13"/>
        <v>0</v>
      </c>
      <c r="AM40" s="110">
        <f t="shared" si="13"/>
        <v>0</v>
      </c>
      <c r="AN40" s="110">
        <f t="shared" si="13"/>
        <v>0</v>
      </c>
      <c r="AO40" s="110">
        <f t="shared" si="13"/>
        <v>0</v>
      </c>
      <c r="AP40" s="110">
        <f t="shared" si="13"/>
        <v>0</v>
      </c>
      <c r="AQ40" s="110">
        <f t="shared" si="13"/>
        <v>0</v>
      </c>
      <c r="AR40" s="110">
        <f t="shared" si="13"/>
        <v>0</v>
      </c>
      <c r="AS40" s="110">
        <f t="shared" si="13"/>
        <v>0</v>
      </c>
      <c r="AT40" s="110">
        <f t="shared" si="13"/>
        <v>0</v>
      </c>
      <c r="AU40" s="110">
        <f t="shared" si="13"/>
        <v>0</v>
      </c>
      <c r="AV40" s="110">
        <f t="shared" si="13"/>
        <v>0</v>
      </c>
      <c r="AW40" s="110">
        <f t="shared" si="13"/>
        <v>0</v>
      </c>
      <c r="AX40" s="110">
        <f t="shared" si="13"/>
        <v>0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3</v>
      </c>
      <c r="E41" s="110">
        <v>2</v>
      </c>
      <c r="F41" s="110">
        <v>3</v>
      </c>
      <c r="G41" s="110">
        <v>1</v>
      </c>
      <c r="H41" s="110">
        <v>1</v>
      </c>
      <c r="I41" s="110">
        <v>3</v>
      </c>
      <c r="J41" s="110">
        <v>2</v>
      </c>
      <c r="K41" s="110">
        <v>1</v>
      </c>
      <c r="L41" s="110">
        <v>1</v>
      </c>
      <c r="M41" s="110">
        <v>1</v>
      </c>
      <c r="N41" s="110">
        <v>1</v>
      </c>
      <c r="O41" s="110">
        <v>1</v>
      </c>
      <c r="P41" s="110">
        <v>2</v>
      </c>
      <c r="Q41" s="110">
        <v>3</v>
      </c>
      <c r="R41" s="110">
        <v>2</v>
      </c>
      <c r="S41" s="110">
        <v>2</v>
      </c>
      <c r="T41" s="110">
        <v>1</v>
      </c>
      <c r="U41" s="110">
        <v>1</v>
      </c>
      <c r="V41" s="110">
        <v>1</v>
      </c>
      <c r="W41" s="110">
        <v>1</v>
      </c>
      <c r="X41" s="110">
        <v>2</v>
      </c>
      <c r="Y41" s="110">
        <v>1</v>
      </c>
      <c r="Z41" s="110">
        <v>2</v>
      </c>
      <c r="AA41" s="110">
        <v>1</v>
      </c>
      <c r="AB41" s="110">
        <v>1</v>
      </c>
      <c r="AC41" s="110">
        <v>1</v>
      </c>
      <c r="AD41" s="110">
        <v>1</v>
      </c>
      <c r="AE41" s="110">
        <v>2</v>
      </c>
      <c r="AF41" s="110">
        <v>1</v>
      </c>
      <c r="AG41" s="110">
        <v>2</v>
      </c>
      <c r="AH41" s="110">
        <v>1</v>
      </c>
      <c r="AI41" s="110">
        <v>3</v>
      </c>
      <c r="AJ41" s="110">
        <v>1</v>
      </c>
      <c r="AK41" s="110">
        <v>1</v>
      </c>
      <c r="AL41" s="110">
        <v>2</v>
      </c>
      <c r="AM41" s="110">
        <v>1</v>
      </c>
      <c r="AN41" s="110">
        <v>1</v>
      </c>
      <c r="AO41" s="110">
        <v>1</v>
      </c>
      <c r="AP41" s="110">
        <v>2</v>
      </c>
      <c r="AQ41" s="110">
        <v>1</v>
      </c>
      <c r="AR41" s="110">
        <v>2</v>
      </c>
      <c r="AS41" s="110">
        <v>2</v>
      </c>
      <c r="AT41" s="110">
        <v>2</v>
      </c>
      <c r="AU41" s="110">
        <v>1</v>
      </c>
      <c r="AV41" s="110">
        <v>2</v>
      </c>
      <c r="AW41" s="110">
        <v>1</v>
      </c>
      <c r="AX41" s="110">
        <v>3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8436.8357508114095</v>
      </c>
      <c r="E43" s="110">
        <v>10945.292462412628</v>
      </c>
      <c r="F43" s="110">
        <v>10945.292462412628</v>
      </c>
      <c r="G43" s="110">
        <v>10945.292462412628</v>
      </c>
      <c r="H43" s="110">
        <v>10945.292462412628</v>
      </c>
      <c r="I43" s="110">
        <v>13113.162046962954</v>
      </c>
      <c r="J43" s="110">
        <v>13113.162046962954</v>
      </c>
      <c r="K43" s="110">
        <v>13113.162046962954</v>
      </c>
      <c r="L43" s="110">
        <v>13113.162046962954</v>
      </c>
      <c r="M43" s="110">
        <v>10945.292462412628</v>
      </c>
      <c r="N43" s="110">
        <v>10945.292462412628</v>
      </c>
      <c r="O43" s="110">
        <v>10945.292462412628</v>
      </c>
      <c r="P43" s="110">
        <v>10945.292462412628</v>
      </c>
      <c r="Q43" s="110">
        <v>10945.292462412628</v>
      </c>
      <c r="R43" s="110">
        <v>10945.292462412628</v>
      </c>
      <c r="S43" s="110">
        <v>10945.292462412628</v>
      </c>
      <c r="T43" s="110">
        <v>10945.292462412628</v>
      </c>
      <c r="U43" s="110">
        <v>10945.292462412628</v>
      </c>
      <c r="V43" s="110">
        <v>10945.292462412628</v>
      </c>
      <c r="W43" s="110">
        <v>10945.292462412628</v>
      </c>
      <c r="X43" s="110">
        <v>10945.292462412628</v>
      </c>
      <c r="Y43" s="110">
        <v>8777.4228778623019</v>
      </c>
      <c r="Z43" s="110">
        <v>8777.4228778623019</v>
      </c>
      <c r="AA43" s="110">
        <v>8777.4228778623019</v>
      </c>
      <c r="AB43" s="110">
        <v>8777.4228778623019</v>
      </c>
      <c r="AC43" s="110">
        <v>10945.292462412628</v>
      </c>
      <c r="AD43" s="110">
        <v>10945.292462412628</v>
      </c>
      <c r="AE43" s="110">
        <v>10945.292462412628</v>
      </c>
      <c r="AF43" s="110">
        <v>10945.292462412628</v>
      </c>
      <c r="AG43" s="110">
        <v>10945.292462412628</v>
      </c>
      <c r="AH43" s="110">
        <v>10945.292462412628</v>
      </c>
      <c r="AI43" s="110">
        <v>10945.292462412628</v>
      </c>
      <c r="AJ43" s="110">
        <v>10945.292462412628</v>
      </c>
      <c r="AK43" s="110">
        <v>10945.292462412628</v>
      </c>
      <c r="AL43" s="110">
        <v>10945.292462412628</v>
      </c>
      <c r="AM43" s="110">
        <v>10945.292462412628</v>
      </c>
      <c r="AN43" s="110">
        <v>0</v>
      </c>
      <c r="AO43" s="110">
        <v>19722.715340274932</v>
      </c>
      <c r="AP43" s="110">
        <v>8777.4228778623019</v>
      </c>
      <c r="AQ43" s="110">
        <v>8777.4228778623019</v>
      </c>
      <c r="AR43" s="110">
        <v>8777.4228778623019</v>
      </c>
      <c r="AS43" s="110">
        <v>0</v>
      </c>
      <c r="AT43" s="110">
        <v>21890.584924825256</v>
      </c>
      <c r="AU43" s="110">
        <v>10945.292462412628</v>
      </c>
      <c r="AV43" s="110">
        <v>10945.292462412628</v>
      </c>
      <c r="AW43" s="110">
        <v>10945.292462412628</v>
      </c>
      <c r="AX43" s="110">
        <v>10945.292462412628</v>
      </c>
      <c r="AY43" s="110">
        <v>10945.292462412628</v>
      </c>
      <c r="AZ43" s="100">
        <f>SUM($D$43:$AY$43)</f>
        <v>514194.10314600327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1</v>
      </c>
      <c r="H52" s="110">
        <v>2</v>
      </c>
      <c r="I52" s="110">
        <v>1</v>
      </c>
      <c r="J52" s="110">
        <v>1</v>
      </c>
      <c r="K52" s="110">
        <v>3</v>
      </c>
      <c r="L52" s="110">
        <v>2</v>
      </c>
      <c r="M52" s="110">
        <v>1</v>
      </c>
      <c r="N52" s="110">
        <v>1</v>
      </c>
      <c r="O52" s="110">
        <v>2</v>
      </c>
      <c r="P52" s="110">
        <v>2</v>
      </c>
      <c r="Q52" s="110">
        <v>2</v>
      </c>
      <c r="R52" s="110">
        <v>1</v>
      </c>
      <c r="S52" s="110">
        <v>1</v>
      </c>
      <c r="T52" s="110">
        <v>1</v>
      </c>
      <c r="U52" s="110">
        <v>2</v>
      </c>
      <c r="V52" s="110">
        <v>1</v>
      </c>
      <c r="W52" s="110">
        <v>2</v>
      </c>
      <c r="X52" s="110">
        <v>1</v>
      </c>
      <c r="Y52" s="110">
        <v>1</v>
      </c>
      <c r="Z52" s="110">
        <v>1</v>
      </c>
      <c r="AA52" s="110">
        <v>1</v>
      </c>
      <c r="AB52" s="110">
        <v>3</v>
      </c>
      <c r="AC52" s="110">
        <v>2</v>
      </c>
      <c r="AD52" s="110">
        <v>2</v>
      </c>
      <c r="AE52" s="110">
        <v>1</v>
      </c>
      <c r="AF52" s="110">
        <v>1</v>
      </c>
      <c r="AG52" s="110">
        <v>1</v>
      </c>
      <c r="AH52" s="110">
        <v>2</v>
      </c>
      <c r="AI52" s="110">
        <v>1</v>
      </c>
      <c r="AJ52" s="110">
        <v>3</v>
      </c>
      <c r="AK52" s="110">
        <v>2</v>
      </c>
      <c r="AL52" s="110">
        <v>1</v>
      </c>
      <c r="AM52" s="110">
        <v>2</v>
      </c>
      <c r="AN52" s="110">
        <v>1</v>
      </c>
      <c r="AO52" s="110">
        <v>1</v>
      </c>
      <c r="AP52" s="110">
        <v>2</v>
      </c>
      <c r="AQ52" s="110">
        <v>1</v>
      </c>
      <c r="AR52" s="110">
        <v>1</v>
      </c>
      <c r="AS52" s="110">
        <v>1</v>
      </c>
      <c r="AT52" s="110">
        <v>1</v>
      </c>
      <c r="AU52" s="110">
        <v>1</v>
      </c>
      <c r="AV52" s="110">
        <v>1</v>
      </c>
      <c r="AW52" s="110">
        <v>1</v>
      </c>
      <c r="AX52" s="110">
        <v>1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468.57008354555705</v>
      </c>
      <c r="E55" s="124">
        <f>E$21*shipping_manufacturing!$F$29/100</f>
        <v>607.88626862268802</v>
      </c>
      <c r="F55" s="124">
        <f>F$21*shipping_manufacturing!$F$29/100</f>
        <v>607.88626862268802</v>
      </c>
      <c r="G55" s="124">
        <f>G$21*shipping_manufacturing!$F$29/100</f>
        <v>607.88626862268802</v>
      </c>
      <c r="H55" s="124">
        <f>H$21*shipping_manufacturing!$F$29/100</f>
        <v>607.88626862268802</v>
      </c>
      <c r="I55" s="124">
        <f>I$21*shipping_manufacturing!$F$29/100</f>
        <v>728.28671997092306</v>
      </c>
      <c r="J55" s="124">
        <f>J$21*shipping_manufacturing!$F$29/100</f>
        <v>728.28671997092306</v>
      </c>
      <c r="K55" s="124">
        <f>K$21*shipping_manufacturing!$F$29/100</f>
        <v>728.28671997092306</v>
      </c>
      <c r="L55" s="124">
        <f>L$21*shipping_manufacturing!$F$29/100</f>
        <v>728.28671997092306</v>
      </c>
      <c r="M55" s="124">
        <f>M$21*shipping_manufacturing!$F$29/100</f>
        <v>607.88626862268802</v>
      </c>
      <c r="N55" s="124">
        <f>N$21*shipping_manufacturing!$F$29/100</f>
        <v>607.88626862268802</v>
      </c>
      <c r="O55" s="124">
        <f>O$21*shipping_manufacturing!$F$29/100</f>
        <v>607.88626862268802</v>
      </c>
      <c r="P55" s="124">
        <f>P$21*shipping_manufacturing!$F$29/100</f>
        <v>607.88626862268802</v>
      </c>
      <c r="Q55" s="124">
        <f>Q$21*shipping_manufacturing!$F$29/100</f>
        <v>607.88626862268802</v>
      </c>
      <c r="R55" s="124">
        <f>R$21*shipping_manufacturing!$F$29/100</f>
        <v>607.88626862268802</v>
      </c>
      <c r="S55" s="124">
        <f>S$21*shipping_manufacturing!$F$29/100</f>
        <v>607.88626862268802</v>
      </c>
      <c r="T55" s="124">
        <f>T$21*shipping_manufacturing!$F$29/100</f>
        <v>607.88626862268802</v>
      </c>
      <c r="U55" s="124">
        <f>U$21*shipping_manufacturing!$F$29/100</f>
        <v>607.88626862268802</v>
      </c>
      <c r="V55" s="124">
        <f>V$21*shipping_manufacturing!$F$29/100</f>
        <v>607.88626862268802</v>
      </c>
      <c r="W55" s="124">
        <f>W$21*shipping_manufacturing!$F$29/100</f>
        <v>607.88626862268802</v>
      </c>
      <c r="X55" s="124">
        <f>X$21*shipping_manufacturing!$F$29/100</f>
        <v>607.88626862268802</v>
      </c>
      <c r="Y55" s="124">
        <f>Y$21*shipping_manufacturing!$F$29/100</f>
        <v>487.48581727445298</v>
      </c>
      <c r="Z55" s="124">
        <f>Z$21*shipping_manufacturing!$F$29/100</f>
        <v>487.48581727445298</v>
      </c>
      <c r="AA55" s="124">
        <f>AA$21*shipping_manufacturing!$F$29/100</f>
        <v>487.48581727445298</v>
      </c>
      <c r="AB55" s="124">
        <f>AB$21*shipping_manufacturing!$F$29/100</f>
        <v>487.48581727445298</v>
      </c>
      <c r="AC55" s="124">
        <f>AC$21*shipping_manufacturing!$F$29/100</f>
        <v>607.88626862268802</v>
      </c>
      <c r="AD55" s="124">
        <f>AD$21*shipping_manufacturing!$F$29/100</f>
        <v>607.88626862268802</v>
      </c>
      <c r="AE55" s="124">
        <f>AE$21*shipping_manufacturing!$F$29/100</f>
        <v>607.88626862268802</v>
      </c>
      <c r="AF55" s="124">
        <f>AF$21*shipping_manufacturing!$F$29/100</f>
        <v>607.88626862268802</v>
      </c>
      <c r="AG55" s="124">
        <f>AG$21*shipping_manufacturing!$F$29/100</f>
        <v>607.88626862268802</v>
      </c>
      <c r="AH55" s="124">
        <f>AH$21*shipping_manufacturing!$F$29/100</f>
        <v>607.88626862268802</v>
      </c>
      <c r="AI55" s="124">
        <f>AI$21*shipping_manufacturing!$F$29/100</f>
        <v>607.88626862268802</v>
      </c>
      <c r="AJ55" s="124">
        <f>AJ$21*shipping_manufacturing!$F$29/100</f>
        <v>607.88626862268802</v>
      </c>
      <c r="AK55" s="124">
        <f>AK$21*shipping_manufacturing!$F$29/100</f>
        <v>607.88626862268802</v>
      </c>
      <c r="AL55" s="124">
        <f>AL$21*shipping_manufacturing!$F$29/100</f>
        <v>607.88626862268802</v>
      </c>
      <c r="AM55" s="124">
        <f>AM$21*shipping_manufacturing!$F$29/100</f>
        <v>607.88626862268802</v>
      </c>
      <c r="AN55" s="124">
        <f>AN$21*shipping_manufacturing!$F$29/100</f>
        <v>0</v>
      </c>
      <c r="AO55" s="124">
        <f>AO$21*shipping_manufacturing!$F$29/100</f>
        <v>1095.372085897141</v>
      </c>
      <c r="AP55" s="124">
        <f>AP$21*shipping_manufacturing!$F$29/100</f>
        <v>487.48581727445298</v>
      </c>
      <c r="AQ55" s="124">
        <f>AQ$21*shipping_manufacturing!$F$29/100</f>
        <v>487.48581727445298</v>
      </c>
      <c r="AR55" s="124">
        <f>AR$21*shipping_manufacturing!$F$29/100</f>
        <v>487.48581727445298</v>
      </c>
      <c r="AS55" s="124">
        <f>AS$21*shipping_manufacturing!$F$29/100</f>
        <v>0</v>
      </c>
      <c r="AT55" s="124">
        <f>AT$21*shipping_manufacturing!$F$29/100</f>
        <v>1215.772537245376</v>
      </c>
      <c r="AU55" s="124">
        <f>AU$21*shipping_manufacturing!$F$29/100</f>
        <v>607.88626862268802</v>
      </c>
      <c r="AV55" s="124">
        <f>AV$21*shipping_manufacturing!$F$29/100</f>
        <v>607.88626862268802</v>
      </c>
      <c r="AW55" s="124">
        <f>AW$21*shipping_manufacturing!$F$29/100</f>
        <v>607.88626862268802</v>
      </c>
      <c r="AX55" s="124">
        <f>AX$21*shipping_manufacturing!$F$29/100</f>
        <v>607.88626862268802</v>
      </c>
      <c r="AY55" s="124">
        <f>AY$21*shipping_manufacturing!$F$29/100</f>
        <v>607.88626862268802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466.2834672409474</v>
      </c>
      <c r="E56" s="110">
        <f>E$22*shipping_manufacturing!$G$29/100</f>
        <v>604.91979103055667</v>
      </c>
      <c r="F56" s="110">
        <f>F$22*shipping_manufacturing!$G$29/100</f>
        <v>604.91979103055667</v>
      </c>
      <c r="G56" s="110">
        <f>G$22*shipping_manufacturing!$G$29/100</f>
        <v>604.91979103055667</v>
      </c>
      <c r="H56" s="110">
        <f>H$22*shipping_manufacturing!$G$29/100</f>
        <v>604.91979103055667</v>
      </c>
      <c r="I56" s="110">
        <f>I$22*shipping_manufacturing!$G$29/100</f>
        <v>724.73268964163856</v>
      </c>
      <c r="J56" s="110">
        <f>J$22*shipping_manufacturing!$G$29/100</f>
        <v>724.73268964163856</v>
      </c>
      <c r="K56" s="110">
        <f>K$22*shipping_manufacturing!$G$29/100</f>
        <v>724.73268964163856</v>
      </c>
      <c r="L56" s="110">
        <f>L$22*shipping_manufacturing!$G$29/100</f>
        <v>724.73268964163856</v>
      </c>
      <c r="M56" s="110">
        <f>M$22*shipping_manufacturing!$G$29/100</f>
        <v>604.91979103055667</v>
      </c>
      <c r="N56" s="110">
        <f>N$22*shipping_manufacturing!$G$29/100</f>
        <v>604.91979103055667</v>
      </c>
      <c r="O56" s="110">
        <f>O$22*shipping_manufacturing!$G$29/100</f>
        <v>604.91979103055667</v>
      </c>
      <c r="P56" s="110">
        <f>P$22*shipping_manufacturing!$G$29/100</f>
        <v>604.91979103055667</v>
      </c>
      <c r="Q56" s="110">
        <f>Q$22*shipping_manufacturing!$G$29/100</f>
        <v>604.91979103055667</v>
      </c>
      <c r="R56" s="110">
        <f>R$22*shipping_manufacturing!$G$29/100</f>
        <v>604.91979103055667</v>
      </c>
      <c r="S56" s="110">
        <f>S$22*shipping_manufacturing!$G$29/100</f>
        <v>604.91979103055667</v>
      </c>
      <c r="T56" s="110">
        <f>T$22*shipping_manufacturing!$G$29/100</f>
        <v>604.91979103055667</v>
      </c>
      <c r="U56" s="110">
        <f>U$22*shipping_manufacturing!$G$29/100</f>
        <v>604.91979103055667</v>
      </c>
      <c r="V56" s="110">
        <f>V$22*shipping_manufacturing!$G$29/100</f>
        <v>604.91979103055667</v>
      </c>
      <c r="W56" s="110">
        <f>W$22*shipping_manufacturing!$G$29/100</f>
        <v>604.91979103055667</v>
      </c>
      <c r="X56" s="110">
        <f>X$22*shipping_manufacturing!$G$29/100</f>
        <v>604.91979103055667</v>
      </c>
      <c r="Y56" s="110">
        <f>Y$22*shipping_manufacturing!$G$29/100</f>
        <v>485.10689241947483</v>
      </c>
      <c r="Z56" s="110">
        <f>Z$22*shipping_manufacturing!$G$29/100</f>
        <v>485.10689241947483</v>
      </c>
      <c r="AA56" s="110">
        <f>AA$22*shipping_manufacturing!$G$29/100</f>
        <v>485.10689241947483</v>
      </c>
      <c r="AB56" s="110">
        <f>AB$22*shipping_manufacturing!$G$29/100</f>
        <v>485.10689241947483</v>
      </c>
      <c r="AC56" s="110">
        <f>AC$22*shipping_manufacturing!$G$29/100</f>
        <v>604.91979103055667</v>
      </c>
      <c r="AD56" s="110">
        <f>AD$22*shipping_manufacturing!$G$29/100</f>
        <v>604.91979103055667</v>
      </c>
      <c r="AE56" s="110">
        <f>AE$22*shipping_manufacturing!$G$29/100</f>
        <v>604.91979103055667</v>
      </c>
      <c r="AF56" s="110">
        <f>AF$22*shipping_manufacturing!$G$29/100</f>
        <v>604.91979103055667</v>
      </c>
      <c r="AG56" s="110">
        <f>AG$22*shipping_manufacturing!$G$29/100</f>
        <v>604.91979103055667</v>
      </c>
      <c r="AH56" s="110">
        <f>AH$22*shipping_manufacturing!$G$29/100</f>
        <v>604.91979103055667</v>
      </c>
      <c r="AI56" s="110">
        <f>AI$22*shipping_manufacturing!$G$29/100</f>
        <v>604.91979103055667</v>
      </c>
      <c r="AJ56" s="110">
        <f>AJ$22*shipping_manufacturing!$G$29/100</f>
        <v>604.91979103055667</v>
      </c>
      <c r="AK56" s="110">
        <f>AK$22*shipping_manufacturing!$G$29/100</f>
        <v>604.91979103055667</v>
      </c>
      <c r="AL56" s="110">
        <f>AL$22*shipping_manufacturing!$G$29/100</f>
        <v>604.91979103055667</v>
      </c>
      <c r="AM56" s="110">
        <f>AM$22*shipping_manufacturing!$G$29/100</f>
        <v>604.91979103055667</v>
      </c>
      <c r="AN56" s="110">
        <f>AN$22*shipping_manufacturing!$G$29/100</f>
        <v>0</v>
      </c>
      <c r="AO56" s="110">
        <f>AO$22*shipping_manufacturing!$G$29/100</f>
        <v>1090.0266834500314</v>
      </c>
      <c r="AP56" s="110">
        <f>AP$22*shipping_manufacturing!$G$29/100</f>
        <v>485.10689241947483</v>
      </c>
      <c r="AQ56" s="110">
        <f>AQ$22*shipping_manufacturing!$G$29/100</f>
        <v>485.10689241947483</v>
      </c>
      <c r="AR56" s="110">
        <f>AR$22*shipping_manufacturing!$G$29/100</f>
        <v>485.10689241947483</v>
      </c>
      <c r="AS56" s="110">
        <f>AS$22*shipping_manufacturing!$G$29/100</f>
        <v>0</v>
      </c>
      <c r="AT56" s="110">
        <f>AT$22*shipping_manufacturing!$G$29/100</f>
        <v>1209.8395820611133</v>
      </c>
      <c r="AU56" s="110">
        <f>AU$22*shipping_manufacturing!$G$29/100</f>
        <v>604.91979103055667</v>
      </c>
      <c r="AV56" s="110">
        <f>AV$22*shipping_manufacturing!$G$29/100</f>
        <v>604.91979103055667</v>
      </c>
      <c r="AW56" s="110">
        <f>AW$22*shipping_manufacturing!$G$29/100</f>
        <v>604.91979103055667</v>
      </c>
      <c r="AX56" s="110">
        <f>AX$22*shipping_manufacturing!$G$29/100</f>
        <v>604.91979103055667</v>
      </c>
      <c r="AY56" s="110">
        <f>AY$22*shipping_manufacturing!$G$29/100</f>
        <v>604.91979103055667</v>
      </c>
    </row>
    <row r="57" spans="1:52">
      <c r="A57" s="110">
        <v>495</v>
      </c>
      <c r="B57" s="165" t="s">
        <v>343</v>
      </c>
      <c r="C57" s="110"/>
      <c r="D57" s="110">
        <f>SUM(D55:D56)</f>
        <v>934.85355078650446</v>
      </c>
      <c r="E57" s="110">
        <f t="shared" ref="E57:AY57" si="17">SUM(E55:E56)</f>
        <v>1212.8060596532446</v>
      </c>
      <c r="F57" s="110">
        <f t="shared" si="17"/>
        <v>1212.8060596532446</v>
      </c>
      <c r="G57" s="110">
        <f t="shared" si="17"/>
        <v>1212.8060596532446</v>
      </c>
      <c r="H57" s="110">
        <f t="shared" si="17"/>
        <v>1212.8060596532446</v>
      </c>
      <c r="I57" s="110">
        <f t="shared" si="17"/>
        <v>1453.0194096125615</v>
      </c>
      <c r="J57" s="110">
        <f t="shared" si="17"/>
        <v>1453.0194096125615</v>
      </c>
      <c r="K57" s="110">
        <f t="shared" si="17"/>
        <v>1453.0194096125615</v>
      </c>
      <c r="L57" s="110">
        <f t="shared" si="17"/>
        <v>1453.0194096125615</v>
      </c>
      <c r="M57" s="110">
        <f t="shared" si="17"/>
        <v>1212.8060596532446</v>
      </c>
      <c r="N57" s="110">
        <f t="shared" si="17"/>
        <v>1212.8060596532446</v>
      </c>
      <c r="O57" s="110">
        <f t="shared" si="17"/>
        <v>1212.8060596532446</v>
      </c>
      <c r="P57" s="110">
        <f t="shared" si="17"/>
        <v>1212.8060596532446</v>
      </c>
      <c r="Q57" s="110">
        <f t="shared" si="17"/>
        <v>1212.8060596532446</v>
      </c>
      <c r="R57" s="110">
        <f t="shared" si="17"/>
        <v>1212.8060596532446</v>
      </c>
      <c r="S57" s="110">
        <f t="shared" si="17"/>
        <v>1212.8060596532446</v>
      </c>
      <c r="T57" s="110">
        <f t="shared" si="17"/>
        <v>1212.8060596532446</v>
      </c>
      <c r="U57" s="110">
        <f t="shared" si="17"/>
        <v>1212.8060596532446</v>
      </c>
      <c r="V57" s="110">
        <f t="shared" si="17"/>
        <v>1212.8060596532446</v>
      </c>
      <c r="W57" s="110">
        <f t="shared" si="17"/>
        <v>1212.8060596532446</v>
      </c>
      <c r="X57" s="110">
        <f t="shared" si="17"/>
        <v>1212.8060596532446</v>
      </c>
      <c r="Y57" s="110">
        <f t="shared" si="17"/>
        <v>972.59270969392787</v>
      </c>
      <c r="Z57" s="110">
        <f t="shared" si="17"/>
        <v>972.59270969392787</v>
      </c>
      <c r="AA57" s="110">
        <f t="shared" si="17"/>
        <v>972.59270969392787</v>
      </c>
      <c r="AB57" s="110">
        <f t="shared" si="17"/>
        <v>972.59270969392787</v>
      </c>
      <c r="AC57" s="110">
        <f t="shared" si="17"/>
        <v>1212.8060596532446</v>
      </c>
      <c r="AD57" s="110">
        <f t="shared" si="17"/>
        <v>1212.8060596532446</v>
      </c>
      <c r="AE57" s="110">
        <f t="shared" si="17"/>
        <v>1212.8060596532446</v>
      </c>
      <c r="AF57" s="110">
        <f t="shared" si="17"/>
        <v>1212.8060596532446</v>
      </c>
      <c r="AG57" s="110">
        <f t="shared" si="17"/>
        <v>1212.8060596532446</v>
      </c>
      <c r="AH57" s="110">
        <f t="shared" si="17"/>
        <v>1212.8060596532446</v>
      </c>
      <c r="AI57" s="110">
        <f t="shared" si="17"/>
        <v>1212.8060596532446</v>
      </c>
      <c r="AJ57" s="110">
        <f t="shared" si="17"/>
        <v>1212.8060596532446</v>
      </c>
      <c r="AK57" s="110">
        <f t="shared" si="17"/>
        <v>1212.8060596532446</v>
      </c>
      <c r="AL57" s="110">
        <f t="shared" si="17"/>
        <v>1212.8060596532446</v>
      </c>
      <c r="AM57" s="110">
        <f t="shared" si="17"/>
        <v>1212.8060596532446</v>
      </c>
      <c r="AN57" s="110">
        <f t="shared" si="17"/>
        <v>0</v>
      </c>
      <c r="AO57" s="110">
        <f t="shared" si="17"/>
        <v>2185.3987693471727</v>
      </c>
      <c r="AP57" s="110">
        <f t="shared" si="17"/>
        <v>972.59270969392787</v>
      </c>
      <c r="AQ57" s="110">
        <f t="shared" si="17"/>
        <v>972.59270969392787</v>
      </c>
      <c r="AR57" s="110">
        <f t="shared" si="17"/>
        <v>972.59270969392787</v>
      </c>
      <c r="AS57" s="110">
        <f t="shared" si="17"/>
        <v>0</v>
      </c>
      <c r="AT57" s="110">
        <f t="shared" si="17"/>
        <v>2425.6121193064891</v>
      </c>
      <c r="AU57" s="110">
        <f t="shared" si="17"/>
        <v>1212.8060596532446</v>
      </c>
      <c r="AV57" s="110">
        <f t="shared" si="17"/>
        <v>1212.8060596532446</v>
      </c>
      <c r="AW57" s="110">
        <f t="shared" si="17"/>
        <v>1212.8060596532446</v>
      </c>
      <c r="AX57" s="110">
        <f t="shared" si="17"/>
        <v>1212.8060596532446</v>
      </c>
      <c r="AY57" s="110">
        <f t="shared" si="17"/>
        <v>1212.8060596532446</v>
      </c>
    </row>
    <row r="58" spans="1:52">
      <c r="A58" s="110"/>
      <c r="B58" s="165" t="s">
        <v>344</v>
      </c>
      <c r="C58" s="110"/>
      <c r="D58" s="110"/>
      <c r="E58" s="110">
        <v>225.5503414605468</v>
      </c>
      <c r="F58" s="110"/>
      <c r="G58" s="110">
        <v>225.5503414605468</v>
      </c>
      <c r="H58" s="110"/>
      <c r="I58" s="110">
        <v>225.5503414605468</v>
      </c>
      <c r="J58" s="110"/>
      <c r="K58" s="110">
        <v>225.5503414605468</v>
      </c>
      <c r="L58" s="110"/>
      <c r="M58" s="110">
        <v>225.5503414605468</v>
      </c>
      <c r="N58" s="110"/>
      <c r="O58" s="110">
        <v>225.5503414605468</v>
      </c>
      <c r="P58" s="110"/>
      <c r="Q58" s="110">
        <v>225.5503414605468</v>
      </c>
      <c r="R58" s="110"/>
      <c r="S58" s="110">
        <v>225.5503414605468</v>
      </c>
      <c r="T58" s="110"/>
      <c r="U58" s="110">
        <v>225.5503414605468</v>
      </c>
      <c r="V58" s="110"/>
      <c r="W58" s="110">
        <v>225.5503414605468</v>
      </c>
      <c r="X58" s="110"/>
      <c r="Y58" s="110">
        <v>225.55034146054678</v>
      </c>
      <c r="Z58" s="110"/>
      <c r="AA58" s="110">
        <v>225.55034146054678</v>
      </c>
      <c r="AB58" s="110"/>
      <c r="AC58" s="110">
        <v>225.5503414605468</v>
      </c>
      <c r="AD58" s="110"/>
      <c r="AE58" s="110">
        <v>225.5503414605468</v>
      </c>
      <c r="AF58" s="110"/>
      <c r="AG58" s="110">
        <v>225.5503414605468</v>
      </c>
      <c r="AH58" s="110"/>
      <c r="AI58" s="110">
        <v>225.5503414605468</v>
      </c>
      <c r="AJ58" s="110"/>
      <c r="AK58" s="110">
        <v>225.5503414605468</v>
      </c>
      <c r="AL58" s="110"/>
      <c r="AM58" s="110">
        <v>225.5503414605468</v>
      </c>
      <c r="AN58" s="110"/>
      <c r="AO58" s="110">
        <v>225.5503414605468</v>
      </c>
      <c r="AP58" s="110"/>
      <c r="AQ58" s="110">
        <v>225.55034146054678</v>
      </c>
      <c r="AR58" s="110"/>
      <c r="AS58" s="110"/>
      <c r="AT58" s="110">
        <v>225.5503414605468</v>
      </c>
      <c r="AU58" s="110"/>
      <c r="AV58" s="110">
        <v>225.5503414605468</v>
      </c>
      <c r="AW58" s="110"/>
      <c r="AX58" s="110">
        <v>225.5503414605468</v>
      </c>
      <c r="AY58" s="110"/>
    </row>
    <row r="59" spans="1:52">
      <c r="A59" s="110"/>
      <c r="B59" s="165" t="s">
        <v>345</v>
      </c>
      <c r="C59" s="110"/>
      <c r="D59" s="110"/>
      <c r="E59" s="110">
        <v>224.4496585394532</v>
      </c>
      <c r="F59" s="110"/>
      <c r="G59" s="110">
        <v>224.4496585394532</v>
      </c>
      <c r="H59" s="110"/>
      <c r="I59" s="110">
        <v>224.4496585394532</v>
      </c>
      <c r="J59" s="110"/>
      <c r="K59" s="110">
        <v>224.4496585394532</v>
      </c>
      <c r="L59" s="110"/>
      <c r="M59" s="110">
        <v>224.4496585394532</v>
      </c>
      <c r="N59" s="110"/>
      <c r="O59" s="110">
        <v>224.4496585394532</v>
      </c>
      <c r="P59" s="110"/>
      <c r="Q59" s="110">
        <v>224.4496585394532</v>
      </c>
      <c r="R59" s="110"/>
      <c r="S59" s="110">
        <v>224.4496585394532</v>
      </c>
      <c r="T59" s="110"/>
      <c r="U59" s="110">
        <v>224.4496585394532</v>
      </c>
      <c r="V59" s="110"/>
      <c r="W59" s="110">
        <v>224.4496585394532</v>
      </c>
      <c r="X59" s="110"/>
      <c r="Y59" s="110">
        <v>224.44965853945322</v>
      </c>
      <c r="Z59" s="110"/>
      <c r="AA59" s="110">
        <v>224.44965853945322</v>
      </c>
      <c r="AB59" s="110"/>
      <c r="AC59" s="110">
        <v>224.4496585394532</v>
      </c>
      <c r="AD59" s="110"/>
      <c r="AE59" s="110">
        <v>224.4496585394532</v>
      </c>
      <c r="AF59" s="110"/>
      <c r="AG59" s="110">
        <v>224.4496585394532</v>
      </c>
      <c r="AH59" s="110"/>
      <c r="AI59" s="110">
        <v>224.4496585394532</v>
      </c>
      <c r="AJ59" s="110"/>
      <c r="AK59" s="110">
        <v>224.4496585394532</v>
      </c>
      <c r="AL59" s="110"/>
      <c r="AM59" s="110">
        <v>224.4496585394532</v>
      </c>
      <c r="AN59" s="110"/>
      <c r="AO59" s="110">
        <v>224.4496585394532</v>
      </c>
      <c r="AP59" s="110"/>
      <c r="AQ59" s="110">
        <v>224.44965853945322</v>
      </c>
      <c r="AR59" s="110"/>
      <c r="AS59" s="110"/>
      <c r="AT59" s="110">
        <v>224.4496585394532</v>
      </c>
      <c r="AU59" s="110"/>
      <c r="AV59" s="110">
        <v>224.4496585394532</v>
      </c>
      <c r="AW59" s="110"/>
      <c r="AX59" s="110">
        <v>224.4496585394532</v>
      </c>
      <c r="AY59" s="110"/>
    </row>
    <row r="60" spans="1:52">
      <c r="A60" s="110"/>
      <c r="B60" s="165" t="s">
        <v>346</v>
      </c>
      <c r="C60" s="110"/>
      <c r="D60" s="110"/>
      <c r="E60" s="110">
        <v>15</v>
      </c>
      <c r="F60" s="110"/>
      <c r="G60" s="110">
        <v>15</v>
      </c>
      <c r="H60" s="110"/>
      <c r="I60" s="110">
        <v>15</v>
      </c>
      <c r="J60" s="110"/>
      <c r="K60" s="110">
        <v>15</v>
      </c>
      <c r="L60" s="110"/>
      <c r="M60" s="110">
        <v>15</v>
      </c>
      <c r="N60" s="110"/>
      <c r="O60" s="110">
        <v>15</v>
      </c>
      <c r="P60" s="110"/>
      <c r="Q60" s="110">
        <v>15</v>
      </c>
      <c r="R60" s="110"/>
      <c r="S60" s="110">
        <v>15</v>
      </c>
      <c r="T60" s="110"/>
      <c r="U60" s="110">
        <v>15</v>
      </c>
      <c r="V60" s="110"/>
      <c r="W60" s="110">
        <v>15</v>
      </c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>
        <v>15</v>
      </c>
      <c r="AR60" s="110"/>
      <c r="AS60" s="110"/>
      <c r="AT60" s="110">
        <v>15</v>
      </c>
      <c r="AU60" s="110"/>
      <c r="AV60" s="110">
        <v>15</v>
      </c>
      <c r="AW60" s="110"/>
      <c r="AX60" s="110">
        <v>15</v>
      </c>
      <c r="AY60" s="110"/>
    </row>
    <row r="61" spans="1:52">
      <c r="A61" s="110"/>
      <c r="B61" s="165" t="s">
        <v>347</v>
      </c>
      <c r="C61" s="110"/>
      <c r="D61" s="110">
        <f>D55-D58</f>
        <v>468.57008354555705</v>
      </c>
      <c r="E61" s="110">
        <f t="shared" ref="E61:AY61" si="18">E55-E58</f>
        <v>382.33592716214122</v>
      </c>
      <c r="F61" s="110">
        <f t="shared" si="18"/>
        <v>607.88626862268802</v>
      </c>
      <c r="G61" s="110">
        <f t="shared" si="18"/>
        <v>382.33592716214122</v>
      </c>
      <c r="H61" s="110">
        <f t="shared" si="18"/>
        <v>607.88626862268802</v>
      </c>
      <c r="I61" s="110">
        <f t="shared" si="18"/>
        <v>502.73637851037626</v>
      </c>
      <c r="J61" s="110">
        <f t="shared" si="18"/>
        <v>728.28671997092306</v>
      </c>
      <c r="K61" s="110">
        <f t="shared" si="18"/>
        <v>502.73637851037626</v>
      </c>
      <c r="L61" s="110">
        <f t="shared" si="18"/>
        <v>728.28671997092306</v>
      </c>
      <c r="M61" s="110">
        <f t="shared" si="18"/>
        <v>382.33592716214122</v>
      </c>
      <c r="N61" s="110">
        <f t="shared" si="18"/>
        <v>607.88626862268802</v>
      </c>
      <c r="O61" s="110">
        <f t="shared" si="18"/>
        <v>382.33592716214122</v>
      </c>
      <c r="P61" s="110">
        <f t="shared" si="18"/>
        <v>607.88626862268802</v>
      </c>
      <c r="Q61" s="110">
        <f t="shared" si="18"/>
        <v>382.33592716214122</v>
      </c>
      <c r="R61" s="110">
        <f t="shared" si="18"/>
        <v>607.88626862268802</v>
      </c>
      <c r="S61" s="110">
        <f t="shared" si="18"/>
        <v>382.33592716214122</v>
      </c>
      <c r="T61" s="110">
        <f t="shared" si="18"/>
        <v>607.88626862268802</v>
      </c>
      <c r="U61" s="110">
        <f t="shared" si="18"/>
        <v>382.33592716214122</v>
      </c>
      <c r="V61" s="110">
        <f t="shared" si="18"/>
        <v>607.88626862268802</v>
      </c>
      <c r="W61" s="110">
        <f t="shared" si="18"/>
        <v>382.33592716214122</v>
      </c>
      <c r="X61" s="110">
        <f t="shared" si="18"/>
        <v>607.88626862268802</v>
      </c>
      <c r="Y61" s="110">
        <f t="shared" si="18"/>
        <v>261.93547581390624</v>
      </c>
      <c r="Z61" s="110">
        <f t="shared" si="18"/>
        <v>487.48581727445298</v>
      </c>
      <c r="AA61" s="110">
        <f t="shared" si="18"/>
        <v>261.93547581390624</v>
      </c>
      <c r="AB61" s="110">
        <f t="shared" si="18"/>
        <v>487.48581727445298</v>
      </c>
      <c r="AC61" s="110">
        <f t="shared" si="18"/>
        <v>382.33592716214122</v>
      </c>
      <c r="AD61" s="110">
        <f t="shared" si="18"/>
        <v>607.88626862268802</v>
      </c>
      <c r="AE61" s="110">
        <f t="shared" si="18"/>
        <v>382.33592716214122</v>
      </c>
      <c r="AF61" s="110">
        <f t="shared" si="18"/>
        <v>607.88626862268802</v>
      </c>
      <c r="AG61" s="110">
        <f t="shared" si="18"/>
        <v>382.33592716214122</v>
      </c>
      <c r="AH61" s="110">
        <f t="shared" si="18"/>
        <v>607.88626862268802</v>
      </c>
      <c r="AI61" s="110">
        <f t="shared" si="18"/>
        <v>382.33592716214122</v>
      </c>
      <c r="AJ61" s="110">
        <f t="shared" si="18"/>
        <v>607.88626862268802</v>
      </c>
      <c r="AK61" s="110">
        <f t="shared" si="18"/>
        <v>382.33592716214122</v>
      </c>
      <c r="AL61" s="110">
        <f t="shared" si="18"/>
        <v>607.88626862268802</v>
      </c>
      <c r="AM61" s="110">
        <f t="shared" si="18"/>
        <v>382.33592716214122</v>
      </c>
      <c r="AN61" s="110">
        <f t="shared" si="18"/>
        <v>0</v>
      </c>
      <c r="AO61" s="110">
        <f t="shared" si="18"/>
        <v>869.82174443659414</v>
      </c>
      <c r="AP61" s="110">
        <f t="shared" si="18"/>
        <v>487.48581727445298</v>
      </c>
      <c r="AQ61" s="110">
        <f t="shared" si="18"/>
        <v>261.93547581390624</v>
      </c>
      <c r="AR61" s="110">
        <f t="shared" si="18"/>
        <v>487.48581727445298</v>
      </c>
      <c r="AS61" s="110">
        <f t="shared" si="18"/>
        <v>0</v>
      </c>
      <c r="AT61" s="110">
        <f t="shared" si="18"/>
        <v>990.22219578482918</v>
      </c>
      <c r="AU61" s="110">
        <f t="shared" si="18"/>
        <v>607.88626862268802</v>
      </c>
      <c r="AV61" s="110">
        <f t="shared" si="18"/>
        <v>382.33592716214122</v>
      </c>
      <c r="AW61" s="110">
        <f t="shared" si="18"/>
        <v>607.88626862268802</v>
      </c>
      <c r="AX61" s="110">
        <f t="shared" si="18"/>
        <v>382.33592716214122</v>
      </c>
      <c r="AY61" s="110">
        <f t="shared" si="18"/>
        <v>607.88626862268802</v>
      </c>
    </row>
    <row r="62" spans="1:52">
      <c r="A62" s="110"/>
      <c r="B62" s="165" t="s">
        <v>348</v>
      </c>
      <c r="C62" s="110"/>
      <c r="D62" s="110">
        <f>D56-D59</f>
        <v>466.2834672409474</v>
      </c>
      <c r="E62" s="110">
        <f t="shared" ref="E62:AY62" si="19">E56-E59</f>
        <v>380.47013249110347</v>
      </c>
      <c r="F62" s="110">
        <f t="shared" si="19"/>
        <v>604.91979103055667</v>
      </c>
      <c r="G62" s="110">
        <f t="shared" si="19"/>
        <v>380.47013249110347</v>
      </c>
      <c r="H62" s="110">
        <f t="shared" si="19"/>
        <v>604.91979103055667</v>
      </c>
      <c r="I62" s="110">
        <f t="shared" si="19"/>
        <v>500.28303110218536</v>
      </c>
      <c r="J62" s="110">
        <f t="shared" si="19"/>
        <v>724.73268964163856</v>
      </c>
      <c r="K62" s="110">
        <f t="shared" si="19"/>
        <v>500.28303110218536</v>
      </c>
      <c r="L62" s="110">
        <f t="shared" si="19"/>
        <v>724.73268964163856</v>
      </c>
      <c r="M62" s="110">
        <f t="shared" si="19"/>
        <v>380.47013249110347</v>
      </c>
      <c r="N62" s="110">
        <f t="shared" si="19"/>
        <v>604.91979103055667</v>
      </c>
      <c r="O62" s="110">
        <f t="shared" si="19"/>
        <v>380.47013249110347</v>
      </c>
      <c r="P62" s="110">
        <f t="shared" si="19"/>
        <v>604.91979103055667</v>
      </c>
      <c r="Q62" s="110">
        <f t="shared" si="19"/>
        <v>380.47013249110347</v>
      </c>
      <c r="R62" s="110">
        <f t="shared" si="19"/>
        <v>604.91979103055667</v>
      </c>
      <c r="S62" s="110">
        <f t="shared" si="19"/>
        <v>380.47013249110347</v>
      </c>
      <c r="T62" s="110">
        <f t="shared" si="19"/>
        <v>604.91979103055667</v>
      </c>
      <c r="U62" s="110">
        <f t="shared" si="19"/>
        <v>380.47013249110347</v>
      </c>
      <c r="V62" s="110">
        <f t="shared" si="19"/>
        <v>604.91979103055667</v>
      </c>
      <c r="W62" s="110">
        <f t="shared" si="19"/>
        <v>380.47013249110347</v>
      </c>
      <c r="X62" s="110">
        <f t="shared" si="19"/>
        <v>604.91979103055667</v>
      </c>
      <c r="Y62" s="110">
        <f t="shared" si="19"/>
        <v>260.65723388002164</v>
      </c>
      <c r="Z62" s="110">
        <f t="shared" si="19"/>
        <v>485.10689241947483</v>
      </c>
      <c r="AA62" s="110">
        <f t="shared" si="19"/>
        <v>260.65723388002164</v>
      </c>
      <c r="AB62" s="110">
        <f t="shared" si="19"/>
        <v>485.10689241947483</v>
      </c>
      <c r="AC62" s="110">
        <f t="shared" si="19"/>
        <v>380.47013249110347</v>
      </c>
      <c r="AD62" s="110">
        <f t="shared" si="19"/>
        <v>604.91979103055667</v>
      </c>
      <c r="AE62" s="110">
        <f t="shared" si="19"/>
        <v>380.47013249110347</v>
      </c>
      <c r="AF62" s="110">
        <f t="shared" si="19"/>
        <v>604.91979103055667</v>
      </c>
      <c r="AG62" s="110">
        <f t="shared" si="19"/>
        <v>380.47013249110347</v>
      </c>
      <c r="AH62" s="110">
        <f t="shared" si="19"/>
        <v>604.91979103055667</v>
      </c>
      <c r="AI62" s="110">
        <f t="shared" si="19"/>
        <v>380.47013249110347</v>
      </c>
      <c r="AJ62" s="110">
        <f t="shared" si="19"/>
        <v>604.91979103055667</v>
      </c>
      <c r="AK62" s="110">
        <f t="shared" si="19"/>
        <v>380.47013249110347</v>
      </c>
      <c r="AL62" s="110">
        <f t="shared" si="19"/>
        <v>604.91979103055667</v>
      </c>
      <c r="AM62" s="110">
        <f t="shared" si="19"/>
        <v>380.47013249110347</v>
      </c>
      <c r="AN62" s="110">
        <f t="shared" si="19"/>
        <v>0</v>
      </c>
      <c r="AO62" s="110">
        <f t="shared" si="19"/>
        <v>865.5770249105783</v>
      </c>
      <c r="AP62" s="110">
        <f t="shared" si="19"/>
        <v>485.10689241947483</v>
      </c>
      <c r="AQ62" s="110">
        <f t="shared" si="19"/>
        <v>260.65723388002164</v>
      </c>
      <c r="AR62" s="110">
        <f t="shared" si="19"/>
        <v>485.10689241947483</v>
      </c>
      <c r="AS62" s="110">
        <f t="shared" si="19"/>
        <v>0</v>
      </c>
      <c r="AT62" s="110">
        <f t="shared" si="19"/>
        <v>985.38992352166019</v>
      </c>
      <c r="AU62" s="110">
        <f t="shared" si="19"/>
        <v>604.91979103055667</v>
      </c>
      <c r="AV62" s="110">
        <f t="shared" si="19"/>
        <v>380.47013249110347</v>
      </c>
      <c r="AW62" s="110">
        <f t="shared" si="19"/>
        <v>604.91979103055667</v>
      </c>
      <c r="AX62" s="110">
        <f t="shared" si="19"/>
        <v>380.47013249110347</v>
      </c>
      <c r="AY62" s="110">
        <f t="shared" si="19"/>
        <v>604.91979103055667</v>
      </c>
    </row>
    <row r="63" spans="1:52">
      <c r="A63" s="110"/>
      <c r="B63" s="165" t="s">
        <v>349</v>
      </c>
      <c r="C63" s="110"/>
      <c r="D63" s="110">
        <v>2</v>
      </c>
      <c r="E63" s="110">
        <v>1</v>
      </c>
      <c r="F63" s="110">
        <v>1</v>
      </c>
      <c r="G63" s="110">
        <v>2</v>
      </c>
      <c r="H63" s="110">
        <v>2</v>
      </c>
      <c r="I63" s="110">
        <v>1</v>
      </c>
      <c r="J63" s="110">
        <v>1</v>
      </c>
      <c r="K63" s="110">
        <v>1</v>
      </c>
      <c r="L63" s="110">
        <v>1</v>
      </c>
      <c r="M63" s="110">
        <v>2</v>
      </c>
      <c r="N63" s="110">
        <v>1</v>
      </c>
      <c r="O63" s="110">
        <v>2</v>
      </c>
      <c r="P63" s="110">
        <v>1</v>
      </c>
      <c r="Q63" s="110">
        <v>1</v>
      </c>
      <c r="R63" s="110">
        <v>1</v>
      </c>
      <c r="S63" s="110">
        <v>1</v>
      </c>
      <c r="T63" s="110">
        <v>2</v>
      </c>
      <c r="U63" s="110">
        <v>1</v>
      </c>
      <c r="V63" s="110">
        <v>1</v>
      </c>
      <c r="W63" s="110">
        <v>1</v>
      </c>
      <c r="X63" s="110">
        <v>2</v>
      </c>
      <c r="Y63" s="110">
        <v>1</v>
      </c>
      <c r="Z63" s="110">
        <v>1</v>
      </c>
      <c r="AA63" s="110">
        <v>1</v>
      </c>
      <c r="AB63" s="110">
        <v>3</v>
      </c>
      <c r="AC63" s="110">
        <v>1</v>
      </c>
      <c r="AD63" s="110">
        <v>2</v>
      </c>
      <c r="AE63" s="110">
        <v>2</v>
      </c>
      <c r="AF63" s="110">
        <v>3</v>
      </c>
      <c r="AG63" s="110">
        <v>1</v>
      </c>
      <c r="AH63" s="110">
        <v>1</v>
      </c>
      <c r="AI63" s="110">
        <v>1</v>
      </c>
      <c r="AJ63" s="110">
        <v>1</v>
      </c>
      <c r="AK63" s="110">
        <v>1</v>
      </c>
      <c r="AL63" s="110">
        <v>1</v>
      </c>
      <c r="AM63" s="110">
        <v>2</v>
      </c>
      <c r="AN63" s="110">
        <v>2</v>
      </c>
      <c r="AO63" s="110">
        <v>3</v>
      </c>
      <c r="AP63" s="110">
        <v>1</v>
      </c>
      <c r="AQ63" s="110">
        <v>3</v>
      </c>
      <c r="AR63" s="110">
        <v>1</v>
      </c>
      <c r="AS63" s="110">
        <v>1</v>
      </c>
      <c r="AT63" s="110">
        <v>1</v>
      </c>
      <c r="AU63" s="110">
        <v>1</v>
      </c>
      <c r="AV63" s="110">
        <v>3</v>
      </c>
      <c r="AW63" s="110">
        <v>1</v>
      </c>
      <c r="AX63" s="110">
        <v>2</v>
      </c>
      <c r="AY63" s="110">
        <v>1</v>
      </c>
    </row>
    <row r="64" spans="1:52">
      <c r="A64" s="110"/>
      <c r="B64" s="178" t="s">
        <v>350</v>
      </c>
      <c r="C64" s="110"/>
      <c r="D64" s="110">
        <v>0</v>
      </c>
      <c r="E64" s="110">
        <v>267300</v>
      </c>
      <c r="F64" s="110">
        <v>0</v>
      </c>
      <c r="G64" s="110">
        <v>267300</v>
      </c>
      <c r="H64" s="110">
        <v>0</v>
      </c>
      <c r="I64" s="110">
        <v>267300</v>
      </c>
      <c r="J64" s="110">
        <v>0</v>
      </c>
      <c r="K64" s="110">
        <v>267300</v>
      </c>
      <c r="L64" s="110">
        <v>0</v>
      </c>
      <c r="M64" s="110">
        <v>267300</v>
      </c>
      <c r="N64" s="110">
        <v>0</v>
      </c>
      <c r="O64" s="110">
        <v>267300</v>
      </c>
      <c r="P64" s="110">
        <v>0</v>
      </c>
      <c r="Q64" s="110">
        <v>267300</v>
      </c>
      <c r="R64" s="110">
        <v>0</v>
      </c>
      <c r="S64" s="110">
        <v>267300</v>
      </c>
      <c r="T64" s="110">
        <v>0</v>
      </c>
      <c r="U64" s="110">
        <v>267300</v>
      </c>
      <c r="V64" s="110">
        <v>0</v>
      </c>
      <c r="W64" s="110">
        <v>267300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0</v>
      </c>
      <c r="AT64" s="110">
        <v>267300</v>
      </c>
      <c r="AU64" s="110">
        <v>0</v>
      </c>
      <c r="AV64" s="110">
        <v>267300</v>
      </c>
      <c r="AW64" s="110">
        <v>0</v>
      </c>
      <c r="AX64" s="110">
        <v>267300</v>
      </c>
      <c r="AY64" s="110">
        <v>0</v>
      </c>
      <c r="AZ64" s="100">
        <f>SUM($D$64:$AY$64)</f>
        <v>6147900</v>
      </c>
    </row>
    <row r="65" spans="1:52">
      <c r="A65" s="125"/>
      <c r="B65" s="140" t="s">
        <v>351</v>
      </c>
      <c r="C65" s="125"/>
      <c r="D65" s="125">
        <v>300789.12996555783</v>
      </c>
      <c r="E65" s="125">
        <v>245432.84969343149</v>
      </c>
      <c r="F65" s="125">
        <v>390220.3496934314</v>
      </c>
      <c r="G65" s="125">
        <v>245432.84969343149</v>
      </c>
      <c r="H65" s="125">
        <v>390220.3496934314</v>
      </c>
      <c r="I65" s="125">
        <v>322721.49504284171</v>
      </c>
      <c r="J65" s="125">
        <v>467508.99504284171</v>
      </c>
      <c r="K65" s="125">
        <v>322721.49504284171</v>
      </c>
      <c r="L65" s="125">
        <v>467508.99504284171</v>
      </c>
      <c r="M65" s="125">
        <v>245432.84969343149</v>
      </c>
      <c r="N65" s="125">
        <v>390220.3496934314</v>
      </c>
      <c r="O65" s="125">
        <v>245432.84969343149</v>
      </c>
      <c r="P65" s="125">
        <v>390220.3496934314</v>
      </c>
      <c r="Q65" s="125">
        <v>245432.84969343149</v>
      </c>
      <c r="R65" s="125">
        <v>390220.3496934314</v>
      </c>
      <c r="S65" s="125">
        <v>245432.84969343149</v>
      </c>
      <c r="T65" s="125">
        <v>390220.3496934314</v>
      </c>
      <c r="U65" s="125">
        <v>245432.84969343149</v>
      </c>
      <c r="V65" s="125">
        <v>390220.3496934314</v>
      </c>
      <c r="W65" s="125">
        <v>245432.84969343149</v>
      </c>
      <c r="X65" s="125">
        <v>390220.3496934314</v>
      </c>
      <c r="Y65" s="125">
        <v>168144.2043440213</v>
      </c>
      <c r="Z65" s="125">
        <v>312931.70434402133</v>
      </c>
      <c r="AA65" s="125">
        <v>168144.2043440213</v>
      </c>
      <c r="AB65" s="125">
        <v>312931.70434402133</v>
      </c>
      <c r="AC65" s="125">
        <v>245432.84969343149</v>
      </c>
      <c r="AD65" s="125">
        <v>390220.3496934314</v>
      </c>
      <c r="AE65" s="125">
        <v>245432.84969343149</v>
      </c>
      <c r="AF65" s="125">
        <v>390220.3496934314</v>
      </c>
      <c r="AG65" s="125">
        <v>245432.84969343149</v>
      </c>
      <c r="AH65" s="125">
        <v>390220.3496934314</v>
      </c>
      <c r="AI65" s="125">
        <v>245432.84969343149</v>
      </c>
      <c r="AJ65" s="125">
        <v>390220.3496934314</v>
      </c>
      <c r="AK65" s="125">
        <v>245432.84969343149</v>
      </c>
      <c r="AL65" s="125">
        <v>390220.3496934314</v>
      </c>
      <c r="AM65" s="125">
        <v>245432.84969343149</v>
      </c>
      <c r="AN65" s="125">
        <v>0</v>
      </c>
      <c r="AO65" s="125">
        <v>558364.55403745268</v>
      </c>
      <c r="AP65" s="125">
        <v>312931.70434402133</v>
      </c>
      <c r="AQ65" s="125">
        <v>168144.2043440213</v>
      </c>
      <c r="AR65" s="125">
        <v>312931.70434402133</v>
      </c>
      <c r="AS65" s="125">
        <v>0</v>
      </c>
      <c r="AT65" s="125">
        <v>635653.19938686304</v>
      </c>
      <c r="AU65" s="125">
        <v>390220.3496934314</v>
      </c>
      <c r="AV65" s="125">
        <v>245432.84969343149</v>
      </c>
      <c r="AW65" s="125">
        <v>390220.3496934314</v>
      </c>
      <c r="AX65" s="125">
        <v>245432.84969343149</v>
      </c>
      <c r="AY65" s="125">
        <v>390220.3496934314</v>
      </c>
      <c r="AZ65" s="100">
        <f>SUM($D$65:$AY$65)</f>
        <v>15001878.484159185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1600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100</v>
      </c>
      <c r="E9" s="117">
        <v>100</v>
      </c>
      <c r="F9" s="117">
        <v>100</v>
      </c>
      <c r="G9" s="117">
        <v>100</v>
      </c>
      <c r="H9" s="117">
        <v>160</v>
      </c>
      <c r="I9" s="117">
        <v>160</v>
      </c>
      <c r="J9" s="117">
        <v>160</v>
      </c>
      <c r="K9" s="117">
        <v>160</v>
      </c>
      <c r="L9" s="117">
        <v>160</v>
      </c>
      <c r="M9" s="117">
        <v>160</v>
      </c>
      <c r="N9" s="117">
        <v>160</v>
      </c>
      <c r="O9" s="117">
        <v>160</v>
      </c>
      <c r="P9" s="117">
        <v>160</v>
      </c>
      <c r="Q9" s="117">
        <v>160</v>
      </c>
      <c r="R9" s="117">
        <v>160</v>
      </c>
      <c r="S9" s="117">
        <v>160</v>
      </c>
      <c r="T9" s="117">
        <v>160</v>
      </c>
      <c r="U9" s="117">
        <v>160</v>
      </c>
      <c r="V9" s="117">
        <v>160</v>
      </c>
      <c r="W9" s="117">
        <v>160</v>
      </c>
      <c r="X9" s="117">
        <v>160</v>
      </c>
      <c r="Y9" s="117">
        <v>160</v>
      </c>
      <c r="Z9" s="117">
        <v>160</v>
      </c>
      <c r="AA9" s="117">
        <v>160</v>
      </c>
      <c r="AB9" s="117">
        <v>160</v>
      </c>
      <c r="AC9" s="117">
        <v>160</v>
      </c>
      <c r="AD9" s="117">
        <v>160</v>
      </c>
      <c r="AE9" s="117">
        <v>160</v>
      </c>
      <c r="AF9" s="117">
        <v>160</v>
      </c>
      <c r="AG9" s="117">
        <v>160</v>
      </c>
      <c r="AH9" s="117">
        <v>160</v>
      </c>
      <c r="AI9" s="117">
        <v>160</v>
      </c>
      <c r="AJ9" s="117">
        <v>2.9335823915757782E-22</v>
      </c>
      <c r="AK9" s="117">
        <v>2.9335823915757782E-22</v>
      </c>
      <c r="AL9" s="117">
        <v>2.9335823915757782E-22</v>
      </c>
      <c r="AM9" s="117">
        <v>2.9335823915757782E-22</v>
      </c>
      <c r="AN9" s="117">
        <v>160</v>
      </c>
      <c r="AO9" s="117">
        <v>160</v>
      </c>
      <c r="AP9" s="117">
        <v>160</v>
      </c>
      <c r="AQ9" s="117">
        <v>160</v>
      </c>
      <c r="AR9" s="117">
        <v>160</v>
      </c>
      <c r="AS9" s="117">
        <v>160</v>
      </c>
      <c r="AT9" s="117">
        <v>160</v>
      </c>
      <c r="AU9" s="117">
        <v>160</v>
      </c>
      <c r="AV9" s="117">
        <v>160</v>
      </c>
      <c r="AW9" s="117">
        <v>160</v>
      </c>
      <c r="AX9" s="117">
        <v>160</v>
      </c>
      <c r="AY9" s="117">
        <v>160</v>
      </c>
    </row>
    <row r="10" spans="1:53">
      <c r="A10" s="118" t="s">
        <v>133</v>
      </c>
      <c r="B10" s="119">
        <v>1</v>
      </c>
      <c r="C10" s="106" t="s">
        <v>293</v>
      </c>
      <c r="D10" s="100">
        <v>169.17684857174092</v>
      </c>
      <c r="E10" s="100">
        <v>125.57838519040455</v>
      </c>
      <c r="F10" s="100">
        <v>156.56047899877126</v>
      </c>
      <c r="G10" s="100">
        <v>156.56047899877126</v>
      </c>
      <c r="H10" s="100">
        <v>143.61524234379306</v>
      </c>
      <c r="I10" s="100">
        <v>46.04773316464393</v>
      </c>
      <c r="J10" s="100">
        <v>156.56047899877126</v>
      </c>
      <c r="K10" s="100">
        <v>156.56047899877126</v>
      </c>
      <c r="L10" s="100">
        <v>146.29410497530409</v>
      </c>
      <c r="M10" s="100">
        <v>48.726595796154996</v>
      </c>
      <c r="N10" s="100">
        <v>143.61524234379306</v>
      </c>
      <c r="O10" s="100">
        <v>170.08570910369883</v>
      </c>
      <c r="P10" s="100">
        <v>143.61524234379306</v>
      </c>
      <c r="Q10" s="100">
        <v>32.522503059716371</v>
      </c>
      <c r="R10" s="100">
        <v>156.56047899877126</v>
      </c>
      <c r="S10" s="100">
        <v>32.522503059716371</v>
      </c>
      <c r="T10" s="100">
        <v>59.409913627595763</v>
      </c>
      <c r="U10" s="100">
        <v>127.35399081393486</v>
      </c>
      <c r="V10" s="100">
        <v>170.08570910369883</v>
      </c>
      <c r="W10" s="100">
        <v>170.08570910369883</v>
      </c>
      <c r="X10" s="100">
        <v>170.08570910369883</v>
      </c>
      <c r="Y10" s="100">
        <v>113.8287607090073</v>
      </c>
      <c r="Z10" s="100">
        <v>167.40684647218777</v>
      </c>
      <c r="AA10" s="100">
        <v>113.8287607090073</v>
      </c>
      <c r="AB10" s="100">
        <v>10.8463674734165</v>
      </c>
      <c r="AC10" s="100">
        <v>167.40684647218777</v>
      </c>
      <c r="AD10" s="100">
        <v>170.08570910369883</v>
      </c>
      <c r="AE10" s="100">
        <v>170.08570910369883</v>
      </c>
      <c r="AF10" s="100">
        <v>156.56047899877126</v>
      </c>
      <c r="AG10" s="100">
        <v>170.08570910369883</v>
      </c>
      <c r="AH10" s="100">
        <v>0</v>
      </c>
      <c r="AI10" s="100">
        <v>170.08570910369883</v>
      </c>
      <c r="AJ10" s="100">
        <v>156.56047899877126</v>
      </c>
      <c r="AK10" s="100">
        <v>170.08570910369883</v>
      </c>
      <c r="AL10" s="100">
        <v>138.77361330394456</v>
      </c>
      <c r="AM10" s="100">
        <v>125.24838319901701</v>
      </c>
      <c r="AN10" s="100">
        <v>46.04773316464393</v>
      </c>
      <c r="AO10" s="100">
        <v>61.942190582885132</v>
      </c>
      <c r="AP10" s="100">
        <v>86.428457309964926</v>
      </c>
      <c r="AQ10" s="100">
        <v>62.170845499164194</v>
      </c>
      <c r="AR10" s="100">
        <v>136.09475067243352</v>
      </c>
      <c r="AS10" s="100">
        <v>65.045006119432742</v>
      </c>
      <c r="AT10" s="100">
        <v>156.56047899877126</v>
      </c>
      <c r="AU10" s="100">
        <v>156.56047899877126</v>
      </c>
      <c r="AV10" s="100">
        <v>170.08570910369883</v>
      </c>
      <c r="AW10" s="100">
        <v>65.045006119432742</v>
      </c>
      <c r="AX10" s="100">
        <v>170.08570910369883</v>
      </c>
      <c r="AY10" s="100">
        <v>65.045006119432742</v>
      </c>
      <c r="AZ10" s="100">
        <v>170.08570910369883</v>
      </c>
    </row>
    <row r="11" spans="1:53">
      <c r="B11" s="119">
        <v>2</v>
      </c>
      <c r="C11" s="106" t="s">
        <v>293</v>
      </c>
      <c r="G11" s="100">
        <v>13.525230104927559</v>
      </c>
      <c r="I11" s="100">
        <v>26.470466759905776</v>
      </c>
      <c r="J11" s="100">
        <v>124.03797593905489</v>
      </c>
      <c r="L11" s="100">
        <v>16.204092736438621</v>
      </c>
      <c r="M11" s="100">
        <v>26.470466759905776</v>
      </c>
      <c r="N11" s="100">
        <v>124.03797593905489</v>
      </c>
      <c r="O11" s="100">
        <v>26.470466759905776</v>
      </c>
      <c r="Q11" s="100">
        <v>26.470466759905776</v>
      </c>
      <c r="R11" s="100">
        <v>13.525230104927559</v>
      </c>
      <c r="T11" s="100">
        <v>137.56320604398246</v>
      </c>
      <c r="U11" s="100">
        <v>13.525230104927559</v>
      </c>
      <c r="Z11" s="100">
        <v>56.25694839469152</v>
      </c>
      <c r="AB11" s="100">
        <v>10.8463674734165</v>
      </c>
      <c r="AG11" s="100">
        <v>13.525230104927559</v>
      </c>
      <c r="AH11" s="100">
        <v>0</v>
      </c>
      <c r="AI11" s="100">
        <v>170.08570910369883</v>
      </c>
      <c r="AL11" s="100">
        <v>0</v>
      </c>
      <c r="AN11" s="100">
        <v>13.525230104927559</v>
      </c>
      <c r="AQ11" s="100">
        <v>0</v>
      </c>
      <c r="AR11" s="100">
        <v>10.8463674734165</v>
      </c>
      <c r="AT11" s="100">
        <v>10.8463674734165</v>
      </c>
      <c r="AU11" s="100">
        <v>0</v>
      </c>
      <c r="AV11" s="100">
        <v>27.050460209855117</v>
      </c>
      <c r="AX11" s="100">
        <v>105.04070298426608</v>
      </c>
      <c r="AZ11" s="100">
        <v>91.515472879338517</v>
      </c>
    </row>
    <row r="12" spans="1:53">
      <c r="B12" s="120">
        <v>3</v>
      </c>
      <c r="C12" s="106" t="s">
        <v>293</v>
      </c>
      <c r="D12" s="100">
        <v>0</v>
      </c>
      <c r="E12" s="100">
        <v>0</v>
      </c>
      <c r="F12" s="100">
        <v>0</v>
      </c>
      <c r="G12" s="100">
        <v>10.425499846538658</v>
      </c>
      <c r="I12" s="100">
        <v>13.525230104927559</v>
      </c>
      <c r="L12" s="100">
        <v>16.204092736438621</v>
      </c>
      <c r="S12" s="100">
        <v>124.03797593905489</v>
      </c>
      <c r="T12" s="100">
        <v>13.525230104927559</v>
      </c>
      <c r="W12" s="100">
        <v>42.731718289763961</v>
      </c>
      <c r="AC12" s="100">
        <v>42.731718289763961</v>
      </c>
      <c r="AK12" s="100">
        <v>0</v>
      </c>
      <c r="AL12" s="100">
        <v>13.525230104927559</v>
      </c>
      <c r="AP12" s="100">
        <v>29.304353507626971</v>
      </c>
      <c r="AU12" s="100">
        <v>60.203377079584271</v>
      </c>
      <c r="BA12" s="100">
        <v>13.525230104927559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73.552022612601377</v>
      </c>
      <c r="E14" s="117">
        <f t="shared" ref="E14:AZ14" si="0">D$172*SUM(D$122:D$169)</f>
        <v>49.088239634548273</v>
      </c>
      <c r="F14" s="117">
        <f t="shared" si="0"/>
        <v>62.320358970988167</v>
      </c>
      <c r="G14" s="117">
        <f t="shared" si="0"/>
        <v>72.774335617927903</v>
      </c>
      <c r="H14" s="117">
        <f t="shared" si="0"/>
        <v>72.774335617927903</v>
      </c>
      <c r="I14" s="117">
        <f t="shared" si="0"/>
        <v>63.842671959130215</v>
      </c>
      <c r="J14" s="117">
        <f t="shared" si="0"/>
        <v>39.853111224001935</v>
      </c>
      <c r="K14" s="117">
        <f t="shared" si="0"/>
        <v>114.62722367065156</v>
      </c>
      <c r="L14" s="117">
        <f t="shared" si="0"/>
        <v>93.49749313725539</v>
      </c>
      <c r="M14" s="117">
        <f t="shared" si="0"/>
        <v>67.282792112557374</v>
      </c>
      <c r="N14" s="117">
        <f t="shared" si="0"/>
        <v>39.853111224001935</v>
      </c>
      <c r="O14" s="117">
        <f t="shared" si="0"/>
        <v>105.69556001185387</v>
      </c>
      <c r="P14" s="117">
        <f t="shared" si="0"/>
        <v>86.866393304853659</v>
      </c>
      <c r="Q14" s="117">
        <f t="shared" si="0"/>
        <v>63.842671959130215</v>
      </c>
      <c r="R14" s="117">
        <f t="shared" si="0"/>
        <v>39.853111224001935</v>
      </c>
      <c r="S14" s="117">
        <f t="shared" si="0"/>
        <v>72.774335617927903</v>
      </c>
      <c r="T14" s="117">
        <f t="shared" si="0"/>
        <v>72.774335617927903</v>
      </c>
      <c r="U14" s="117">
        <f t="shared" si="0"/>
        <v>81.846684436954035</v>
      </c>
      <c r="V14" s="117">
        <f t="shared" si="0"/>
        <v>58.35580122680922</v>
      </c>
      <c r="W14" s="117">
        <f t="shared" si="0"/>
        <v>72.774335617927903</v>
      </c>
      <c r="X14" s="117">
        <f t="shared" si="0"/>
        <v>87.192870009046572</v>
      </c>
      <c r="Y14" s="117">
        <f t="shared" si="0"/>
        <v>72.774335617927903</v>
      </c>
      <c r="Z14" s="117">
        <f t="shared" si="0"/>
        <v>58.35580122680922</v>
      </c>
      <c r="AA14" s="117">
        <f t="shared" si="0"/>
        <v>87.192870009046572</v>
      </c>
      <c r="AB14" s="117">
        <f t="shared" si="0"/>
        <v>66.395998765674676</v>
      </c>
      <c r="AC14" s="117">
        <f t="shared" si="0"/>
        <v>19.947706100562261</v>
      </c>
      <c r="AD14" s="117">
        <f t="shared" si="0"/>
        <v>87.192870009046572</v>
      </c>
      <c r="AE14" s="117">
        <f t="shared" si="0"/>
        <v>72.774335617927903</v>
      </c>
      <c r="AF14" s="117">
        <f t="shared" si="0"/>
        <v>72.774335617927903</v>
      </c>
      <c r="AG14" s="117">
        <f t="shared" si="0"/>
        <v>72.774335617927903</v>
      </c>
      <c r="AH14" s="117">
        <f t="shared" si="0"/>
        <v>72.774335617927903</v>
      </c>
      <c r="AI14" s="117">
        <f t="shared" si="0"/>
        <v>19.947706100562261</v>
      </c>
      <c r="AJ14" s="117">
        <f t="shared" si="0"/>
        <v>125.60096513529354</v>
      </c>
      <c r="AK14" s="117">
        <f t="shared" si="0"/>
        <v>94.747360109242322</v>
      </c>
      <c r="AL14" s="117">
        <f t="shared" si="0"/>
        <v>89.745063255701083</v>
      </c>
      <c r="AM14" s="117">
        <f t="shared" si="0"/>
        <v>62.209009714454787</v>
      </c>
      <c r="AN14" s="117">
        <f t="shared" si="0"/>
        <v>62.209009714454787</v>
      </c>
      <c r="AO14" s="117">
        <f t="shared" si="0"/>
        <v>30.921447565204247</v>
      </c>
      <c r="AP14" s="117">
        <f t="shared" si="0"/>
        <v>40.848237156307235</v>
      </c>
      <c r="AQ14" s="117">
        <f t="shared" si="0"/>
        <v>50.774802408083559</v>
      </c>
      <c r="AR14" s="117">
        <f t="shared" si="0"/>
        <v>40.925389887487206</v>
      </c>
      <c r="AS14" s="117">
        <f t="shared" si="0"/>
        <v>62.209009714454787</v>
      </c>
      <c r="AT14" s="117">
        <f t="shared" si="0"/>
        <v>41.895189029846243</v>
      </c>
      <c r="AU14" s="117">
        <f t="shared" si="0"/>
        <v>72.774335617927903</v>
      </c>
      <c r="AV14" s="117">
        <f t="shared" si="0"/>
        <v>93.088156302536433</v>
      </c>
      <c r="AW14" s="117">
        <f t="shared" si="0"/>
        <v>77.356626058441947</v>
      </c>
      <c r="AX14" s="117">
        <f t="shared" si="0"/>
        <v>41.895189029846236</v>
      </c>
      <c r="AY14" s="117">
        <f t="shared" si="0"/>
        <v>103.65348220600957</v>
      </c>
      <c r="AZ14" s="110">
        <f t="shared" si="0"/>
        <v>46.578817072301362</v>
      </c>
      <c r="BA14" s="107">
        <f>SUM($E14:$AZ14)</f>
        <v>3258.2264924743577</v>
      </c>
    </row>
    <row r="15" spans="1:53">
      <c r="A15" s="122" t="s">
        <v>123</v>
      </c>
      <c r="B15" s="123">
        <v>1</v>
      </c>
      <c r="C15" s="124" t="s">
        <v>293</v>
      </c>
      <c r="D15" s="124">
        <v>122.91358956361327</v>
      </c>
      <c r="E15" s="124">
        <v>156.04590999889854</v>
      </c>
      <c r="F15" s="124">
        <v>182.2219514388774</v>
      </c>
      <c r="G15" s="124">
        <v>182.2219514388774</v>
      </c>
      <c r="H15" s="124">
        <v>159.85767744472398</v>
      </c>
      <c r="I15" s="124">
        <v>77.425186623873088</v>
      </c>
      <c r="J15" s="124">
        <v>182.2219514388774</v>
      </c>
      <c r="K15" s="124">
        <v>182.2219514388774</v>
      </c>
      <c r="L15" s="124">
        <v>159.85767744472398</v>
      </c>
      <c r="M15" s="124">
        <v>77.425186623873088</v>
      </c>
      <c r="N15" s="124">
        <v>159.85767744472398</v>
      </c>
      <c r="O15" s="124">
        <v>182.2219514388774</v>
      </c>
      <c r="P15" s="124">
        <v>159.85767744472398</v>
      </c>
      <c r="Q15" s="124">
        <v>77.425186623873088</v>
      </c>
      <c r="R15" s="124">
        <v>182.2219514388774</v>
      </c>
      <c r="S15" s="124">
        <v>77.425186623873088</v>
      </c>
      <c r="T15" s="124">
        <v>100.14172662248595</v>
      </c>
      <c r="U15" s="124">
        <v>146.11892897458216</v>
      </c>
      <c r="V15" s="124">
        <v>182.2219514388774</v>
      </c>
      <c r="W15" s="124">
        <v>182.2219514388774</v>
      </c>
      <c r="X15" s="124">
        <v>182.2219514388774</v>
      </c>
      <c r="Y15" s="124">
        <v>146.11892897458216</v>
      </c>
      <c r="Z15" s="124">
        <v>182.2219514388774</v>
      </c>
      <c r="AA15" s="124">
        <v>146.11892897458216</v>
      </c>
      <c r="AB15" s="124">
        <v>49.947689683589466</v>
      </c>
      <c r="AC15" s="124">
        <v>182.2219514388774</v>
      </c>
      <c r="AD15" s="124">
        <v>182.2219514388774</v>
      </c>
      <c r="AE15" s="124">
        <v>182.2219514388774</v>
      </c>
      <c r="AF15" s="124">
        <v>182.2219514388774</v>
      </c>
      <c r="AG15" s="124">
        <v>182.2219514388774</v>
      </c>
      <c r="AH15" s="124">
        <v>49.947689683589466</v>
      </c>
      <c r="AI15" s="124">
        <v>182.2219514388774</v>
      </c>
      <c r="AJ15" s="124">
        <v>182.2219514388774</v>
      </c>
      <c r="AK15" s="124">
        <v>182.2219514388774</v>
      </c>
      <c r="AL15" s="124">
        <v>155.76709908781984</v>
      </c>
      <c r="AM15" s="124">
        <v>155.76709908781984</v>
      </c>
      <c r="AN15" s="124">
        <v>77.425186623873088</v>
      </c>
      <c r="AO15" s="124">
        <v>102.2811877876722</v>
      </c>
      <c r="AP15" s="124">
        <v>102.3780690510161</v>
      </c>
      <c r="AQ15" s="124">
        <v>102.47437294168395</v>
      </c>
      <c r="AR15" s="124">
        <v>155.76709908781984</v>
      </c>
      <c r="AS15" s="124">
        <v>104.90268356415673</v>
      </c>
      <c r="AT15" s="124">
        <v>182.2219514388774</v>
      </c>
      <c r="AU15" s="124">
        <v>182.2219514388774</v>
      </c>
      <c r="AV15" s="124">
        <v>182.2219514388774</v>
      </c>
      <c r="AW15" s="124">
        <v>104.90268356415672</v>
      </c>
      <c r="AX15" s="124">
        <v>182.2219514388774</v>
      </c>
      <c r="AY15" s="124">
        <v>104.90268356415672</v>
      </c>
      <c r="AZ15" s="100">
        <v>132.27426175528794</v>
      </c>
    </row>
    <row r="16" spans="1:53">
      <c r="A16" s="110"/>
      <c r="B16" s="119">
        <v>2</v>
      </c>
      <c r="C16" s="109" t="s">
        <v>293</v>
      </c>
      <c r="D16" s="106"/>
      <c r="E16" s="110"/>
      <c r="F16" s="110"/>
      <c r="G16" s="110">
        <v>0</v>
      </c>
      <c r="H16" s="110"/>
      <c r="I16" s="110">
        <v>22.364273994153436</v>
      </c>
      <c r="J16" s="110">
        <v>104.79676481500431</v>
      </c>
      <c r="K16" s="110"/>
      <c r="L16" s="110">
        <v>0</v>
      </c>
      <c r="M16" s="110">
        <v>22.364273994153436</v>
      </c>
      <c r="N16" s="110">
        <v>104.79676481500431</v>
      </c>
      <c r="O16" s="110">
        <v>22.364273994153436</v>
      </c>
      <c r="P16" s="110"/>
      <c r="Q16" s="110">
        <v>22.364273994153436</v>
      </c>
      <c r="R16" s="110">
        <v>0</v>
      </c>
      <c r="S16" s="110"/>
      <c r="T16" s="110">
        <v>104.79676481500431</v>
      </c>
      <c r="U16" s="110">
        <v>0</v>
      </c>
      <c r="V16" s="110"/>
      <c r="W16" s="110"/>
      <c r="X16" s="110"/>
      <c r="Y16" s="110"/>
      <c r="Z16" s="110">
        <v>36.10302246429525</v>
      </c>
      <c r="AA16" s="110"/>
      <c r="AB16" s="110">
        <v>0</v>
      </c>
      <c r="AC16" s="110"/>
      <c r="AD16" s="110"/>
      <c r="AE16" s="110"/>
      <c r="AF16" s="110"/>
      <c r="AG16" s="110">
        <v>0</v>
      </c>
      <c r="AH16" s="110">
        <v>0</v>
      </c>
      <c r="AI16" s="110">
        <v>132.27426175528794</v>
      </c>
      <c r="AJ16" s="110"/>
      <c r="AK16" s="110"/>
      <c r="AL16" s="110">
        <v>0</v>
      </c>
      <c r="AM16" s="110"/>
      <c r="AN16" s="110">
        <v>0</v>
      </c>
      <c r="AO16" s="110"/>
      <c r="AP16" s="110"/>
      <c r="AQ16" s="110">
        <v>0</v>
      </c>
      <c r="AR16" s="110">
        <v>0</v>
      </c>
      <c r="AS16" s="110"/>
      <c r="AT16" s="110">
        <v>0</v>
      </c>
      <c r="AU16" s="110">
        <v>0</v>
      </c>
      <c r="AV16" s="110">
        <v>0</v>
      </c>
      <c r="AW16" s="110"/>
      <c r="AX16" s="110">
        <v>77.319267874720694</v>
      </c>
      <c r="AY16" s="110"/>
      <c r="AZ16" s="100">
        <v>77.319267874720694</v>
      </c>
    </row>
    <row r="17" spans="1:53">
      <c r="A17" s="110"/>
      <c r="B17" s="119">
        <v>3</v>
      </c>
      <c r="C17" s="109" t="s">
        <v>293</v>
      </c>
      <c r="D17" s="106">
        <v>0</v>
      </c>
      <c r="E17" s="110">
        <v>0</v>
      </c>
      <c r="F17" s="110">
        <v>0</v>
      </c>
      <c r="G17" s="110">
        <v>0</v>
      </c>
      <c r="H17" s="110"/>
      <c r="I17" s="110">
        <v>0</v>
      </c>
      <c r="J17" s="110"/>
      <c r="K17" s="110"/>
      <c r="L17" s="110">
        <v>0</v>
      </c>
      <c r="M17" s="110"/>
      <c r="N17" s="110"/>
      <c r="O17" s="110"/>
      <c r="P17" s="110"/>
      <c r="Q17" s="110"/>
      <c r="R17" s="110"/>
      <c r="S17" s="110">
        <v>104.79676481500431</v>
      </c>
      <c r="T17" s="110">
        <v>0</v>
      </c>
      <c r="U17" s="110"/>
      <c r="V17" s="110"/>
      <c r="W17" s="110">
        <v>36.10302246429525</v>
      </c>
      <c r="X17" s="110"/>
      <c r="Y17" s="110"/>
      <c r="Z17" s="110"/>
      <c r="AA17" s="110"/>
      <c r="AB17" s="110"/>
      <c r="AC17" s="110">
        <v>36.10302246429525</v>
      </c>
      <c r="AD17" s="110"/>
      <c r="AE17" s="110"/>
      <c r="AF17" s="110"/>
      <c r="AG17" s="110"/>
      <c r="AH17" s="110"/>
      <c r="AI17" s="110"/>
      <c r="AJ17" s="110"/>
      <c r="AK17" s="110">
        <v>0</v>
      </c>
      <c r="AL17" s="110">
        <v>0</v>
      </c>
      <c r="AM17" s="110"/>
      <c r="AN17" s="110"/>
      <c r="AO17" s="110"/>
      <c r="AP17" s="110">
        <v>24.758558170148177</v>
      </c>
      <c r="AQ17" s="110"/>
      <c r="AR17" s="110"/>
      <c r="AS17" s="110"/>
      <c r="AT17" s="110"/>
      <c r="AU17" s="110">
        <v>50.864415523663105</v>
      </c>
      <c r="AV17" s="110"/>
      <c r="AW17" s="110"/>
      <c r="AX17" s="110"/>
      <c r="AY17" s="110"/>
      <c r="BA17" s="100">
        <v>0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2.5889261594710171E-23</v>
      </c>
      <c r="D95" s="110">
        <v>100</v>
      </c>
      <c r="E95" s="110">
        <v>100</v>
      </c>
      <c r="F95" s="110">
        <v>100</v>
      </c>
      <c r="G95" s="110">
        <v>100</v>
      </c>
      <c r="H95" s="110">
        <v>160</v>
      </c>
      <c r="I95" s="110">
        <v>160</v>
      </c>
      <c r="J95" s="110">
        <v>160</v>
      </c>
      <c r="K95" s="110">
        <v>160</v>
      </c>
      <c r="L95" s="110">
        <v>160</v>
      </c>
      <c r="M95" s="110">
        <v>160</v>
      </c>
      <c r="N95" s="110">
        <v>160</v>
      </c>
      <c r="O95" s="110">
        <v>160</v>
      </c>
      <c r="P95" s="110">
        <v>160</v>
      </c>
      <c r="Q95" s="110">
        <v>160</v>
      </c>
      <c r="R95" s="110">
        <v>160</v>
      </c>
      <c r="S95" s="110">
        <v>160</v>
      </c>
      <c r="T95" s="110">
        <v>160</v>
      </c>
      <c r="U95" s="110">
        <v>160</v>
      </c>
      <c r="V95" s="110">
        <v>160</v>
      </c>
      <c r="W95" s="110">
        <v>160</v>
      </c>
      <c r="X95" s="110">
        <v>160</v>
      </c>
      <c r="Y95" s="110">
        <v>160</v>
      </c>
      <c r="Z95" s="110">
        <v>160</v>
      </c>
      <c r="AA95" s="110">
        <v>160</v>
      </c>
      <c r="AB95" s="110">
        <v>160</v>
      </c>
      <c r="AC95" s="110">
        <v>160</v>
      </c>
      <c r="AD95" s="110">
        <v>160</v>
      </c>
      <c r="AE95" s="110">
        <v>160</v>
      </c>
      <c r="AF95" s="110">
        <v>160</v>
      </c>
      <c r="AG95" s="110">
        <v>160</v>
      </c>
      <c r="AH95" s="110">
        <v>160</v>
      </c>
      <c r="AI95" s="110">
        <v>160</v>
      </c>
      <c r="AJ95" s="110">
        <v>2.9335823915757782E-22</v>
      </c>
      <c r="AK95" s="110">
        <v>2.9335823915757782E-22</v>
      </c>
      <c r="AL95" s="110">
        <v>2.9335823915757782E-22</v>
      </c>
      <c r="AM95" s="110">
        <v>2.9335823915757782E-22</v>
      </c>
      <c r="AN95" s="110">
        <v>160</v>
      </c>
      <c r="AO95" s="110">
        <v>160</v>
      </c>
      <c r="AP95" s="110">
        <v>160</v>
      </c>
      <c r="AQ95" s="110">
        <v>160</v>
      </c>
      <c r="AR95" s="110">
        <v>160</v>
      </c>
      <c r="AS95" s="110">
        <v>160</v>
      </c>
      <c r="AT95" s="110">
        <v>160</v>
      </c>
      <c r="AU95" s="110">
        <v>160</v>
      </c>
      <c r="AV95" s="110">
        <v>160</v>
      </c>
      <c r="AW95" s="110">
        <v>160</v>
      </c>
      <c r="AX95" s="110">
        <v>160</v>
      </c>
      <c r="AY95" s="110">
        <v>160</v>
      </c>
    </row>
    <row r="96" spans="1:52">
      <c r="A96" s="109"/>
      <c r="B96" s="120">
        <v>2</v>
      </c>
      <c r="C96" s="110">
        <v>2.5889261594710171E-23</v>
      </c>
      <c r="D96" s="110">
        <v>5.8774717541114375E-39</v>
      </c>
      <c r="E96" s="110">
        <v>0</v>
      </c>
      <c r="F96" s="110">
        <v>0</v>
      </c>
      <c r="G96" s="110">
        <v>0</v>
      </c>
      <c r="H96" s="110">
        <v>0</v>
      </c>
      <c r="I96" s="110">
        <v>0</v>
      </c>
      <c r="J96" s="110">
        <v>4</v>
      </c>
      <c r="K96" s="110">
        <v>0</v>
      </c>
      <c r="L96" s="110">
        <v>0</v>
      </c>
      <c r="M96" s="110">
        <v>0</v>
      </c>
      <c r="N96" s="110">
        <v>12</v>
      </c>
      <c r="O96" s="110">
        <v>53</v>
      </c>
      <c r="P96" s="110">
        <v>53</v>
      </c>
      <c r="Q96" s="110">
        <v>42</v>
      </c>
      <c r="R96" s="110">
        <v>70</v>
      </c>
      <c r="S96" s="110">
        <v>74</v>
      </c>
      <c r="T96" s="110">
        <v>122</v>
      </c>
      <c r="U96" s="110">
        <v>160</v>
      </c>
      <c r="V96" s="110">
        <v>160</v>
      </c>
      <c r="W96" s="110">
        <v>160</v>
      </c>
      <c r="X96" s="110">
        <v>160</v>
      </c>
      <c r="Y96" s="110">
        <v>160</v>
      </c>
      <c r="Z96" s="110">
        <v>160</v>
      </c>
      <c r="AA96" s="110">
        <v>160</v>
      </c>
      <c r="AB96" s="110">
        <v>160</v>
      </c>
      <c r="AC96" s="110">
        <v>160</v>
      </c>
      <c r="AD96" s="110">
        <v>160</v>
      </c>
      <c r="AE96" s="110">
        <v>160</v>
      </c>
      <c r="AF96" s="110">
        <v>160</v>
      </c>
      <c r="AG96" s="110">
        <v>160</v>
      </c>
      <c r="AH96" s="110">
        <v>160</v>
      </c>
      <c r="AI96" s="110">
        <v>160</v>
      </c>
      <c r="AJ96" s="110">
        <v>160</v>
      </c>
      <c r="AK96" s="110">
        <v>2.9335823915757782E-22</v>
      </c>
      <c r="AL96" s="110">
        <v>2.9335823915757782E-22</v>
      </c>
      <c r="AM96" s="110">
        <v>2.9335823915757782E-22</v>
      </c>
      <c r="AN96" s="110">
        <v>9.4039548065783001E-38</v>
      </c>
      <c r="AO96" s="110">
        <v>8</v>
      </c>
      <c r="AP96" s="110">
        <v>22</v>
      </c>
      <c r="AQ96" s="110">
        <v>59</v>
      </c>
      <c r="AR96" s="110">
        <v>73</v>
      </c>
      <c r="AS96" s="110">
        <v>70</v>
      </c>
      <c r="AT96" s="110">
        <v>91</v>
      </c>
      <c r="AU96" s="110">
        <v>113</v>
      </c>
      <c r="AV96" s="110">
        <v>155</v>
      </c>
      <c r="AW96" s="110">
        <v>160</v>
      </c>
      <c r="AX96" s="110">
        <v>160</v>
      </c>
      <c r="AY96" s="110">
        <v>160</v>
      </c>
    </row>
    <row r="97" spans="1:52">
      <c r="A97" s="109"/>
      <c r="B97" s="127">
        <v>3</v>
      </c>
      <c r="C97" s="110">
        <v>2.5889261594710171E-23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5</v>
      </c>
      <c r="V97" s="110">
        <v>31</v>
      </c>
      <c r="W97" s="110">
        <v>86</v>
      </c>
      <c r="X97" s="110">
        <v>125</v>
      </c>
      <c r="Y97" s="110">
        <v>150</v>
      </c>
      <c r="Z97" s="110">
        <v>160</v>
      </c>
      <c r="AA97" s="110">
        <v>160</v>
      </c>
      <c r="AB97" s="110">
        <v>160</v>
      </c>
      <c r="AC97" s="110">
        <v>160</v>
      </c>
      <c r="AD97" s="110">
        <v>160</v>
      </c>
      <c r="AE97" s="110">
        <v>160</v>
      </c>
      <c r="AF97" s="110">
        <v>160</v>
      </c>
      <c r="AG97" s="110">
        <v>160</v>
      </c>
      <c r="AH97" s="110">
        <v>160</v>
      </c>
      <c r="AI97" s="110">
        <v>160</v>
      </c>
      <c r="AJ97" s="110">
        <v>160</v>
      </c>
      <c r="AK97" s="110">
        <v>160</v>
      </c>
      <c r="AL97" s="110">
        <v>2.9335823915757782E-22</v>
      </c>
      <c r="AM97" s="110">
        <v>2.9335823915757782E-22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38</v>
      </c>
      <c r="AX97" s="110">
        <v>48</v>
      </c>
      <c r="AY97" s="110">
        <v>49</v>
      </c>
    </row>
    <row r="98" spans="1:52">
      <c r="A98" s="109"/>
      <c r="B98" s="130">
        <v>4</v>
      </c>
      <c r="C98" s="106">
        <v>2.5889261594710171E-23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3</v>
      </c>
      <c r="AA98" s="110">
        <v>7</v>
      </c>
      <c r="AB98" s="110">
        <v>36</v>
      </c>
      <c r="AC98" s="110">
        <v>60</v>
      </c>
      <c r="AD98" s="110">
        <v>73</v>
      </c>
      <c r="AE98" s="110">
        <v>77</v>
      </c>
      <c r="AF98" s="110">
        <v>52</v>
      </c>
      <c r="AG98" s="110">
        <v>88</v>
      </c>
      <c r="AH98" s="110">
        <v>93</v>
      </c>
      <c r="AI98" s="110">
        <v>65</v>
      </c>
      <c r="AJ98" s="110">
        <v>90</v>
      </c>
      <c r="AK98" s="110">
        <v>101</v>
      </c>
      <c r="AL98" s="110">
        <v>134</v>
      </c>
      <c r="AM98" s="110">
        <v>2.9335823915757782E-22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21.818349085920744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169.17684857174092</v>
      </c>
      <c r="D100" s="106">
        <v>169.17684857174092</v>
      </c>
      <c r="E100" s="106">
        <v>125.57838519040455</v>
      </c>
      <c r="F100" s="106">
        <v>156.56047899877126</v>
      </c>
      <c r="G100" s="106">
        <v>156.56047899877126</v>
      </c>
      <c r="H100" s="106">
        <v>143.61524234379306</v>
      </c>
      <c r="I100" s="106">
        <v>46.04773316464393</v>
      </c>
      <c r="J100" s="106">
        <v>156.56047899877126</v>
      </c>
      <c r="K100" s="106">
        <v>156.56047899877126</v>
      </c>
      <c r="L100" s="106">
        <v>146.29410497530409</v>
      </c>
      <c r="M100" s="106">
        <v>48.726595796154996</v>
      </c>
      <c r="N100" s="106">
        <v>143.61524234379306</v>
      </c>
      <c r="O100" s="106">
        <v>170.08570910369883</v>
      </c>
      <c r="P100" s="106">
        <v>143.61524234379306</v>
      </c>
      <c r="Q100" s="106">
        <v>32.522503059716371</v>
      </c>
      <c r="R100" s="106">
        <v>156.56047899877126</v>
      </c>
      <c r="S100" s="106">
        <v>32.522503059716371</v>
      </c>
      <c r="T100" s="106">
        <v>59.409913627595763</v>
      </c>
      <c r="U100" s="106">
        <v>127.35399081393486</v>
      </c>
      <c r="V100" s="106">
        <v>170.08570910369883</v>
      </c>
      <c r="W100" s="106">
        <v>170.08570910369883</v>
      </c>
      <c r="X100" s="106">
        <v>170.08570910369883</v>
      </c>
      <c r="Y100" s="106">
        <v>113.8287607090073</v>
      </c>
      <c r="Z100" s="106">
        <v>167.40684647218777</v>
      </c>
      <c r="AA100" s="106">
        <v>113.8287607090073</v>
      </c>
      <c r="AB100" s="106">
        <v>10.8463674734165</v>
      </c>
      <c r="AC100" s="106">
        <v>167.40684647218777</v>
      </c>
      <c r="AD100" s="106">
        <v>170.08570910369883</v>
      </c>
      <c r="AE100" s="106">
        <v>170.08570910369883</v>
      </c>
      <c r="AF100" s="106">
        <v>156.56047899877126</v>
      </c>
      <c r="AG100" s="106">
        <v>170.08570910369883</v>
      </c>
      <c r="AH100" s="106">
        <v>0</v>
      </c>
      <c r="AI100" s="106">
        <v>170.08570910369883</v>
      </c>
      <c r="AJ100" s="106">
        <v>156.56047899877126</v>
      </c>
      <c r="AK100" s="106">
        <v>170.08570910369883</v>
      </c>
      <c r="AL100" s="106">
        <v>138.77361330394456</v>
      </c>
      <c r="AM100" s="106">
        <v>125.24838319901701</v>
      </c>
      <c r="AN100" s="106">
        <v>46.04773316464393</v>
      </c>
      <c r="AO100" s="106">
        <v>61.942190582885132</v>
      </c>
      <c r="AP100" s="106">
        <v>86.428457309964926</v>
      </c>
      <c r="AQ100" s="106">
        <v>62.170845499164194</v>
      </c>
      <c r="AR100" s="106">
        <v>136.09475067243352</v>
      </c>
      <c r="AS100" s="106">
        <v>65.045006119432742</v>
      </c>
      <c r="AT100" s="106">
        <v>156.56047899877126</v>
      </c>
      <c r="AU100" s="106">
        <v>156.56047899877126</v>
      </c>
      <c r="AV100" s="106">
        <v>170.08570910369883</v>
      </c>
      <c r="AW100" s="106">
        <v>65.045006119432742</v>
      </c>
      <c r="AX100" s="106">
        <v>170.08570910369883</v>
      </c>
      <c r="AY100" s="106">
        <v>65.045006119432742</v>
      </c>
    </row>
    <row r="101" spans="1:52">
      <c r="A101" s="109"/>
      <c r="B101" s="119">
        <v>2</v>
      </c>
      <c r="C101" s="106">
        <v>0</v>
      </c>
      <c r="D101" s="106">
        <v>0</v>
      </c>
      <c r="E101" s="106">
        <v>7.1768485717409192</v>
      </c>
      <c r="F101" s="106">
        <v>1.4210854715202004E-14</v>
      </c>
      <c r="G101" s="106">
        <v>13.525230104927573</v>
      </c>
      <c r="H101" s="106">
        <v>0</v>
      </c>
      <c r="I101" s="106">
        <v>26.470466759905776</v>
      </c>
      <c r="J101" s="106">
        <v>124.0379759390549</v>
      </c>
      <c r="K101" s="106">
        <v>116.59845493782616</v>
      </c>
      <c r="L101" s="106">
        <v>105.36302667303603</v>
      </c>
      <c r="M101" s="106">
        <v>125.33169114468451</v>
      </c>
      <c r="N101" s="106">
        <v>158.09626287989437</v>
      </c>
      <c r="O101" s="106">
        <v>92.181971983593201</v>
      </c>
      <c r="P101" s="106">
        <v>46.267681087292033</v>
      </c>
      <c r="Q101" s="106">
        <v>26.470466759905776</v>
      </c>
      <c r="R101" s="106">
        <v>13.525230104927559</v>
      </c>
      <c r="S101" s="106">
        <v>10.085709103698832</v>
      </c>
      <c r="T101" s="106">
        <v>137.56320604398246</v>
      </c>
      <c r="U101" s="106">
        <v>37.023579881433363</v>
      </c>
      <c r="V101" s="106">
        <v>1.4210854715202004E-14</v>
      </c>
      <c r="W101" s="106">
        <v>14.085709103698832</v>
      </c>
      <c r="X101" s="106">
        <v>0.90313649716162558</v>
      </c>
      <c r="Y101" s="106">
        <v>0</v>
      </c>
      <c r="Z101" s="106">
        <v>56.256948394691534</v>
      </c>
      <c r="AA101" s="106">
        <v>14.6637948668793</v>
      </c>
      <c r="AB101" s="106">
        <v>10.846367473416507</v>
      </c>
      <c r="AC101" s="106">
        <v>0</v>
      </c>
      <c r="AD101" s="106">
        <v>0</v>
      </c>
      <c r="AE101" s="106">
        <v>0</v>
      </c>
      <c r="AF101" s="106">
        <v>0</v>
      </c>
      <c r="AG101" s="106">
        <v>13.525230104927573</v>
      </c>
      <c r="AH101" s="106">
        <v>4.6109392086264052</v>
      </c>
      <c r="AI101" s="106">
        <v>170.08570910369883</v>
      </c>
      <c r="AJ101" s="106">
        <v>125.17141820739766</v>
      </c>
      <c r="AK101" s="106">
        <v>125.73189720616892</v>
      </c>
      <c r="AL101" s="106">
        <v>134.81760630986776</v>
      </c>
      <c r="AM101" s="106">
        <v>66.116449718739887</v>
      </c>
      <c r="AN101" s="106">
        <v>13.525230104927545</v>
      </c>
      <c r="AO101" s="106">
        <v>0</v>
      </c>
      <c r="AP101" s="106">
        <v>0</v>
      </c>
      <c r="AQ101" s="106">
        <v>0</v>
      </c>
      <c r="AR101" s="106">
        <v>10.8463674734165</v>
      </c>
      <c r="AS101" s="106">
        <v>0</v>
      </c>
      <c r="AT101" s="106">
        <v>10.846367473416507</v>
      </c>
      <c r="AU101" s="106">
        <v>0</v>
      </c>
      <c r="AV101" s="106">
        <v>67.814316288210648</v>
      </c>
      <c r="AW101" s="106">
        <v>34.90002539190948</v>
      </c>
      <c r="AX101" s="106">
        <v>105.04070298426609</v>
      </c>
      <c r="AY101" s="106">
        <v>93.126412087964923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10.425499846538658</v>
      </c>
      <c r="H102" s="106">
        <v>0</v>
      </c>
      <c r="I102" s="106">
        <v>13.525230104927559</v>
      </c>
      <c r="J102" s="106">
        <v>0</v>
      </c>
      <c r="K102" s="106">
        <v>0</v>
      </c>
      <c r="L102" s="106">
        <v>16.204092736438625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124.0379759390549</v>
      </c>
      <c r="T102" s="106">
        <v>13.525230104927559</v>
      </c>
      <c r="U102" s="106">
        <v>0</v>
      </c>
      <c r="V102" s="106">
        <v>0</v>
      </c>
      <c r="W102" s="106">
        <v>42.731718289763961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42.731718289763961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13.525230104927573</v>
      </c>
      <c r="AM102" s="106">
        <v>0</v>
      </c>
      <c r="AN102" s="106">
        <v>0</v>
      </c>
      <c r="AO102" s="106">
        <v>0</v>
      </c>
      <c r="AP102" s="106">
        <v>29.304353507626971</v>
      </c>
      <c r="AQ102" s="106">
        <v>0</v>
      </c>
      <c r="AR102" s="106">
        <v>0</v>
      </c>
      <c r="AS102" s="106">
        <v>0</v>
      </c>
      <c r="AT102" s="106">
        <v>0</v>
      </c>
      <c r="AU102" s="106">
        <v>60.203377079584271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80.739167266178825</v>
      </c>
      <c r="D109" s="106">
        <v>73.552022612601377</v>
      </c>
      <c r="E109" s="106">
        <v>49.088239634548273</v>
      </c>
      <c r="F109" s="106">
        <v>62.320358970988167</v>
      </c>
      <c r="G109" s="106">
        <v>72.774335617927903</v>
      </c>
      <c r="H109" s="106">
        <v>72.774335617927903</v>
      </c>
      <c r="I109" s="106">
        <v>63.842671959130215</v>
      </c>
      <c r="J109" s="106">
        <v>39.853111224001935</v>
      </c>
      <c r="K109" s="106">
        <v>114.62722367065156</v>
      </c>
      <c r="L109" s="106">
        <v>93.49749313725539</v>
      </c>
      <c r="M109" s="106">
        <v>67.282792112557374</v>
      </c>
      <c r="N109" s="106">
        <v>39.853111224001935</v>
      </c>
      <c r="O109" s="106">
        <v>105.69556001185387</v>
      </c>
      <c r="P109" s="106">
        <v>86.866393304853659</v>
      </c>
      <c r="Q109" s="106">
        <v>63.842671959130215</v>
      </c>
      <c r="R109" s="106">
        <v>39.853111224001935</v>
      </c>
      <c r="S109" s="106">
        <v>72.774335617927903</v>
      </c>
      <c r="T109" s="106">
        <v>72.774335617927903</v>
      </c>
      <c r="U109" s="106">
        <v>81.846684436954035</v>
      </c>
      <c r="V109" s="106">
        <v>58.35580122680922</v>
      </c>
      <c r="W109" s="106">
        <v>72.774335617927903</v>
      </c>
      <c r="X109" s="106">
        <v>87.192870009046572</v>
      </c>
      <c r="Y109" s="106">
        <v>72.774335617927903</v>
      </c>
      <c r="Z109" s="106">
        <v>58.35580122680922</v>
      </c>
      <c r="AA109" s="106">
        <v>87.192870009046572</v>
      </c>
      <c r="AB109" s="106">
        <v>66.395998765674676</v>
      </c>
      <c r="AC109" s="106">
        <v>19.947706100562261</v>
      </c>
      <c r="AD109" s="106">
        <v>87.192870009046572</v>
      </c>
      <c r="AE109" s="106">
        <v>72.774335617927903</v>
      </c>
      <c r="AF109" s="106">
        <v>72.774335617927903</v>
      </c>
      <c r="AG109" s="106">
        <v>72.774335617927903</v>
      </c>
      <c r="AH109" s="106">
        <v>72.774335617927903</v>
      </c>
      <c r="AI109" s="106">
        <v>19.947706100562261</v>
      </c>
      <c r="AJ109" s="106">
        <v>125.60096513529354</v>
      </c>
      <c r="AK109" s="106">
        <v>94.747360109242322</v>
      </c>
      <c r="AL109" s="106">
        <v>89.745063255701083</v>
      </c>
      <c r="AM109" s="106">
        <v>62.209009714454787</v>
      </c>
      <c r="AN109" s="106">
        <v>62.209009714454787</v>
      </c>
      <c r="AO109" s="106">
        <v>30.921447565204247</v>
      </c>
      <c r="AP109" s="106">
        <v>40.848237156307235</v>
      </c>
      <c r="AQ109" s="106">
        <v>50.774802408083559</v>
      </c>
      <c r="AR109" s="106">
        <v>40.925389887487206</v>
      </c>
      <c r="AS109" s="106">
        <v>62.209009714454787</v>
      </c>
      <c r="AT109" s="106">
        <v>41.895189029846243</v>
      </c>
      <c r="AU109" s="106">
        <v>72.774335617927903</v>
      </c>
      <c r="AV109" s="106">
        <v>93.088156302536433</v>
      </c>
      <c r="AW109" s="106">
        <v>77.356626058441947</v>
      </c>
      <c r="AX109" s="106">
        <v>41.895189029846236</v>
      </c>
      <c r="AY109" s="106">
        <v>103.65348220600957</v>
      </c>
    </row>
    <row r="110" spans="1:52">
      <c r="A110" s="109"/>
      <c r="B110" s="119">
        <v>2</v>
      </c>
      <c r="C110" s="106">
        <v>0</v>
      </c>
      <c r="D110" s="106">
        <v>0.73916726617882489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27.62722367065156</v>
      </c>
      <c r="M110" s="106">
        <v>38.12471680790695</v>
      </c>
      <c r="N110" s="106">
        <v>7.4075089204643234</v>
      </c>
      <c r="O110" s="106">
        <v>0</v>
      </c>
      <c r="P110" s="106">
        <v>7.6955600118538712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17.379287414766949</v>
      </c>
      <c r="Z110" s="106">
        <v>4.9158889036152544</v>
      </c>
      <c r="AA110" s="106">
        <v>5.2716901304244743</v>
      </c>
      <c r="AB110" s="106">
        <v>0</v>
      </c>
      <c r="AC110" s="106">
        <v>0</v>
      </c>
      <c r="AD110" s="106">
        <v>0</v>
      </c>
      <c r="AE110" s="106">
        <v>12.517855664272389</v>
      </c>
      <c r="AF110" s="106">
        <v>0</v>
      </c>
      <c r="AG110" s="106">
        <v>0</v>
      </c>
      <c r="AH110" s="106">
        <v>9.7743356179279033</v>
      </c>
      <c r="AI110" s="106">
        <v>3.6445776582885259</v>
      </c>
      <c r="AJ110" s="106">
        <v>0</v>
      </c>
      <c r="AK110" s="106">
        <v>61.600965135293535</v>
      </c>
      <c r="AL110" s="106">
        <v>83.348325244535857</v>
      </c>
      <c r="AM110" s="106">
        <v>87.093388500236941</v>
      </c>
      <c r="AN110" s="106">
        <v>62.209009714454787</v>
      </c>
      <c r="AO110" s="106">
        <v>36.579116075835344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20.093388500236941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184.22732553321453</v>
      </c>
      <c r="D122" s="106">
        <v>122.91358956361327</v>
      </c>
      <c r="E122" s="106">
        <v>156.04590999889854</v>
      </c>
      <c r="F122" s="106">
        <v>182.2219514388774</v>
      </c>
      <c r="G122" s="106">
        <v>182.2219514388774</v>
      </c>
      <c r="H122" s="106">
        <v>159.85767744472398</v>
      </c>
      <c r="I122" s="106">
        <v>77.425186623873088</v>
      </c>
      <c r="J122" s="106">
        <v>182.2219514388774</v>
      </c>
      <c r="K122" s="106">
        <v>182.2219514388774</v>
      </c>
      <c r="L122" s="106">
        <v>159.85767744472398</v>
      </c>
      <c r="M122" s="106">
        <v>77.425186623873088</v>
      </c>
      <c r="N122" s="106">
        <v>159.85767744472398</v>
      </c>
      <c r="O122" s="106">
        <v>182.2219514388774</v>
      </c>
      <c r="P122" s="106">
        <v>159.85767744472398</v>
      </c>
      <c r="Q122" s="106">
        <v>77.425186623873088</v>
      </c>
      <c r="R122" s="106">
        <v>182.2219514388774</v>
      </c>
      <c r="S122" s="106">
        <v>77.425186623873088</v>
      </c>
      <c r="T122" s="106">
        <v>100.14172662248595</v>
      </c>
      <c r="U122" s="106">
        <v>146.11892897458216</v>
      </c>
      <c r="V122" s="106">
        <v>182.2219514388774</v>
      </c>
      <c r="W122" s="106">
        <v>182.2219514388774</v>
      </c>
      <c r="X122" s="106">
        <v>182.2219514388774</v>
      </c>
      <c r="Y122" s="106">
        <v>146.11892897458216</v>
      </c>
      <c r="Z122" s="106">
        <v>182.2219514388774</v>
      </c>
      <c r="AA122" s="106">
        <v>146.11892897458216</v>
      </c>
      <c r="AB122" s="106">
        <v>49.947689683589466</v>
      </c>
      <c r="AC122" s="106">
        <v>182.2219514388774</v>
      </c>
      <c r="AD122" s="106">
        <v>182.2219514388774</v>
      </c>
      <c r="AE122" s="106">
        <v>182.2219514388774</v>
      </c>
      <c r="AF122" s="106">
        <v>182.2219514388774</v>
      </c>
      <c r="AG122" s="106">
        <v>182.2219514388774</v>
      </c>
      <c r="AH122" s="106">
        <v>49.947689683589466</v>
      </c>
      <c r="AI122" s="106">
        <v>182.2219514388774</v>
      </c>
      <c r="AJ122" s="106">
        <v>182.2219514388774</v>
      </c>
      <c r="AK122" s="106">
        <v>182.2219514388774</v>
      </c>
      <c r="AL122" s="106">
        <v>155.76709908781984</v>
      </c>
      <c r="AM122" s="106">
        <v>155.76709908781984</v>
      </c>
      <c r="AN122" s="106">
        <v>77.425186623873088</v>
      </c>
      <c r="AO122" s="106">
        <v>102.2811877876722</v>
      </c>
      <c r="AP122" s="106">
        <v>102.3780690510161</v>
      </c>
      <c r="AQ122" s="106">
        <v>102.47437294168395</v>
      </c>
      <c r="AR122" s="106">
        <v>155.76709908781984</v>
      </c>
      <c r="AS122" s="106">
        <v>104.90268356415673</v>
      </c>
      <c r="AT122" s="106">
        <v>182.2219514388774</v>
      </c>
      <c r="AU122" s="106">
        <v>182.2219514388774</v>
      </c>
      <c r="AV122" s="106">
        <v>182.2219514388774</v>
      </c>
      <c r="AW122" s="106">
        <v>104.90268356415672</v>
      </c>
      <c r="AX122" s="106">
        <v>182.2219514388774</v>
      </c>
      <c r="AY122" s="106">
        <v>104.90268356415672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22.364273994153436</v>
      </c>
      <c r="J123" s="106">
        <v>104.79676481500432</v>
      </c>
      <c r="K123" s="106">
        <v>51.889366918752529</v>
      </c>
      <c r="L123" s="106">
        <v>8.6138252203745367</v>
      </c>
      <c r="M123" s="106">
        <v>22.364273994153436</v>
      </c>
      <c r="N123" s="106">
        <v>104.79676481500432</v>
      </c>
      <c r="O123" s="106">
        <v>35.285547160230607</v>
      </c>
      <c r="P123" s="106">
        <v>0</v>
      </c>
      <c r="Q123" s="106">
        <v>22.364273994153436</v>
      </c>
      <c r="R123" s="106">
        <v>0</v>
      </c>
      <c r="S123" s="106">
        <v>0</v>
      </c>
      <c r="T123" s="106">
        <v>104.79676481500434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36.10302246429525</v>
      </c>
      <c r="AA123" s="106">
        <v>20.132103894126061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132.27426175528794</v>
      </c>
      <c r="AJ123" s="106">
        <v>55.018948202327365</v>
      </c>
      <c r="AK123" s="106">
        <v>42.493539531962426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11.473741382044082</v>
      </c>
      <c r="AW123" s="106">
        <v>0</v>
      </c>
      <c r="AX123" s="106">
        <v>77.319267874720694</v>
      </c>
      <c r="AY123" s="106">
        <v>11.727483795809093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104.79676481500431</v>
      </c>
      <c r="T124" s="106">
        <v>0</v>
      </c>
      <c r="U124" s="106">
        <v>0</v>
      </c>
      <c r="V124" s="106">
        <v>0</v>
      </c>
      <c r="W124" s="106">
        <v>36.10302246429525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36.10302246429525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24.758558170148177</v>
      </c>
      <c r="AQ124" s="106">
        <v>0</v>
      </c>
      <c r="AR124" s="106">
        <v>0</v>
      </c>
      <c r="AS124" s="106">
        <v>0</v>
      </c>
      <c r="AT124" s="106">
        <v>0</v>
      </c>
      <c r="AU124" s="106">
        <v>50.864415523663105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0.39924599892940754</v>
      </c>
      <c r="D172" s="134">
        <v>0.39937194746999816</v>
      </c>
      <c r="E172" s="134">
        <v>0.39937194746999816</v>
      </c>
      <c r="F172" s="134">
        <v>0.39937194746999816</v>
      </c>
      <c r="G172" s="134">
        <v>0.39937194746999816</v>
      </c>
      <c r="H172" s="134">
        <v>0.39937194746999816</v>
      </c>
      <c r="I172" s="134">
        <v>0.39937194746999816</v>
      </c>
      <c r="J172" s="134">
        <v>0.39937194746999816</v>
      </c>
      <c r="K172" s="134">
        <v>0.39937194746999816</v>
      </c>
      <c r="L172" s="134">
        <v>0.39937194746999816</v>
      </c>
      <c r="M172" s="134">
        <v>0.39937194746999816</v>
      </c>
      <c r="N172" s="134">
        <v>0.39937194746999816</v>
      </c>
      <c r="O172" s="134">
        <v>0.39937194746999816</v>
      </c>
      <c r="P172" s="134">
        <v>0.39937194746999816</v>
      </c>
      <c r="Q172" s="134">
        <v>0.39937194746999816</v>
      </c>
      <c r="R172" s="134">
        <v>0.39937194746999816</v>
      </c>
      <c r="S172" s="134">
        <v>0.39937194746999816</v>
      </c>
      <c r="T172" s="134">
        <v>0.39937194746999816</v>
      </c>
      <c r="U172" s="134">
        <v>0.39937194746999816</v>
      </c>
      <c r="V172" s="134">
        <v>0.39937194746999816</v>
      </c>
      <c r="W172" s="134">
        <v>0.39937194746999816</v>
      </c>
      <c r="X172" s="134">
        <v>0.39937194746999816</v>
      </c>
      <c r="Y172" s="134">
        <v>0.39937194746999816</v>
      </c>
      <c r="Z172" s="134">
        <v>0.39937194746999816</v>
      </c>
      <c r="AA172" s="134">
        <v>0.39937194746999816</v>
      </c>
      <c r="AB172" s="134">
        <v>0.39937194746999816</v>
      </c>
      <c r="AC172" s="134">
        <v>0.39937194746999816</v>
      </c>
      <c r="AD172" s="134">
        <v>0.39937194746999816</v>
      </c>
      <c r="AE172" s="134">
        <v>0.39937194746999816</v>
      </c>
      <c r="AF172" s="134">
        <v>0.39937194746999816</v>
      </c>
      <c r="AG172" s="134">
        <v>0.39937194746999816</v>
      </c>
      <c r="AH172" s="134">
        <v>0.39937194746999816</v>
      </c>
      <c r="AI172" s="134">
        <v>0.39937194746999816</v>
      </c>
      <c r="AJ172" s="134">
        <v>0.39937194746999816</v>
      </c>
      <c r="AK172" s="134">
        <v>0.39937194746999816</v>
      </c>
      <c r="AL172" s="134">
        <v>0.39937194746999816</v>
      </c>
      <c r="AM172" s="134">
        <v>0.39937194746999816</v>
      </c>
      <c r="AN172" s="134">
        <v>0.39937194746999816</v>
      </c>
      <c r="AO172" s="134">
        <v>0.39937194746999816</v>
      </c>
      <c r="AP172" s="134">
        <v>0.39937194746999816</v>
      </c>
      <c r="AQ172" s="134">
        <v>0.39937194746999816</v>
      </c>
      <c r="AR172" s="134">
        <v>0.39937194746999816</v>
      </c>
      <c r="AS172" s="134">
        <v>0.39937194746999816</v>
      </c>
      <c r="AT172" s="134">
        <v>0.39937194746999816</v>
      </c>
      <c r="AU172" s="134">
        <v>0.39937194746999816</v>
      </c>
      <c r="AV172" s="134">
        <v>0.39937194746999816</v>
      </c>
      <c r="AW172" s="134">
        <v>0.39937194746999816</v>
      </c>
      <c r="AX172" s="134">
        <v>0.39937194746999816</v>
      </c>
      <c r="AY172" s="134">
        <v>0.39937194746999816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100</v>
      </c>
      <c r="E175" s="124">
        <f t="shared" si="1"/>
        <v>100</v>
      </c>
      <c r="F175" s="124">
        <f t="shared" si="1"/>
        <v>100</v>
      </c>
      <c r="G175" s="124">
        <f t="shared" si="1"/>
        <v>100</v>
      </c>
      <c r="H175" s="124">
        <f t="shared" si="1"/>
        <v>160</v>
      </c>
      <c r="I175" s="124">
        <f t="shared" si="1"/>
        <v>160</v>
      </c>
      <c r="J175" s="124">
        <f t="shared" si="1"/>
        <v>164</v>
      </c>
      <c r="K175" s="124">
        <f t="shared" si="1"/>
        <v>160</v>
      </c>
      <c r="L175" s="124">
        <f t="shared" si="1"/>
        <v>160</v>
      </c>
      <c r="M175" s="124">
        <f t="shared" si="1"/>
        <v>160</v>
      </c>
      <c r="N175" s="124">
        <f t="shared" si="1"/>
        <v>172</v>
      </c>
      <c r="O175" s="124">
        <f t="shared" si="1"/>
        <v>213</v>
      </c>
      <c r="P175" s="124">
        <f t="shared" si="1"/>
        <v>213</v>
      </c>
      <c r="Q175" s="124">
        <f t="shared" si="1"/>
        <v>202</v>
      </c>
      <c r="R175" s="124">
        <f t="shared" si="1"/>
        <v>230</v>
      </c>
      <c r="S175" s="124">
        <f t="shared" si="1"/>
        <v>234</v>
      </c>
      <c r="T175" s="124">
        <f t="shared" si="1"/>
        <v>282</v>
      </c>
      <c r="U175" s="124">
        <f t="shared" si="1"/>
        <v>325</v>
      </c>
      <c r="V175" s="124">
        <f t="shared" si="1"/>
        <v>351</v>
      </c>
      <c r="W175" s="124">
        <f t="shared" si="1"/>
        <v>406</v>
      </c>
      <c r="X175" s="124">
        <f t="shared" si="1"/>
        <v>445</v>
      </c>
      <c r="Y175" s="124">
        <f t="shared" si="1"/>
        <v>470</v>
      </c>
      <c r="Z175" s="124">
        <f t="shared" si="1"/>
        <v>483</v>
      </c>
      <c r="AA175" s="124">
        <f t="shared" si="1"/>
        <v>487</v>
      </c>
      <c r="AB175" s="124">
        <f t="shared" si="1"/>
        <v>516</v>
      </c>
      <c r="AC175" s="124">
        <f t="shared" si="1"/>
        <v>540</v>
      </c>
      <c r="AD175" s="124">
        <f t="shared" si="1"/>
        <v>553</v>
      </c>
      <c r="AE175" s="124">
        <f t="shared" si="1"/>
        <v>557</v>
      </c>
      <c r="AF175" s="124">
        <f t="shared" si="1"/>
        <v>532</v>
      </c>
      <c r="AG175" s="124">
        <f t="shared" si="1"/>
        <v>568</v>
      </c>
      <c r="AH175" s="124">
        <f t="shared" si="1"/>
        <v>573</v>
      </c>
      <c r="AI175" s="124">
        <f t="shared" si="1"/>
        <v>545</v>
      </c>
      <c r="AJ175" s="124">
        <f t="shared" si="1"/>
        <v>410</v>
      </c>
      <c r="AK175" s="124">
        <f t="shared" si="1"/>
        <v>261</v>
      </c>
      <c r="AL175" s="124">
        <f t="shared" si="1"/>
        <v>134</v>
      </c>
      <c r="AM175" s="124">
        <f t="shared" si="1"/>
        <v>1.1734329566303113E-21</v>
      </c>
      <c r="AN175" s="124">
        <f t="shared" si="1"/>
        <v>160</v>
      </c>
      <c r="AO175" s="124">
        <f t="shared" si="1"/>
        <v>168</v>
      </c>
      <c r="AP175" s="124">
        <f t="shared" si="1"/>
        <v>182</v>
      </c>
      <c r="AQ175" s="124">
        <f t="shared" si="1"/>
        <v>219</v>
      </c>
      <c r="AR175" s="124">
        <f t="shared" si="1"/>
        <v>233</v>
      </c>
      <c r="AS175" s="124">
        <f t="shared" si="1"/>
        <v>230</v>
      </c>
      <c r="AT175" s="124">
        <f t="shared" si="1"/>
        <v>251</v>
      </c>
      <c r="AU175" s="124">
        <f t="shared" si="1"/>
        <v>273</v>
      </c>
      <c r="AV175" s="124">
        <f t="shared" si="1"/>
        <v>315</v>
      </c>
      <c r="AW175" s="124">
        <f t="shared" si="1"/>
        <v>358</v>
      </c>
      <c r="AX175" s="124">
        <f t="shared" si="1"/>
        <v>368</v>
      </c>
      <c r="AY175" s="124">
        <f t="shared" si="1"/>
        <v>369</v>
      </c>
    </row>
    <row r="176" spans="1:52">
      <c r="A176" s="125"/>
      <c r="B176" s="136" t="s">
        <v>299</v>
      </c>
      <c r="C176" s="125" t="s">
        <v>293</v>
      </c>
      <c r="D176" s="125">
        <v>100</v>
      </c>
      <c r="E176" s="125">
        <v>100</v>
      </c>
      <c r="F176" s="125">
        <v>100</v>
      </c>
      <c r="G176" s="125">
        <v>100</v>
      </c>
      <c r="H176" s="125">
        <v>160</v>
      </c>
      <c r="I176" s="125">
        <v>156</v>
      </c>
      <c r="J176" s="125">
        <v>164</v>
      </c>
      <c r="K176" s="125">
        <v>160</v>
      </c>
      <c r="L176" s="125">
        <v>160</v>
      </c>
      <c r="M176" s="125">
        <v>148</v>
      </c>
      <c r="N176" s="125">
        <v>119</v>
      </c>
      <c r="O176" s="125">
        <v>160</v>
      </c>
      <c r="P176" s="125">
        <v>171</v>
      </c>
      <c r="Q176" s="125">
        <v>132</v>
      </c>
      <c r="R176" s="125">
        <v>156</v>
      </c>
      <c r="S176" s="125">
        <v>112</v>
      </c>
      <c r="T176" s="125">
        <v>117</v>
      </c>
      <c r="U176" s="125">
        <v>134</v>
      </c>
      <c r="V176" s="125">
        <v>105</v>
      </c>
      <c r="W176" s="125">
        <v>121</v>
      </c>
      <c r="X176" s="125">
        <v>135</v>
      </c>
      <c r="Y176" s="125">
        <v>147</v>
      </c>
      <c r="Z176" s="125">
        <v>156</v>
      </c>
      <c r="AA176" s="125">
        <v>131</v>
      </c>
      <c r="AB176" s="125">
        <v>136</v>
      </c>
      <c r="AC176" s="125">
        <v>147</v>
      </c>
      <c r="AD176" s="125">
        <v>156</v>
      </c>
      <c r="AE176" s="125">
        <v>185</v>
      </c>
      <c r="AF176" s="125">
        <v>124</v>
      </c>
      <c r="AG176" s="125">
        <v>155</v>
      </c>
      <c r="AH176" s="125">
        <v>188</v>
      </c>
      <c r="AI176" s="125">
        <v>135</v>
      </c>
      <c r="AJ176" s="125">
        <v>149</v>
      </c>
      <c r="AK176" s="125">
        <v>127</v>
      </c>
      <c r="AL176" s="125">
        <v>134</v>
      </c>
      <c r="AM176" s="125">
        <v>1.1734329566303113E-21</v>
      </c>
      <c r="AN176" s="125">
        <v>152</v>
      </c>
      <c r="AO176" s="125">
        <v>146</v>
      </c>
      <c r="AP176" s="125">
        <v>123</v>
      </c>
      <c r="AQ176" s="125">
        <v>146</v>
      </c>
      <c r="AR176" s="125">
        <v>163</v>
      </c>
      <c r="AS176" s="125">
        <v>139</v>
      </c>
      <c r="AT176" s="125">
        <v>138</v>
      </c>
      <c r="AU176" s="125">
        <v>118</v>
      </c>
      <c r="AV176" s="125">
        <v>117</v>
      </c>
      <c r="AW176" s="125">
        <v>150</v>
      </c>
      <c r="AX176" s="125">
        <v>159</v>
      </c>
      <c r="AY176" s="125">
        <v>148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169.17684857174092</v>
      </c>
      <c r="E177" s="124">
        <f t="shared" si="2"/>
        <v>132.75523376214545</v>
      </c>
      <c r="F177" s="124">
        <f t="shared" si="2"/>
        <v>156.56047899877126</v>
      </c>
      <c r="G177" s="124">
        <f t="shared" si="2"/>
        <v>180.51120895023749</v>
      </c>
      <c r="H177" s="124">
        <f t="shared" si="2"/>
        <v>143.61524234379306</v>
      </c>
      <c r="I177" s="124">
        <f t="shared" si="2"/>
        <v>86.043430029477264</v>
      </c>
      <c r="J177" s="124">
        <f t="shared" si="2"/>
        <v>280.59845493782615</v>
      </c>
      <c r="K177" s="124">
        <f t="shared" si="2"/>
        <v>273.15893393659741</v>
      </c>
      <c r="L177" s="124">
        <f t="shared" si="2"/>
        <v>267.86122438477872</v>
      </c>
      <c r="M177" s="124">
        <f t="shared" si="2"/>
        <v>174.05828694083951</v>
      </c>
      <c r="N177" s="124">
        <f t="shared" si="2"/>
        <v>301.71150522368742</v>
      </c>
      <c r="O177" s="124">
        <f t="shared" si="2"/>
        <v>262.26768108729203</v>
      </c>
      <c r="P177" s="124">
        <f t="shared" si="2"/>
        <v>189.88292343108509</v>
      </c>
      <c r="Q177" s="124">
        <f t="shared" si="2"/>
        <v>58.992969819622147</v>
      </c>
      <c r="R177" s="124">
        <f t="shared" si="2"/>
        <v>170.08570910369883</v>
      </c>
      <c r="S177" s="124">
        <f t="shared" si="2"/>
        <v>166.64618810247009</v>
      </c>
      <c r="T177" s="124">
        <f t="shared" si="2"/>
        <v>210.49834977650579</v>
      </c>
      <c r="U177" s="124">
        <f t="shared" si="2"/>
        <v>164.37757069536821</v>
      </c>
      <c r="V177" s="124">
        <f t="shared" si="2"/>
        <v>170.08570910369883</v>
      </c>
      <c r="W177" s="124">
        <f t="shared" si="2"/>
        <v>226.90313649716163</v>
      </c>
      <c r="X177" s="124">
        <f t="shared" si="2"/>
        <v>170.98884560086046</v>
      </c>
      <c r="Y177" s="124">
        <f t="shared" si="2"/>
        <v>113.8287607090073</v>
      </c>
      <c r="Z177" s="124">
        <f t="shared" si="2"/>
        <v>223.6637948668793</v>
      </c>
      <c r="AA177" s="124">
        <f t="shared" si="2"/>
        <v>128.4925555758866</v>
      </c>
      <c r="AB177" s="124">
        <f t="shared" si="2"/>
        <v>21.692734946833006</v>
      </c>
      <c r="AC177" s="124">
        <f t="shared" si="2"/>
        <v>210.13856476195173</v>
      </c>
      <c r="AD177" s="124">
        <f t="shared" si="2"/>
        <v>170.08570910369883</v>
      </c>
      <c r="AE177" s="124">
        <f t="shared" si="2"/>
        <v>170.08570910369883</v>
      </c>
      <c r="AF177" s="124">
        <f t="shared" si="2"/>
        <v>156.56047899877126</v>
      </c>
      <c r="AG177" s="124">
        <f t="shared" si="2"/>
        <v>183.61093920862641</v>
      </c>
      <c r="AH177" s="124">
        <f t="shared" si="2"/>
        <v>4.6109392086264052</v>
      </c>
      <c r="AI177" s="124">
        <f t="shared" si="2"/>
        <v>340.17141820739766</v>
      </c>
      <c r="AJ177" s="124">
        <f t="shared" si="2"/>
        <v>281.73189720616892</v>
      </c>
      <c r="AK177" s="124">
        <f t="shared" si="2"/>
        <v>295.81760630986776</v>
      </c>
      <c r="AL177" s="124">
        <f t="shared" si="2"/>
        <v>287.11644971873989</v>
      </c>
      <c r="AM177" s="124">
        <f t="shared" si="2"/>
        <v>191.3648329177569</v>
      </c>
      <c r="AN177" s="124">
        <f t="shared" si="2"/>
        <v>59.572963269571474</v>
      </c>
      <c r="AO177" s="124">
        <f t="shared" si="2"/>
        <v>61.942190582885132</v>
      </c>
      <c r="AP177" s="124">
        <f t="shared" si="2"/>
        <v>115.7328108175919</v>
      </c>
      <c r="AQ177" s="124">
        <f t="shared" si="2"/>
        <v>62.170845499164194</v>
      </c>
      <c r="AR177" s="124">
        <f t="shared" si="2"/>
        <v>146.94111814585003</v>
      </c>
      <c r="AS177" s="124">
        <f t="shared" si="2"/>
        <v>65.045006119432742</v>
      </c>
      <c r="AT177" s="124">
        <f t="shared" si="2"/>
        <v>167.40684647218777</v>
      </c>
      <c r="AU177" s="124">
        <f t="shared" si="2"/>
        <v>216.76385607835553</v>
      </c>
      <c r="AV177" s="124">
        <f t="shared" si="2"/>
        <v>237.90002539190948</v>
      </c>
      <c r="AW177" s="124">
        <f t="shared" si="2"/>
        <v>99.945031511342222</v>
      </c>
      <c r="AX177" s="124">
        <f t="shared" si="2"/>
        <v>275.12641208796492</v>
      </c>
      <c r="AY177" s="124">
        <f t="shared" si="2"/>
        <v>158.17141820739766</v>
      </c>
    </row>
    <row r="178" spans="1:51">
      <c r="A178" s="125"/>
      <c r="B178" s="136" t="s">
        <v>299</v>
      </c>
      <c r="C178" s="125" t="s">
        <v>293</v>
      </c>
      <c r="D178" s="125">
        <v>162</v>
      </c>
      <c r="E178" s="125">
        <v>132.75523376214545</v>
      </c>
      <c r="F178" s="125">
        <v>156.56047899877126</v>
      </c>
      <c r="G178" s="125">
        <v>180.51120895023749</v>
      </c>
      <c r="H178" s="125">
        <v>143.61524234379306</v>
      </c>
      <c r="I178" s="125">
        <v>86.043430029477264</v>
      </c>
      <c r="J178" s="125">
        <v>164</v>
      </c>
      <c r="K178" s="125">
        <v>184</v>
      </c>
      <c r="L178" s="125">
        <v>169</v>
      </c>
      <c r="M178" s="125">
        <v>140</v>
      </c>
      <c r="N178" s="125">
        <v>236</v>
      </c>
      <c r="O178" s="125">
        <v>216</v>
      </c>
      <c r="P178" s="125">
        <v>189.88292343108509</v>
      </c>
      <c r="Q178" s="125">
        <v>58.992969819622147</v>
      </c>
      <c r="R178" s="125">
        <v>160</v>
      </c>
      <c r="S178" s="125">
        <v>166.64618810247009</v>
      </c>
      <c r="T178" s="125">
        <v>187</v>
      </c>
      <c r="U178" s="125">
        <v>164.37757069536821</v>
      </c>
      <c r="V178" s="125">
        <v>156</v>
      </c>
      <c r="W178" s="125">
        <v>226</v>
      </c>
      <c r="X178" s="125">
        <v>170.98884560086046</v>
      </c>
      <c r="Y178" s="125">
        <v>113.8287607090073</v>
      </c>
      <c r="Z178" s="125">
        <v>209</v>
      </c>
      <c r="AA178" s="125">
        <v>128.4925555758866</v>
      </c>
      <c r="AB178" s="125">
        <v>21.692734946833006</v>
      </c>
      <c r="AC178" s="125">
        <v>210.13856476195173</v>
      </c>
      <c r="AD178" s="125">
        <v>170.08570910369883</v>
      </c>
      <c r="AE178" s="125">
        <v>170.08570910369883</v>
      </c>
      <c r="AF178" s="125">
        <v>156.56047899877126</v>
      </c>
      <c r="AG178" s="125">
        <v>179</v>
      </c>
      <c r="AH178" s="125">
        <v>4.6109392086264052</v>
      </c>
      <c r="AI178" s="125">
        <v>215</v>
      </c>
      <c r="AJ178" s="125">
        <v>156</v>
      </c>
      <c r="AK178" s="125">
        <v>161</v>
      </c>
      <c r="AL178" s="125">
        <v>221</v>
      </c>
      <c r="AM178" s="125">
        <v>191.3648329177569</v>
      </c>
      <c r="AN178" s="125">
        <v>59.572963269571474</v>
      </c>
      <c r="AO178" s="125">
        <v>61.942190582885132</v>
      </c>
      <c r="AP178" s="125">
        <v>115.7328108175919</v>
      </c>
      <c r="AQ178" s="125">
        <v>62.170845499164194</v>
      </c>
      <c r="AR178" s="125">
        <v>146.94111814585003</v>
      </c>
      <c r="AS178" s="125">
        <v>65.045006119432742</v>
      </c>
      <c r="AT178" s="125">
        <v>167.40684647218777</v>
      </c>
      <c r="AU178" s="125">
        <v>176</v>
      </c>
      <c r="AV178" s="125">
        <v>203</v>
      </c>
      <c r="AW178" s="125">
        <v>99.945031511342222</v>
      </c>
      <c r="AX178" s="125">
        <v>182</v>
      </c>
      <c r="AY178" s="125">
        <v>143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74.291189878780202</v>
      </c>
      <c r="E179" s="124">
        <f t="shared" si="3"/>
        <v>49.088239634548273</v>
      </c>
      <c r="F179" s="124">
        <f t="shared" si="3"/>
        <v>62.320358970988167</v>
      </c>
      <c r="G179" s="124">
        <f t="shared" si="3"/>
        <v>72.774335617927903</v>
      </c>
      <c r="H179" s="124">
        <f t="shared" si="3"/>
        <v>72.774335617927903</v>
      </c>
      <c r="I179" s="124">
        <f t="shared" si="3"/>
        <v>63.842671959130215</v>
      </c>
      <c r="J179" s="124">
        <f t="shared" si="3"/>
        <v>39.853111224001935</v>
      </c>
      <c r="K179" s="124">
        <f t="shared" si="3"/>
        <v>114.62722367065156</v>
      </c>
      <c r="L179" s="124">
        <f t="shared" si="3"/>
        <v>121.12471680790695</v>
      </c>
      <c r="M179" s="124">
        <f t="shared" si="3"/>
        <v>105.40750892046432</v>
      </c>
      <c r="N179" s="124">
        <f t="shared" si="3"/>
        <v>47.260620144466259</v>
      </c>
      <c r="O179" s="124">
        <f t="shared" si="3"/>
        <v>105.69556001185387</v>
      </c>
      <c r="P179" s="124">
        <f t="shared" si="3"/>
        <v>94.56195331670753</v>
      </c>
      <c r="Q179" s="124">
        <f t="shared" si="3"/>
        <v>63.842671959130215</v>
      </c>
      <c r="R179" s="124">
        <f t="shared" si="3"/>
        <v>39.853111224001935</v>
      </c>
      <c r="S179" s="124">
        <f t="shared" si="3"/>
        <v>72.774335617927903</v>
      </c>
      <c r="T179" s="124">
        <f t="shared" si="3"/>
        <v>72.774335617927903</v>
      </c>
      <c r="U179" s="124">
        <f t="shared" si="3"/>
        <v>81.846684436954035</v>
      </c>
      <c r="V179" s="124">
        <f t="shared" si="3"/>
        <v>58.35580122680922</v>
      </c>
      <c r="W179" s="124">
        <f t="shared" si="3"/>
        <v>72.774335617927903</v>
      </c>
      <c r="X179" s="124">
        <f t="shared" si="3"/>
        <v>87.192870009046572</v>
      </c>
      <c r="Y179" s="124">
        <f t="shared" si="3"/>
        <v>90.153623032694853</v>
      </c>
      <c r="Z179" s="124">
        <f t="shared" si="3"/>
        <v>63.271690130424474</v>
      </c>
      <c r="AA179" s="124">
        <f t="shared" si="3"/>
        <v>92.464560139471047</v>
      </c>
      <c r="AB179" s="124">
        <f t="shared" si="3"/>
        <v>66.395998765674676</v>
      </c>
      <c r="AC179" s="124">
        <f t="shared" si="3"/>
        <v>19.947706100562261</v>
      </c>
      <c r="AD179" s="124">
        <f t="shared" si="3"/>
        <v>87.192870009046572</v>
      </c>
      <c r="AE179" s="124">
        <f t="shared" si="3"/>
        <v>85.292191282200292</v>
      </c>
      <c r="AF179" s="124">
        <f t="shared" si="3"/>
        <v>72.774335617927903</v>
      </c>
      <c r="AG179" s="124">
        <f t="shared" si="3"/>
        <v>72.774335617927903</v>
      </c>
      <c r="AH179" s="124">
        <f t="shared" si="3"/>
        <v>82.548671235855807</v>
      </c>
      <c r="AI179" s="124">
        <f t="shared" si="3"/>
        <v>23.592283758850787</v>
      </c>
      <c r="AJ179" s="124">
        <f t="shared" si="3"/>
        <v>125.60096513529354</v>
      </c>
      <c r="AK179" s="124">
        <f t="shared" si="3"/>
        <v>156.34832524453586</v>
      </c>
      <c r="AL179" s="124">
        <f t="shared" si="3"/>
        <v>173.09338850023693</v>
      </c>
      <c r="AM179" s="124">
        <f t="shared" si="3"/>
        <v>149.30239821469172</v>
      </c>
      <c r="AN179" s="124">
        <f t="shared" si="3"/>
        <v>144.51140792914651</v>
      </c>
      <c r="AO179" s="124">
        <f t="shared" si="3"/>
        <v>67.500563641039591</v>
      </c>
      <c r="AP179" s="124">
        <f t="shared" si="3"/>
        <v>40.848237156307235</v>
      </c>
      <c r="AQ179" s="124">
        <f t="shared" si="3"/>
        <v>50.774802408083559</v>
      </c>
      <c r="AR179" s="124">
        <f t="shared" si="3"/>
        <v>40.925389887487206</v>
      </c>
      <c r="AS179" s="124">
        <f t="shared" si="3"/>
        <v>62.209009714454787</v>
      </c>
      <c r="AT179" s="124">
        <f t="shared" si="3"/>
        <v>41.895189029846243</v>
      </c>
      <c r="AU179" s="124">
        <f t="shared" si="3"/>
        <v>72.774335617927903</v>
      </c>
      <c r="AV179" s="124">
        <f t="shared" si="3"/>
        <v>93.088156302536433</v>
      </c>
      <c r="AW179" s="124">
        <f t="shared" si="3"/>
        <v>77.356626058441947</v>
      </c>
      <c r="AX179" s="124">
        <f t="shared" si="3"/>
        <v>41.895189029846236</v>
      </c>
      <c r="AY179" s="124">
        <f t="shared" si="3"/>
        <v>103.65348220600957</v>
      </c>
    </row>
    <row r="180" spans="1:51">
      <c r="A180" s="125"/>
      <c r="B180" s="136" t="s">
        <v>299</v>
      </c>
      <c r="C180" s="125" t="s">
        <v>293</v>
      </c>
      <c r="D180" s="125">
        <v>74.291189878780202</v>
      </c>
      <c r="E180" s="125">
        <v>49.088239634548273</v>
      </c>
      <c r="F180" s="125">
        <v>62.320358970988167</v>
      </c>
      <c r="G180" s="125">
        <v>72.774335617927903</v>
      </c>
      <c r="H180" s="125">
        <v>72.774335617927903</v>
      </c>
      <c r="I180" s="125">
        <v>63.842671959130215</v>
      </c>
      <c r="J180" s="125">
        <v>39.853111224001935</v>
      </c>
      <c r="K180" s="125">
        <v>87</v>
      </c>
      <c r="L180" s="125">
        <v>83</v>
      </c>
      <c r="M180" s="125">
        <v>98</v>
      </c>
      <c r="N180" s="125">
        <v>47.260620144466259</v>
      </c>
      <c r="O180" s="125">
        <v>98</v>
      </c>
      <c r="P180" s="125">
        <v>94.56195331670753</v>
      </c>
      <c r="Q180" s="125">
        <v>63.842671959130215</v>
      </c>
      <c r="R180" s="125">
        <v>39.853111224001935</v>
      </c>
      <c r="S180" s="125">
        <v>72.774335617927903</v>
      </c>
      <c r="T180" s="125">
        <v>72.774335617927903</v>
      </c>
      <c r="U180" s="125">
        <v>81.846684436954035</v>
      </c>
      <c r="V180" s="125">
        <v>58.35580122680922</v>
      </c>
      <c r="W180" s="125">
        <v>72.774335617927903</v>
      </c>
      <c r="X180" s="125">
        <v>69.813582594279623</v>
      </c>
      <c r="Y180" s="125">
        <v>85.237734129079598</v>
      </c>
      <c r="Z180" s="125">
        <v>58</v>
      </c>
      <c r="AA180" s="125">
        <v>92.464560139471047</v>
      </c>
      <c r="AB180" s="125">
        <v>66.395998765674676</v>
      </c>
      <c r="AC180" s="125">
        <v>19.947706100562261</v>
      </c>
      <c r="AD180" s="125">
        <v>74.675014344774183</v>
      </c>
      <c r="AE180" s="125">
        <v>85.292191282200292</v>
      </c>
      <c r="AF180" s="125">
        <v>72.774335617927903</v>
      </c>
      <c r="AG180" s="125">
        <v>63</v>
      </c>
      <c r="AH180" s="125">
        <v>78.904093577567281</v>
      </c>
      <c r="AI180" s="125">
        <v>23.592283758850787</v>
      </c>
      <c r="AJ180" s="125">
        <v>64</v>
      </c>
      <c r="AK180" s="125">
        <v>73</v>
      </c>
      <c r="AL180" s="125">
        <v>86</v>
      </c>
      <c r="AM180" s="125">
        <v>67</v>
      </c>
      <c r="AN180" s="125">
        <v>107.93229185331117</v>
      </c>
      <c r="AO180" s="125">
        <v>67.500563641039591</v>
      </c>
      <c r="AP180" s="125">
        <v>40.848237156307235</v>
      </c>
      <c r="AQ180" s="125">
        <v>50.774802408083559</v>
      </c>
      <c r="AR180" s="125">
        <v>40.925389887487206</v>
      </c>
      <c r="AS180" s="125">
        <v>62.209009714454787</v>
      </c>
      <c r="AT180" s="125">
        <v>41.895189029846243</v>
      </c>
      <c r="AU180" s="125">
        <v>72.774335617927903</v>
      </c>
      <c r="AV180" s="125">
        <v>93.088156302536433</v>
      </c>
      <c r="AW180" s="125">
        <v>77.356626058441947</v>
      </c>
      <c r="AX180" s="125">
        <v>41.895189029846236</v>
      </c>
      <c r="AY180" s="125">
        <v>76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73.825349929064998</v>
      </c>
      <c r="E181" s="124">
        <f t="shared" si="4"/>
        <v>93.72555102791037</v>
      </c>
      <c r="F181" s="124">
        <f t="shared" si="4"/>
        <v>109.44761582094949</v>
      </c>
      <c r="G181" s="124">
        <f t="shared" si="4"/>
        <v>109.44761582094949</v>
      </c>
      <c r="H181" s="124">
        <f t="shared" si="4"/>
        <v>96.015005485593761</v>
      </c>
      <c r="I181" s="124">
        <f t="shared" si="4"/>
        <v>59.936349394024589</v>
      </c>
      <c r="J181" s="124">
        <f t="shared" si="4"/>
        <v>172.39149258323016</v>
      </c>
      <c r="K181" s="124">
        <f t="shared" si="4"/>
        <v>140.61382522037454</v>
      </c>
      <c r="L181" s="124">
        <f t="shared" si="4"/>
        <v>101.18871055254114</v>
      </c>
      <c r="M181" s="124">
        <f t="shared" si="4"/>
        <v>59.936349394024589</v>
      </c>
      <c r="N181" s="124">
        <f t="shared" si="4"/>
        <v>158.95888224787441</v>
      </c>
      <c r="O181" s="124">
        <f t="shared" si="4"/>
        <v>130.64110529425434</v>
      </c>
      <c r="P181" s="124">
        <f t="shared" si="4"/>
        <v>96.015005485593761</v>
      </c>
      <c r="Q181" s="124">
        <f t="shared" si="4"/>
        <v>59.936349394024589</v>
      </c>
      <c r="R181" s="124">
        <f t="shared" si="4"/>
        <v>109.44761582094949</v>
      </c>
      <c r="S181" s="124">
        <f t="shared" si="4"/>
        <v>109.44761582094949</v>
      </c>
      <c r="T181" s="124">
        <f t="shared" si="4"/>
        <v>123.09180700053625</v>
      </c>
      <c r="U181" s="124">
        <f t="shared" si="4"/>
        <v>87.763127747772941</v>
      </c>
      <c r="V181" s="124">
        <f t="shared" si="4"/>
        <v>109.44761582094949</v>
      </c>
      <c r="W181" s="124">
        <f t="shared" si="4"/>
        <v>131.13210389412606</v>
      </c>
      <c r="X181" s="124">
        <f t="shared" si="4"/>
        <v>109.44761582094949</v>
      </c>
      <c r="Y181" s="124">
        <f t="shared" si="4"/>
        <v>87.763127747772941</v>
      </c>
      <c r="Z181" s="124">
        <f t="shared" si="4"/>
        <v>131.13210389412606</v>
      </c>
      <c r="AA181" s="124">
        <f t="shared" si="4"/>
        <v>99.855034103033546</v>
      </c>
      <c r="AB181" s="124">
        <f t="shared" si="4"/>
        <v>29.999983583027205</v>
      </c>
      <c r="AC181" s="124">
        <f t="shared" si="4"/>
        <v>131.13210389412606</v>
      </c>
      <c r="AD181" s="124">
        <f t="shared" si="4"/>
        <v>109.44761582094949</v>
      </c>
      <c r="AE181" s="124">
        <f t="shared" si="4"/>
        <v>109.44761582094949</v>
      </c>
      <c r="AF181" s="124">
        <f t="shared" si="4"/>
        <v>109.44761582094949</v>
      </c>
      <c r="AG181" s="124">
        <f t="shared" si="4"/>
        <v>109.44761582094949</v>
      </c>
      <c r="AH181" s="124">
        <f t="shared" si="4"/>
        <v>29.999983583027205</v>
      </c>
      <c r="AI181" s="124">
        <f t="shared" si="4"/>
        <v>188.89524805887177</v>
      </c>
      <c r="AJ181" s="124">
        <f t="shared" si="4"/>
        <v>142.49353953196243</v>
      </c>
      <c r="AK181" s="124">
        <f t="shared" si="4"/>
        <v>134.97042771513873</v>
      </c>
      <c r="AL181" s="124">
        <f t="shared" si="4"/>
        <v>93.558089373365064</v>
      </c>
      <c r="AM181" s="124">
        <f t="shared" si="4"/>
        <v>93.558089373365064</v>
      </c>
      <c r="AN181" s="124">
        <f t="shared" si="4"/>
        <v>46.503739058668842</v>
      </c>
      <c r="AO181" s="124">
        <f t="shared" si="4"/>
        <v>61.43295063136496</v>
      </c>
      <c r="AP181" s="124">
        <f t="shared" si="4"/>
        <v>76.361824813080716</v>
      </c>
      <c r="AQ181" s="124">
        <f t="shared" si="4"/>
        <v>61.548983054196746</v>
      </c>
      <c r="AR181" s="124">
        <f t="shared" si="4"/>
        <v>93.558089373365064</v>
      </c>
      <c r="AS181" s="124">
        <f t="shared" si="4"/>
        <v>63.007494534310489</v>
      </c>
      <c r="AT181" s="124">
        <f t="shared" si="4"/>
        <v>109.44761582094949</v>
      </c>
      <c r="AU181" s="124">
        <f t="shared" si="4"/>
        <v>139.99821066000405</v>
      </c>
      <c r="AV181" s="124">
        <f t="shared" si="4"/>
        <v>116.33906676247952</v>
      </c>
      <c r="AW181" s="124">
        <f t="shared" si="4"/>
        <v>63.007494534310482</v>
      </c>
      <c r="AX181" s="124">
        <f t="shared" si="4"/>
        <v>155.88773710758852</v>
      </c>
      <c r="AY181" s="124">
        <f t="shared" si="4"/>
        <v>70.051350287664448</v>
      </c>
    </row>
    <row r="182" spans="1:51">
      <c r="A182" s="125"/>
      <c r="B182" s="136" t="s">
        <v>299</v>
      </c>
      <c r="C182" s="125" t="s">
        <v>293</v>
      </c>
      <c r="D182" s="125">
        <v>73.825349929064998</v>
      </c>
      <c r="E182" s="125">
        <v>93.72555102791037</v>
      </c>
      <c r="F182" s="125">
        <v>109.44761582094949</v>
      </c>
      <c r="G182" s="125">
        <v>109.44761582094949</v>
      </c>
      <c r="H182" s="125">
        <v>96.015005485593761</v>
      </c>
      <c r="I182" s="125">
        <v>59.936349394024589</v>
      </c>
      <c r="J182" s="125">
        <v>120.50212566447763</v>
      </c>
      <c r="K182" s="125">
        <v>132</v>
      </c>
      <c r="L182" s="125">
        <v>101.18871055254114</v>
      </c>
      <c r="M182" s="125">
        <v>59.936349394024589</v>
      </c>
      <c r="N182" s="125">
        <v>146.03760908179726</v>
      </c>
      <c r="O182" s="125">
        <v>130.64110529425434</v>
      </c>
      <c r="P182" s="125">
        <v>96.015005485593761</v>
      </c>
      <c r="Q182" s="125">
        <v>59.936349394024589</v>
      </c>
      <c r="R182" s="125">
        <v>109.44761582094949</v>
      </c>
      <c r="S182" s="125">
        <v>109.44761582094949</v>
      </c>
      <c r="T182" s="125">
        <v>123.09180700053625</v>
      </c>
      <c r="U182" s="125">
        <v>87.763127747772941</v>
      </c>
      <c r="V182" s="125">
        <v>109.44761582094949</v>
      </c>
      <c r="W182" s="125">
        <v>131.13210389412606</v>
      </c>
      <c r="X182" s="125">
        <v>109.44761582094949</v>
      </c>
      <c r="Y182" s="125">
        <v>87.763127747772941</v>
      </c>
      <c r="Z182" s="125">
        <v>111</v>
      </c>
      <c r="AA182" s="125">
        <v>99.855034103033546</v>
      </c>
      <c r="AB182" s="125">
        <v>29.999983583027205</v>
      </c>
      <c r="AC182" s="125">
        <v>131.13210389412606</v>
      </c>
      <c r="AD182" s="125">
        <v>109.44761582094949</v>
      </c>
      <c r="AE182" s="125">
        <v>109.44761582094949</v>
      </c>
      <c r="AF182" s="125">
        <v>109.44761582094949</v>
      </c>
      <c r="AG182" s="125">
        <v>109.44761582094949</v>
      </c>
      <c r="AH182" s="125">
        <v>29.999983583027205</v>
      </c>
      <c r="AI182" s="125">
        <v>133.87629985654442</v>
      </c>
      <c r="AJ182" s="125">
        <v>100</v>
      </c>
      <c r="AK182" s="125">
        <v>134.97042771513873</v>
      </c>
      <c r="AL182" s="125">
        <v>93.558089373365064</v>
      </c>
      <c r="AM182" s="125">
        <v>93.558089373365064</v>
      </c>
      <c r="AN182" s="125">
        <v>46.503739058668842</v>
      </c>
      <c r="AO182" s="125">
        <v>61.43295063136496</v>
      </c>
      <c r="AP182" s="125">
        <v>76.361824813080716</v>
      </c>
      <c r="AQ182" s="125">
        <v>61.548983054196746</v>
      </c>
      <c r="AR182" s="125">
        <v>93.558089373365064</v>
      </c>
      <c r="AS182" s="125">
        <v>63.007494534310489</v>
      </c>
      <c r="AT182" s="125">
        <v>109.44761582094949</v>
      </c>
      <c r="AU182" s="125">
        <v>128.52446927795998</v>
      </c>
      <c r="AV182" s="125">
        <v>116.33906676247952</v>
      </c>
      <c r="AW182" s="125">
        <v>63.007494534310482</v>
      </c>
      <c r="AX182" s="125">
        <v>144.16025331177943</v>
      </c>
      <c r="AY182" s="125">
        <v>70.051350287664448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2.5889261594710166E-23</v>
      </c>
      <c r="D185" s="124">
        <v>100</v>
      </c>
      <c r="E185" s="124">
        <v>100</v>
      </c>
      <c r="F185" s="124">
        <v>100</v>
      </c>
      <c r="G185" s="124">
        <v>100</v>
      </c>
      <c r="H185" s="124">
        <v>160</v>
      </c>
      <c r="I185" s="124">
        <v>156</v>
      </c>
      <c r="J185" s="124">
        <v>160</v>
      </c>
      <c r="K185" s="124">
        <v>160</v>
      </c>
      <c r="L185" s="124">
        <v>160</v>
      </c>
      <c r="M185" s="124">
        <v>148</v>
      </c>
      <c r="N185" s="124">
        <v>107</v>
      </c>
      <c r="O185" s="124">
        <v>107</v>
      </c>
      <c r="P185" s="124">
        <v>118</v>
      </c>
      <c r="Q185" s="124">
        <v>90</v>
      </c>
      <c r="R185" s="124">
        <v>86</v>
      </c>
      <c r="S185" s="124">
        <v>38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2.9335823915757772E-22</v>
      </c>
      <c r="AN185" s="124">
        <v>152</v>
      </c>
      <c r="AO185" s="124">
        <v>138</v>
      </c>
      <c r="AP185" s="124">
        <v>101</v>
      </c>
      <c r="AQ185" s="124">
        <v>87</v>
      </c>
      <c r="AR185" s="124">
        <v>90</v>
      </c>
      <c r="AS185" s="124">
        <v>69</v>
      </c>
      <c r="AT185" s="124">
        <v>47</v>
      </c>
      <c r="AU185" s="124">
        <v>5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2.5889261594710171E-23</v>
      </c>
      <c r="D186" s="106">
        <v>5.8774717541114375E-39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4</v>
      </c>
      <c r="K186" s="106">
        <v>0</v>
      </c>
      <c r="L186" s="106">
        <v>0</v>
      </c>
      <c r="M186" s="106">
        <v>0</v>
      </c>
      <c r="N186" s="106">
        <v>12</v>
      </c>
      <c r="O186" s="106">
        <v>53</v>
      </c>
      <c r="P186" s="106">
        <v>53</v>
      </c>
      <c r="Q186" s="106">
        <v>42</v>
      </c>
      <c r="R186" s="106">
        <v>70</v>
      </c>
      <c r="S186" s="106">
        <v>74</v>
      </c>
      <c r="T186" s="106">
        <v>117</v>
      </c>
      <c r="U186" s="106">
        <v>129</v>
      </c>
      <c r="V186" s="106">
        <v>74</v>
      </c>
      <c r="W186" s="106">
        <v>35</v>
      </c>
      <c r="X186" s="106">
        <v>10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2.9335823915757782E-22</v>
      </c>
      <c r="AN186" s="106">
        <v>9.4039548065783001E-38</v>
      </c>
      <c r="AO186" s="106">
        <v>8</v>
      </c>
      <c r="AP186" s="106">
        <v>22</v>
      </c>
      <c r="AQ186" s="106">
        <v>59</v>
      </c>
      <c r="AR186" s="106">
        <v>73</v>
      </c>
      <c r="AS186" s="106">
        <v>70</v>
      </c>
      <c r="AT186" s="106">
        <v>91</v>
      </c>
      <c r="AU186" s="106">
        <v>113</v>
      </c>
      <c r="AV186" s="106">
        <v>117</v>
      </c>
      <c r="AW186" s="106">
        <v>112</v>
      </c>
      <c r="AX186" s="106">
        <v>111</v>
      </c>
      <c r="AY186" s="106">
        <v>99</v>
      </c>
    </row>
    <row r="187" spans="1:51">
      <c r="A187" s="109"/>
      <c r="B187" s="127">
        <v>3</v>
      </c>
      <c r="C187" s="106">
        <v>2.5889261594710171E-23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5</v>
      </c>
      <c r="V187" s="106">
        <v>31</v>
      </c>
      <c r="W187" s="106">
        <v>86</v>
      </c>
      <c r="X187" s="106">
        <v>125</v>
      </c>
      <c r="Y187" s="106">
        <v>147</v>
      </c>
      <c r="Z187" s="106">
        <v>153</v>
      </c>
      <c r="AA187" s="106">
        <v>124</v>
      </c>
      <c r="AB187" s="106">
        <v>100</v>
      </c>
      <c r="AC187" s="106">
        <v>87</v>
      </c>
      <c r="AD187" s="106">
        <v>83</v>
      </c>
      <c r="AE187" s="106">
        <v>108</v>
      </c>
      <c r="AF187" s="106">
        <v>72</v>
      </c>
      <c r="AG187" s="106">
        <v>67</v>
      </c>
      <c r="AH187" s="106">
        <v>95</v>
      </c>
      <c r="AI187" s="106">
        <v>70</v>
      </c>
      <c r="AJ187" s="106">
        <v>59</v>
      </c>
      <c r="AK187" s="106">
        <v>26</v>
      </c>
      <c r="AL187" s="106">
        <v>0</v>
      </c>
      <c r="AM187" s="106">
        <v>2.9335823915757782E-22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38</v>
      </c>
      <c r="AX187" s="106">
        <v>48</v>
      </c>
      <c r="AY187" s="106">
        <v>49</v>
      </c>
    </row>
    <row r="188" spans="1:51">
      <c r="A188" s="128"/>
      <c r="B188" s="129">
        <v>4</v>
      </c>
      <c r="C188" s="106">
        <v>2.5889261594710171E-23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3</v>
      </c>
      <c r="AA188" s="106">
        <v>7</v>
      </c>
      <c r="AB188" s="106">
        <v>36</v>
      </c>
      <c r="AC188" s="106">
        <v>60</v>
      </c>
      <c r="AD188" s="106">
        <v>73</v>
      </c>
      <c r="AE188" s="106">
        <v>77</v>
      </c>
      <c r="AF188" s="106">
        <v>52</v>
      </c>
      <c r="AG188" s="106">
        <v>88</v>
      </c>
      <c r="AH188" s="106">
        <v>93</v>
      </c>
      <c r="AI188" s="106">
        <v>65</v>
      </c>
      <c r="AJ188" s="106">
        <v>90</v>
      </c>
      <c r="AK188" s="106">
        <v>101</v>
      </c>
      <c r="AL188" s="106">
        <v>134</v>
      </c>
      <c r="AM188" s="106">
        <v>2.9335823915757782E-22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169.17684857174092</v>
      </c>
      <c r="D189" s="124">
        <v>162</v>
      </c>
      <c r="E189" s="124">
        <v>125.57838519040453</v>
      </c>
      <c r="F189" s="124">
        <v>156.56047899877126</v>
      </c>
      <c r="G189" s="124">
        <v>156.56047899877126</v>
      </c>
      <c r="H189" s="124">
        <v>143.61524234379306</v>
      </c>
      <c r="I189" s="124">
        <v>46.04773316464393</v>
      </c>
      <c r="J189" s="124">
        <v>39.962024060945097</v>
      </c>
      <c r="K189" s="124">
        <v>67.401545062173838</v>
      </c>
      <c r="L189" s="124">
        <v>47.432880590525357</v>
      </c>
      <c r="M189" s="124">
        <v>14.668308855315487</v>
      </c>
      <c r="N189" s="124">
        <v>77.903737120105632</v>
      </c>
      <c r="O189" s="124">
        <v>123.8180280164068</v>
      </c>
      <c r="P189" s="124">
        <v>143.61524234379306</v>
      </c>
      <c r="Q189" s="124">
        <v>32.522503059716371</v>
      </c>
      <c r="R189" s="124">
        <v>146.47476989507243</v>
      </c>
      <c r="S189" s="124">
        <v>32.522503059716357</v>
      </c>
      <c r="T189" s="124">
        <v>35.911563851089966</v>
      </c>
      <c r="U189" s="124">
        <v>127.35399081393484</v>
      </c>
      <c r="V189" s="124">
        <v>156</v>
      </c>
      <c r="W189" s="124">
        <v>169.18257260653721</v>
      </c>
      <c r="X189" s="124">
        <v>170.08570910369883</v>
      </c>
      <c r="Y189" s="124">
        <v>113.8287607090073</v>
      </c>
      <c r="Z189" s="124">
        <v>152.74305160530847</v>
      </c>
      <c r="AA189" s="124">
        <v>113.8287607090073</v>
      </c>
      <c r="AB189" s="124">
        <v>10.8463674734165</v>
      </c>
      <c r="AC189" s="124">
        <v>167.40684647218777</v>
      </c>
      <c r="AD189" s="124">
        <v>170.08570910369883</v>
      </c>
      <c r="AE189" s="124">
        <v>170.08570910369883</v>
      </c>
      <c r="AF189" s="124">
        <v>156.56047899877126</v>
      </c>
      <c r="AG189" s="124">
        <v>165.47476989507243</v>
      </c>
      <c r="AH189" s="124">
        <v>0</v>
      </c>
      <c r="AI189" s="124">
        <v>44.914290896301168</v>
      </c>
      <c r="AJ189" s="124">
        <v>30.828581792602336</v>
      </c>
      <c r="AK189" s="124">
        <v>35.268102793831076</v>
      </c>
      <c r="AL189" s="124">
        <v>72.657163585204671</v>
      </c>
      <c r="AM189" s="124">
        <v>125.24838319901701</v>
      </c>
      <c r="AN189" s="124">
        <v>46.04773316464393</v>
      </c>
      <c r="AO189" s="124">
        <v>61.942190582885132</v>
      </c>
      <c r="AP189" s="124">
        <v>86.428457309964926</v>
      </c>
      <c r="AQ189" s="124">
        <v>62.170845499164194</v>
      </c>
      <c r="AR189" s="124">
        <v>136.09475067243352</v>
      </c>
      <c r="AS189" s="124">
        <v>65.045006119432742</v>
      </c>
      <c r="AT189" s="124">
        <v>156.56047899877126</v>
      </c>
      <c r="AU189" s="124">
        <v>115.79662292041573</v>
      </c>
      <c r="AV189" s="124">
        <v>135.18568371178935</v>
      </c>
      <c r="AW189" s="124">
        <v>65.045006119432742</v>
      </c>
      <c r="AX189" s="124">
        <v>76.95929701573391</v>
      </c>
      <c r="AY189" s="124">
        <v>49.873587912035077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7.1768485717409192</v>
      </c>
      <c r="F190" s="106">
        <v>1.4210854715202004E-14</v>
      </c>
      <c r="G190" s="106">
        <v>13.525230104927573</v>
      </c>
      <c r="H190" s="106">
        <v>0</v>
      </c>
      <c r="I190" s="106">
        <v>26.470466759905776</v>
      </c>
      <c r="J190" s="106">
        <v>124.0379759390549</v>
      </c>
      <c r="K190" s="106">
        <v>116.59845493782616</v>
      </c>
      <c r="L190" s="106">
        <v>105.36302667303603</v>
      </c>
      <c r="M190" s="106">
        <v>125.33169114468451</v>
      </c>
      <c r="N190" s="106">
        <v>158.09626287989437</v>
      </c>
      <c r="O190" s="106">
        <v>92.181971983593201</v>
      </c>
      <c r="P190" s="106">
        <v>46.267681087292033</v>
      </c>
      <c r="Q190" s="106">
        <v>26.470466759905776</v>
      </c>
      <c r="R190" s="106">
        <v>13.525230104927559</v>
      </c>
      <c r="S190" s="106">
        <v>10.085709103698832</v>
      </c>
      <c r="T190" s="106">
        <v>137.56320604398246</v>
      </c>
      <c r="U190" s="106">
        <v>37.023579881433363</v>
      </c>
      <c r="V190" s="106">
        <v>1.4210854715202004E-14</v>
      </c>
      <c r="W190" s="106">
        <v>14.085709103698832</v>
      </c>
      <c r="X190" s="106">
        <v>0.90313649716162558</v>
      </c>
      <c r="Y190" s="106">
        <v>0</v>
      </c>
      <c r="Z190" s="106">
        <v>56.256948394691534</v>
      </c>
      <c r="AA190" s="106">
        <v>14.6637948668793</v>
      </c>
      <c r="AB190" s="106">
        <v>10.846367473416507</v>
      </c>
      <c r="AC190" s="106">
        <v>0</v>
      </c>
      <c r="AD190" s="106">
        <v>0</v>
      </c>
      <c r="AE190" s="106">
        <v>0</v>
      </c>
      <c r="AF190" s="106">
        <v>0</v>
      </c>
      <c r="AG190" s="106">
        <v>13.525230104927573</v>
      </c>
      <c r="AH190" s="106">
        <v>4.6109392086264052</v>
      </c>
      <c r="AI190" s="106">
        <v>170.08570910369883</v>
      </c>
      <c r="AJ190" s="106">
        <v>125.17141820739766</v>
      </c>
      <c r="AK190" s="106">
        <v>125.73189720616892</v>
      </c>
      <c r="AL190" s="106">
        <v>134.81760630986776</v>
      </c>
      <c r="AM190" s="106">
        <v>66.116449718739887</v>
      </c>
      <c r="AN190" s="106">
        <v>13.525230104927545</v>
      </c>
      <c r="AO190" s="106">
        <v>0</v>
      </c>
      <c r="AP190" s="106">
        <v>0</v>
      </c>
      <c r="AQ190" s="106">
        <v>0</v>
      </c>
      <c r="AR190" s="106">
        <v>10.8463674734165</v>
      </c>
      <c r="AS190" s="106">
        <v>0</v>
      </c>
      <c r="AT190" s="106">
        <v>10.846367473416507</v>
      </c>
      <c r="AU190" s="106">
        <v>0</v>
      </c>
      <c r="AV190" s="106">
        <v>67.814316288210648</v>
      </c>
      <c r="AW190" s="106">
        <v>34.90002539190948</v>
      </c>
      <c r="AX190" s="106">
        <v>105.04070298426609</v>
      </c>
      <c r="AY190" s="106">
        <v>93.126412087964923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10.425499846538658</v>
      </c>
      <c r="H191" s="106">
        <v>0</v>
      </c>
      <c r="I191" s="106">
        <v>13.525230104927559</v>
      </c>
      <c r="J191" s="106">
        <v>0</v>
      </c>
      <c r="K191" s="106">
        <v>0</v>
      </c>
      <c r="L191" s="106">
        <v>16.204092736438625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124.0379759390549</v>
      </c>
      <c r="T191" s="106">
        <v>13.525230104927559</v>
      </c>
      <c r="U191" s="106">
        <v>0</v>
      </c>
      <c r="V191" s="106">
        <v>0</v>
      </c>
      <c r="W191" s="106">
        <v>42.731718289763961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42.731718289763961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13.525230104927573</v>
      </c>
      <c r="AM191" s="106">
        <v>0</v>
      </c>
      <c r="AN191" s="106">
        <v>0</v>
      </c>
      <c r="AO191" s="106">
        <v>0</v>
      </c>
      <c r="AP191" s="106">
        <v>29.304353507626971</v>
      </c>
      <c r="AQ191" s="106">
        <v>0</v>
      </c>
      <c r="AR191" s="106">
        <v>0</v>
      </c>
      <c r="AS191" s="106">
        <v>0</v>
      </c>
      <c r="AT191" s="106">
        <v>0</v>
      </c>
      <c r="AU191" s="106">
        <v>60.203377079584271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80</v>
      </c>
      <c r="D197" s="106">
        <v>73.552022612601377</v>
      </c>
      <c r="E197" s="106">
        <v>49.088239634548273</v>
      </c>
      <c r="F197" s="106">
        <v>62.320358970988167</v>
      </c>
      <c r="G197" s="106">
        <v>72.774335617927903</v>
      </c>
      <c r="H197" s="106">
        <v>72.774335617927903</v>
      </c>
      <c r="I197" s="106">
        <v>63.842671959130215</v>
      </c>
      <c r="J197" s="106">
        <v>39.853111224001935</v>
      </c>
      <c r="K197" s="106">
        <v>87</v>
      </c>
      <c r="L197" s="106">
        <v>55.37277632934844</v>
      </c>
      <c r="M197" s="106">
        <v>59.87528319209305</v>
      </c>
      <c r="N197" s="106">
        <v>39.853111224001935</v>
      </c>
      <c r="O197" s="106">
        <v>98</v>
      </c>
      <c r="P197" s="106">
        <v>86.866393304853659</v>
      </c>
      <c r="Q197" s="106">
        <v>63.842671959130215</v>
      </c>
      <c r="R197" s="106">
        <v>39.853111224001935</v>
      </c>
      <c r="S197" s="106">
        <v>72.774335617927903</v>
      </c>
      <c r="T197" s="106">
        <v>72.774335617927903</v>
      </c>
      <c r="U197" s="106">
        <v>81.846684436954035</v>
      </c>
      <c r="V197" s="106">
        <v>58.35580122680922</v>
      </c>
      <c r="W197" s="106">
        <v>72.774335617927903</v>
      </c>
      <c r="X197" s="106">
        <v>69.813582594279623</v>
      </c>
      <c r="Y197" s="106">
        <v>67.858446714312649</v>
      </c>
      <c r="Z197" s="106">
        <v>53.084111096384746</v>
      </c>
      <c r="AA197" s="106">
        <v>87.192870009046572</v>
      </c>
      <c r="AB197" s="106">
        <v>66.395998765674676</v>
      </c>
      <c r="AC197" s="106">
        <v>19.947706100562261</v>
      </c>
      <c r="AD197" s="106">
        <v>74.675014344774183</v>
      </c>
      <c r="AE197" s="106">
        <v>72.774335617927903</v>
      </c>
      <c r="AF197" s="106">
        <v>72.774335617927903</v>
      </c>
      <c r="AG197" s="106">
        <v>63</v>
      </c>
      <c r="AH197" s="106">
        <v>69.129757959639377</v>
      </c>
      <c r="AI197" s="106">
        <v>19.947706100562261</v>
      </c>
      <c r="AJ197" s="106">
        <v>64</v>
      </c>
      <c r="AK197" s="106">
        <v>11.399034864706465</v>
      </c>
      <c r="AL197" s="106">
        <v>2.6516747554641427</v>
      </c>
      <c r="AM197" s="106">
        <v>0</v>
      </c>
      <c r="AN197" s="106">
        <v>25.629893638619443</v>
      </c>
      <c r="AO197" s="106">
        <v>30.921447565204247</v>
      </c>
      <c r="AP197" s="106">
        <v>40.848237156307235</v>
      </c>
      <c r="AQ197" s="106">
        <v>50.774802408083559</v>
      </c>
      <c r="AR197" s="106">
        <v>40.925389887487206</v>
      </c>
      <c r="AS197" s="106">
        <v>62.209009714454787</v>
      </c>
      <c r="AT197" s="106">
        <v>41.895189029846243</v>
      </c>
      <c r="AU197" s="106">
        <v>72.774335617927903</v>
      </c>
      <c r="AV197" s="106">
        <v>93.088156302536433</v>
      </c>
      <c r="AW197" s="106">
        <v>77.356626058441947</v>
      </c>
      <c r="AX197" s="106">
        <v>41.895189029846236</v>
      </c>
      <c r="AY197" s="106">
        <v>76</v>
      </c>
    </row>
    <row r="198" spans="1:51">
      <c r="A198" s="109"/>
      <c r="B198" s="119">
        <v>2</v>
      </c>
      <c r="C198" s="106">
        <v>0</v>
      </c>
      <c r="D198" s="106">
        <v>0.73916726617882489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27.62722367065156</v>
      </c>
      <c r="M198" s="106">
        <v>38.12471680790695</v>
      </c>
      <c r="N198" s="106">
        <v>7.4075089204643234</v>
      </c>
      <c r="O198" s="106">
        <v>0</v>
      </c>
      <c r="P198" s="106">
        <v>7.6955600118538712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17.379287414766949</v>
      </c>
      <c r="Z198" s="106">
        <v>4.9158889036152544</v>
      </c>
      <c r="AA198" s="106">
        <v>5.2716901304244743</v>
      </c>
      <c r="AB198" s="106">
        <v>0</v>
      </c>
      <c r="AC198" s="106">
        <v>0</v>
      </c>
      <c r="AD198" s="106">
        <v>0</v>
      </c>
      <c r="AE198" s="106">
        <v>12.517855664272389</v>
      </c>
      <c r="AF198" s="106">
        <v>0</v>
      </c>
      <c r="AG198" s="106">
        <v>0</v>
      </c>
      <c r="AH198" s="106">
        <v>9.7743356179279033</v>
      </c>
      <c r="AI198" s="106">
        <v>3.6445776582885259</v>
      </c>
      <c r="AJ198" s="106">
        <v>0</v>
      </c>
      <c r="AK198" s="106">
        <v>61.600965135293535</v>
      </c>
      <c r="AL198" s="106">
        <v>83.348325244535857</v>
      </c>
      <c r="AM198" s="106">
        <v>67</v>
      </c>
      <c r="AN198" s="106">
        <v>62.209009714454787</v>
      </c>
      <c r="AO198" s="106">
        <v>36.579116075835344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20.093388500236941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110.67530292061315</v>
      </c>
      <c r="D209" s="124">
        <v>73.825349929064998</v>
      </c>
      <c r="E209" s="124">
        <v>93.72555102791037</v>
      </c>
      <c r="F209" s="124">
        <v>109.44761582094949</v>
      </c>
      <c r="G209" s="124">
        <v>109.44761582094949</v>
      </c>
      <c r="H209" s="124">
        <v>96.015005485593761</v>
      </c>
      <c r="I209" s="124">
        <v>46.503739058668842</v>
      </c>
      <c r="J209" s="124">
        <v>57.558248902196965</v>
      </c>
      <c r="K209" s="124">
        <v>100.83379060057496</v>
      </c>
      <c r="L209" s="124">
        <v>96.015005485593761</v>
      </c>
      <c r="M209" s="124">
        <v>46.503739058668842</v>
      </c>
      <c r="N209" s="124">
        <v>83.09373231951659</v>
      </c>
      <c r="O209" s="124">
        <v>109.44761582094949</v>
      </c>
      <c r="P209" s="124">
        <v>96.015005485593761</v>
      </c>
      <c r="Q209" s="124">
        <v>46.503739058668842</v>
      </c>
      <c r="R209" s="124">
        <v>109.44761582094949</v>
      </c>
      <c r="S209" s="124">
        <v>46.503739058668835</v>
      </c>
      <c r="T209" s="124">
        <v>60.147930238255576</v>
      </c>
      <c r="U209" s="124">
        <v>87.763127747772941</v>
      </c>
      <c r="V209" s="124">
        <v>109.44761582094949</v>
      </c>
      <c r="W209" s="124">
        <v>109.44761582094949</v>
      </c>
      <c r="X209" s="124">
        <v>109.44761582094949</v>
      </c>
      <c r="Y209" s="124">
        <v>87.763127747772941</v>
      </c>
      <c r="Z209" s="124">
        <v>89.315511926823433</v>
      </c>
      <c r="AA209" s="124">
        <v>87.763127747772941</v>
      </c>
      <c r="AB209" s="124">
        <v>29.999983583027205</v>
      </c>
      <c r="AC209" s="124">
        <v>109.44761582094949</v>
      </c>
      <c r="AD209" s="124">
        <v>109.44761582094949</v>
      </c>
      <c r="AE209" s="124">
        <v>109.44761582094949</v>
      </c>
      <c r="AF209" s="124">
        <v>109.44761582094949</v>
      </c>
      <c r="AG209" s="124">
        <v>109.44761582094949</v>
      </c>
      <c r="AH209" s="124">
        <v>29.999983583027205</v>
      </c>
      <c r="AI209" s="124">
        <v>54.428667618622129</v>
      </c>
      <c r="AJ209" s="124">
        <v>66.954076288987068</v>
      </c>
      <c r="AK209" s="124">
        <v>109.44761582094949</v>
      </c>
      <c r="AL209" s="124">
        <v>93.558089373365064</v>
      </c>
      <c r="AM209" s="124">
        <v>93.558089373365064</v>
      </c>
      <c r="AN209" s="124">
        <v>46.503739058668842</v>
      </c>
      <c r="AO209" s="124">
        <v>61.43295063136496</v>
      </c>
      <c r="AP209" s="124">
        <v>61.491140235893852</v>
      </c>
      <c r="AQ209" s="124">
        <v>61.548983054196746</v>
      </c>
      <c r="AR209" s="124">
        <v>93.558089373365064</v>
      </c>
      <c r="AS209" s="124">
        <v>63.007494534310489</v>
      </c>
      <c r="AT209" s="124">
        <v>109.44761582094949</v>
      </c>
      <c r="AU209" s="124">
        <v>97.973874438905412</v>
      </c>
      <c r="AV209" s="124">
        <v>109.44761582094949</v>
      </c>
      <c r="AW209" s="124">
        <v>63.007494534310482</v>
      </c>
      <c r="AX209" s="124">
        <v>97.720132025140401</v>
      </c>
      <c r="AY209" s="124">
        <v>63.007494534310482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0</v>
      </c>
      <c r="F210" s="110">
        <v>0</v>
      </c>
      <c r="G210" s="110">
        <v>0</v>
      </c>
      <c r="H210" s="110">
        <v>0</v>
      </c>
      <c r="I210" s="110">
        <v>13.432610335355744</v>
      </c>
      <c r="J210" s="110">
        <v>62.943876762280667</v>
      </c>
      <c r="K210" s="110">
        <v>31.166209399425036</v>
      </c>
      <c r="L210" s="110">
        <v>5.1737050669473721</v>
      </c>
      <c r="M210" s="110">
        <v>13.432610335355744</v>
      </c>
      <c r="N210" s="110">
        <v>62.943876762280667</v>
      </c>
      <c r="O210" s="110">
        <v>21.193489473304847</v>
      </c>
      <c r="P210" s="110">
        <v>0</v>
      </c>
      <c r="Q210" s="110">
        <v>13.432610335355744</v>
      </c>
      <c r="R210" s="110">
        <v>0</v>
      </c>
      <c r="S210" s="110">
        <v>0</v>
      </c>
      <c r="T210" s="110">
        <v>62.943876762280674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21.684488073176563</v>
      </c>
      <c r="AA210" s="110">
        <v>12.091906355260603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0</v>
      </c>
      <c r="AI210" s="110">
        <v>79.447632237922292</v>
      </c>
      <c r="AJ210" s="110">
        <v>33.045923711012932</v>
      </c>
      <c r="AK210" s="110">
        <v>25.522811894189239</v>
      </c>
      <c r="AL210" s="110">
        <v>0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0</v>
      </c>
      <c r="AS210" s="110">
        <v>0</v>
      </c>
      <c r="AT210" s="110">
        <v>0</v>
      </c>
      <c r="AU210" s="110">
        <v>0</v>
      </c>
      <c r="AV210" s="110">
        <v>6.8914509415300289</v>
      </c>
      <c r="AW210" s="110">
        <v>0</v>
      </c>
      <c r="AX210" s="110">
        <v>46.440121286639027</v>
      </c>
      <c r="AY210" s="110">
        <v>7.0438557533539692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62.943876762280659</v>
      </c>
      <c r="T211" s="110">
        <v>0</v>
      </c>
      <c r="U211" s="110">
        <v>0</v>
      </c>
      <c r="V211" s="110">
        <v>0</v>
      </c>
      <c r="W211" s="110">
        <v>21.684488073176563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21.684488073176563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14.870684577186866</v>
      </c>
      <c r="AQ211" s="110">
        <v>0</v>
      </c>
      <c r="AR211" s="110">
        <v>0</v>
      </c>
      <c r="AS211" s="110">
        <v>0</v>
      </c>
      <c r="AT211" s="110">
        <v>0</v>
      </c>
      <c r="AU211" s="110">
        <v>30.550594839054565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31907.355762456376</v>
      </c>
      <c r="E259" s="124">
        <f t="shared" ref="E259:AX259" si="5">F$14*$B$259</f>
        <v>40508.233331142306</v>
      </c>
      <c r="F259" s="124">
        <f t="shared" si="5"/>
        <v>47303.31815165314</v>
      </c>
      <c r="G259" s="124">
        <f t="shared" si="5"/>
        <v>47303.31815165314</v>
      </c>
      <c r="H259" s="124">
        <f t="shared" si="5"/>
        <v>41497.736773434641</v>
      </c>
      <c r="I259" s="124">
        <f t="shared" si="5"/>
        <v>25904.522295601259</v>
      </c>
      <c r="J259" s="124">
        <f t="shared" si="5"/>
        <v>74507.695385923507</v>
      </c>
      <c r="K259" s="124">
        <f t="shared" si="5"/>
        <v>60773.370539216005</v>
      </c>
      <c r="L259" s="124">
        <f t="shared" si="5"/>
        <v>43733.814873162293</v>
      </c>
      <c r="M259" s="124">
        <f t="shared" si="5"/>
        <v>25904.522295601259</v>
      </c>
      <c r="N259" s="124">
        <f t="shared" si="5"/>
        <v>68702.114007705022</v>
      </c>
      <c r="O259" s="124">
        <f t="shared" si="5"/>
        <v>56463.155648154876</v>
      </c>
      <c r="P259" s="124">
        <f t="shared" si="5"/>
        <v>41497.736773434641</v>
      </c>
      <c r="Q259" s="124">
        <f t="shared" si="5"/>
        <v>25904.522295601259</v>
      </c>
      <c r="R259" s="124">
        <f t="shared" si="5"/>
        <v>47303.31815165314</v>
      </c>
      <c r="S259" s="124">
        <f t="shared" si="5"/>
        <v>47303.31815165314</v>
      </c>
      <c r="T259" s="124">
        <f t="shared" si="5"/>
        <v>53200.344884020124</v>
      </c>
      <c r="U259" s="124">
        <f t="shared" si="5"/>
        <v>37931.27079742599</v>
      </c>
      <c r="V259" s="124">
        <f t="shared" si="5"/>
        <v>47303.31815165314</v>
      </c>
      <c r="W259" s="124">
        <f t="shared" si="5"/>
        <v>56675.365505880269</v>
      </c>
      <c r="X259" s="124">
        <f t="shared" si="5"/>
        <v>47303.31815165314</v>
      </c>
      <c r="Y259" s="124">
        <f t="shared" si="5"/>
        <v>37931.27079742599</v>
      </c>
      <c r="Z259" s="124">
        <f t="shared" si="5"/>
        <v>56675.365505880269</v>
      </c>
      <c r="AA259" s="124">
        <f t="shared" si="5"/>
        <v>43157.399197688537</v>
      </c>
      <c r="AB259" s="124">
        <f t="shared" si="5"/>
        <v>12966.00896536547</v>
      </c>
      <c r="AC259" s="124">
        <f t="shared" si="5"/>
        <v>56675.365505880269</v>
      </c>
      <c r="AD259" s="124">
        <f t="shared" si="5"/>
        <v>47303.31815165314</v>
      </c>
      <c r="AE259" s="124">
        <f t="shared" si="5"/>
        <v>47303.31815165314</v>
      </c>
      <c r="AF259" s="124">
        <f t="shared" si="5"/>
        <v>47303.31815165314</v>
      </c>
      <c r="AG259" s="124">
        <f t="shared" si="5"/>
        <v>47303.31815165314</v>
      </c>
      <c r="AH259" s="124">
        <f t="shared" si="5"/>
        <v>12966.00896536547</v>
      </c>
      <c r="AI259" s="124">
        <f t="shared" si="5"/>
        <v>81640.627337940794</v>
      </c>
      <c r="AJ259" s="124">
        <f t="shared" si="5"/>
        <v>61585.784071007511</v>
      </c>
      <c r="AK259" s="124">
        <f t="shared" si="5"/>
        <v>58334.291116205706</v>
      </c>
      <c r="AL259" s="124">
        <f t="shared" si="5"/>
        <v>40435.856314395613</v>
      </c>
      <c r="AM259" s="124">
        <f t="shared" si="5"/>
        <v>40435.856314395613</v>
      </c>
      <c r="AN259" s="124">
        <f t="shared" si="5"/>
        <v>20098.940917382759</v>
      </c>
      <c r="AO259" s="124">
        <f t="shared" si="5"/>
        <v>26551.354151599702</v>
      </c>
      <c r="AP259" s="124">
        <f t="shared" si="5"/>
        <v>33003.621565254311</v>
      </c>
      <c r="AQ259" s="124">
        <f t="shared" si="5"/>
        <v>26601.503426866686</v>
      </c>
      <c r="AR259" s="124">
        <f t="shared" si="5"/>
        <v>40435.856314395613</v>
      </c>
      <c r="AS259" s="124">
        <f t="shared" si="5"/>
        <v>27231.872869400057</v>
      </c>
      <c r="AT259" s="124">
        <f t="shared" si="5"/>
        <v>47303.31815165314</v>
      </c>
      <c r="AU259" s="124">
        <f t="shared" si="5"/>
        <v>60507.301596648678</v>
      </c>
      <c r="AV259" s="124">
        <f t="shared" si="5"/>
        <v>50281.806937987269</v>
      </c>
      <c r="AW259" s="124">
        <f t="shared" si="5"/>
        <v>27231.872869400053</v>
      </c>
      <c r="AX259" s="124">
        <f t="shared" si="5"/>
        <v>67374.763433906221</v>
      </c>
      <c r="AY259" s="124">
        <f>AZ$14*$B$259</f>
        <v>30276.231096995885</v>
      </c>
      <c r="AZ259" s="139">
        <f>SUM($D259:$AY259)</f>
        <v>2117847.2201083321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430.61091430445515</v>
      </c>
      <c r="E260" s="125">
        <f t="shared" ref="E260:AY260" si="6">(E$175-E$176+E$177-E$178+E$179-E$180+E$181-E$182)*$B$260</f>
        <v>0</v>
      </c>
      <c r="F260" s="125">
        <f t="shared" si="6"/>
        <v>0</v>
      </c>
      <c r="G260" s="125">
        <f t="shared" si="6"/>
        <v>0</v>
      </c>
      <c r="H260" s="125">
        <f t="shared" si="6"/>
        <v>0</v>
      </c>
      <c r="I260" s="125">
        <f t="shared" si="6"/>
        <v>240</v>
      </c>
      <c r="J260" s="125">
        <f t="shared" si="6"/>
        <v>10109.269311394721</v>
      </c>
      <c r="K260" s="125">
        <f t="shared" si="6"/>
        <v>7523.9989696574094</v>
      </c>
      <c r="L260" s="125">
        <f t="shared" si="6"/>
        <v>8219.1564715611421</v>
      </c>
      <c r="M260" s="125">
        <f t="shared" si="6"/>
        <v>3207.9477516782299</v>
      </c>
      <c r="N260" s="125">
        <f t="shared" si="6"/>
        <v>7897.9667033858768</v>
      </c>
      <c r="O260" s="125">
        <f t="shared" si="6"/>
        <v>6417.7944659487539</v>
      </c>
      <c r="P260" s="125">
        <f t="shared" si="6"/>
        <v>2519.9999999999991</v>
      </c>
      <c r="Q260" s="125">
        <f t="shared" si="6"/>
        <v>4199.9999999999991</v>
      </c>
      <c r="R260" s="125">
        <f t="shared" si="6"/>
        <v>5045.1425462219304</v>
      </c>
      <c r="S260" s="125">
        <f t="shared" si="6"/>
        <v>7320</v>
      </c>
      <c r="T260" s="125">
        <f t="shared" si="6"/>
        <v>11309.900986590346</v>
      </c>
      <c r="U260" s="125">
        <f t="shared" si="6"/>
        <v>11460</v>
      </c>
      <c r="V260" s="125">
        <f t="shared" si="6"/>
        <v>15605.14254622193</v>
      </c>
      <c r="W260" s="125">
        <f t="shared" si="6"/>
        <v>17154.1881898297</v>
      </c>
      <c r="X260" s="125">
        <f t="shared" si="6"/>
        <v>19642.757244886019</v>
      </c>
      <c r="Y260" s="125">
        <f t="shared" si="6"/>
        <v>19674.953334216916</v>
      </c>
      <c r="Z260" s="125">
        <f t="shared" si="6"/>
        <v>22024.055333485783</v>
      </c>
      <c r="AA260" s="125">
        <f t="shared" si="6"/>
        <v>21360</v>
      </c>
      <c r="AB260" s="125">
        <f t="shared" si="6"/>
        <v>22800</v>
      </c>
      <c r="AC260" s="125">
        <f t="shared" si="6"/>
        <v>23580</v>
      </c>
      <c r="AD260" s="125">
        <f t="shared" si="6"/>
        <v>24571.071339856342</v>
      </c>
      <c r="AE260" s="125">
        <f t="shared" si="6"/>
        <v>22320</v>
      </c>
      <c r="AF260" s="125">
        <f t="shared" si="6"/>
        <v>24480</v>
      </c>
      <c r="AG260" s="125">
        <f t="shared" si="6"/>
        <v>25643.11648959326</v>
      </c>
      <c r="AH260" s="125">
        <f t="shared" si="6"/>
        <v>23318.674659497312</v>
      </c>
      <c r="AI260" s="125">
        <f t="shared" si="6"/>
        <v>35411.421984583503</v>
      </c>
      <c r="AJ260" s="125">
        <f t="shared" si="6"/>
        <v>29449.584112405493</v>
      </c>
      <c r="AK260" s="125">
        <f t="shared" si="6"/>
        <v>21129.955893264218</v>
      </c>
      <c r="AL260" s="125">
        <f t="shared" si="6"/>
        <v>9192.5902931386081</v>
      </c>
      <c r="AM260" s="125">
        <f t="shared" si="6"/>
        <v>4938.1438928815041</v>
      </c>
      <c r="AN260" s="125">
        <f t="shared" si="6"/>
        <v>2674.7469645501205</v>
      </c>
      <c r="AO260" s="125">
        <f t="shared" si="6"/>
        <v>1320</v>
      </c>
      <c r="AP260" s="125">
        <f t="shared" si="6"/>
        <v>3540</v>
      </c>
      <c r="AQ260" s="125">
        <f t="shared" si="6"/>
        <v>4380</v>
      </c>
      <c r="AR260" s="125">
        <f t="shared" si="6"/>
        <v>4200.0000000000009</v>
      </c>
      <c r="AS260" s="125">
        <f t="shared" si="6"/>
        <v>5460</v>
      </c>
      <c r="AT260" s="125">
        <f t="shared" si="6"/>
        <v>6780.0000000000018</v>
      </c>
      <c r="AU260" s="125">
        <f t="shared" si="6"/>
        <v>12434.255847623976</v>
      </c>
      <c r="AV260" s="125">
        <f t="shared" si="6"/>
        <v>13974.001523514571</v>
      </c>
      <c r="AW260" s="125">
        <f t="shared" si="6"/>
        <v>12480.000000000004</v>
      </c>
      <c r="AX260" s="125">
        <f t="shared" si="6"/>
        <v>18831.233753026441</v>
      </c>
      <c r="AY260" s="125">
        <f t="shared" si="6"/>
        <v>15829.494024804435</v>
      </c>
      <c r="AZ260" s="141">
        <f>SUM($D260:$AY260)</f>
        <v>570101.1755481232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216.53258344327236</v>
      </c>
      <c r="E9" s="117">
        <v>216.53258344327236</v>
      </c>
      <c r="F9" s="117">
        <v>216.53258344327236</v>
      </c>
      <c r="G9" s="117">
        <v>216.53258344327236</v>
      </c>
      <c r="H9" s="117">
        <v>216.53258344327236</v>
      </c>
      <c r="I9" s="117">
        <v>216.53258344327236</v>
      </c>
      <c r="J9" s="117">
        <v>216.53258344327236</v>
      </c>
      <c r="K9" s="117">
        <v>216.53258344327236</v>
      </c>
      <c r="L9" s="117">
        <v>216.53258344327236</v>
      </c>
      <c r="M9" s="117">
        <v>216.53258344327236</v>
      </c>
      <c r="N9" s="117">
        <v>216.53258344327236</v>
      </c>
      <c r="O9" s="117">
        <v>216.53258344327236</v>
      </c>
      <c r="P9" s="117">
        <v>216.53258344327236</v>
      </c>
      <c r="Q9" s="117">
        <v>216.53258344327236</v>
      </c>
      <c r="R9" s="117">
        <v>82.167493113162664</v>
      </c>
      <c r="S9" s="117">
        <v>216.53258344327236</v>
      </c>
      <c r="T9" s="117">
        <v>216.53258344327236</v>
      </c>
      <c r="U9" s="117">
        <v>216.53258344327236</v>
      </c>
      <c r="V9" s="117">
        <v>216.53258344327236</v>
      </c>
      <c r="W9" s="117">
        <v>216.53258344327236</v>
      </c>
      <c r="X9" s="117">
        <v>216.53258344327236</v>
      </c>
      <c r="Y9" s="117">
        <v>216.53258344327236</v>
      </c>
      <c r="Z9" s="117">
        <v>216.53258344327236</v>
      </c>
      <c r="AA9" s="117">
        <v>216.53258344327236</v>
      </c>
      <c r="AB9" s="117">
        <v>216.53258344327236</v>
      </c>
      <c r="AC9" s="117">
        <v>216.53258344327236</v>
      </c>
      <c r="AD9" s="117">
        <v>216.53258344327236</v>
      </c>
      <c r="AE9" s="117">
        <v>216.53258344327236</v>
      </c>
      <c r="AF9" s="117">
        <v>216.53258344327236</v>
      </c>
      <c r="AG9" s="117">
        <v>216.53258344327236</v>
      </c>
      <c r="AH9" s="117">
        <v>216.53258344327236</v>
      </c>
      <c r="AI9" s="117">
        <v>216.53258344327236</v>
      </c>
      <c r="AJ9" s="117">
        <v>173.2260667546179</v>
      </c>
      <c r="AK9" s="117">
        <v>173.2260667546179</v>
      </c>
      <c r="AL9" s="117">
        <v>85.510270946530341</v>
      </c>
      <c r="AM9" s="117">
        <v>85.669784844953881</v>
      </c>
      <c r="AN9" s="117">
        <v>85.828379192491511</v>
      </c>
      <c r="AO9" s="117">
        <v>85.986028382630465</v>
      </c>
      <c r="AP9" s="117">
        <v>173.2260667546179</v>
      </c>
      <c r="AQ9" s="117">
        <v>173.2260667546179</v>
      </c>
      <c r="AR9" s="117">
        <v>216.53258344327236</v>
      </c>
      <c r="AS9" s="117">
        <v>216.53258344327236</v>
      </c>
      <c r="AT9" s="117">
        <v>216.53258344327236</v>
      </c>
      <c r="AU9" s="117">
        <v>216.53258344327236</v>
      </c>
      <c r="AV9" s="117">
        <v>216.53258344327236</v>
      </c>
      <c r="AW9" s="117">
        <v>216.53258344327236</v>
      </c>
      <c r="AX9" s="117">
        <v>216.53258344327236</v>
      </c>
      <c r="AY9" s="117">
        <v>216.53258344327236</v>
      </c>
    </row>
    <row r="10" spans="1:53">
      <c r="A10" s="118" t="s">
        <v>133</v>
      </c>
      <c r="B10" s="119">
        <v>1</v>
      </c>
      <c r="C10" s="106" t="s">
        <v>293</v>
      </c>
      <c r="D10" s="100">
        <v>151.14021506794327</v>
      </c>
      <c r="E10" s="100">
        <v>121.04546813801888</v>
      </c>
      <c r="F10" s="100">
        <v>150.90922250341836</v>
      </c>
      <c r="G10" s="100">
        <v>150.90922250341836</v>
      </c>
      <c r="H10" s="100">
        <v>150.90922250341836</v>
      </c>
      <c r="I10" s="100">
        <v>150.90922250341836</v>
      </c>
      <c r="J10" s="100">
        <v>130.94485603779529</v>
      </c>
      <c r="K10" s="100">
        <v>150.90922250341836</v>
      </c>
      <c r="L10" s="100">
        <v>130.94485603779529</v>
      </c>
      <c r="M10" s="100">
        <v>150.90922250341836</v>
      </c>
      <c r="N10" s="100">
        <v>130.94485603779529</v>
      </c>
      <c r="O10" s="100">
        <v>43.648285345931754</v>
      </c>
      <c r="P10" s="100">
        <v>150.90922250341836</v>
      </c>
      <c r="Q10" s="100">
        <v>43.648285345931754</v>
      </c>
      <c r="R10" s="100">
        <v>150.90922250341836</v>
      </c>
      <c r="S10" s="100">
        <v>150.90922250341836</v>
      </c>
      <c r="T10" s="100">
        <v>57.265434622271954</v>
      </c>
      <c r="U10" s="100">
        <v>101.84599914050744</v>
      </c>
      <c r="V10" s="100">
        <v>58.197713794575677</v>
      </c>
      <c r="W10" s="100">
        <v>150.90922250341836</v>
      </c>
      <c r="X10" s="100">
        <v>58.197713794575677</v>
      </c>
      <c r="Y10" s="100">
        <v>101.84599914050744</v>
      </c>
      <c r="Z10" s="100">
        <v>150.90922250341836</v>
      </c>
      <c r="AA10" s="100">
        <v>150.90922250341836</v>
      </c>
      <c r="AB10" s="100">
        <v>0</v>
      </c>
      <c r="AC10" s="100">
        <v>150.90922250341836</v>
      </c>
      <c r="AD10" s="100">
        <v>150.90922250341836</v>
      </c>
      <c r="AE10" s="100">
        <v>150.90922250341836</v>
      </c>
      <c r="AF10" s="100">
        <v>14.549428448643919</v>
      </c>
      <c r="AG10" s="100">
        <v>150.90922250341836</v>
      </c>
      <c r="AH10" s="100">
        <v>14.549428448643919</v>
      </c>
      <c r="AI10" s="100">
        <v>150.90922250341836</v>
      </c>
      <c r="AJ10" s="100">
        <v>150.90922250341836</v>
      </c>
      <c r="AK10" s="100">
        <v>150.90922250341836</v>
      </c>
      <c r="AL10" s="100">
        <v>120.7273780027347</v>
      </c>
      <c r="AM10" s="100">
        <v>120.7273780027347</v>
      </c>
      <c r="AN10" s="100">
        <v>59.595134826340029</v>
      </c>
      <c r="AO10" s="100">
        <v>59.706305708831678</v>
      </c>
      <c r="AP10" s="100">
        <v>59.816835723759468</v>
      </c>
      <c r="AQ10" s="100">
        <v>59.926707025038233</v>
      </c>
      <c r="AR10" s="100">
        <v>120.7273780027347</v>
      </c>
      <c r="AS10" s="100">
        <v>120.7273780027347</v>
      </c>
      <c r="AT10" s="100">
        <v>101.84599914050744</v>
      </c>
      <c r="AU10" s="100">
        <v>72.747142243219599</v>
      </c>
      <c r="AV10" s="100">
        <v>150.90922250341836</v>
      </c>
      <c r="AW10" s="100">
        <v>150.90922250341836</v>
      </c>
      <c r="AX10" s="100">
        <v>150.90922250341836</v>
      </c>
      <c r="AY10" s="100">
        <v>150.90922250341836</v>
      </c>
      <c r="AZ10" s="100">
        <v>101.84599914050744</v>
      </c>
    </row>
    <row r="11" spans="1:53">
      <c r="B11" s="119">
        <v>2</v>
      </c>
      <c r="C11" s="106" t="s">
        <v>293</v>
      </c>
      <c r="D11" s="100">
        <v>151.14021506794327</v>
      </c>
      <c r="E11" s="100">
        <v>0</v>
      </c>
      <c r="J11" s="100">
        <v>0</v>
      </c>
      <c r="K11" s="100">
        <v>19.964366465623073</v>
      </c>
      <c r="M11" s="100">
        <v>19.964366465623073</v>
      </c>
      <c r="N11" s="100">
        <v>0</v>
      </c>
      <c r="O11" s="100">
        <v>19.964366465623073</v>
      </c>
      <c r="P11" s="100">
        <v>107.26093715748661</v>
      </c>
      <c r="Q11" s="100">
        <v>0</v>
      </c>
      <c r="R11" s="100">
        <v>107.26093715748661</v>
      </c>
      <c r="S11" s="100">
        <v>0</v>
      </c>
      <c r="V11" s="100">
        <v>49.063223362910918</v>
      </c>
      <c r="W11" s="100">
        <v>92.711508708842686</v>
      </c>
      <c r="Y11" s="100">
        <v>92.711508708842686</v>
      </c>
      <c r="Z11" s="100">
        <v>49.063223362910918</v>
      </c>
      <c r="AE11" s="100">
        <v>0</v>
      </c>
      <c r="AF11" s="100">
        <v>0</v>
      </c>
      <c r="AI11" s="100">
        <v>136.35979405477445</v>
      </c>
      <c r="AJ11" s="100">
        <v>0</v>
      </c>
      <c r="AM11" s="100">
        <v>0</v>
      </c>
      <c r="AO11" s="100">
        <v>0</v>
      </c>
      <c r="AR11" s="100">
        <v>0</v>
      </c>
      <c r="AU11" s="100">
        <v>49.063223362910918</v>
      </c>
      <c r="AV11" s="100">
        <v>78.162080260198763</v>
      </c>
      <c r="BA11" s="100">
        <v>49.063223362910918</v>
      </c>
    </row>
    <row r="12" spans="1:53">
      <c r="B12" s="120">
        <v>3</v>
      </c>
      <c r="C12" s="106" t="s">
        <v>293</v>
      </c>
      <c r="N12" s="100">
        <v>0</v>
      </c>
      <c r="AE12" s="100">
        <v>0</v>
      </c>
      <c r="AH12" s="100">
        <v>136.35979405477445</v>
      </c>
      <c r="AM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54.953085402455926</v>
      </c>
      <c r="E14" s="117">
        <f t="shared" ref="E14:AZ14" si="0">D$172*SUM(D$122:D$169)</f>
        <v>96.496860467848549</v>
      </c>
      <c r="F14" s="117">
        <f t="shared" si="0"/>
        <v>77.14632260908553</v>
      </c>
      <c r="G14" s="117">
        <f t="shared" si="0"/>
        <v>90.08729195311804</v>
      </c>
      <c r="H14" s="117">
        <f t="shared" si="0"/>
        <v>90.087291953118054</v>
      </c>
      <c r="I14" s="117">
        <f t="shared" si="0"/>
        <v>90.08729195311804</v>
      </c>
      <c r="J14" s="117">
        <f t="shared" si="0"/>
        <v>90.087291953118054</v>
      </c>
      <c r="K14" s="117">
        <f t="shared" si="0"/>
        <v>81.436060388476051</v>
      </c>
      <c r="L14" s="117">
        <f t="shared" si="0"/>
        <v>98.738523517760058</v>
      </c>
      <c r="M14" s="117">
        <f t="shared" si="0"/>
        <v>81.436060388476051</v>
      </c>
      <c r="N14" s="117">
        <f t="shared" si="0"/>
        <v>98.738523517760058</v>
      </c>
      <c r="O14" s="117">
        <f t="shared" si="0"/>
        <v>81.436060388476051</v>
      </c>
      <c r="P14" s="117">
        <f t="shared" si="0"/>
        <v>52.258751330259848</v>
      </c>
      <c r="Q14" s="117">
        <f t="shared" si="0"/>
        <v>136.56706414061824</v>
      </c>
      <c r="R14" s="117">
        <f t="shared" si="0"/>
        <v>50.463559014793276</v>
      </c>
      <c r="S14" s="117">
        <f t="shared" si="0"/>
        <v>136.56706414061824</v>
      </c>
      <c r="T14" s="117">
        <f t="shared" si="0"/>
        <v>102.4414187883893</v>
      </c>
      <c r="U14" s="117">
        <f t="shared" si="0"/>
        <v>49.508288610087142</v>
      </c>
      <c r="V14" s="117">
        <f t="shared" si="0"/>
        <v>68.826546847523318</v>
      </c>
      <c r="W14" s="117">
        <f t="shared" si="0"/>
        <v>71.173021641688948</v>
      </c>
      <c r="X14" s="117">
        <f t="shared" si="0"/>
        <v>130.26230737014188</v>
      </c>
      <c r="Y14" s="117">
        <f t="shared" si="0"/>
        <v>49.912276536094211</v>
      </c>
      <c r="Z14" s="117">
        <f t="shared" si="0"/>
        <v>109.00156226454716</v>
      </c>
      <c r="AA14" s="117">
        <f t="shared" si="0"/>
        <v>111.34803705871279</v>
      </c>
      <c r="AB14" s="117">
        <f t="shared" si="0"/>
        <v>94.657233188940651</v>
      </c>
      <c r="AC14" s="117">
        <f t="shared" si="0"/>
        <v>24.693249454188752</v>
      </c>
      <c r="AD14" s="117">
        <f t="shared" si="0"/>
        <v>90.087291953118054</v>
      </c>
      <c r="AE14" s="117">
        <f t="shared" si="0"/>
        <v>90.08729195311804</v>
      </c>
      <c r="AF14" s="117">
        <f t="shared" si="0"/>
        <v>90.087291953118054</v>
      </c>
      <c r="AG14" s="117">
        <f t="shared" si="0"/>
        <v>30.998006224665119</v>
      </c>
      <c r="AH14" s="117">
        <f t="shared" si="0"/>
        <v>90.087291953118054</v>
      </c>
      <c r="AI14" s="117">
        <f t="shared" si="0"/>
        <v>90.08729195311804</v>
      </c>
      <c r="AJ14" s="117">
        <f t="shared" si="0"/>
        <v>149.17657768157099</v>
      </c>
      <c r="AK14" s="117">
        <f t="shared" si="0"/>
        <v>102.05676419586224</v>
      </c>
      <c r="AL14" s="117">
        <f t="shared" si="0"/>
        <v>94.186546659328243</v>
      </c>
      <c r="AM14" s="117">
        <f t="shared" si="0"/>
        <v>77.008483453332204</v>
      </c>
      <c r="AN14" s="117">
        <f t="shared" si="0"/>
        <v>77.008483453332204</v>
      </c>
      <c r="AO14" s="117">
        <f t="shared" si="0"/>
        <v>50.517826076567296</v>
      </c>
      <c r="AP14" s="117">
        <f t="shared" si="0"/>
        <v>50.566000159593536</v>
      </c>
      <c r="AQ14" s="117">
        <f t="shared" si="0"/>
        <v>50.613896533146388</v>
      </c>
      <c r="AR14" s="117">
        <f t="shared" si="0"/>
        <v>50.661507463916863</v>
      </c>
      <c r="AS14" s="117">
        <f t="shared" si="0"/>
        <v>77.008483453332204</v>
      </c>
      <c r="AT14" s="117">
        <f t="shared" si="0"/>
        <v>77.008483453332204</v>
      </c>
      <c r="AU14" s="117">
        <f t="shared" si="0"/>
        <v>68.826546847523318</v>
      </c>
      <c r="AV14" s="117">
        <f t="shared" si="0"/>
        <v>77.477778412165307</v>
      </c>
      <c r="AW14" s="117">
        <f t="shared" si="0"/>
        <v>123.95755059966551</v>
      </c>
      <c r="AX14" s="117">
        <f t="shared" si="0"/>
        <v>94.410326157962942</v>
      </c>
      <c r="AY14" s="117">
        <f t="shared" si="0"/>
        <v>90.087291953118054</v>
      </c>
      <c r="AZ14" s="110">
        <f t="shared" si="0"/>
        <v>90.087291953118054</v>
      </c>
      <c r="BA14" s="107">
        <f>SUM($E14:$AZ14)</f>
        <v>4045.5522639740807</v>
      </c>
    </row>
    <row r="15" spans="1:53">
      <c r="A15" s="122" t="s">
        <v>123</v>
      </c>
      <c r="B15" s="123">
        <v>1</v>
      </c>
      <c r="C15" s="124" t="s">
        <v>293</v>
      </c>
      <c r="D15" s="124">
        <v>148.4955354213981</v>
      </c>
      <c r="E15" s="124">
        <v>189.05642529737352</v>
      </c>
      <c r="F15" s="124">
        <v>220.76984106785577</v>
      </c>
      <c r="G15" s="124">
        <v>220.76984106785579</v>
      </c>
      <c r="H15" s="124">
        <v>220.76984106785577</v>
      </c>
      <c r="I15" s="124">
        <v>220.76984106785579</v>
      </c>
      <c r="J15" s="124">
        <v>199.56894828753809</v>
      </c>
      <c r="K15" s="124">
        <v>220.76984106785579</v>
      </c>
      <c r="L15" s="124">
        <v>199.56894828753809</v>
      </c>
      <c r="M15" s="124">
        <v>220.76984106785579</v>
      </c>
      <c r="N15" s="124">
        <v>199.56894828753809</v>
      </c>
      <c r="O15" s="124">
        <v>106.86551897940163</v>
      </c>
      <c r="P15" s="124">
        <v>220.76984106785577</v>
      </c>
      <c r="Q15" s="124">
        <v>106.86551897940163</v>
      </c>
      <c r="R15" s="124">
        <v>220.76984106785577</v>
      </c>
      <c r="S15" s="124">
        <v>220.76984106785579</v>
      </c>
      <c r="T15" s="124">
        <v>121.32606909394585</v>
      </c>
      <c r="U15" s="124">
        <v>168.66780518482594</v>
      </c>
      <c r="V15" s="124">
        <v>122.31609053075769</v>
      </c>
      <c r="W15" s="124">
        <v>220.76984106785579</v>
      </c>
      <c r="X15" s="124">
        <v>122.31609053075769</v>
      </c>
      <c r="Y15" s="124">
        <v>168.66780518482594</v>
      </c>
      <c r="Z15" s="124">
        <v>220.76984106785577</v>
      </c>
      <c r="AA15" s="124">
        <v>220.76984106785579</v>
      </c>
      <c r="AB15" s="124">
        <v>60.513804325333389</v>
      </c>
      <c r="AC15" s="124">
        <v>220.76984106785579</v>
      </c>
      <c r="AD15" s="124">
        <v>220.76984106785577</v>
      </c>
      <c r="AE15" s="124">
        <v>220.76984106785579</v>
      </c>
      <c r="AF15" s="124">
        <v>75.964375876689473</v>
      </c>
      <c r="AG15" s="124">
        <v>220.76984106785579</v>
      </c>
      <c r="AH15" s="124">
        <v>75.964375876689473</v>
      </c>
      <c r="AI15" s="124">
        <v>220.76984106785579</v>
      </c>
      <c r="AJ15" s="124">
        <v>220.76984106785577</v>
      </c>
      <c r="AK15" s="124">
        <v>220.76984106785579</v>
      </c>
      <c r="AL15" s="124">
        <v>188.71863371935132</v>
      </c>
      <c r="AM15" s="124">
        <v>188.71863371935135</v>
      </c>
      <c r="AN15" s="124">
        <v>123.80006316341854</v>
      </c>
      <c r="AO15" s="124">
        <v>123.91811959982277</v>
      </c>
      <c r="AP15" s="124">
        <v>124.03549547546228</v>
      </c>
      <c r="AQ15" s="124">
        <v>124.15217183892497</v>
      </c>
      <c r="AR15" s="124">
        <v>188.71863371935132</v>
      </c>
      <c r="AS15" s="124">
        <v>188.71863371935132</v>
      </c>
      <c r="AT15" s="124">
        <v>168.66780518482594</v>
      </c>
      <c r="AU15" s="124">
        <v>137.76666208211378</v>
      </c>
      <c r="AV15" s="124">
        <v>220.76984106785579</v>
      </c>
      <c r="AW15" s="124">
        <v>220.76984106785579</v>
      </c>
      <c r="AX15" s="124">
        <v>220.76984106785579</v>
      </c>
      <c r="AY15" s="124">
        <v>220.76984106785579</v>
      </c>
      <c r="AZ15" s="100">
        <v>108.15400085949254</v>
      </c>
    </row>
    <row r="16" spans="1:53">
      <c r="A16" s="110"/>
      <c r="B16" s="119">
        <v>2</v>
      </c>
      <c r="C16" s="109" t="s">
        <v>293</v>
      </c>
      <c r="D16" s="106">
        <v>87.981731096064721</v>
      </c>
      <c r="E16" s="110">
        <v>0</v>
      </c>
      <c r="F16" s="110"/>
      <c r="G16" s="110"/>
      <c r="H16" s="110"/>
      <c r="I16" s="110"/>
      <c r="J16" s="110">
        <v>0</v>
      </c>
      <c r="K16" s="110">
        <v>21.200892780317673</v>
      </c>
      <c r="L16" s="110"/>
      <c r="M16" s="110">
        <v>21.200892780317673</v>
      </c>
      <c r="N16" s="110">
        <v>0</v>
      </c>
      <c r="O16" s="110">
        <v>21.200892780317673</v>
      </c>
      <c r="P16" s="110">
        <v>113.90432208845415</v>
      </c>
      <c r="Q16" s="110">
        <v>0</v>
      </c>
      <c r="R16" s="110">
        <v>113.90432208845415</v>
      </c>
      <c r="S16" s="110">
        <v>0</v>
      </c>
      <c r="T16" s="110"/>
      <c r="U16" s="110"/>
      <c r="V16" s="110">
        <v>52.102035883029842</v>
      </c>
      <c r="W16" s="110">
        <v>98.453750537098074</v>
      </c>
      <c r="X16" s="110"/>
      <c r="Y16" s="110">
        <v>98.453750537098074</v>
      </c>
      <c r="Z16" s="110">
        <v>52.102035883029842</v>
      </c>
      <c r="AA16" s="110"/>
      <c r="AB16" s="110"/>
      <c r="AC16" s="110"/>
      <c r="AD16" s="110"/>
      <c r="AE16" s="110">
        <v>0</v>
      </c>
      <c r="AF16" s="110">
        <v>0</v>
      </c>
      <c r="AG16" s="110"/>
      <c r="AH16" s="110"/>
      <c r="AI16" s="110">
        <v>144.80546519116629</v>
      </c>
      <c r="AJ16" s="110">
        <v>0</v>
      </c>
      <c r="AK16" s="110"/>
      <c r="AL16" s="110"/>
      <c r="AM16" s="110">
        <v>0</v>
      </c>
      <c r="AN16" s="110"/>
      <c r="AO16" s="110">
        <v>0</v>
      </c>
      <c r="AP16" s="110"/>
      <c r="AQ16" s="110"/>
      <c r="AR16" s="110">
        <v>0</v>
      </c>
      <c r="AS16" s="110"/>
      <c r="AT16" s="110"/>
      <c r="AU16" s="110">
        <v>52.102035883029842</v>
      </c>
      <c r="AV16" s="110">
        <v>83.003178985741997</v>
      </c>
      <c r="AW16" s="110"/>
      <c r="AX16" s="110"/>
      <c r="AY16" s="110"/>
      <c r="BA16" s="100">
        <v>52.102035883029842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/>
      <c r="L17" s="110"/>
      <c r="M17" s="110"/>
      <c r="N17" s="110">
        <v>0</v>
      </c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>
        <v>0</v>
      </c>
      <c r="AF17" s="110"/>
      <c r="AG17" s="110"/>
      <c r="AH17" s="110">
        <v>144.80546519116629</v>
      </c>
      <c r="AI17" s="110"/>
      <c r="AJ17" s="110"/>
      <c r="AK17" s="110"/>
      <c r="AL17" s="110"/>
      <c r="AM17" s="110">
        <v>0</v>
      </c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215.68696842992838</v>
      </c>
      <c r="D95" s="110">
        <v>216.53258344327236</v>
      </c>
      <c r="E95" s="110">
        <v>216.53258344327236</v>
      </c>
      <c r="F95" s="110">
        <v>216.53258344327236</v>
      </c>
      <c r="G95" s="110">
        <v>216.53258344327236</v>
      </c>
      <c r="H95" s="110">
        <v>216.53258344327236</v>
      </c>
      <c r="I95" s="110">
        <v>216.53258344327236</v>
      </c>
      <c r="J95" s="110">
        <v>216.53258344327236</v>
      </c>
      <c r="K95" s="110">
        <v>216.53258344327236</v>
      </c>
      <c r="L95" s="110">
        <v>216.53258344327236</v>
      </c>
      <c r="M95" s="110">
        <v>216.53258344327236</v>
      </c>
      <c r="N95" s="110">
        <v>216.53258344327236</v>
      </c>
      <c r="O95" s="110">
        <v>216.53258344327236</v>
      </c>
      <c r="P95" s="110">
        <v>216.53258344327236</v>
      </c>
      <c r="Q95" s="110">
        <v>216.53258344327236</v>
      </c>
      <c r="R95" s="110">
        <v>82.167493113162664</v>
      </c>
      <c r="S95" s="110">
        <v>216.53258344327236</v>
      </c>
      <c r="T95" s="110">
        <v>216.53258344327236</v>
      </c>
      <c r="U95" s="110">
        <v>216.53258344327236</v>
      </c>
      <c r="V95" s="110">
        <v>216.53258344327236</v>
      </c>
      <c r="W95" s="110">
        <v>216.53258344327236</v>
      </c>
      <c r="X95" s="110">
        <v>216.53258344327236</v>
      </c>
      <c r="Y95" s="110">
        <v>216.53258344327236</v>
      </c>
      <c r="Z95" s="110">
        <v>216.53258344327236</v>
      </c>
      <c r="AA95" s="110">
        <v>216.53258344327236</v>
      </c>
      <c r="AB95" s="110">
        <v>216.53258344327236</v>
      </c>
      <c r="AC95" s="110">
        <v>216.53258344327236</v>
      </c>
      <c r="AD95" s="110">
        <v>216.53258344327236</v>
      </c>
      <c r="AE95" s="110">
        <v>216.53258344327236</v>
      </c>
      <c r="AF95" s="110">
        <v>216.53258344327236</v>
      </c>
      <c r="AG95" s="110">
        <v>216.53258344327236</v>
      </c>
      <c r="AH95" s="110">
        <v>216.53258344327236</v>
      </c>
      <c r="AI95" s="110">
        <v>216.53258344327236</v>
      </c>
      <c r="AJ95" s="110">
        <v>173.2260667546179</v>
      </c>
      <c r="AK95" s="110">
        <v>173.2260667546179</v>
      </c>
      <c r="AL95" s="110">
        <v>85.510270946530341</v>
      </c>
      <c r="AM95" s="110">
        <v>85.669784844953881</v>
      </c>
      <c r="AN95" s="110">
        <v>85.828379192491511</v>
      </c>
      <c r="AO95" s="110">
        <v>85.986028382630465</v>
      </c>
      <c r="AP95" s="110">
        <v>173.2260667546179</v>
      </c>
      <c r="AQ95" s="110">
        <v>173.2260667546179</v>
      </c>
      <c r="AR95" s="110">
        <v>216.53258344327236</v>
      </c>
      <c r="AS95" s="110">
        <v>216.53258344327236</v>
      </c>
      <c r="AT95" s="110">
        <v>216.53258344327236</v>
      </c>
      <c r="AU95" s="110">
        <v>216.53258344327236</v>
      </c>
      <c r="AV95" s="110">
        <v>216.53258344327236</v>
      </c>
      <c r="AW95" s="110">
        <v>216.53258344327236</v>
      </c>
      <c r="AX95" s="110">
        <v>216.53258344327236</v>
      </c>
      <c r="AY95" s="110">
        <v>216.53258344327236</v>
      </c>
    </row>
    <row r="96" spans="1:52">
      <c r="A96" s="109"/>
      <c r="B96" s="120">
        <v>2</v>
      </c>
      <c r="C96" s="110">
        <v>215.68696842992838</v>
      </c>
      <c r="D96" s="110">
        <v>215.68696842992838</v>
      </c>
      <c r="E96" s="110">
        <v>216.53258344327236</v>
      </c>
      <c r="F96" s="110">
        <v>216.53258344327236</v>
      </c>
      <c r="G96" s="110">
        <v>216.53258344327236</v>
      </c>
      <c r="H96" s="110">
        <v>216.53258344327236</v>
      </c>
      <c r="I96" s="110">
        <v>216.53258344327236</v>
      </c>
      <c r="J96" s="110">
        <v>216.53258344327236</v>
      </c>
      <c r="K96" s="110">
        <v>216.53258344327236</v>
      </c>
      <c r="L96" s="110">
        <v>216.53258344327236</v>
      </c>
      <c r="M96" s="110">
        <v>216.53258344327236</v>
      </c>
      <c r="N96" s="110">
        <v>216.53258344327236</v>
      </c>
      <c r="O96" s="110">
        <v>216.53258344327236</v>
      </c>
      <c r="P96" s="110">
        <v>216.53258344327236</v>
      </c>
      <c r="Q96" s="110">
        <v>216.53258344327236</v>
      </c>
      <c r="R96" s="110">
        <v>216.53258344327236</v>
      </c>
      <c r="S96" s="110">
        <v>82.167493113162664</v>
      </c>
      <c r="T96" s="110">
        <v>216.53258344327236</v>
      </c>
      <c r="U96" s="110">
        <v>216.53258344327236</v>
      </c>
      <c r="V96" s="110">
        <v>216.53258344327236</v>
      </c>
      <c r="W96" s="110">
        <v>216.53258344327236</v>
      </c>
      <c r="X96" s="110">
        <v>216.53258344327236</v>
      </c>
      <c r="Y96" s="110">
        <v>216.53258344327236</v>
      </c>
      <c r="Z96" s="110">
        <v>216.53258344327236</v>
      </c>
      <c r="AA96" s="110">
        <v>216.53258344327236</v>
      </c>
      <c r="AB96" s="110">
        <v>216.53258344327236</v>
      </c>
      <c r="AC96" s="110">
        <v>216.53258344327236</v>
      </c>
      <c r="AD96" s="110">
        <v>216.53258344327236</v>
      </c>
      <c r="AE96" s="110">
        <v>216.53258344327236</v>
      </c>
      <c r="AF96" s="110">
        <v>216.53258344327236</v>
      </c>
      <c r="AG96" s="110">
        <v>216.53258344327236</v>
      </c>
      <c r="AH96" s="110">
        <v>216.53258344327236</v>
      </c>
      <c r="AI96" s="110">
        <v>216.53258344327236</v>
      </c>
      <c r="AJ96" s="110">
        <v>216.53258344327236</v>
      </c>
      <c r="AK96" s="110">
        <v>173.2260667546179</v>
      </c>
      <c r="AL96" s="110">
        <v>173.2260667546179</v>
      </c>
      <c r="AM96" s="110">
        <v>85.510270946530341</v>
      </c>
      <c r="AN96" s="110">
        <v>85.669784844953881</v>
      </c>
      <c r="AO96" s="110">
        <v>85.828379192491511</v>
      </c>
      <c r="AP96" s="110">
        <v>85.986028382630465</v>
      </c>
      <c r="AQ96" s="110">
        <v>56.672663630459923</v>
      </c>
      <c r="AR96" s="110">
        <v>15.898730385077812</v>
      </c>
      <c r="AS96" s="110">
        <v>3.4313138283501701</v>
      </c>
      <c r="AT96" s="110">
        <v>18.963897271622528</v>
      </c>
      <c r="AU96" s="110">
        <v>30.496480714894886</v>
      </c>
      <c r="AV96" s="110">
        <v>37.029064158167245</v>
      </c>
      <c r="AW96" s="110">
        <v>67.561647601439603</v>
      </c>
      <c r="AX96" s="110">
        <v>134.09423104471196</v>
      </c>
      <c r="AY96" s="110">
        <v>177.62681448798432</v>
      </c>
    </row>
    <row r="97" spans="1:52">
      <c r="A97" s="109"/>
      <c r="B97" s="127">
        <v>3</v>
      </c>
      <c r="C97" s="110">
        <v>215.68696842992838</v>
      </c>
      <c r="D97" s="110">
        <v>215.68696842992838</v>
      </c>
      <c r="E97" s="110">
        <v>215.68696842992838</v>
      </c>
      <c r="F97" s="110">
        <v>216.53258344327236</v>
      </c>
      <c r="G97" s="110">
        <v>216.53258344327236</v>
      </c>
      <c r="H97" s="110">
        <v>216.53258344327236</v>
      </c>
      <c r="I97" s="110">
        <v>216.53258344327236</v>
      </c>
      <c r="J97" s="110">
        <v>216.53258344327236</v>
      </c>
      <c r="K97" s="110">
        <v>216.53258344327236</v>
      </c>
      <c r="L97" s="110">
        <v>216.53258344327236</v>
      </c>
      <c r="M97" s="110">
        <v>216.53258344327236</v>
      </c>
      <c r="N97" s="110">
        <v>216.53258344327236</v>
      </c>
      <c r="O97" s="110">
        <v>216.53258344327236</v>
      </c>
      <c r="P97" s="110">
        <v>216.53258344327236</v>
      </c>
      <c r="Q97" s="110">
        <v>216.53258344327236</v>
      </c>
      <c r="R97" s="110">
        <v>216.53258344327236</v>
      </c>
      <c r="S97" s="110">
        <v>216.53258344327236</v>
      </c>
      <c r="T97" s="110">
        <v>82.167493113162664</v>
      </c>
      <c r="U97" s="110">
        <v>216.53258344327236</v>
      </c>
      <c r="V97" s="110">
        <v>216.53258344327236</v>
      </c>
      <c r="W97" s="110">
        <v>216.53258344327236</v>
      </c>
      <c r="X97" s="110">
        <v>216.53258344327236</v>
      </c>
      <c r="Y97" s="110">
        <v>216.53258344327236</v>
      </c>
      <c r="Z97" s="110">
        <v>216.53258344327236</v>
      </c>
      <c r="AA97" s="110">
        <v>216.53258344327236</v>
      </c>
      <c r="AB97" s="110">
        <v>216.53258344327236</v>
      </c>
      <c r="AC97" s="110">
        <v>216.53258344327236</v>
      </c>
      <c r="AD97" s="110">
        <v>216.53258344327236</v>
      </c>
      <c r="AE97" s="110">
        <v>216.53258344327236</v>
      </c>
      <c r="AF97" s="110">
        <v>216.53258344327236</v>
      </c>
      <c r="AG97" s="110">
        <v>216.53258344327236</v>
      </c>
      <c r="AH97" s="110">
        <v>216.53258344327236</v>
      </c>
      <c r="AI97" s="110">
        <v>216.53258344327236</v>
      </c>
      <c r="AJ97" s="110">
        <v>216.53258344327236</v>
      </c>
      <c r="AK97" s="110">
        <v>216.53258344327236</v>
      </c>
      <c r="AL97" s="110">
        <v>173.2260667546179</v>
      </c>
      <c r="AM97" s="110">
        <v>173.2260667546179</v>
      </c>
      <c r="AN97" s="110">
        <v>85.510270946530341</v>
      </c>
      <c r="AO97" s="110">
        <v>85.669784844953881</v>
      </c>
      <c r="AP97" s="110">
        <v>13.460568493211539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180.32010955534116</v>
      </c>
      <c r="D98" s="110">
        <v>155.00707798526955</v>
      </c>
      <c r="E98" s="110">
        <v>199.69404641519793</v>
      </c>
      <c r="F98" s="110">
        <v>215.68696842992838</v>
      </c>
      <c r="G98" s="110">
        <v>216.53258344327236</v>
      </c>
      <c r="H98" s="110">
        <v>216.53258344327236</v>
      </c>
      <c r="I98" s="110">
        <v>216.53258344327236</v>
      </c>
      <c r="J98" s="110">
        <v>216.06516688654472</v>
      </c>
      <c r="K98" s="110">
        <v>216.53258344327236</v>
      </c>
      <c r="L98" s="110">
        <v>216.53258344327236</v>
      </c>
      <c r="M98" s="110">
        <v>216.53258344327236</v>
      </c>
      <c r="N98" s="110">
        <v>202.06516688654472</v>
      </c>
      <c r="O98" s="110">
        <v>216.53258344327236</v>
      </c>
      <c r="P98" s="110">
        <v>216.53258344327236</v>
      </c>
      <c r="Q98" s="110">
        <v>216.53258344327236</v>
      </c>
      <c r="R98" s="110">
        <v>216.53258344327236</v>
      </c>
      <c r="S98" s="110">
        <v>214.06516688654472</v>
      </c>
      <c r="T98" s="110">
        <v>216.53258344327236</v>
      </c>
      <c r="U98" s="110">
        <v>82.167493113162664</v>
      </c>
      <c r="V98" s="110">
        <v>71.700076556435022</v>
      </c>
      <c r="W98" s="110">
        <v>56.23265999970738</v>
      </c>
      <c r="X98" s="110">
        <v>116.76524344297974</v>
      </c>
      <c r="Y98" s="110">
        <v>153.2978268862521</v>
      </c>
      <c r="Z98" s="110">
        <v>208.83041032952445</v>
      </c>
      <c r="AA98" s="110">
        <v>216.53258344327236</v>
      </c>
      <c r="AB98" s="110">
        <v>216.53258344327236</v>
      </c>
      <c r="AC98" s="110">
        <v>191.06516688654472</v>
      </c>
      <c r="AD98" s="110">
        <v>189.59775032981707</v>
      </c>
      <c r="AE98" s="110">
        <v>211.13033377308943</v>
      </c>
      <c r="AF98" s="110">
        <v>216.53258344327236</v>
      </c>
      <c r="AG98" s="110">
        <v>216.53258344327236</v>
      </c>
      <c r="AH98" s="110">
        <v>216.53258344327236</v>
      </c>
      <c r="AI98" s="110">
        <v>216.53258344327236</v>
      </c>
      <c r="AJ98" s="110">
        <v>216.53258344327236</v>
      </c>
      <c r="AK98" s="110">
        <v>216.53258344327236</v>
      </c>
      <c r="AL98" s="110">
        <v>216.53258344327236</v>
      </c>
      <c r="AM98" s="110">
        <v>173.2260667546179</v>
      </c>
      <c r="AN98" s="110">
        <v>118.45213350923581</v>
      </c>
      <c r="AO98" s="110">
        <v>22.962404455766148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29.694046415197931</v>
      </c>
      <c r="G99" s="125">
        <v>45.686968429928385</v>
      </c>
      <c r="H99" s="125">
        <v>40.532583443272358</v>
      </c>
      <c r="I99" s="125">
        <v>12.532583443272358</v>
      </c>
      <c r="J99" s="125">
        <v>0</v>
      </c>
      <c r="K99" s="125">
        <v>48.065166886544716</v>
      </c>
      <c r="L99" s="125">
        <v>50.532583443272358</v>
      </c>
      <c r="M99" s="125">
        <v>53.532583443272358</v>
      </c>
      <c r="N99" s="125">
        <v>0</v>
      </c>
      <c r="O99" s="125">
        <v>49.065166886544716</v>
      </c>
      <c r="P99" s="125">
        <v>25.532583443272358</v>
      </c>
      <c r="Q99" s="125">
        <v>46.532583443272358</v>
      </c>
      <c r="R99" s="125">
        <v>1.5325834432723582</v>
      </c>
      <c r="S99" s="125">
        <v>0</v>
      </c>
      <c r="T99" s="125">
        <v>74.065166886544716</v>
      </c>
      <c r="U99" s="125">
        <v>10.532583443272358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46.830410329524454</v>
      </c>
      <c r="AB99" s="125">
        <v>37.532583443272358</v>
      </c>
      <c r="AC99" s="125">
        <v>0</v>
      </c>
      <c r="AD99" s="125">
        <v>0</v>
      </c>
      <c r="AE99" s="125">
        <v>0</v>
      </c>
      <c r="AF99" s="125">
        <v>3.1303337730894327</v>
      </c>
      <c r="AG99" s="125">
        <v>54.532583443272358</v>
      </c>
      <c r="AH99" s="125">
        <v>59.532583443272358</v>
      </c>
      <c r="AI99" s="125">
        <v>7.5325834432723582</v>
      </c>
      <c r="AJ99" s="125">
        <v>4.5325834432723582</v>
      </c>
      <c r="AK99" s="125">
        <v>3.5325834432723582</v>
      </c>
      <c r="AL99" s="125">
        <v>10.532583443272358</v>
      </c>
      <c r="AM99" s="125">
        <v>33.532583443272358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749.05859469973257</v>
      </c>
    </row>
    <row r="100" spans="1:52">
      <c r="A100" s="131" t="s">
        <v>133</v>
      </c>
      <c r="B100" s="119">
        <v>1</v>
      </c>
      <c r="C100" s="106">
        <v>0</v>
      </c>
      <c r="D100" s="106">
        <v>151.14021506794327</v>
      </c>
      <c r="E100" s="106">
        <v>121.04546813801888</v>
      </c>
      <c r="F100" s="106">
        <v>150.90922250341836</v>
      </c>
      <c r="G100" s="106">
        <v>150.90922250341836</v>
      </c>
      <c r="H100" s="106">
        <v>150.90922250341836</v>
      </c>
      <c r="I100" s="106">
        <v>150.90922250341836</v>
      </c>
      <c r="J100" s="106">
        <v>130.94485603779529</v>
      </c>
      <c r="K100" s="106">
        <v>150.90922250341836</v>
      </c>
      <c r="L100" s="106">
        <v>130.94485603779529</v>
      </c>
      <c r="M100" s="106">
        <v>150.90922250341836</v>
      </c>
      <c r="N100" s="106">
        <v>130.94485603779529</v>
      </c>
      <c r="O100" s="106">
        <v>43.648285345931754</v>
      </c>
      <c r="P100" s="106">
        <v>150.90922250341836</v>
      </c>
      <c r="Q100" s="106">
        <v>43.648285345931754</v>
      </c>
      <c r="R100" s="106">
        <v>150.90922250341836</v>
      </c>
      <c r="S100" s="106">
        <v>150.90922250341836</v>
      </c>
      <c r="T100" s="106">
        <v>57.265434622271954</v>
      </c>
      <c r="U100" s="106">
        <v>101.84599914050744</v>
      </c>
      <c r="V100" s="106">
        <v>58.197713794575677</v>
      </c>
      <c r="W100" s="106">
        <v>150.90922250341836</v>
      </c>
      <c r="X100" s="106">
        <v>58.197713794575677</v>
      </c>
      <c r="Y100" s="106">
        <v>101.84599914050744</v>
      </c>
      <c r="Z100" s="106">
        <v>150.90922250341836</v>
      </c>
      <c r="AA100" s="106">
        <v>150.90922250341836</v>
      </c>
      <c r="AB100" s="106">
        <v>0</v>
      </c>
      <c r="AC100" s="106">
        <v>150.90922250341836</v>
      </c>
      <c r="AD100" s="106">
        <v>150.90922250341836</v>
      </c>
      <c r="AE100" s="106">
        <v>150.90922250341836</v>
      </c>
      <c r="AF100" s="106">
        <v>14.549428448643919</v>
      </c>
      <c r="AG100" s="106">
        <v>150.90922250341836</v>
      </c>
      <c r="AH100" s="106">
        <v>14.549428448643919</v>
      </c>
      <c r="AI100" s="106">
        <v>150.90922250341836</v>
      </c>
      <c r="AJ100" s="106">
        <v>150.90922250341836</v>
      </c>
      <c r="AK100" s="106">
        <v>150.90922250341836</v>
      </c>
      <c r="AL100" s="106">
        <v>120.7273780027347</v>
      </c>
      <c r="AM100" s="106">
        <v>120.7273780027347</v>
      </c>
      <c r="AN100" s="106">
        <v>59.595134826340029</v>
      </c>
      <c r="AO100" s="106">
        <v>59.706305708831678</v>
      </c>
      <c r="AP100" s="106">
        <v>59.816835723759468</v>
      </c>
      <c r="AQ100" s="106">
        <v>59.926707025038233</v>
      </c>
      <c r="AR100" s="106">
        <v>120.7273780027347</v>
      </c>
      <c r="AS100" s="106">
        <v>120.7273780027347</v>
      </c>
      <c r="AT100" s="106">
        <v>101.84599914050744</v>
      </c>
      <c r="AU100" s="106">
        <v>72.747142243219599</v>
      </c>
      <c r="AV100" s="106">
        <v>150.90922250341836</v>
      </c>
      <c r="AW100" s="106">
        <v>150.90922250341836</v>
      </c>
      <c r="AX100" s="106">
        <v>150.90922250341836</v>
      </c>
      <c r="AY100" s="106">
        <v>150.90922250341836</v>
      </c>
    </row>
    <row r="101" spans="1:52">
      <c r="A101" s="109"/>
      <c r="B101" s="119">
        <v>2</v>
      </c>
      <c r="C101" s="106">
        <v>0</v>
      </c>
      <c r="D101" s="106">
        <v>151.14021506794327</v>
      </c>
      <c r="E101" s="106">
        <v>151.14021506794327</v>
      </c>
      <c r="F101" s="106">
        <v>121.04546813801888</v>
      </c>
      <c r="G101" s="106">
        <v>69.235120777323786</v>
      </c>
      <c r="H101" s="106">
        <v>56.144343280742149</v>
      </c>
      <c r="I101" s="106">
        <v>10.053565784160497</v>
      </c>
      <c r="J101" s="106">
        <v>0</v>
      </c>
      <c r="K101" s="106">
        <v>19.964366465623073</v>
      </c>
      <c r="L101" s="106">
        <v>0</v>
      </c>
      <c r="M101" s="106">
        <v>19.964366465623073</v>
      </c>
      <c r="N101" s="106">
        <v>19.873588969041435</v>
      </c>
      <c r="O101" s="106">
        <v>19.964366465623073</v>
      </c>
      <c r="P101" s="106">
        <v>107.26093715748661</v>
      </c>
      <c r="Q101" s="106">
        <v>18.170159660904972</v>
      </c>
      <c r="R101" s="106">
        <v>107.26093715748661</v>
      </c>
      <c r="S101" s="106">
        <v>36.170159660904972</v>
      </c>
      <c r="T101" s="106">
        <v>0</v>
      </c>
      <c r="U101" s="106">
        <v>0</v>
      </c>
      <c r="V101" s="106">
        <v>49.063223362910918</v>
      </c>
      <c r="W101" s="106">
        <v>92.711508708842686</v>
      </c>
      <c r="X101" s="106">
        <v>87.620731212261049</v>
      </c>
      <c r="Y101" s="106">
        <v>92.711508708842686</v>
      </c>
      <c r="Z101" s="106">
        <v>74.620731212261049</v>
      </c>
      <c r="AA101" s="106">
        <v>12.529953715679397</v>
      </c>
      <c r="AB101" s="106">
        <v>0</v>
      </c>
      <c r="AC101" s="106">
        <v>0</v>
      </c>
      <c r="AD101" s="106">
        <v>0</v>
      </c>
      <c r="AE101" s="106">
        <v>6.9092225034183627</v>
      </c>
      <c r="AF101" s="106">
        <v>0</v>
      </c>
      <c r="AG101" s="106">
        <v>0</v>
      </c>
      <c r="AH101" s="106">
        <v>0</v>
      </c>
      <c r="AI101" s="106">
        <v>136.35979405477445</v>
      </c>
      <c r="AJ101" s="106">
        <v>108.26901655819282</v>
      </c>
      <c r="AK101" s="106">
        <v>38.17823906161118</v>
      </c>
      <c r="AL101" s="106">
        <v>13.087461565029542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49.063223362910918</v>
      </c>
      <c r="AV101" s="106">
        <v>78.162080260198763</v>
      </c>
      <c r="AW101" s="106">
        <v>17.071302763617126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6.1402150679432737</v>
      </c>
      <c r="F102" s="106">
        <v>5.2804301358865473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136.35979405477445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99.882902541468852</v>
      </c>
      <c r="D109" s="106">
        <v>54.953085402455926</v>
      </c>
      <c r="E109" s="106">
        <v>96.496860467848549</v>
      </c>
      <c r="F109" s="106">
        <v>77.14632260908553</v>
      </c>
      <c r="G109" s="106">
        <v>90.08729195311804</v>
      </c>
      <c r="H109" s="106">
        <v>90.087291953118054</v>
      </c>
      <c r="I109" s="106">
        <v>90.08729195311804</v>
      </c>
      <c r="J109" s="106">
        <v>90.087291953118054</v>
      </c>
      <c r="K109" s="106">
        <v>81.436060388476051</v>
      </c>
      <c r="L109" s="106">
        <v>98.738523517760058</v>
      </c>
      <c r="M109" s="106">
        <v>81.436060388476051</v>
      </c>
      <c r="N109" s="106">
        <v>98.738523517760058</v>
      </c>
      <c r="O109" s="106">
        <v>81.436060388476051</v>
      </c>
      <c r="P109" s="106">
        <v>52.258751330259848</v>
      </c>
      <c r="Q109" s="106">
        <v>136.56706414061824</v>
      </c>
      <c r="R109" s="106">
        <v>50.463559014793276</v>
      </c>
      <c r="S109" s="106">
        <v>136.56706414061824</v>
      </c>
      <c r="T109" s="106">
        <v>102.4414187883893</v>
      </c>
      <c r="U109" s="106">
        <v>49.508288610087142</v>
      </c>
      <c r="V109" s="106">
        <v>68.826546847523318</v>
      </c>
      <c r="W109" s="106">
        <v>71.173021641688948</v>
      </c>
      <c r="X109" s="106">
        <v>130.26230737014188</v>
      </c>
      <c r="Y109" s="106">
        <v>49.912276536094211</v>
      </c>
      <c r="Z109" s="106">
        <v>109.00156226454716</v>
      </c>
      <c r="AA109" s="106">
        <v>111.34803705871279</v>
      </c>
      <c r="AB109" s="106">
        <v>94.657233188940651</v>
      </c>
      <c r="AC109" s="106">
        <v>24.693249454188752</v>
      </c>
      <c r="AD109" s="106">
        <v>90.087291953118054</v>
      </c>
      <c r="AE109" s="106">
        <v>90.08729195311804</v>
      </c>
      <c r="AF109" s="106">
        <v>90.087291953118054</v>
      </c>
      <c r="AG109" s="106">
        <v>30.998006224665119</v>
      </c>
      <c r="AH109" s="106">
        <v>90.087291953118054</v>
      </c>
      <c r="AI109" s="106">
        <v>90.08729195311804</v>
      </c>
      <c r="AJ109" s="106">
        <v>149.17657768157099</v>
      </c>
      <c r="AK109" s="106">
        <v>102.05676419586224</v>
      </c>
      <c r="AL109" s="106">
        <v>94.186546659328243</v>
      </c>
      <c r="AM109" s="106">
        <v>77.008483453332204</v>
      </c>
      <c r="AN109" s="106">
        <v>77.008483453332204</v>
      </c>
      <c r="AO109" s="106">
        <v>50.517826076567296</v>
      </c>
      <c r="AP109" s="106">
        <v>50.566000159593536</v>
      </c>
      <c r="AQ109" s="106">
        <v>50.613896533146388</v>
      </c>
      <c r="AR109" s="106">
        <v>50.661507463916863</v>
      </c>
      <c r="AS109" s="106">
        <v>77.008483453332204</v>
      </c>
      <c r="AT109" s="106">
        <v>77.008483453332204</v>
      </c>
      <c r="AU109" s="106">
        <v>68.826546847523318</v>
      </c>
      <c r="AV109" s="106">
        <v>77.477778412165307</v>
      </c>
      <c r="AW109" s="106">
        <v>123.95755059966551</v>
      </c>
      <c r="AX109" s="106">
        <v>94.410326157962942</v>
      </c>
      <c r="AY109" s="106">
        <v>90.087291953118054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2.3235377279672207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9.1765776815709899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0.49302035917068565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134.15818689661353</v>
      </c>
      <c r="D122" s="106">
        <v>148.4955354213981</v>
      </c>
      <c r="E122" s="106">
        <v>189.05642529737352</v>
      </c>
      <c r="F122" s="106">
        <v>220.76984106785577</v>
      </c>
      <c r="G122" s="106">
        <v>220.76984106785579</v>
      </c>
      <c r="H122" s="106">
        <v>220.76984106785577</v>
      </c>
      <c r="I122" s="106">
        <v>220.76984106785579</v>
      </c>
      <c r="J122" s="106">
        <v>199.56894828753809</v>
      </c>
      <c r="K122" s="106">
        <v>220.76984106785579</v>
      </c>
      <c r="L122" s="106">
        <v>199.56894828753809</v>
      </c>
      <c r="M122" s="106">
        <v>220.76984106785579</v>
      </c>
      <c r="N122" s="106">
        <v>199.56894828753809</v>
      </c>
      <c r="O122" s="106">
        <v>106.86551897940163</v>
      </c>
      <c r="P122" s="106">
        <v>220.76984106785577</v>
      </c>
      <c r="Q122" s="106">
        <v>106.86551897940163</v>
      </c>
      <c r="R122" s="106">
        <v>220.76984106785577</v>
      </c>
      <c r="S122" s="106">
        <v>220.76984106785579</v>
      </c>
      <c r="T122" s="106">
        <v>121.32606909394585</v>
      </c>
      <c r="U122" s="106">
        <v>168.66780518482594</v>
      </c>
      <c r="V122" s="106">
        <v>122.31609053075769</v>
      </c>
      <c r="W122" s="106">
        <v>220.76984106785579</v>
      </c>
      <c r="X122" s="106">
        <v>122.31609053075769</v>
      </c>
      <c r="Y122" s="106">
        <v>168.66780518482594</v>
      </c>
      <c r="Z122" s="106">
        <v>220.76984106785577</v>
      </c>
      <c r="AA122" s="106">
        <v>220.76984106785579</v>
      </c>
      <c r="AB122" s="106">
        <v>60.513804325333389</v>
      </c>
      <c r="AC122" s="106">
        <v>220.76984106785579</v>
      </c>
      <c r="AD122" s="106">
        <v>220.76984106785577</v>
      </c>
      <c r="AE122" s="106">
        <v>220.76984106785579</v>
      </c>
      <c r="AF122" s="106">
        <v>75.964375876689473</v>
      </c>
      <c r="AG122" s="106">
        <v>220.76984106785579</v>
      </c>
      <c r="AH122" s="106">
        <v>75.964375876689473</v>
      </c>
      <c r="AI122" s="106">
        <v>220.76984106785579</v>
      </c>
      <c r="AJ122" s="106">
        <v>220.76984106785577</v>
      </c>
      <c r="AK122" s="106">
        <v>220.76984106785579</v>
      </c>
      <c r="AL122" s="106">
        <v>188.71863371935132</v>
      </c>
      <c r="AM122" s="106">
        <v>188.71863371935135</v>
      </c>
      <c r="AN122" s="106">
        <v>123.80006316341854</v>
      </c>
      <c r="AO122" s="106">
        <v>123.91811959982277</v>
      </c>
      <c r="AP122" s="106">
        <v>124.03549547546228</v>
      </c>
      <c r="AQ122" s="106">
        <v>124.15217183892497</v>
      </c>
      <c r="AR122" s="106">
        <v>188.71863371935132</v>
      </c>
      <c r="AS122" s="106">
        <v>188.71863371935132</v>
      </c>
      <c r="AT122" s="106">
        <v>168.66780518482594</v>
      </c>
      <c r="AU122" s="106">
        <v>137.76666208211378</v>
      </c>
      <c r="AV122" s="106">
        <v>220.76984106785579</v>
      </c>
      <c r="AW122" s="106">
        <v>220.76984106785579</v>
      </c>
      <c r="AX122" s="106">
        <v>220.76984106785579</v>
      </c>
      <c r="AY122" s="106">
        <v>220.76984106785579</v>
      </c>
    </row>
    <row r="123" spans="1:52">
      <c r="A123" s="109"/>
      <c r="B123" s="119">
        <v>2</v>
      </c>
      <c r="C123" s="106">
        <v>0</v>
      </c>
      <c r="D123" s="106">
        <v>87.981731096064706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21.200892780317673</v>
      </c>
      <c r="L123" s="106">
        <v>0</v>
      </c>
      <c r="M123" s="106">
        <v>21.200892780317673</v>
      </c>
      <c r="N123" s="106">
        <v>0</v>
      </c>
      <c r="O123" s="106">
        <v>21.200892780317673</v>
      </c>
      <c r="P123" s="106">
        <v>113.90432208845417</v>
      </c>
      <c r="Q123" s="106">
        <v>16.801556163805316</v>
      </c>
      <c r="R123" s="106">
        <v>113.90432208845415</v>
      </c>
      <c r="S123" s="106">
        <v>30.275286989138564</v>
      </c>
      <c r="T123" s="106">
        <v>0</v>
      </c>
      <c r="U123" s="106">
        <v>0</v>
      </c>
      <c r="V123" s="106">
        <v>52.102035883029842</v>
      </c>
      <c r="W123" s="106">
        <v>98.453750537098088</v>
      </c>
      <c r="X123" s="106">
        <v>0</v>
      </c>
      <c r="Y123" s="106">
        <v>98.453750537098088</v>
      </c>
      <c r="Z123" s="106">
        <v>52.102035883029856</v>
      </c>
      <c r="AA123" s="106">
        <v>11.199195562977252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144.80546519116629</v>
      </c>
      <c r="AJ123" s="106">
        <v>29.332644232128985</v>
      </c>
      <c r="AK123" s="106">
        <v>10.045721104122507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52.102035883029842</v>
      </c>
      <c r="AV123" s="106">
        <v>83.003178985741982</v>
      </c>
      <c r="AW123" s="106">
        <v>10.594119921277951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144.80546519116629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0.40961410312442942</v>
      </c>
      <c r="D172" s="134">
        <v>0.40805977626911838</v>
      </c>
      <c r="E172" s="134">
        <v>0.40805977626911838</v>
      </c>
      <c r="F172" s="134">
        <v>0.40805977626911838</v>
      </c>
      <c r="G172" s="134">
        <v>0.40805977626911838</v>
      </c>
      <c r="H172" s="134">
        <v>0.40805977626911838</v>
      </c>
      <c r="I172" s="134">
        <v>0.40805977626911838</v>
      </c>
      <c r="J172" s="134">
        <v>0.40805977626911838</v>
      </c>
      <c r="K172" s="134">
        <v>0.40805977626911838</v>
      </c>
      <c r="L172" s="134">
        <v>0.40805977626911838</v>
      </c>
      <c r="M172" s="134">
        <v>0.40805977626911838</v>
      </c>
      <c r="N172" s="134">
        <v>0.40805977626911838</v>
      </c>
      <c r="O172" s="134">
        <v>0.40805977626911838</v>
      </c>
      <c r="P172" s="134">
        <v>0.40805977626911838</v>
      </c>
      <c r="Q172" s="134">
        <v>0.40805977626911838</v>
      </c>
      <c r="R172" s="134">
        <v>0.40805977626911838</v>
      </c>
      <c r="S172" s="134">
        <v>0.40805977626911838</v>
      </c>
      <c r="T172" s="134">
        <v>0.40805977626911838</v>
      </c>
      <c r="U172" s="134">
        <v>0.40805977626911838</v>
      </c>
      <c r="V172" s="134">
        <v>0.40805977626911838</v>
      </c>
      <c r="W172" s="134">
        <v>0.40805977626911838</v>
      </c>
      <c r="X172" s="134">
        <v>0.40805977626911838</v>
      </c>
      <c r="Y172" s="134">
        <v>0.40805977626911838</v>
      </c>
      <c r="Z172" s="134">
        <v>0.40805977626911838</v>
      </c>
      <c r="AA172" s="134">
        <v>0.40805977626911838</v>
      </c>
      <c r="AB172" s="134">
        <v>0.40805977626911838</v>
      </c>
      <c r="AC172" s="134">
        <v>0.40805977626911838</v>
      </c>
      <c r="AD172" s="134">
        <v>0.40805977626911838</v>
      </c>
      <c r="AE172" s="134">
        <v>0.40805977626911838</v>
      </c>
      <c r="AF172" s="134">
        <v>0.40805977626911838</v>
      </c>
      <c r="AG172" s="134">
        <v>0.40805977626911838</v>
      </c>
      <c r="AH172" s="134">
        <v>0.40805977626911838</v>
      </c>
      <c r="AI172" s="134">
        <v>0.40805977626911838</v>
      </c>
      <c r="AJ172" s="134">
        <v>0.40805977626911838</v>
      </c>
      <c r="AK172" s="134">
        <v>0.40805977626911838</v>
      </c>
      <c r="AL172" s="134">
        <v>0.40805977626911838</v>
      </c>
      <c r="AM172" s="134">
        <v>0.40805977626911838</v>
      </c>
      <c r="AN172" s="134">
        <v>0.40805977626911838</v>
      </c>
      <c r="AO172" s="134">
        <v>0.40805977626911838</v>
      </c>
      <c r="AP172" s="134">
        <v>0.40805977626911838</v>
      </c>
      <c r="AQ172" s="134">
        <v>0.40805977626911838</v>
      </c>
      <c r="AR172" s="134">
        <v>0.40805977626911838</v>
      </c>
      <c r="AS172" s="134">
        <v>0.40805977626911838</v>
      </c>
      <c r="AT172" s="134">
        <v>0.40805977626911838</v>
      </c>
      <c r="AU172" s="134">
        <v>0.40805977626911838</v>
      </c>
      <c r="AV172" s="134">
        <v>0.40805977626911838</v>
      </c>
      <c r="AW172" s="134">
        <v>0.40805977626911838</v>
      </c>
      <c r="AX172" s="134">
        <v>0.40805977626911838</v>
      </c>
      <c r="AY172" s="134">
        <v>0.40805977626911838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802.9135982883987</v>
      </c>
      <c r="E175" s="124">
        <f t="shared" si="1"/>
        <v>848.446181731671</v>
      </c>
      <c r="F175" s="124">
        <f t="shared" si="1"/>
        <v>865.28471875974537</v>
      </c>
      <c r="G175" s="124">
        <f t="shared" si="1"/>
        <v>866.13033377308943</v>
      </c>
      <c r="H175" s="124">
        <f t="shared" si="1"/>
        <v>866.13033377308943</v>
      </c>
      <c r="I175" s="124">
        <f t="shared" si="1"/>
        <v>866.13033377308943</v>
      </c>
      <c r="J175" s="124">
        <f t="shared" si="1"/>
        <v>865.66291721636173</v>
      </c>
      <c r="K175" s="124">
        <f t="shared" si="1"/>
        <v>866.13033377308943</v>
      </c>
      <c r="L175" s="124">
        <f t="shared" si="1"/>
        <v>866.13033377308943</v>
      </c>
      <c r="M175" s="124">
        <f t="shared" si="1"/>
        <v>866.13033377308943</v>
      </c>
      <c r="N175" s="124">
        <f t="shared" si="1"/>
        <v>851.66291721636173</v>
      </c>
      <c r="O175" s="124">
        <f t="shared" si="1"/>
        <v>866.13033377308943</v>
      </c>
      <c r="P175" s="124">
        <f t="shared" si="1"/>
        <v>866.13033377308943</v>
      </c>
      <c r="Q175" s="124">
        <f t="shared" si="1"/>
        <v>866.13033377308943</v>
      </c>
      <c r="R175" s="124">
        <f t="shared" si="1"/>
        <v>731.76524344297968</v>
      </c>
      <c r="S175" s="124">
        <f t="shared" si="1"/>
        <v>729.2978268862521</v>
      </c>
      <c r="T175" s="124">
        <f t="shared" si="1"/>
        <v>731.76524344297968</v>
      </c>
      <c r="U175" s="124">
        <f t="shared" si="1"/>
        <v>731.76524344297968</v>
      </c>
      <c r="V175" s="124">
        <f t="shared" si="1"/>
        <v>721.2978268862521</v>
      </c>
      <c r="W175" s="124">
        <f t="shared" si="1"/>
        <v>705.8304103295244</v>
      </c>
      <c r="X175" s="124">
        <f t="shared" si="1"/>
        <v>766.3629937727967</v>
      </c>
      <c r="Y175" s="124">
        <f t="shared" si="1"/>
        <v>802.89557721606911</v>
      </c>
      <c r="Z175" s="124">
        <f t="shared" si="1"/>
        <v>858.42816065934153</v>
      </c>
      <c r="AA175" s="124">
        <f t="shared" si="1"/>
        <v>866.13033377308943</v>
      </c>
      <c r="AB175" s="124">
        <f t="shared" si="1"/>
        <v>866.13033377308943</v>
      </c>
      <c r="AC175" s="124">
        <f t="shared" si="1"/>
        <v>840.66291721636173</v>
      </c>
      <c r="AD175" s="124">
        <f t="shared" si="1"/>
        <v>839.19550065963404</v>
      </c>
      <c r="AE175" s="124">
        <f t="shared" si="1"/>
        <v>860.72808410290645</v>
      </c>
      <c r="AF175" s="124">
        <f t="shared" si="1"/>
        <v>866.13033377308943</v>
      </c>
      <c r="AG175" s="124">
        <f t="shared" si="1"/>
        <v>866.13033377308943</v>
      </c>
      <c r="AH175" s="124">
        <f t="shared" si="1"/>
        <v>866.13033377308943</v>
      </c>
      <c r="AI175" s="124">
        <f t="shared" si="1"/>
        <v>866.13033377308943</v>
      </c>
      <c r="AJ175" s="124">
        <f t="shared" si="1"/>
        <v>822.82381708443495</v>
      </c>
      <c r="AK175" s="124">
        <f t="shared" si="1"/>
        <v>779.51730039578047</v>
      </c>
      <c r="AL175" s="124">
        <f t="shared" si="1"/>
        <v>648.49498789903851</v>
      </c>
      <c r="AM175" s="124">
        <f t="shared" si="1"/>
        <v>517.63218930072003</v>
      </c>
      <c r="AN175" s="124">
        <f t="shared" si="1"/>
        <v>375.46056849321155</v>
      </c>
      <c r="AO175" s="124">
        <f t="shared" si="1"/>
        <v>280.44659687584198</v>
      </c>
      <c r="AP175" s="124">
        <f t="shared" si="1"/>
        <v>272.67266363045991</v>
      </c>
      <c r="AQ175" s="124">
        <f t="shared" si="1"/>
        <v>229.89873038507784</v>
      </c>
      <c r="AR175" s="124">
        <f t="shared" si="1"/>
        <v>232.43131382835017</v>
      </c>
      <c r="AS175" s="124">
        <f t="shared" si="1"/>
        <v>219.96389727162253</v>
      </c>
      <c r="AT175" s="124">
        <f t="shared" si="1"/>
        <v>235.49648071489489</v>
      </c>
      <c r="AU175" s="124">
        <f t="shared" si="1"/>
        <v>247.02906415816724</v>
      </c>
      <c r="AV175" s="124">
        <f t="shared" si="1"/>
        <v>253.5616476014396</v>
      </c>
      <c r="AW175" s="124">
        <f t="shared" si="1"/>
        <v>284.09423104471193</v>
      </c>
      <c r="AX175" s="124">
        <f t="shared" si="1"/>
        <v>350.62681448798435</v>
      </c>
      <c r="AY175" s="124">
        <f t="shared" si="1"/>
        <v>394.15939793125665</v>
      </c>
    </row>
    <row r="176" spans="1:52">
      <c r="A176" s="125"/>
      <c r="B176" s="136" t="s">
        <v>299</v>
      </c>
      <c r="C176" s="125" t="s">
        <v>293</v>
      </c>
      <c r="D176" s="125">
        <v>171</v>
      </c>
      <c r="E176" s="125">
        <v>170</v>
      </c>
      <c r="F176" s="125">
        <v>170</v>
      </c>
      <c r="G176" s="125">
        <v>176</v>
      </c>
      <c r="H176" s="125">
        <v>204</v>
      </c>
      <c r="I176" s="125">
        <v>217</v>
      </c>
      <c r="J176" s="125">
        <v>168</v>
      </c>
      <c r="K176" s="125">
        <v>166</v>
      </c>
      <c r="L176" s="125">
        <v>163</v>
      </c>
      <c r="M176" s="125">
        <v>231</v>
      </c>
      <c r="N176" s="125">
        <v>153</v>
      </c>
      <c r="O176" s="125">
        <v>191</v>
      </c>
      <c r="P176" s="125">
        <v>170</v>
      </c>
      <c r="Q176" s="125">
        <v>215</v>
      </c>
      <c r="R176" s="125">
        <v>219</v>
      </c>
      <c r="S176" s="125">
        <v>140</v>
      </c>
      <c r="T176" s="125">
        <v>206</v>
      </c>
      <c r="U176" s="125">
        <v>227</v>
      </c>
      <c r="V176" s="125">
        <v>232</v>
      </c>
      <c r="W176" s="125">
        <v>156</v>
      </c>
      <c r="X176" s="125">
        <v>180</v>
      </c>
      <c r="Y176" s="125">
        <v>161</v>
      </c>
      <c r="Z176" s="125">
        <v>162</v>
      </c>
      <c r="AA176" s="125">
        <v>179</v>
      </c>
      <c r="AB176" s="125">
        <v>242</v>
      </c>
      <c r="AC176" s="125">
        <v>218</v>
      </c>
      <c r="AD176" s="125">
        <v>195</v>
      </c>
      <c r="AE176" s="125">
        <v>208</v>
      </c>
      <c r="AF176" s="125">
        <v>162</v>
      </c>
      <c r="AG176" s="125">
        <v>157</v>
      </c>
      <c r="AH176" s="125">
        <v>209</v>
      </c>
      <c r="AI176" s="125">
        <v>212</v>
      </c>
      <c r="AJ176" s="125">
        <v>213</v>
      </c>
      <c r="AK176" s="125">
        <v>206</v>
      </c>
      <c r="AL176" s="125">
        <v>183</v>
      </c>
      <c r="AM176" s="125">
        <v>228</v>
      </c>
      <c r="AN176" s="125">
        <v>181</v>
      </c>
      <c r="AO176" s="125">
        <v>181</v>
      </c>
      <c r="AP176" s="125">
        <v>216</v>
      </c>
      <c r="AQ176" s="125">
        <v>214</v>
      </c>
      <c r="AR176" s="125">
        <v>229</v>
      </c>
      <c r="AS176" s="125">
        <v>201</v>
      </c>
      <c r="AT176" s="125">
        <v>205</v>
      </c>
      <c r="AU176" s="125">
        <v>210</v>
      </c>
      <c r="AV176" s="125">
        <v>186</v>
      </c>
      <c r="AW176" s="125">
        <v>150</v>
      </c>
      <c r="AX176" s="125">
        <v>173</v>
      </c>
      <c r="AY176" s="125">
        <v>205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302.28043013588655</v>
      </c>
      <c r="E177" s="124">
        <f t="shared" si="2"/>
        <v>278.32589827390541</v>
      </c>
      <c r="F177" s="124">
        <f t="shared" si="2"/>
        <v>277.2351207773238</v>
      </c>
      <c r="G177" s="124">
        <f t="shared" si="2"/>
        <v>220.14434328074213</v>
      </c>
      <c r="H177" s="124">
        <f t="shared" si="2"/>
        <v>207.05356578416053</v>
      </c>
      <c r="I177" s="124">
        <f t="shared" si="2"/>
        <v>160.96278828757886</v>
      </c>
      <c r="J177" s="124">
        <f t="shared" si="2"/>
        <v>130.94485603779529</v>
      </c>
      <c r="K177" s="124">
        <f t="shared" si="2"/>
        <v>170.87358896904144</v>
      </c>
      <c r="L177" s="124">
        <f t="shared" si="2"/>
        <v>130.94485603779529</v>
      </c>
      <c r="M177" s="124">
        <f t="shared" si="2"/>
        <v>170.87358896904144</v>
      </c>
      <c r="N177" s="124">
        <f t="shared" si="2"/>
        <v>150.81844500683673</v>
      </c>
      <c r="O177" s="124">
        <f t="shared" si="2"/>
        <v>63.612651811554827</v>
      </c>
      <c r="P177" s="124">
        <f t="shared" si="2"/>
        <v>258.17015966090497</v>
      </c>
      <c r="Q177" s="124">
        <f t="shared" si="2"/>
        <v>61.818445006836725</v>
      </c>
      <c r="R177" s="124">
        <f t="shared" si="2"/>
        <v>258.17015966090497</v>
      </c>
      <c r="S177" s="124">
        <f t="shared" si="2"/>
        <v>187.07938216432333</v>
      </c>
      <c r="T177" s="124">
        <f t="shared" si="2"/>
        <v>57.265434622271954</v>
      </c>
      <c r="U177" s="124">
        <f t="shared" si="2"/>
        <v>101.84599914050744</v>
      </c>
      <c r="V177" s="124">
        <f t="shared" si="2"/>
        <v>107.26093715748659</v>
      </c>
      <c r="W177" s="124">
        <f t="shared" si="2"/>
        <v>243.62073121226103</v>
      </c>
      <c r="X177" s="124">
        <f t="shared" si="2"/>
        <v>145.81844500683673</v>
      </c>
      <c r="Y177" s="124">
        <f t="shared" si="2"/>
        <v>194.55750784935015</v>
      </c>
      <c r="Z177" s="124">
        <f t="shared" si="2"/>
        <v>225.52995371567943</v>
      </c>
      <c r="AA177" s="124">
        <f t="shared" si="2"/>
        <v>163.43917621909776</v>
      </c>
      <c r="AB177" s="124">
        <f t="shared" si="2"/>
        <v>0</v>
      </c>
      <c r="AC177" s="124">
        <f t="shared" si="2"/>
        <v>150.90922250341836</v>
      </c>
      <c r="AD177" s="124">
        <f t="shared" si="2"/>
        <v>150.90922250341836</v>
      </c>
      <c r="AE177" s="124">
        <f t="shared" si="2"/>
        <v>157.81844500683673</v>
      </c>
      <c r="AF177" s="124">
        <f t="shared" si="2"/>
        <v>14.549428448643919</v>
      </c>
      <c r="AG177" s="124">
        <f t="shared" si="2"/>
        <v>150.90922250341836</v>
      </c>
      <c r="AH177" s="124">
        <f t="shared" si="2"/>
        <v>150.90922250341836</v>
      </c>
      <c r="AI177" s="124">
        <f t="shared" si="2"/>
        <v>287.26901655819279</v>
      </c>
      <c r="AJ177" s="124">
        <f t="shared" si="2"/>
        <v>259.17823906161118</v>
      </c>
      <c r="AK177" s="124">
        <f t="shared" si="2"/>
        <v>189.08746156502954</v>
      </c>
      <c r="AL177" s="124">
        <f t="shared" si="2"/>
        <v>133.81483956776424</v>
      </c>
      <c r="AM177" s="124">
        <f t="shared" si="2"/>
        <v>120.7273780027347</v>
      </c>
      <c r="AN177" s="124">
        <f t="shared" si="2"/>
        <v>59.595134826340029</v>
      </c>
      <c r="AO177" s="124">
        <f t="shared" si="2"/>
        <v>59.706305708831678</v>
      </c>
      <c r="AP177" s="124">
        <f t="shared" si="2"/>
        <v>59.816835723759468</v>
      </c>
      <c r="AQ177" s="124">
        <f t="shared" si="2"/>
        <v>59.926707025038233</v>
      </c>
      <c r="AR177" s="124">
        <f t="shared" si="2"/>
        <v>120.7273780027347</v>
      </c>
      <c r="AS177" s="124">
        <f t="shared" si="2"/>
        <v>120.7273780027347</v>
      </c>
      <c r="AT177" s="124">
        <f t="shared" si="2"/>
        <v>101.84599914050744</v>
      </c>
      <c r="AU177" s="124">
        <f t="shared" si="2"/>
        <v>121.81036560613052</v>
      </c>
      <c r="AV177" s="124">
        <f t="shared" si="2"/>
        <v>229.07130276361713</v>
      </c>
      <c r="AW177" s="124">
        <f t="shared" si="2"/>
        <v>167.98052526703549</v>
      </c>
      <c r="AX177" s="124">
        <f t="shared" si="2"/>
        <v>150.90922250341836</v>
      </c>
      <c r="AY177" s="124">
        <f t="shared" si="2"/>
        <v>150.90922250341836</v>
      </c>
    </row>
    <row r="178" spans="1:51">
      <c r="A178" s="125"/>
      <c r="B178" s="136" t="s">
        <v>299</v>
      </c>
      <c r="C178" s="125" t="s">
        <v>293</v>
      </c>
      <c r="D178" s="125">
        <v>145</v>
      </c>
      <c r="E178" s="125">
        <v>152</v>
      </c>
      <c r="F178" s="125">
        <v>208</v>
      </c>
      <c r="G178" s="125">
        <v>164</v>
      </c>
      <c r="H178" s="125">
        <v>197</v>
      </c>
      <c r="I178" s="125">
        <v>160.96278828757886</v>
      </c>
      <c r="J178" s="125">
        <v>130.94485603779529</v>
      </c>
      <c r="K178" s="125">
        <v>170.87358896904144</v>
      </c>
      <c r="L178" s="125">
        <v>130.94485603779529</v>
      </c>
      <c r="M178" s="125">
        <v>151</v>
      </c>
      <c r="N178" s="125">
        <v>150.81844500683673</v>
      </c>
      <c r="O178" s="125">
        <v>63.612651811554827</v>
      </c>
      <c r="P178" s="125">
        <v>240</v>
      </c>
      <c r="Q178" s="125">
        <v>61.818445006836725</v>
      </c>
      <c r="R178" s="125">
        <v>222</v>
      </c>
      <c r="S178" s="125">
        <v>187.07938216432333</v>
      </c>
      <c r="T178" s="125">
        <v>57.265434622271954</v>
      </c>
      <c r="U178" s="125">
        <v>101.84599914050744</v>
      </c>
      <c r="V178" s="125">
        <v>107.26093715748659</v>
      </c>
      <c r="W178" s="125">
        <v>156</v>
      </c>
      <c r="X178" s="125">
        <v>145.81844500683673</v>
      </c>
      <c r="Y178" s="125">
        <v>169</v>
      </c>
      <c r="Z178" s="125">
        <v>213</v>
      </c>
      <c r="AA178" s="125">
        <v>163.43917621909776</v>
      </c>
      <c r="AB178" s="125">
        <v>0</v>
      </c>
      <c r="AC178" s="125">
        <v>150.90922250341836</v>
      </c>
      <c r="AD178" s="125">
        <v>144</v>
      </c>
      <c r="AE178" s="125">
        <v>157.81844500683673</v>
      </c>
      <c r="AF178" s="125">
        <v>14.549428448643919</v>
      </c>
      <c r="AG178" s="125">
        <v>150.90922250341836</v>
      </c>
      <c r="AH178" s="125">
        <v>150.90922250341836</v>
      </c>
      <c r="AI178" s="125">
        <v>179</v>
      </c>
      <c r="AJ178" s="125">
        <v>221</v>
      </c>
      <c r="AK178" s="125">
        <v>176</v>
      </c>
      <c r="AL178" s="125">
        <v>133.81483956776424</v>
      </c>
      <c r="AM178" s="125">
        <v>120.7273780027347</v>
      </c>
      <c r="AN178" s="125">
        <v>59.595134826340029</v>
      </c>
      <c r="AO178" s="125">
        <v>59.706305708831678</v>
      </c>
      <c r="AP178" s="125">
        <v>59.816835723759468</v>
      </c>
      <c r="AQ178" s="125">
        <v>59.926707025038233</v>
      </c>
      <c r="AR178" s="125">
        <v>120.7273780027347</v>
      </c>
      <c r="AS178" s="125">
        <v>120.7273780027347</v>
      </c>
      <c r="AT178" s="125">
        <v>101.84599914050744</v>
      </c>
      <c r="AU178" s="125">
        <v>121.81036560613052</v>
      </c>
      <c r="AV178" s="125">
        <v>212</v>
      </c>
      <c r="AW178" s="125">
        <v>167.98052526703549</v>
      </c>
      <c r="AX178" s="125">
        <v>150.90922250341836</v>
      </c>
      <c r="AY178" s="125">
        <v>150.90922250341836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54.953085402455926</v>
      </c>
      <c r="E179" s="124">
        <f t="shared" si="3"/>
        <v>96.496860467848549</v>
      </c>
      <c r="F179" s="124">
        <f t="shared" si="3"/>
        <v>77.14632260908553</v>
      </c>
      <c r="G179" s="124">
        <f t="shared" si="3"/>
        <v>90.08729195311804</v>
      </c>
      <c r="H179" s="124">
        <f t="shared" si="3"/>
        <v>90.087291953118054</v>
      </c>
      <c r="I179" s="124">
        <f t="shared" si="3"/>
        <v>90.08729195311804</v>
      </c>
      <c r="J179" s="124">
        <f t="shared" si="3"/>
        <v>90.087291953118054</v>
      </c>
      <c r="K179" s="124">
        <f t="shared" si="3"/>
        <v>81.436060388476051</v>
      </c>
      <c r="L179" s="124">
        <f t="shared" si="3"/>
        <v>98.738523517760058</v>
      </c>
      <c r="M179" s="124">
        <f t="shared" si="3"/>
        <v>81.436060388476051</v>
      </c>
      <c r="N179" s="124">
        <f t="shared" si="3"/>
        <v>98.738523517760058</v>
      </c>
      <c r="O179" s="124">
        <f t="shared" si="3"/>
        <v>81.436060388476051</v>
      </c>
      <c r="P179" s="124">
        <f t="shared" si="3"/>
        <v>52.258751330259848</v>
      </c>
      <c r="Q179" s="124">
        <f t="shared" si="3"/>
        <v>136.56706414061824</v>
      </c>
      <c r="R179" s="124">
        <f t="shared" si="3"/>
        <v>50.463559014793276</v>
      </c>
      <c r="S179" s="124">
        <f t="shared" si="3"/>
        <v>136.56706414061824</v>
      </c>
      <c r="T179" s="124">
        <f t="shared" si="3"/>
        <v>104.76495651635652</v>
      </c>
      <c r="U179" s="124">
        <f t="shared" si="3"/>
        <v>49.508288610087142</v>
      </c>
      <c r="V179" s="124">
        <f t="shared" si="3"/>
        <v>68.826546847523318</v>
      </c>
      <c r="W179" s="124">
        <f t="shared" si="3"/>
        <v>71.173021641688948</v>
      </c>
      <c r="X179" s="124">
        <f t="shared" si="3"/>
        <v>130.26230737014188</v>
      </c>
      <c r="Y179" s="124">
        <f t="shared" si="3"/>
        <v>49.912276536094211</v>
      </c>
      <c r="Z179" s="124">
        <f t="shared" si="3"/>
        <v>109.00156226454716</v>
      </c>
      <c r="AA179" s="124">
        <f t="shared" si="3"/>
        <v>111.34803705871279</v>
      </c>
      <c r="AB179" s="124">
        <f t="shared" si="3"/>
        <v>94.657233188940651</v>
      </c>
      <c r="AC179" s="124">
        <f t="shared" si="3"/>
        <v>24.693249454188752</v>
      </c>
      <c r="AD179" s="124">
        <f t="shared" si="3"/>
        <v>90.087291953118054</v>
      </c>
      <c r="AE179" s="124">
        <f t="shared" si="3"/>
        <v>90.08729195311804</v>
      </c>
      <c r="AF179" s="124">
        <f t="shared" si="3"/>
        <v>90.087291953118054</v>
      </c>
      <c r="AG179" s="124">
        <f t="shared" si="3"/>
        <v>30.998006224665119</v>
      </c>
      <c r="AH179" s="124">
        <f t="shared" si="3"/>
        <v>90.087291953118054</v>
      </c>
      <c r="AI179" s="124">
        <f t="shared" si="3"/>
        <v>90.08729195311804</v>
      </c>
      <c r="AJ179" s="124">
        <f t="shared" si="3"/>
        <v>149.17657768157099</v>
      </c>
      <c r="AK179" s="124">
        <f t="shared" si="3"/>
        <v>111.23334187743323</v>
      </c>
      <c r="AL179" s="124">
        <f t="shared" si="3"/>
        <v>94.186546659328243</v>
      </c>
      <c r="AM179" s="124">
        <f t="shared" si="3"/>
        <v>77.008483453332204</v>
      </c>
      <c r="AN179" s="124">
        <f t="shared" si="3"/>
        <v>77.008483453332204</v>
      </c>
      <c r="AO179" s="124">
        <f t="shared" si="3"/>
        <v>50.517826076567296</v>
      </c>
      <c r="AP179" s="124">
        <f t="shared" si="3"/>
        <v>50.566000159593536</v>
      </c>
      <c r="AQ179" s="124">
        <f t="shared" si="3"/>
        <v>50.613896533146388</v>
      </c>
      <c r="AR179" s="124">
        <f t="shared" si="3"/>
        <v>50.661507463916863</v>
      </c>
      <c r="AS179" s="124">
        <f t="shared" si="3"/>
        <v>77.008483453332204</v>
      </c>
      <c r="AT179" s="124">
        <f t="shared" si="3"/>
        <v>77.008483453332204</v>
      </c>
      <c r="AU179" s="124">
        <f t="shared" si="3"/>
        <v>68.826546847523318</v>
      </c>
      <c r="AV179" s="124">
        <f t="shared" si="3"/>
        <v>77.477778412165307</v>
      </c>
      <c r="AW179" s="124">
        <f t="shared" si="3"/>
        <v>123.95755059966551</v>
      </c>
      <c r="AX179" s="124">
        <f t="shared" si="3"/>
        <v>94.903346517133627</v>
      </c>
      <c r="AY179" s="124">
        <f t="shared" si="3"/>
        <v>90.087291953118054</v>
      </c>
    </row>
    <row r="180" spans="1:51">
      <c r="A180" s="125"/>
      <c r="B180" s="136" t="s">
        <v>299</v>
      </c>
      <c r="C180" s="125" t="s">
        <v>293</v>
      </c>
      <c r="D180" s="125">
        <v>54.953085402455926</v>
      </c>
      <c r="E180" s="125">
        <v>96.496860467848549</v>
      </c>
      <c r="F180" s="125">
        <v>77.14632260908553</v>
      </c>
      <c r="G180" s="125">
        <v>90.08729195311804</v>
      </c>
      <c r="H180" s="125">
        <v>90.087291953118054</v>
      </c>
      <c r="I180" s="125">
        <v>90.08729195311804</v>
      </c>
      <c r="J180" s="125">
        <v>90.087291953118054</v>
      </c>
      <c r="K180" s="125">
        <v>81.436060388476051</v>
      </c>
      <c r="L180" s="125">
        <v>98.738523517760058</v>
      </c>
      <c r="M180" s="125">
        <v>81.436060388476051</v>
      </c>
      <c r="N180" s="125">
        <v>98.738523517760058</v>
      </c>
      <c r="O180" s="125">
        <v>81.436060388476051</v>
      </c>
      <c r="P180" s="125">
        <v>52.258751330259848</v>
      </c>
      <c r="Q180" s="125">
        <v>136.56706414061824</v>
      </c>
      <c r="R180" s="125">
        <v>50.463559014793276</v>
      </c>
      <c r="S180" s="125">
        <v>134.24352641265102</v>
      </c>
      <c r="T180" s="125">
        <v>104.76495651635652</v>
      </c>
      <c r="U180" s="125">
        <v>49.508288610087142</v>
      </c>
      <c r="V180" s="125">
        <v>68.826546847523318</v>
      </c>
      <c r="W180" s="125">
        <v>71.173021641688948</v>
      </c>
      <c r="X180" s="125">
        <v>130.26230737014188</v>
      </c>
      <c r="Y180" s="125">
        <v>49.912276536094211</v>
      </c>
      <c r="Z180" s="125">
        <v>109.00156226454716</v>
      </c>
      <c r="AA180" s="125">
        <v>111.34803705871279</v>
      </c>
      <c r="AB180" s="125">
        <v>94.657233188940651</v>
      </c>
      <c r="AC180" s="125">
        <v>24.693249454188752</v>
      </c>
      <c r="AD180" s="125">
        <v>90.087291953118054</v>
      </c>
      <c r="AE180" s="125">
        <v>90.08729195311804</v>
      </c>
      <c r="AF180" s="125">
        <v>90.087291953118054</v>
      </c>
      <c r="AG180" s="125">
        <v>30.998006224665119</v>
      </c>
      <c r="AH180" s="125">
        <v>90.087291953118054</v>
      </c>
      <c r="AI180" s="125">
        <v>90.08729195311804</v>
      </c>
      <c r="AJ180" s="125">
        <v>140</v>
      </c>
      <c r="AK180" s="125">
        <v>111.23334187743323</v>
      </c>
      <c r="AL180" s="125">
        <v>94.186546659328243</v>
      </c>
      <c r="AM180" s="125">
        <v>77.008483453332204</v>
      </c>
      <c r="AN180" s="125">
        <v>77.008483453332204</v>
      </c>
      <c r="AO180" s="125">
        <v>50.517826076567296</v>
      </c>
      <c r="AP180" s="125">
        <v>50.566000159593536</v>
      </c>
      <c r="AQ180" s="125">
        <v>50.613896533146388</v>
      </c>
      <c r="AR180" s="125">
        <v>50.661507463916863</v>
      </c>
      <c r="AS180" s="125">
        <v>77.008483453332204</v>
      </c>
      <c r="AT180" s="125">
        <v>77.008483453332204</v>
      </c>
      <c r="AU180" s="125">
        <v>68.826546847523318</v>
      </c>
      <c r="AV180" s="125">
        <v>77.477778412165307</v>
      </c>
      <c r="AW180" s="125">
        <v>123.46453024049482</v>
      </c>
      <c r="AX180" s="125">
        <v>94.903346517133627</v>
      </c>
      <c r="AY180" s="125">
        <v>90.087291953118054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139.98040604961426</v>
      </c>
      <c r="E181" s="124">
        <f t="shared" si="4"/>
        <v>111.91010268828799</v>
      </c>
      <c r="F181" s="124">
        <f t="shared" si="4"/>
        <v>130.68254911473772</v>
      </c>
      <c r="G181" s="124">
        <f t="shared" si="4"/>
        <v>130.68254911473772</v>
      </c>
      <c r="H181" s="124">
        <f t="shared" si="4"/>
        <v>130.68254911473772</v>
      </c>
      <c r="I181" s="124">
        <f t="shared" si="4"/>
        <v>130.68254911473772</v>
      </c>
      <c r="J181" s="124">
        <f t="shared" si="4"/>
        <v>118.13288789906204</v>
      </c>
      <c r="K181" s="124">
        <f t="shared" si="4"/>
        <v>143.23221033041341</v>
      </c>
      <c r="L181" s="124">
        <f t="shared" si="4"/>
        <v>118.13288789906204</v>
      </c>
      <c r="M181" s="124">
        <f t="shared" si="4"/>
        <v>143.23221033041341</v>
      </c>
      <c r="N181" s="124">
        <f t="shared" si="4"/>
        <v>118.13288789906204</v>
      </c>
      <c r="O181" s="124">
        <f t="shared" si="4"/>
        <v>75.807660429459446</v>
      </c>
      <c r="P181" s="124">
        <f t="shared" si="4"/>
        <v>198.10709901569169</v>
      </c>
      <c r="Q181" s="124">
        <f t="shared" si="4"/>
        <v>73.203516128413668</v>
      </c>
      <c r="R181" s="124">
        <f t="shared" si="4"/>
        <v>198.10709901569169</v>
      </c>
      <c r="S181" s="124">
        <f t="shared" si="4"/>
        <v>148.60370926860509</v>
      </c>
      <c r="T181" s="124">
        <f t="shared" si="4"/>
        <v>71.817780483858712</v>
      </c>
      <c r="U181" s="124">
        <f t="shared" si="4"/>
        <v>99.841258337302619</v>
      </c>
      <c r="V181" s="124">
        <f t="shared" si="4"/>
        <v>103.2451047720986</v>
      </c>
      <c r="W181" s="124">
        <f t="shared" si="4"/>
        <v>188.96128423481198</v>
      </c>
      <c r="X181" s="124">
        <f t="shared" si="4"/>
        <v>72.40381399466348</v>
      </c>
      <c r="Y181" s="124">
        <f t="shared" si="4"/>
        <v>158.11999345737686</v>
      </c>
      <c r="Z181" s="124">
        <f t="shared" si="4"/>
        <v>161.52383989217284</v>
      </c>
      <c r="AA181" s="124">
        <f t="shared" si="4"/>
        <v>137.31180344189238</v>
      </c>
      <c r="AB181" s="124">
        <f t="shared" si="4"/>
        <v>35.820554871144637</v>
      </c>
      <c r="AC181" s="124">
        <f t="shared" si="4"/>
        <v>130.68254911473772</v>
      </c>
      <c r="AD181" s="124">
        <f t="shared" si="4"/>
        <v>130.68254911473772</v>
      </c>
      <c r="AE181" s="124">
        <f t="shared" si="4"/>
        <v>130.68254911473772</v>
      </c>
      <c r="AF181" s="124">
        <f t="shared" si="4"/>
        <v>44.966369652024355</v>
      </c>
      <c r="AG181" s="124">
        <f t="shared" si="4"/>
        <v>130.68254911473772</v>
      </c>
      <c r="AH181" s="124">
        <f t="shared" si="4"/>
        <v>130.68254911473772</v>
      </c>
      <c r="AI181" s="124">
        <f t="shared" si="4"/>
        <v>216.39872857745112</v>
      </c>
      <c r="AJ181" s="124">
        <f t="shared" si="4"/>
        <v>148.04572110412249</v>
      </c>
      <c r="AK181" s="124">
        <f t="shared" si="4"/>
        <v>136.62901551265006</v>
      </c>
      <c r="AL181" s="124">
        <f t="shared" si="4"/>
        <v>111.71015026601911</v>
      </c>
      <c r="AM181" s="124">
        <f t="shared" si="4"/>
        <v>111.71015026601914</v>
      </c>
      <c r="AN181" s="124">
        <f t="shared" si="4"/>
        <v>73.282237086851254</v>
      </c>
      <c r="AO181" s="124">
        <f t="shared" si="4"/>
        <v>73.352119440229245</v>
      </c>
      <c r="AP181" s="124">
        <f t="shared" si="4"/>
        <v>73.421598942315896</v>
      </c>
      <c r="AQ181" s="124">
        <f t="shared" si="4"/>
        <v>73.490664375008109</v>
      </c>
      <c r="AR181" s="124">
        <f t="shared" si="4"/>
        <v>111.71015026601911</v>
      </c>
      <c r="AS181" s="124">
        <f t="shared" si="4"/>
        <v>111.71015026601911</v>
      </c>
      <c r="AT181" s="124">
        <f t="shared" si="4"/>
        <v>99.841258337302619</v>
      </c>
      <c r="AU181" s="124">
        <f t="shared" si="4"/>
        <v>112.3909195529783</v>
      </c>
      <c r="AV181" s="124">
        <f t="shared" si="4"/>
        <v>179.81546945393225</v>
      </c>
      <c r="AW181" s="124">
        <f t="shared" si="4"/>
        <v>136.9536348311708</v>
      </c>
      <c r="AX181" s="124">
        <f t="shared" si="4"/>
        <v>130.68254911473772</v>
      </c>
      <c r="AY181" s="124">
        <f t="shared" si="4"/>
        <v>130.68254911473772</v>
      </c>
    </row>
    <row r="182" spans="1:51">
      <c r="A182" s="125"/>
      <c r="B182" s="136" t="s">
        <v>299</v>
      </c>
      <c r="C182" s="125" t="s">
        <v>293</v>
      </c>
      <c r="D182" s="125">
        <v>139.98040604961426</v>
      </c>
      <c r="E182" s="125">
        <v>111.91010268828799</v>
      </c>
      <c r="F182" s="125">
        <v>130.68254911473772</v>
      </c>
      <c r="G182" s="125">
        <v>130.68254911473772</v>
      </c>
      <c r="H182" s="125">
        <v>130.68254911473772</v>
      </c>
      <c r="I182" s="125">
        <v>130.68254911473772</v>
      </c>
      <c r="J182" s="125">
        <v>118.13288789906204</v>
      </c>
      <c r="K182" s="125">
        <v>143.23221033041341</v>
      </c>
      <c r="L182" s="125">
        <v>118.13288789906204</v>
      </c>
      <c r="M182" s="125">
        <v>143.23221033041341</v>
      </c>
      <c r="N182" s="125">
        <v>118.13288789906204</v>
      </c>
      <c r="O182" s="125">
        <v>75.807660429459446</v>
      </c>
      <c r="P182" s="125">
        <v>181.30554285188637</v>
      </c>
      <c r="Q182" s="125">
        <v>73.203516128413668</v>
      </c>
      <c r="R182" s="125">
        <v>167.83181202655311</v>
      </c>
      <c r="S182" s="125">
        <v>148.60370926860509</v>
      </c>
      <c r="T182" s="125">
        <v>71.817780483858712</v>
      </c>
      <c r="U182" s="125">
        <v>99.841258337302619</v>
      </c>
      <c r="V182" s="125">
        <v>103.2451047720986</v>
      </c>
      <c r="W182" s="125">
        <v>188.96128423481198</v>
      </c>
      <c r="X182" s="125">
        <v>72.40381399466348</v>
      </c>
      <c r="Y182" s="125">
        <v>158.11999345737686</v>
      </c>
      <c r="Z182" s="125">
        <v>150.32464432919559</v>
      </c>
      <c r="AA182" s="125">
        <v>137.31180344189238</v>
      </c>
      <c r="AB182" s="125">
        <v>35.820554871144637</v>
      </c>
      <c r="AC182" s="125">
        <v>130.68254911473772</v>
      </c>
      <c r="AD182" s="125">
        <v>130.68254911473772</v>
      </c>
      <c r="AE182" s="125">
        <v>130.68254911473772</v>
      </c>
      <c r="AF182" s="125">
        <v>44.966369652024355</v>
      </c>
      <c r="AG182" s="125">
        <v>130.68254911473772</v>
      </c>
      <c r="AH182" s="125">
        <v>130.68254911473772</v>
      </c>
      <c r="AI182" s="125">
        <v>187.06608434532211</v>
      </c>
      <c r="AJ182" s="125">
        <v>138</v>
      </c>
      <c r="AK182" s="125">
        <v>136.62901551265006</v>
      </c>
      <c r="AL182" s="125">
        <v>111.71015026601911</v>
      </c>
      <c r="AM182" s="125">
        <v>111.71015026601914</v>
      </c>
      <c r="AN182" s="125">
        <v>73.282237086851254</v>
      </c>
      <c r="AO182" s="125">
        <v>73.352119440229245</v>
      </c>
      <c r="AP182" s="125">
        <v>73.421598942315896</v>
      </c>
      <c r="AQ182" s="125">
        <v>73.490664375008109</v>
      </c>
      <c r="AR182" s="125">
        <v>111.71015026601911</v>
      </c>
      <c r="AS182" s="125">
        <v>111.71015026601911</v>
      </c>
      <c r="AT182" s="125">
        <v>99.841258337302619</v>
      </c>
      <c r="AU182" s="125">
        <v>112.3909195529783</v>
      </c>
      <c r="AV182" s="125">
        <v>169.2213495326543</v>
      </c>
      <c r="AW182" s="125">
        <v>136.9536348311708</v>
      </c>
      <c r="AX182" s="125">
        <v>130.68254911473772</v>
      </c>
      <c r="AY182" s="125">
        <v>130.68254911473772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116.55340312415798</v>
      </c>
      <c r="AQ185" s="124">
        <v>157.32733636954009</v>
      </c>
      <c r="AR185" s="124">
        <v>213.10126961492219</v>
      </c>
      <c r="AS185" s="124">
        <v>197.56868617164983</v>
      </c>
      <c r="AT185" s="124">
        <v>186.03610272837747</v>
      </c>
      <c r="AU185" s="124">
        <v>179.50351928510511</v>
      </c>
      <c r="AV185" s="124">
        <v>148.97093584183276</v>
      </c>
      <c r="AW185" s="124">
        <v>82.438352398560397</v>
      </c>
      <c r="AX185" s="124">
        <v>38.905768955288039</v>
      </c>
      <c r="AY185" s="124">
        <v>27.373185512015681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72.367810699279971</v>
      </c>
      <c r="AP186" s="106">
        <v>85.986028382630465</v>
      </c>
      <c r="AQ186" s="106">
        <v>56.672663630459923</v>
      </c>
      <c r="AR186" s="106">
        <v>15.898730385077812</v>
      </c>
      <c r="AS186" s="106">
        <v>3.4313138283501701</v>
      </c>
      <c r="AT186" s="106">
        <v>18.963897271622528</v>
      </c>
      <c r="AU186" s="106">
        <v>30.496480714894886</v>
      </c>
      <c r="AV186" s="106">
        <v>37.029064158167245</v>
      </c>
      <c r="AW186" s="106">
        <v>67.561647601439603</v>
      </c>
      <c r="AX186" s="106">
        <v>134.09423104471196</v>
      </c>
      <c r="AY186" s="106">
        <v>177.62681448798432</v>
      </c>
    </row>
    <row r="187" spans="1:51">
      <c r="A187" s="109"/>
      <c r="B187" s="127">
        <v>3</v>
      </c>
      <c r="C187" s="106">
        <v>60.679890444658838</v>
      </c>
      <c r="D187" s="106">
        <v>15.992922014730453</v>
      </c>
      <c r="E187" s="106">
        <v>0</v>
      </c>
      <c r="F187" s="106">
        <v>0</v>
      </c>
      <c r="G187" s="106">
        <v>0</v>
      </c>
      <c r="H187" s="106">
        <v>0</v>
      </c>
      <c r="I187" s="106">
        <v>0.46741655672764182</v>
      </c>
      <c r="J187" s="106">
        <v>0</v>
      </c>
      <c r="K187" s="106">
        <v>0</v>
      </c>
      <c r="L187" s="106">
        <v>0</v>
      </c>
      <c r="M187" s="106">
        <v>14.467416556727642</v>
      </c>
      <c r="N187" s="106">
        <v>0</v>
      </c>
      <c r="O187" s="106">
        <v>0</v>
      </c>
      <c r="P187" s="106">
        <v>0</v>
      </c>
      <c r="Q187" s="106">
        <v>0</v>
      </c>
      <c r="R187" s="106">
        <v>2.4674165567276418</v>
      </c>
      <c r="S187" s="106">
        <v>0</v>
      </c>
      <c r="T187" s="106">
        <v>0</v>
      </c>
      <c r="U187" s="106">
        <v>144.83250688683734</v>
      </c>
      <c r="V187" s="106">
        <v>160.29992344356498</v>
      </c>
      <c r="W187" s="106">
        <v>99.76734000029262</v>
      </c>
      <c r="X187" s="106">
        <v>63.234756557020262</v>
      </c>
      <c r="Y187" s="106">
        <v>7.7021731137479037</v>
      </c>
      <c r="Z187" s="106">
        <v>0</v>
      </c>
      <c r="AA187" s="106">
        <v>0</v>
      </c>
      <c r="AB187" s="106">
        <v>25.467416556727642</v>
      </c>
      <c r="AC187" s="106">
        <v>26.934833113455284</v>
      </c>
      <c r="AD187" s="106">
        <v>5.4022496701829255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54.773933245382096</v>
      </c>
      <c r="AN187" s="106">
        <v>62.547866490764193</v>
      </c>
      <c r="AO187" s="106">
        <v>85.669784844953881</v>
      </c>
      <c r="AP187" s="106">
        <v>13.460568493211539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180.32010955534116</v>
      </c>
      <c r="D188" s="106">
        <v>155.00707798526955</v>
      </c>
      <c r="E188" s="106">
        <v>170</v>
      </c>
      <c r="F188" s="106">
        <v>170</v>
      </c>
      <c r="G188" s="106">
        <v>176</v>
      </c>
      <c r="H188" s="106">
        <v>204</v>
      </c>
      <c r="I188" s="106">
        <v>216.53258344327236</v>
      </c>
      <c r="J188" s="106">
        <v>168</v>
      </c>
      <c r="K188" s="106">
        <v>166</v>
      </c>
      <c r="L188" s="106">
        <v>163</v>
      </c>
      <c r="M188" s="106">
        <v>216.53258344327236</v>
      </c>
      <c r="N188" s="106">
        <v>153</v>
      </c>
      <c r="O188" s="106">
        <v>191</v>
      </c>
      <c r="P188" s="106">
        <v>170</v>
      </c>
      <c r="Q188" s="106">
        <v>215</v>
      </c>
      <c r="R188" s="106">
        <v>216.53258344327236</v>
      </c>
      <c r="S188" s="106">
        <v>140</v>
      </c>
      <c r="T188" s="106">
        <v>206</v>
      </c>
      <c r="U188" s="106">
        <v>82.167493113162664</v>
      </c>
      <c r="V188" s="106">
        <v>71.700076556435022</v>
      </c>
      <c r="W188" s="106">
        <v>56.23265999970738</v>
      </c>
      <c r="X188" s="106">
        <v>116.76524344297974</v>
      </c>
      <c r="Y188" s="106">
        <v>153.2978268862521</v>
      </c>
      <c r="Z188" s="106">
        <v>162</v>
      </c>
      <c r="AA188" s="106">
        <v>179</v>
      </c>
      <c r="AB188" s="106">
        <v>216.53258344327236</v>
      </c>
      <c r="AC188" s="106">
        <v>191.06516688654472</v>
      </c>
      <c r="AD188" s="106">
        <v>189.59775032981707</v>
      </c>
      <c r="AE188" s="106">
        <v>208</v>
      </c>
      <c r="AF188" s="106">
        <v>162</v>
      </c>
      <c r="AG188" s="106">
        <v>157</v>
      </c>
      <c r="AH188" s="106">
        <v>209</v>
      </c>
      <c r="AI188" s="106">
        <v>212</v>
      </c>
      <c r="AJ188" s="106">
        <v>213</v>
      </c>
      <c r="AK188" s="106">
        <v>206</v>
      </c>
      <c r="AL188" s="106">
        <v>183</v>
      </c>
      <c r="AM188" s="106">
        <v>173.2260667546179</v>
      </c>
      <c r="AN188" s="106">
        <v>118.45213350923581</v>
      </c>
      <c r="AO188" s="106">
        <v>22.962404455766148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0</v>
      </c>
      <c r="F189" s="124">
        <v>81.674101726094577</v>
      </c>
      <c r="G189" s="124">
        <v>94.764879222676214</v>
      </c>
      <c r="H189" s="124">
        <v>140.85565671925787</v>
      </c>
      <c r="I189" s="124">
        <v>150.90922250341836</v>
      </c>
      <c r="J189" s="124">
        <v>130.94485603779529</v>
      </c>
      <c r="K189" s="124">
        <v>150.90922250341836</v>
      </c>
      <c r="L189" s="124">
        <v>130.94485603779529</v>
      </c>
      <c r="M189" s="124">
        <v>131.03563353437693</v>
      </c>
      <c r="N189" s="124">
        <v>130.94485603779529</v>
      </c>
      <c r="O189" s="124">
        <v>43.648285345931754</v>
      </c>
      <c r="P189" s="124">
        <v>132.73906284251339</v>
      </c>
      <c r="Q189" s="124">
        <v>43.648285345931754</v>
      </c>
      <c r="R189" s="124">
        <v>114.73906284251339</v>
      </c>
      <c r="S189" s="124">
        <v>150.90922250341836</v>
      </c>
      <c r="T189" s="124">
        <v>57.265434622271954</v>
      </c>
      <c r="U189" s="124">
        <v>101.84599914050744</v>
      </c>
      <c r="V189" s="124">
        <v>58.197713794575677</v>
      </c>
      <c r="W189" s="124">
        <v>63.288491291157314</v>
      </c>
      <c r="X189" s="124">
        <v>58.197713794575677</v>
      </c>
      <c r="Y189" s="124">
        <v>76.288491291157314</v>
      </c>
      <c r="Z189" s="124">
        <v>138.37926878773897</v>
      </c>
      <c r="AA189" s="124">
        <v>150.90922250341836</v>
      </c>
      <c r="AB189" s="124">
        <v>0</v>
      </c>
      <c r="AC189" s="124">
        <v>150.90922250341836</v>
      </c>
      <c r="AD189" s="124">
        <v>144</v>
      </c>
      <c r="AE189" s="124">
        <v>150.90922250341836</v>
      </c>
      <c r="AF189" s="124">
        <v>14.549428448643919</v>
      </c>
      <c r="AG189" s="124">
        <v>150.90922250341836</v>
      </c>
      <c r="AH189" s="124">
        <v>14.549428448643908</v>
      </c>
      <c r="AI189" s="124">
        <v>42.640205945225546</v>
      </c>
      <c r="AJ189" s="124">
        <v>112.73098344180718</v>
      </c>
      <c r="AK189" s="124">
        <v>137.82176093838882</v>
      </c>
      <c r="AL189" s="124">
        <v>120.7273780027347</v>
      </c>
      <c r="AM189" s="124">
        <v>120.7273780027347</v>
      </c>
      <c r="AN189" s="124">
        <v>59.595134826340029</v>
      </c>
      <c r="AO189" s="124">
        <v>59.706305708831678</v>
      </c>
      <c r="AP189" s="124">
        <v>59.816835723759468</v>
      </c>
      <c r="AQ189" s="124">
        <v>59.926707025038233</v>
      </c>
      <c r="AR189" s="124">
        <v>120.7273780027347</v>
      </c>
      <c r="AS189" s="124">
        <v>120.7273780027347</v>
      </c>
      <c r="AT189" s="124">
        <v>101.84599914050744</v>
      </c>
      <c r="AU189" s="124">
        <v>72.747142243219599</v>
      </c>
      <c r="AV189" s="124">
        <v>133.83791973980124</v>
      </c>
      <c r="AW189" s="124">
        <v>150.90922250341836</v>
      </c>
      <c r="AX189" s="124">
        <v>150.90922250341836</v>
      </c>
      <c r="AY189" s="124">
        <v>150.90922250341836</v>
      </c>
    </row>
    <row r="190" spans="1:51">
      <c r="A190" s="109"/>
      <c r="B190" s="119">
        <v>2</v>
      </c>
      <c r="C190" s="106">
        <v>0</v>
      </c>
      <c r="D190" s="106">
        <v>145</v>
      </c>
      <c r="E190" s="106">
        <v>145.85978493205673</v>
      </c>
      <c r="F190" s="106">
        <v>121.04546813801888</v>
      </c>
      <c r="G190" s="106">
        <v>69.235120777323786</v>
      </c>
      <c r="H190" s="106">
        <v>56.144343280742149</v>
      </c>
      <c r="I190" s="106">
        <v>10.053565784160497</v>
      </c>
      <c r="J190" s="106">
        <v>0</v>
      </c>
      <c r="K190" s="106">
        <v>19.964366465623073</v>
      </c>
      <c r="L190" s="106">
        <v>0</v>
      </c>
      <c r="M190" s="106">
        <v>19.964366465623073</v>
      </c>
      <c r="N190" s="106">
        <v>19.873588969041435</v>
      </c>
      <c r="O190" s="106">
        <v>19.964366465623073</v>
      </c>
      <c r="P190" s="106">
        <v>107.26093715748661</v>
      </c>
      <c r="Q190" s="106">
        <v>18.170159660904972</v>
      </c>
      <c r="R190" s="106">
        <v>107.26093715748661</v>
      </c>
      <c r="S190" s="106">
        <v>36.170159660904972</v>
      </c>
      <c r="T190" s="106">
        <v>0</v>
      </c>
      <c r="U190" s="106">
        <v>0</v>
      </c>
      <c r="V190" s="106">
        <v>49.063223362910918</v>
      </c>
      <c r="W190" s="106">
        <v>92.711508708842686</v>
      </c>
      <c r="X190" s="106">
        <v>87.620731212261049</v>
      </c>
      <c r="Y190" s="106">
        <v>92.711508708842686</v>
      </c>
      <c r="Z190" s="106">
        <v>74.620731212261049</v>
      </c>
      <c r="AA190" s="106">
        <v>12.529953715679397</v>
      </c>
      <c r="AB190" s="106">
        <v>0</v>
      </c>
      <c r="AC190" s="106">
        <v>0</v>
      </c>
      <c r="AD190" s="106">
        <v>0</v>
      </c>
      <c r="AE190" s="106">
        <v>6.9092225034183627</v>
      </c>
      <c r="AF190" s="106">
        <v>0</v>
      </c>
      <c r="AG190" s="106">
        <v>0</v>
      </c>
      <c r="AH190" s="106">
        <v>0</v>
      </c>
      <c r="AI190" s="106">
        <v>136.35979405477445</v>
      </c>
      <c r="AJ190" s="106">
        <v>108.26901655819282</v>
      </c>
      <c r="AK190" s="106">
        <v>38.17823906161118</v>
      </c>
      <c r="AL190" s="106">
        <v>13.087461565029542</v>
      </c>
      <c r="AM190" s="106">
        <v>0</v>
      </c>
      <c r="AN190" s="106">
        <v>0</v>
      </c>
      <c r="AO190" s="106">
        <v>0</v>
      </c>
      <c r="AP190" s="106">
        <v>0</v>
      </c>
      <c r="AQ190" s="106">
        <v>0</v>
      </c>
      <c r="AR190" s="106">
        <v>0</v>
      </c>
      <c r="AS190" s="106">
        <v>0</v>
      </c>
      <c r="AT190" s="106">
        <v>0</v>
      </c>
      <c r="AU190" s="106">
        <v>49.063223362910918</v>
      </c>
      <c r="AV190" s="106">
        <v>78.162080260198763</v>
      </c>
      <c r="AW190" s="106">
        <v>17.071302763617126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6.1402150679432737</v>
      </c>
      <c r="F191" s="106">
        <v>5.2804301358865473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136.35979405477445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99.882902541468852</v>
      </c>
      <c r="D197" s="106">
        <v>54.953085402455926</v>
      </c>
      <c r="E197" s="106">
        <v>96.496860467848549</v>
      </c>
      <c r="F197" s="106">
        <v>77.14632260908553</v>
      </c>
      <c r="G197" s="106">
        <v>90.08729195311804</v>
      </c>
      <c r="H197" s="106">
        <v>90.087291953118054</v>
      </c>
      <c r="I197" s="106">
        <v>90.08729195311804</v>
      </c>
      <c r="J197" s="106">
        <v>90.087291953118054</v>
      </c>
      <c r="K197" s="106">
        <v>81.436060388476051</v>
      </c>
      <c r="L197" s="106">
        <v>98.738523517760058</v>
      </c>
      <c r="M197" s="106">
        <v>81.436060388476051</v>
      </c>
      <c r="N197" s="106">
        <v>98.738523517760058</v>
      </c>
      <c r="O197" s="106">
        <v>81.436060388476051</v>
      </c>
      <c r="P197" s="106">
        <v>52.258751330259848</v>
      </c>
      <c r="Q197" s="106">
        <v>136.56706414061824</v>
      </c>
      <c r="R197" s="106">
        <v>50.463559014793276</v>
      </c>
      <c r="S197" s="106">
        <v>134.24352641265102</v>
      </c>
      <c r="T197" s="106">
        <v>102.4414187883893</v>
      </c>
      <c r="U197" s="106">
        <v>49.508288610087142</v>
      </c>
      <c r="V197" s="106">
        <v>68.826546847523318</v>
      </c>
      <c r="W197" s="106">
        <v>71.173021641688948</v>
      </c>
      <c r="X197" s="106">
        <v>130.26230737014188</v>
      </c>
      <c r="Y197" s="106">
        <v>49.912276536094211</v>
      </c>
      <c r="Z197" s="106">
        <v>109.00156226454716</v>
      </c>
      <c r="AA197" s="106">
        <v>111.34803705871279</v>
      </c>
      <c r="AB197" s="106">
        <v>94.657233188940651</v>
      </c>
      <c r="AC197" s="106">
        <v>24.693249454188752</v>
      </c>
      <c r="AD197" s="106">
        <v>90.087291953118054</v>
      </c>
      <c r="AE197" s="106">
        <v>90.08729195311804</v>
      </c>
      <c r="AF197" s="106">
        <v>90.087291953118054</v>
      </c>
      <c r="AG197" s="106">
        <v>30.998006224665119</v>
      </c>
      <c r="AH197" s="106">
        <v>90.087291953118054</v>
      </c>
      <c r="AI197" s="106">
        <v>90.08729195311804</v>
      </c>
      <c r="AJ197" s="106">
        <v>140</v>
      </c>
      <c r="AK197" s="106">
        <v>102.05676419586224</v>
      </c>
      <c r="AL197" s="106">
        <v>94.186546659328243</v>
      </c>
      <c r="AM197" s="106">
        <v>77.008483453332204</v>
      </c>
      <c r="AN197" s="106">
        <v>77.008483453332204</v>
      </c>
      <c r="AO197" s="106">
        <v>50.517826076567296</v>
      </c>
      <c r="AP197" s="106">
        <v>50.566000159593536</v>
      </c>
      <c r="AQ197" s="106">
        <v>50.613896533146388</v>
      </c>
      <c r="AR197" s="106">
        <v>50.661507463916863</v>
      </c>
      <c r="AS197" s="106">
        <v>77.008483453332204</v>
      </c>
      <c r="AT197" s="106">
        <v>77.008483453332204</v>
      </c>
      <c r="AU197" s="106">
        <v>68.826546847523318</v>
      </c>
      <c r="AV197" s="106">
        <v>77.477778412165307</v>
      </c>
      <c r="AW197" s="106">
        <v>123.46453024049482</v>
      </c>
      <c r="AX197" s="106">
        <v>94.410326157962942</v>
      </c>
      <c r="AY197" s="106">
        <v>90.087291953118054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2.3235377279672207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9.1765776815709899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0.49302035917068565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79.205101494157603</v>
      </c>
      <c r="D209" s="124">
        <v>87.900480460379455</v>
      </c>
      <c r="E209" s="124">
        <v>111.91010268828799</v>
      </c>
      <c r="F209" s="124">
        <v>130.68254911473772</v>
      </c>
      <c r="G209" s="124">
        <v>130.68254911473772</v>
      </c>
      <c r="H209" s="124">
        <v>130.68254911473772</v>
      </c>
      <c r="I209" s="124">
        <v>130.68254911473772</v>
      </c>
      <c r="J209" s="124">
        <v>118.13288789906204</v>
      </c>
      <c r="K209" s="124">
        <v>130.68254911473772</v>
      </c>
      <c r="L209" s="124">
        <v>118.13288789906204</v>
      </c>
      <c r="M209" s="124">
        <v>130.68254911473772</v>
      </c>
      <c r="N209" s="124">
        <v>118.13288789906204</v>
      </c>
      <c r="O209" s="124">
        <v>63.257999213783769</v>
      </c>
      <c r="P209" s="124">
        <v>113.88099295093241</v>
      </c>
      <c r="Q209" s="124">
        <v>63.257999213783776</v>
      </c>
      <c r="R209" s="124">
        <v>100.40726212559916</v>
      </c>
      <c r="S209" s="124">
        <v>130.68254911473772</v>
      </c>
      <c r="T209" s="124">
        <v>71.817780483858712</v>
      </c>
      <c r="U209" s="124">
        <v>99.841258337302619</v>
      </c>
      <c r="V209" s="124">
        <v>72.40381399466348</v>
      </c>
      <c r="W209" s="124">
        <v>130.68254911473772</v>
      </c>
      <c r="X209" s="124">
        <v>72.40381399466348</v>
      </c>
      <c r="Y209" s="124">
        <v>99.841258337302605</v>
      </c>
      <c r="Z209" s="124">
        <v>119.48335355176047</v>
      </c>
      <c r="AA209" s="124">
        <v>130.68254911473772</v>
      </c>
      <c r="AB209" s="124">
        <v>35.820554871144637</v>
      </c>
      <c r="AC209" s="124">
        <v>130.68254911473772</v>
      </c>
      <c r="AD209" s="124">
        <v>130.68254911473772</v>
      </c>
      <c r="AE209" s="124">
        <v>130.68254911473772</v>
      </c>
      <c r="AF209" s="124">
        <v>44.966369652024355</v>
      </c>
      <c r="AG209" s="124">
        <v>130.68254911473772</v>
      </c>
      <c r="AH209" s="124">
        <v>44.966369652024355</v>
      </c>
      <c r="AI209" s="124">
        <v>101.34990488260874</v>
      </c>
      <c r="AJ209" s="124">
        <v>120.63682801061522</v>
      </c>
      <c r="AK209" s="124">
        <v>130.68254911473772</v>
      </c>
      <c r="AL209" s="124">
        <v>111.71015026601911</v>
      </c>
      <c r="AM209" s="124">
        <v>111.71015026601914</v>
      </c>
      <c r="AN209" s="124">
        <v>73.282237086851254</v>
      </c>
      <c r="AO209" s="124">
        <v>73.352119440229245</v>
      </c>
      <c r="AP209" s="124">
        <v>73.421598942315896</v>
      </c>
      <c r="AQ209" s="124">
        <v>73.490664375008109</v>
      </c>
      <c r="AR209" s="124">
        <v>111.71015026601911</v>
      </c>
      <c r="AS209" s="124">
        <v>111.71015026601911</v>
      </c>
      <c r="AT209" s="124">
        <v>99.841258337302619</v>
      </c>
      <c r="AU209" s="124">
        <v>81.549628775543198</v>
      </c>
      <c r="AV209" s="124">
        <v>120.08842919345977</v>
      </c>
      <c r="AW209" s="124">
        <v>130.68254911473772</v>
      </c>
      <c r="AX209" s="124">
        <v>130.68254911473772</v>
      </c>
      <c r="AY209" s="124">
        <v>130.68254911473772</v>
      </c>
    </row>
    <row r="210" spans="1:51">
      <c r="A210" s="109"/>
      <c r="B210" s="119">
        <v>2</v>
      </c>
      <c r="C210" s="106">
        <v>0</v>
      </c>
      <c r="D210" s="110">
        <v>52.079925589234804</v>
      </c>
      <c r="E210" s="110">
        <v>0</v>
      </c>
      <c r="F210" s="110">
        <v>0</v>
      </c>
      <c r="G210" s="110">
        <v>0</v>
      </c>
      <c r="H210" s="110">
        <v>0</v>
      </c>
      <c r="I210" s="110">
        <v>0</v>
      </c>
      <c r="J210" s="110">
        <v>0</v>
      </c>
      <c r="K210" s="110">
        <v>12.549661215675677</v>
      </c>
      <c r="L210" s="110">
        <v>0</v>
      </c>
      <c r="M210" s="110">
        <v>12.549661215675677</v>
      </c>
      <c r="N210" s="110">
        <v>0</v>
      </c>
      <c r="O210" s="110">
        <v>12.549661215675677</v>
      </c>
      <c r="P210" s="110">
        <v>67.424549900953963</v>
      </c>
      <c r="Q210" s="110">
        <v>9.9455169146298914</v>
      </c>
      <c r="R210" s="110">
        <v>67.424549900953949</v>
      </c>
      <c r="S210" s="110">
        <v>17.92116015386733</v>
      </c>
      <c r="T210" s="110">
        <v>0</v>
      </c>
      <c r="U210" s="110">
        <v>0</v>
      </c>
      <c r="V210" s="110">
        <v>30.841290777435105</v>
      </c>
      <c r="W210" s="110">
        <v>58.278735120074252</v>
      </c>
      <c r="X210" s="110">
        <v>0</v>
      </c>
      <c r="Y210" s="110">
        <v>58.278735120074252</v>
      </c>
      <c r="Z210" s="110">
        <v>30.841290777435116</v>
      </c>
      <c r="AA210" s="110">
        <v>6.6292543271546513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0</v>
      </c>
      <c r="AI210" s="110">
        <v>85.71617946271337</v>
      </c>
      <c r="AJ210" s="110">
        <v>17.363171989384785</v>
      </c>
      <c r="AK210" s="110">
        <v>5.9464663979123156</v>
      </c>
      <c r="AL210" s="110">
        <v>0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0</v>
      </c>
      <c r="AS210" s="110">
        <v>0</v>
      </c>
      <c r="AT210" s="110">
        <v>0</v>
      </c>
      <c r="AU210" s="110">
        <v>30.841290777435105</v>
      </c>
      <c r="AV210" s="110">
        <v>49.13292033919452</v>
      </c>
      <c r="AW210" s="110">
        <v>6.2710857164330598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85.71617946271337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62722.959304101554</v>
      </c>
      <c r="E259" s="124">
        <f t="shared" ref="E259:AX259" si="5">F$14*$B$259</f>
        <v>50145.109695905594</v>
      </c>
      <c r="F259" s="124">
        <f t="shared" si="5"/>
        <v>58556.739769526728</v>
      </c>
      <c r="G259" s="124">
        <f t="shared" si="5"/>
        <v>58556.739769526735</v>
      </c>
      <c r="H259" s="124">
        <f t="shared" si="5"/>
        <v>58556.739769526728</v>
      </c>
      <c r="I259" s="124">
        <f t="shared" si="5"/>
        <v>58556.739769526735</v>
      </c>
      <c r="J259" s="124">
        <f t="shared" si="5"/>
        <v>52933.43925250943</v>
      </c>
      <c r="K259" s="124">
        <f t="shared" si="5"/>
        <v>64180.040286544041</v>
      </c>
      <c r="L259" s="124">
        <f t="shared" si="5"/>
        <v>52933.43925250943</v>
      </c>
      <c r="M259" s="124">
        <f t="shared" si="5"/>
        <v>64180.040286544041</v>
      </c>
      <c r="N259" s="124">
        <f t="shared" si="5"/>
        <v>52933.43925250943</v>
      </c>
      <c r="O259" s="124">
        <f t="shared" si="5"/>
        <v>33968.188364668902</v>
      </c>
      <c r="P259" s="124">
        <f t="shared" si="5"/>
        <v>88768.59169140186</v>
      </c>
      <c r="Q259" s="124">
        <f t="shared" si="5"/>
        <v>32801.313359615626</v>
      </c>
      <c r="R259" s="124">
        <f t="shared" si="5"/>
        <v>88768.59169140186</v>
      </c>
      <c r="S259" s="124">
        <f t="shared" si="5"/>
        <v>66586.92221245305</v>
      </c>
      <c r="T259" s="124">
        <f t="shared" si="5"/>
        <v>32180.387596556644</v>
      </c>
      <c r="U259" s="124">
        <f t="shared" si="5"/>
        <v>44737.255450890159</v>
      </c>
      <c r="V259" s="124">
        <f t="shared" si="5"/>
        <v>46262.464067097819</v>
      </c>
      <c r="W259" s="124">
        <f t="shared" si="5"/>
        <v>84670.499790592221</v>
      </c>
      <c r="X259" s="124">
        <f t="shared" si="5"/>
        <v>32442.979748461235</v>
      </c>
      <c r="Y259" s="124">
        <f t="shared" si="5"/>
        <v>70851.015471955659</v>
      </c>
      <c r="Z259" s="124">
        <f t="shared" si="5"/>
        <v>72376.224088163319</v>
      </c>
      <c r="AA259" s="124">
        <f t="shared" si="5"/>
        <v>61527.20157281142</v>
      </c>
      <c r="AB259" s="124">
        <f t="shared" si="5"/>
        <v>16050.612145222689</v>
      </c>
      <c r="AC259" s="124">
        <f t="shared" si="5"/>
        <v>58556.739769526735</v>
      </c>
      <c r="AD259" s="124">
        <f t="shared" si="5"/>
        <v>58556.739769526728</v>
      </c>
      <c r="AE259" s="124">
        <f t="shared" si="5"/>
        <v>58556.739769526735</v>
      </c>
      <c r="AF259" s="124">
        <f t="shared" si="5"/>
        <v>20148.704046032326</v>
      </c>
      <c r="AG259" s="124">
        <f t="shared" si="5"/>
        <v>58556.739769526735</v>
      </c>
      <c r="AH259" s="124">
        <f t="shared" si="5"/>
        <v>58556.739769526728</v>
      </c>
      <c r="AI259" s="124">
        <f t="shared" si="5"/>
        <v>96964.775493021138</v>
      </c>
      <c r="AJ259" s="124">
        <f t="shared" si="5"/>
        <v>66336.896727310464</v>
      </c>
      <c r="AK259" s="124">
        <f t="shared" si="5"/>
        <v>61221.255328563355</v>
      </c>
      <c r="AL259" s="124">
        <f t="shared" si="5"/>
        <v>50055.51424466593</v>
      </c>
      <c r="AM259" s="124">
        <f t="shared" si="5"/>
        <v>50055.51424466593</v>
      </c>
      <c r="AN259" s="124">
        <f t="shared" si="5"/>
        <v>32836.586949768745</v>
      </c>
      <c r="AO259" s="124">
        <f t="shared" si="5"/>
        <v>32867.900103735796</v>
      </c>
      <c r="AP259" s="124">
        <f t="shared" si="5"/>
        <v>32899.032746545156</v>
      </c>
      <c r="AQ259" s="124">
        <f t="shared" si="5"/>
        <v>32929.979851545962</v>
      </c>
      <c r="AR259" s="124">
        <f t="shared" si="5"/>
        <v>50055.51424466593</v>
      </c>
      <c r="AS259" s="124">
        <f t="shared" si="5"/>
        <v>50055.51424466593</v>
      </c>
      <c r="AT259" s="124">
        <f t="shared" si="5"/>
        <v>44737.255450890159</v>
      </c>
      <c r="AU259" s="124">
        <f t="shared" si="5"/>
        <v>50360.55596790745</v>
      </c>
      <c r="AV259" s="124">
        <f t="shared" si="5"/>
        <v>80572.407889782582</v>
      </c>
      <c r="AW259" s="124">
        <f t="shared" si="5"/>
        <v>61366.712002675915</v>
      </c>
      <c r="AX259" s="124">
        <f t="shared" si="5"/>
        <v>58556.739769526735</v>
      </c>
      <c r="AY259" s="124">
        <f>AZ$14*$B$259</f>
        <v>58556.739769526735</v>
      </c>
      <c r="AZ259" s="139">
        <f>SUM($D259:$AY259)</f>
        <v>2629608.9715831522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47351.641705457121</v>
      </c>
      <c r="E260" s="125">
        <f t="shared" ref="E260:AY260" si="6">(E$175-E$176+E$177-E$178+E$179-E$180+E$181-E$182)*$B$260</f>
        <v>48286.324800334587</v>
      </c>
      <c r="F260" s="125">
        <f t="shared" si="6"/>
        <v>45871.190372224148</v>
      </c>
      <c r="G260" s="125">
        <f t="shared" si="6"/>
        <v>44776.480623229887</v>
      </c>
      <c r="H260" s="125">
        <f t="shared" si="6"/>
        <v>40331.033973434998</v>
      </c>
      <c r="I260" s="125">
        <f t="shared" si="6"/>
        <v>38947.820026385365</v>
      </c>
      <c r="J260" s="125">
        <f t="shared" si="6"/>
        <v>41859.775032981699</v>
      </c>
      <c r="K260" s="125">
        <f t="shared" si="6"/>
        <v>42007.820026385365</v>
      </c>
      <c r="L260" s="125">
        <f t="shared" si="6"/>
        <v>42187.820026385365</v>
      </c>
      <c r="M260" s="125">
        <f t="shared" si="6"/>
        <v>39300.235364527842</v>
      </c>
      <c r="N260" s="125">
        <f t="shared" si="6"/>
        <v>41919.775032981699</v>
      </c>
      <c r="O260" s="125">
        <f t="shared" si="6"/>
        <v>40507.820026385365</v>
      </c>
      <c r="P260" s="125">
        <f t="shared" si="6"/>
        <v>43866.122975867991</v>
      </c>
      <c r="Q260" s="125">
        <f t="shared" si="6"/>
        <v>39067.820026385365</v>
      </c>
      <c r="R260" s="125">
        <f t="shared" si="6"/>
        <v>34752.641405581395</v>
      </c>
      <c r="S260" s="125">
        <f t="shared" si="6"/>
        <v>35497.281876853151</v>
      </c>
      <c r="T260" s="125">
        <f t="shared" si="6"/>
        <v>31545.914606578779</v>
      </c>
      <c r="U260" s="125">
        <f t="shared" si="6"/>
        <v>30285.914606578779</v>
      </c>
      <c r="V260" s="125">
        <f t="shared" si="6"/>
        <v>29357.869613175124</v>
      </c>
      <c r="W260" s="125">
        <f t="shared" si="6"/>
        <v>38247.068492507125</v>
      </c>
      <c r="X260" s="125">
        <f t="shared" si="6"/>
        <v>35181.779626367803</v>
      </c>
      <c r="Y260" s="125">
        <f t="shared" si="6"/>
        <v>40047.185103925156</v>
      </c>
      <c r="Z260" s="125">
        <f t="shared" si="6"/>
        <v>43209.438596279891</v>
      </c>
      <c r="AA260" s="125">
        <f t="shared" si="6"/>
        <v>41227.820026385365</v>
      </c>
      <c r="AB260" s="125">
        <f t="shared" si="6"/>
        <v>37447.820026385365</v>
      </c>
      <c r="AC260" s="125">
        <f t="shared" si="6"/>
        <v>37359.775032981706</v>
      </c>
      <c r="AD260" s="125">
        <f t="shared" si="6"/>
        <v>39066.283389783144</v>
      </c>
      <c r="AE260" s="125">
        <f t="shared" si="6"/>
        <v>39163.685046174389</v>
      </c>
      <c r="AF260" s="125">
        <f t="shared" si="6"/>
        <v>42247.820026385365</v>
      </c>
      <c r="AG260" s="125">
        <f t="shared" si="6"/>
        <v>42547.820026385365</v>
      </c>
      <c r="AH260" s="125">
        <f t="shared" si="6"/>
        <v>39427.820026385365</v>
      </c>
      <c r="AI260" s="125">
        <f t="shared" si="6"/>
        <v>47503.919673804674</v>
      </c>
      <c r="AJ260" s="125">
        <f t="shared" si="6"/>
        <v>40033.461295904373</v>
      </c>
      <c r="AK260" s="125">
        <f t="shared" si="6"/>
        <v>35196.2857176486</v>
      </c>
      <c r="AL260" s="125">
        <f t="shared" si="6"/>
        <v>27929.699273942304</v>
      </c>
      <c r="AM260" s="125">
        <f t="shared" si="6"/>
        <v>17377.931358043203</v>
      </c>
      <c r="AN260" s="125">
        <f t="shared" si="6"/>
        <v>11667.634109592693</v>
      </c>
      <c r="AO260" s="125">
        <f t="shared" si="6"/>
        <v>5966.7958125505183</v>
      </c>
      <c r="AP260" s="125">
        <f t="shared" si="6"/>
        <v>3400.3598178275938</v>
      </c>
      <c r="AQ260" s="125">
        <f t="shared" si="6"/>
        <v>953.92382310467133</v>
      </c>
      <c r="AR260" s="125">
        <f t="shared" si="6"/>
        <v>205.8788297010102</v>
      </c>
      <c r="AS260" s="125">
        <f t="shared" si="6"/>
        <v>1137.8338362973509</v>
      </c>
      <c r="AT260" s="125">
        <f t="shared" si="6"/>
        <v>1829.7888428936924</v>
      </c>
      <c r="AU260" s="125">
        <f t="shared" si="6"/>
        <v>2221.7438494900357</v>
      </c>
      <c r="AV260" s="125">
        <f t="shared" si="6"/>
        <v>5713.6242171800823</v>
      </c>
      <c r="AW260" s="125">
        <f t="shared" si="6"/>
        <v>8075.2350842329588</v>
      </c>
      <c r="AX260" s="125">
        <f t="shared" si="6"/>
        <v>10657.608869279062</v>
      </c>
      <c r="AY260" s="125">
        <f t="shared" si="6"/>
        <v>11349.563875875401</v>
      </c>
      <c r="AZ260" s="141">
        <f>SUM($D260:$AY260)</f>
        <v>1464116.9058290482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5500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1064.5387501435528</v>
      </c>
      <c r="E9" s="117">
        <v>1064.5387501435528</v>
      </c>
      <c r="F9" s="117">
        <v>1064.5387501435528</v>
      </c>
      <c r="G9" s="117">
        <v>1064.5387501435528</v>
      </c>
      <c r="H9" s="117">
        <v>1275.3856677509723</v>
      </c>
      <c r="I9" s="117">
        <v>1275.3856677509723</v>
      </c>
      <c r="J9" s="117">
        <v>1275.3856677509723</v>
      </c>
      <c r="K9" s="117">
        <v>1275.3856677509723</v>
      </c>
      <c r="L9" s="117">
        <v>1064.5387501435528</v>
      </c>
      <c r="M9" s="117">
        <v>1064.5387501435528</v>
      </c>
      <c r="N9" s="117">
        <v>1064.5387501435528</v>
      </c>
      <c r="O9" s="117">
        <v>1064.5387501435528</v>
      </c>
      <c r="P9" s="117">
        <v>1064.5387501435528</v>
      </c>
      <c r="Q9" s="117">
        <v>1064.5387501435528</v>
      </c>
      <c r="R9" s="117">
        <v>1064.5387501435528</v>
      </c>
      <c r="S9" s="117">
        <v>1064.5387501435528</v>
      </c>
      <c r="T9" s="117">
        <v>1064.5387501435528</v>
      </c>
      <c r="U9" s="117">
        <v>1064.5387501435528</v>
      </c>
      <c r="V9" s="117">
        <v>1064.5387501435528</v>
      </c>
      <c r="W9" s="117">
        <v>1064.5387501435528</v>
      </c>
      <c r="X9" s="117">
        <v>853.69183253613312</v>
      </c>
      <c r="Y9" s="117">
        <v>853.69183253613312</v>
      </c>
      <c r="Z9" s="117">
        <v>853.69183253613312</v>
      </c>
      <c r="AA9" s="117">
        <v>853.69183253613312</v>
      </c>
      <c r="AB9" s="117">
        <v>1064.5387501435528</v>
      </c>
      <c r="AC9" s="117">
        <v>1064.5387501435528</v>
      </c>
      <c r="AD9" s="117">
        <v>1064.5387501435528</v>
      </c>
      <c r="AE9" s="117">
        <v>1064.5387501435528</v>
      </c>
      <c r="AF9" s="117">
        <v>1064.5387501435528</v>
      </c>
      <c r="AG9" s="117">
        <v>1064.5387501435528</v>
      </c>
      <c r="AH9" s="117">
        <v>1064.5387501435528</v>
      </c>
      <c r="AI9" s="117">
        <v>1064.5387501435528</v>
      </c>
      <c r="AJ9" s="117">
        <v>1064.5387501435528</v>
      </c>
      <c r="AK9" s="117">
        <v>1064.5387501435528</v>
      </c>
      <c r="AL9" s="117">
        <v>1064.5387501435528</v>
      </c>
      <c r="AM9" s="117">
        <v>1064.5387501435528</v>
      </c>
      <c r="AN9" s="117">
        <v>853.69183253613312</v>
      </c>
      <c r="AO9" s="117">
        <v>853.69183253613312</v>
      </c>
      <c r="AP9" s="117">
        <v>853.69183253613312</v>
      </c>
      <c r="AQ9" s="117">
        <v>853.69183253613312</v>
      </c>
      <c r="AR9" s="117">
        <v>1064.5387501435528</v>
      </c>
      <c r="AS9" s="117">
        <v>1064.5387501435528</v>
      </c>
      <c r="AT9" s="117">
        <v>1064.5387501435528</v>
      </c>
      <c r="AU9" s="117">
        <v>1064.5387501435528</v>
      </c>
      <c r="AV9" s="117">
        <v>1064.5387501435528</v>
      </c>
      <c r="AW9" s="117">
        <v>1064.5387501435528</v>
      </c>
      <c r="AX9" s="117">
        <v>1064.5387501435528</v>
      </c>
      <c r="AY9" s="117">
        <v>1064.5387501435528</v>
      </c>
    </row>
    <row r="10" spans="1:53">
      <c r="A10" s="118" t="s">
        <v>133</v>
      </c>
      <c r="B10" s="119">
        <v>1</v>
      </c>
      <c r="C10" s="106" t="s">
        <v>293</v>
      </c>
      <c r="D10" s="100">
        <v>610.74520421119007</v>
      </c>
      <c r="E10" s="100">
        <v>0</v>
      </c>
      <c r="F10" s="100">
        <v>607.88626862268802</v>
      </c>
      <c r="G10" s="100">
        <v>607.88626862268802</v>
      </c>
      <c r="H10" s="100">
        <v>225.5503414605468</v>
      </c>
      <c r="I10" s="100">
        <v>0</v>
      </c>
      <c r="J10" s="100">
        <v>728.28671997092306</v>
      </c>
      <c r="K10" s="100">
        <v>728.28671997092306</v>
      </c>
      <c r="L10" s="100">
        <v>728.28671997092306</v>
      </c>
      <c r="M10" s="100">
        <v>728.28671997092306</v>
      </c>
      <c r="N10" s="100">
        <v>225.5503414605468</v>
      </c>
      <c r="O10" s="100">
        <v>607.88626862268802</v>
      </c>
      <c r="P10" s="100">
        <v>225.5503414605468</v>
      </c>
      <c r="Q10" s="100">
        <v>607.88626862268802</v>
      </c>
      <c r="R10" s="100">
        <v>607.88626862268802</v>
      </c>
      <c r="S10" s="100">
        <v>607.88626862268802</v>
      </c>
      <c r="T10" s="100">
        <v>607.88626862268802</v>
      </c>
      <c r="U10" s="100">
        <v>0</v>
      </c>
      <c r="V10" s="100">
        <v>607.88626862268802</v>
      </c>
      <c r="W10" s="100">
        <v>607.88626862268802</v>
      </c>
      <c r="X10" s="100">
        <v>607.88626862268802</v>
      </c>
      <c r="Y10" s="100">
        <v>0</v>
      </c>
      <c r="Z10" s="100">
        <v>487.48581727445298</v>
      </c>
      <c r="AA10" s="100">
        <v>487.48581727445298</v>
      </c>
      <c r="AB10" s="100">
        <v>487.48581727445298</v>
      </c>
      <c r="AC10" s="100">
        <v>0</v>
      </c>
      <c r="AD10" s="100">
        <v>607.88626862268802</v>
      </c>
      <c r="AE10" s="100">
        <v>0</v>
      </c>
      <c r="AF10" s="100">
        <v>225.5503414605468</v>
      </c>
      <c r="AG10" s="100">
        <v>0</v>
      </c>
      <c r="AH10" s="100">
        <v>607.88626862268802</v>
      </c>
      <c r="AI10" s="100">
        <v>607.88626862268802</v>
      </c>
      <c r="AJ10" s="100">
        <v>607.88626862268802</v>
      </c>
      <c r="AK10" s="100">
        <v>607.88626862268802</v>
      </c>
      <c r="AL10" s="100">
        <v>607.88626862268802</v>
      </c>
      <c r="AM10" s="100">
        <v>607.88626862268802</v>
      </c>
      <c r="AN10" s="100">
        <v>225.5503414605468</v>
      </c>
      <c r="AO10" s="100">
        <v>0</v>
      </c>
      <c r="AP10" s="100">
        <v>225.5503414605468</v>
      </c>
      <c r="AQ10" s="100">
        <v>487.48581727445298</v>
      </c>
      <c r="AR10" s="100">
        <v>225.55034146054678</v>
      </c>
      <c r="AS10" s="100">
        <v>487.48581727445298</v>
      </c>
      <c r="AT10" s="100">
        <v>0</v>
      </c>
      <c r="AU10" s="100">
        <v>1215.772537245376</v>
      </c>
      <c r="AV10" s="100">
        <v>607.88626862268802</v>
      </c>
      <c r="AW10" s="100">
        <v>225.5503414605468</v>
      </c>
      <c r="AX10" s="100">
        <v>607.88626862268802</v>
      </c>
      <c r="AY10" s="100">
        <v>225.5503414605468</v>
      </c>
      <c r="AZ10" s="100">
        <v>607.88626862268802</v>
      </c>
    </row>
    <row r="11" spans="1:53">
      <c r="B11" s="119">
        <v>2</v>
      </c>
      <c r="C11" s="106" t="s">
        <v>293</v>
      </c>
      <c r="E11" s="100">
        <v>0</v>
      </c>
      <c r="F11" s="100">
        <v>468.57008354555705</v>
      </c>
      <c r="G11" s="100">
        <v>0</v>
      </c>
      <c r="I11" s="100">
        <v>382.33592716214122</v>
      </c>
      <c r="J11" s="100">
        <v>607.88626862268802</v>
      </c>
      <c r="K11" s="100">
        <v>0</v>
      </c>
      <c r="L11" s="100">
        <v>0</v>
      </c>
      <c r="M11" s="100">
        <v>0</v>
      </c>
      <c r="N11" s="100">
        <v>0</v>
      </c>
      <c r="O11" s="100">
        <v>382.33592716214122</v>
      </c>
      <c r="P11" s="100">
        <v>0</v>
      </c>
      <c r="Q11" s="100">
        <v>382.33592716214122</v>
      </c>
      <c r="R11" s="100">
        <v>0</v>
      </c>
      <c r="S11" s="100">
        <v>0</v>
      </c>
      <c r="T11" s="100">
        <v>0</v>
      </c>
      <c r="U11" s="100">
        <v>0</v>
      </c>
      <c r="V11" s="100">
        <v>607.88626862268802</v>
      </c>
      <c r="W11" s="100">
        <v>0</v>
      </c>
      <c r="X11" s="100">
        <v>0</v>
      </c>
      <c r="Z11" s="100">
        <v>607.88626862268802</v>
      </c>
      <c r="AC11" s="100">
        <v>0</v>
      </c>
      <c r="AD11" s="100">
        <v>0</v>
      </c>
      <c r="AE11" s="100">
        <v>0</v>
      </c>
      <c r="AF11" s="100">
        <v>607.88626862268802</v>
      </c>
      <c r="AG11" s="100">
        <v>382.33592716214122</v>
      </c>
      <c r="AH11" s="100">
        <v>0</v>
      </c>
      <c r="AI11" s="100">
        <v>0</v>
      </c>
      <c r="AJ11" s="100">
        <v>0</v>
      </c>
      <c r="AM11" s="100">
        <v>0</v>
      </c>
      <c r="AO11" s="100">
        <v>382.33592716214122</v>
      </c>
      <c r="AP11" s="100">
        <v>0</v>
      </c>
      <c r="AQ11" s="100">
        <v>0</v>
      </c>
      <c r="AS11" s="100">
        <v>0</v>
      </c>
      <c r="AV11" s="100">
        <v>0</v>
      </c>
      <c r="AW11" s="100">
        <v>0</v>
      </c>
      <c r="AY11" s="100">
        <v>0</v>
      </c>
      <c r="AZ11" s="100">
        <v>382.33592716214122</v>
      </c>
      <c r="BA11" s="100">
        <v>0</v>
      </c>
    </row>
    <row r="12" spans="1:53">
      <c r="B12" s="120">
        <v>3</v>
      </c>
      <c r="C12" s="106" t="s">
        <v>293</v>
      </c>
      <c r="E12" s="100">
        <v>610.74520421119007</v>
      </c>
      <c r="G12" s="100">
        <v>0</v>
      </c>
      <c r="I12" s="100">
        <v>0</v>
      </c>
      <c r="J12" s="100">
        <v>0</v>
      </c>
      <c r="P12" s="100">
        <v>0</v>
      </c>
      <c r="R12" s="100">
        <v>0</v>
      </c>
      <c r="W12" s="100">
        <v>0</v>
      </c>
      <c r="Z12" s="100">
        <v>0</v>
      </c>
      <c r="AB12" s="100">
        <v>0</v>
      </c>
      <c r="AC12" s="100">
        <v>0</v>
      </c>
      <c r="AE12" s="100">
        <v>487.48581727445298</v>
      </c>
      <c r="AI12" s="100">
        <v>607.88626862268802</v>
      </c>
      <c r="AL12" s="100">
        <v>0</v>
      </c>
      <c r="AM12" s="100">
        <v>0</v>
      </c>
      <c r="AO12" s="100">
        <v>0</v>
      </c>
      <c r="AQ12" s="100">
        <v>0</v>
      </c>
      <c r="AR12" s="100">
        <v>869.82174443659414</v>
      </c>
      <c r="AT12" s="100">
        <v>261.93547581390624</v>
      </c>
      <c r="AU12" s="100">
        <v>0</v>
      </c>
      <c r="AY12" s="100">
        <v>382.33592716214122</v>
      </c>
    </row>
    <row r="13" spans="1:53">
      <c r="B13" s="120">
        <v>4</v>
      </c>
      <c r="C13" s="106" t="s">
        <v>293</v>
      </c>
      <c r="AQ13" s="100">
        <v>0</v>
      </c>
      <c r="AT13" s="100">
        <v>0</v>
      </c>
      <c r="AW13" s="100">
        <v>0</v>
      </c>
      <c r="AZ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223.14096188471174</v>
      </c>
      <c r="E14" s="117">
        <f t="shared" ref="E14:AZ14" si="0">D$172*SUM(D$122:D$169)</f>
        <v>244.63162366783857</v>
      </c>
      <c r="F14" s="117">
        <f t="shared" si="0"/>
        <v>244.63162366783857</v>
      </c>
      <c r="G14" s="117">
        <f t="shared" si="0"/>
        <v>564.75024144622046</v>
      </c>
      <c r="H14" s="117">
        <f t="shared" si="0"/>
        <v>383.98183482492072</v>
      </c>
      <c r="I14" s="117">
        <f t="shared" si="0"/>
        <v>196.79470048721134</v>
      </c>
      <c r="J14" s="117">
        <f t="shared" si="0"/>
        <v>264.59316973697537</v>
      </c>
      <c r="K14" s="117">
        <f t="shared" si="0"/>
        <v>677.05897384366722</v>
      </c>
      <c r="L14" s="117">
        <f t="shared" si="0"/>
        <v>521.61482336641541</v>
      </c>
      <c r="M14" s="117">
        <f t="shared" si="0"/>
        <v>425.37962768671343</v>
      </c>
      <c r="N14" s="117">
        <f t="shared" si="0"/>
        <v>414.19196150868061</v>
      </c>
      <c r="O14" s="117">
        <f t="shared" si="0"/>
        <v>196.79470048721134</v>
      </c>
      <c r="P14" s="117">
        <f t="shared" si="0"/>
        <v>527.46018207196198</v>
      </c>
      <c r="Q14" s="117">
        <f t="shared" si="0"/>
        <v>203.10265146599235</v>
      </c>
      <c r="R14" s="117">
        <f t="shared" si="0"/>
        <v>527.46018207196198</v>
      </c>
      <c r="S14" s="117">
        <f t="shared" si="0"/>
        <v>383.04814184413573</v>
      </c>
      <c r="T14" s="117">
        <f t="shared" si="0"/>
        <v>362.12744127958661</v>
      </c>
      <c r="U14" s="117">
        <f t="shared" si="0"/>
        <v>362.12744127958661</v>
      </c>
      <c r="V14" s="117">
        <f t="shared" si="0"/>
        <v>99.260428944600122</v>
      </c>
      <c r="W14" s="117">
        <f t="shared" si="0"/>
        <v>624.99445361457299</v>
      </c>
      <c r="X14" s="117">
        <f t="shared" si="0"/>
        <v>426.624824701752</v>
      </c>
      <c r="Y14" s="117">
        <f t="shared" si="0"/>
        <v>390.43428618613132</v>
      </c>
      <c r="Z14" s="117">
        <f t="shared" si="0"/>
        <v>99.260428944600122</v>
      </c>
      <c r="AA14" s="117">
        <f t="shared" si="0"/>
        <v>572.9299333854791</v>
      </c>
      <c r="AB14" s="117">
        <f t="shared" si="0"/>
        <v>380.36207195222556</v>
      </c>
      <c r="AC14" s="117">
        <f t="shared" si="0"/>
        <v>310.0629210504926</v>
      </c>
      <c r="AD14" s="117">
        <f t="shared" si="0"/>
        <v>99.260428944600122</v>
      </c>
      <c r="AE14" s="117">
        <f t="shared" si="0"/>
        <v>362.12744127958661</v>
      </c>
      <c r="AF14" s="117">
        <f t="shared" si="0"/>
        <v>310.0629210504926</v>
      </c>
      <c r="AG14" s="117">
        <f t="shared" si="0"/>
        <v>459.66171282219779</v>
      </c>
      <c r="AH14" s="117">
        <f t="shared" si="0"/>
        <v>264.59316973697543</v>
      </c>
      <c r="AI14" s="117">
        <f t="shared" si="0"/>
        <v>362.12744127958661</v>
      </c>
      <c r="AJ14" s="117">
        <f t="shared" si="0"/>
        <v>624.9944536145731</v>
      </c>
      <c r="AK14" s="117">
        <f t="shared" si="0"/>
        <v>453.71630454663733</v>
      </c>
      <c r="AL14" s="117">
        <f t="shared" si="0"/>
        <v>379.24574203057364</v>
      </c>
      <c r="AM14" s="117">
        <f t="shared" si="0"/>
        <v>362.12744127958661</v>
      </c>
      <c r="AN14" s="117">
        <f t="shared" si="0"/>
        <v>362.12744127958661</v>
      </c>
      <c r="AO14" s="117">
        <f t="shared" si="0"/>
        <v>196.79470048721134</v>
      </c>
      <c r="AP14" s="117">
        <f t="shared" si="0"/>
        <v>264.59316973697537</v>
      </c>
      <c r="AQ14" s="117">
        <f t="shared" si="0"/>
        <v>196.79470048721134</v>
      </c>
      <c r="AR14" s="117">
        <f t="shared" si="0"/>
        <v>310.0629210504926</v>
      </c>
      <c r="AS14" s="117">
        <f t="shared" si="0"/>
        <v>572.9299333854791</v>
      </c>
      <c r="AT14" s="117">
        <f t="shared" si="0"/>
        <v>310.0629210504926</v>
      </c>
      <c r="AU14" s="117">
        <f t="shared" si="0"/>
        <v>212.5286495078814</v>
      </c>
      <c r="AV14" s="117">
        <f t="shared" si="0"/>
        <v>624.9944536145731</v>
      </c>
      <c r="AW14" s="117">
        <f t="shared" si="0"/>
        <v>408.36982205632893</v>
      </c>
      <c r="AX14" s="117">
        <f t="shared" si="0"/>
        <v>196.79470048721134</v>
      </c>
      <c r="AY14" s="117">
        <f t="shared" si="0"/>
        <v>362.12744127958661</v>
      </c>
      <c r="AZ14" s="110">
        <f t="shared" si="0"/>
        <v>362.12744127958661</v>
      </c>
      <c r="BA14" s="107">
        <f>SUM($E14:$AZ14)</f>
        <v>17461.904021804196</v>
      </c>
    </row>
    <row r="15" spans="1:53">
      <c r="A15" s="122" t="s">
        <v>123</v>
      </c>
      <c r="B15" s="123">
        <v>1</v>
      </c>
      <c r="C15" s="124" t="s">
        <v>293</v>
      </c>
      <c r="D15" s="124">
        <v>562.95580550073771</v>
      </c>
      <c r="E15" s="124">
        <v>228.42195907888453</v>
      </c>
      <c r="F15" s="124">
        <v>833.34175010944114</v>
      </c>
      <c r="G15" s="124">
        <v>833.34175010944114</v>
      </c>
      <c r="H15" s="124">
        <v>452.87161761833772</v>
      </c>
      <c r="I15" s="124">
        <v>228.42195907888453</v>
      </c>
      <c r="J15" s="124">
        <v>953.15464872052303</v>
      </c>
      <c r="K15" s="124">
        <v>953.15464872052303</v>
      </c>
      <c r="L15" s="124">
        <v>953.15464872052303</v>
      </c>
      <c r="M15" s="124">
        <v>953.15464872052303</v>
      </c>
      <c r="N15" s="124">
        <v>452.87161761833772</v>
      </c>
      <c r="O15" s="124">
        <v>833.34175010944114</v>
      </c>
      <c r="P15" s="124">
        <v>452.87161761833772</v>
      </c>
      <c r="Q15" s="124">
        <v>833.34175010944114</v>
      </c>
      <c r="R15" s="124">
        <v>833.34175010944114</v>
      </c>
      <c r="S15" s="124">
        <v>833.34175010944114</v>
      </c>
      <c r="T15" s="124">
        <v>833.34175010944114</v>
      </c>
      <c r="U15" s="124">
        <v>228.42195907888453</v>
      </c>
      <c r="V15" s="124">
        <v>833.34175010944114</v>
      </c>
      <c r="W15" s="124">
        <v>833.34175010944114</v>
      </c>
      <c r="X15" s="124">
        <v>833.34175010944114</v>
      </c>
      <c r="Y15" s="124">
        <v>228.42195907888453</v>
      </c>
      <c r="Z15" s="124">
        <v>713.52885149835936</v>
      </c>
      <c r="AA15" s="124">
        <v>713.52885149835936</v>
      </c>
      <c r="AB15" s="124">
        <v>713.52885149835936</v>
      </c>
      <c r="AC15" s="124">
        <v>228.42195907888453</v>
      </c>
      <c r="AD15" s="124">
        <v>833.34175010944114</v>
      </c>
      <c r="AE15" s="124">
        <v>228.42195907888453</v>
      </c>
      <c r="AF15" s="124">
        <v>452.87161761833772</v>
      </c>
      <c r="AG15" s="124">
        <v>228.42195907888453</v>
      </c>
      <c r="AH15" s="124">
        <v>833.34175010944114</v>
      </c>
      <c r="AI15" s="124">
        <v>833.34175010944114</v>
      </c>
      <c r="AJ15" s="124">
        <v>833.34175010944114</v>
      </c>
      <c r="AK15" s="124">
        <v>833.34175010944114</v>
      </c>
      <c r="AL15" s="124">
        <v>833.34175010944114</v>
      </c>
      <c r="AM15" s="124">
        <v>833.34175010944114</v>
      </c>
      <c r="AN15" s="124">
        <v>452.87161761833772</v>
      </c>
      <c r="AO15" s="124">
        <v>228.42195907888453</v>
      </c>
      <c r="AP15" s="124">
        <v>452.87161761833772</v>
      </c>
      <c r="AQ15" s="124">
        <v>713.52885149835936</v>
      </c>
      <c r="AR15" s="124">
        <v>452.87161761833772</v>
      </c>
      <c r="AS15" s="124">
        <v>713.52885149835936</v>
      </c>
      <c r="AT15" s="124">
        <v>228.42195907888453</v>
      </c>
      <c r="AU15" s="124">
        <v>1438.2615411399979</v>
      </c>
      <c r="AV15" s="124">
        <v>833.34175010944114</v>
      </c>
      <c r="AW15" s="124">
        <v>452.87161761833772</v>
      </c>
      <c r="AX15" s="124">
        <v>833.34175010944114</v>
      </c>
      <c r="AY15" s="124">
        <v>452.87161761833772</v>
      </c>
      <c r="AZ15" s="100">
        <v>604.91979103055667</v>
      </c>
    </row>
    <row r="16" spans="1:53">
      <c r="A16" s="110"/>
      <c r="B16" s="119">
        <v>2</v>
      </c>
      <c r="C16" s="109" t="s">
        <v>293</v>
      </c>
      <c r="D16" s="106"/>
      <c r="E16" s="110">
        <v>0</v>
      </c>
      <c r="F16" s="110">
        <v>466.2834672409474</v>
      </c>
      <c r="G16" s="110">
        <v>0</v>
      </c>
      <c r="H16" s="110"/>
      <c r="I16" s="110">
        <v>380.47013249110347</v>
      </c>
      <c r="J16" s="110">
        <v>604.91979103055667</v>
      </c>
      <c r="K16" s="110">
        <v>0</v>
      </c>
      <c r="L16" s="110">
        <v>0</v>
      </c>
      <c r="M16" s="110">
        <v>0</v>
      </c>
      <c r="N16" s="110">
        <v>0</v>
      </c>
      <c r="O16" s="110">
        <v>380.47013249110347</v>
      </c>
      <c r="P16" s="110">
        <v>0</v>
      </c>
      <c r="Q16" s="110">
        <v>380.47013249110347</v>
      </c>
      <c r="R16" s="110">
        <v>0</v>
      </c>
      <c r="S16" s="110">
        <v>0</v>
      </c>
      <c r="T16" s="110">
        <v>0</v>
      </c>
      <c r="U16" s="110">
        <v>0</v>
      </c>
      <c r="V16" s="110">
        <v>604.91979103055667</v>
      </c>
      <c r="W16" s="110">
        <v>0</v>
      </c>
      <c r="X16" s="110">
        <v>0</v>
      </c>
      <c r="Y16" s="110"/>
      <c r="Z16" s="110">
        <v>604.91979103055667</v>
      </c>
      <c r="AA16" s="110"/>
      <c r="AB16" s="110"/>
      <c r="AC16" s="110">
        <v>0</v>
      </c>
      <c r="AD16" s="110">
        <v>0</v>
      </c>
      <c r="AE16" s="110">
        <v>0</v>
      </c>
      <c r="AF16" s="110">
        <v>604.91979103055667</v>
      </c>
      <c r="AG16" s="110">
        <v>380.47013249110347</v>
      </c>
      <c r="AH16" s="110">
        <v>0</v>
      </c>
      <c r="AI16" s="110">
        <v>0</v>
      </c>
      <c r="AJ16" s="110">
        <v>0</v>
      </c>
      <c r="AK16" s="110"/>
      <c r="AL16" s="110"/>
      <c r="AM16" s="110">
        <v>0</v>
      </c>
      <c r="AN16" s="110"/>
      <c r="AO16" s="110">
        <v>380.47013249110347</v>
      </c>
      <c r="AP16" s="110">
        <v>0</v>
      </c>
      <c r="AQ16" s="110">
        <v>0</v>
      </c>
      <c r="AR16" s="110"/>
      <c r="AS16" s="110">
        <v>0</v>
      </c>
      <c r="AT16" s="110"/>
      <c r="AU16" s="110"/>
      <c r="AV16" s="110">
        <v>0</v>
      </c>
      <c r="AW16" s="110">
        <v>0</v>
      </c>
      <c r="AX16" s="110"/>
      <c r="AY16" s="110">
        <v>0</v>
      </c>
      <c r="AZ16" s="100">
        <v>380.47013249110347</v>
      </c>
      <c r="BA16" s="100">
        <v>0</v>
      </c>
    </row>
    <row r="17" spans="1:52">
      <c r="A17" s="110"/>
      <c r="B17" s="119">
        <v>3</v>
      </c>
      <c r="C17" s="109" t="s">
        <v>293</v>
      </c>
      <c r="D17" s="106"/>
      <c r="E17" s="110">
        <v>334.53384642185318</v>
      </c>
      <c r="F17" s="110"/>
      <c r="G17" s="110">
        <v>0</v>
      </c>
      <c r="H17" s="110"/>
      <c r="I17" s="110">
        <v>0</v>
      </c>
      <c r="J17" s="110">
        <v>0</v>
      </c>
      <c r="K17" s="110"/>
      <c r="L17" s="110"/>
      <c r="M17" s="110"/>
      <c r="N17" s="110"/>
      <c r="O17" s="110"/>
      <c r="P17" s="110">
        <v>0</v>
      </c>
      <c r="Q17" s="110"/>
      <c r="R17" s="110">
        <v>0</v>
      </c>
      <c r="S17" s="110"/>
      <c r="T17" s="110"/>
      <c r="U17" s="110"/>
      <c r="V17" s="110"/>
      <c r="W17" s="110">
        <v>0</v>
      </c>
      <c r="X17" s="110"/>
      <c r="Y17" s="110"/>
      <c r="Z17" s="110">
        <v>0</v>
      </c>
      <c r="AA17" s="110"/>
      <c r="AB17" s="110">
        <v>0</v>
      </c>
      <c r="AC17" s="110">
        <v>0</v>
      </c>
      <c r="AD17" s="110"/>
      <c r="AE17" s="110">
        <v>485.10689241947483</v>
      </c>
      <c r="AF17" s="110"/>
      <c r="AG17" s="110"/>
      <c r="AH17" s="110"/>
      <c r="AI17" s="110">
        <v>604.91979103055667</v>
      </c>
      <c r="AJ17" s="110"/>
      <c r="AK17" s="110"/>
      <c r="AL17" s="110">
        <v>0</v>
      </c>
      <c r="AM17" s="110">
        <v>0</v>
      </c>
      <c r="AN17" s="110"/>
      <c r="AO17" s="110">
        <v>0</v>
      </c>
      <c r="AP17" s="110"/>
      <c r="AQ17" s="110">
        <v>0</v>
      </c>
      <c r="AR17" s="110">
        <v>865.5770249105783</v>
      </c>
      <c r="AS17" s="110"/>
      <c r="AT17" s="110">
        <v>260.65723388002164</v>
      </c>
      <c r="AU17" s="110">
        <v>0</v>
      </c>
      <c r="AV17" s="110"/>
      <c r="AW17" s="110"/>
      <c r="AX17" s="110"/>
      <c r="AY17" s="110">
        <v>380.47013249110347</v>
      </c>
    </row>
    <row r="18" spans="1:52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>
        <v>0</v>
      </c>
      <c r="AR18" s="125"/>
      <c r="AS18" s="125"/>
      <c r="AT18" s="125">
        <v>0</v>
      </c>
      <c r="AU18" s="125"/>
      <c r="AV18" s="125"/>
      <c r="AW18" s="125">
        <v>0</v>
      </c>
      <c r="AX18" s="125"/>
      <c r="AY18" s="125"/>
      <c r="AZ18" s="100">
        <v>0</v>
      </c>
    </row>
    <row r="20" spans="1:52">
      <c r="A20" s="102" t="s">
        <v>294</v>
      </c>
    </row>
    <row r="21" spans="1:52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2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>
        <v>266.62013502488389</v>
      </c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2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>
        <v>0</v>
      </c>
      <c r="L23" s="110"/>
      <c r="M23" s="110"/>
      <c r="N23" s="110"/>
      <c r="O23" s="110"/>
      <c r="P23" s="110"/>
      <c r="Q23" s="110">
        <v>107.30644175288944</v>
      </c>
      <c r="R23" s="110">
        <v>53.995764502373277</v>
      </c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2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2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2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2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2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2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2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>
        <v>0</v>
      </c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2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>
        <v>0</v>
      </c>
      <c r="L31" s="110"/>
      <c r="M31" s="110"/>
      <c r="N31" s="110"/>
      <c r="O31" s="110"/>
      <c r="P31" s="110"/>
      <c r="Q31" s="110">
        <v>0</v>
      </c>
      <c r="R31" s="110">
        <v>0</v>
      </c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2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>
        <v>0</v>
      </c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>
        <v>0</v>
      </c>
      <c r="L43" s="106"/>
      <c r="M43" s="106"/>
      <c r="N43" s="106"/>
      <c r="O43" s="106"/>
      <c r="P43" s="106"/>
      <c r="Q43" s="106">
        <v>0</v>
      </c>
      <c r="R43" s="106">
        <v>0</v>
      </c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>
        <v>0</v>
      </c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>
        <v>0</v>
      </c>
      <c r="L91" s="110"/>
      <c r="M91" s="110"/>
      <c r="N91" s="110"/>
      <c r="O91" s="110"/>
      <c r="P91" s="110"/>
      <c r="Q91" s="110">
        <v>0</v>
      </c>
      <c r="R91" s="110">
        <v>0</v>
      </c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427.92234128014661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1058.2684952501929</v>
      </c>
      <c r="D95" s="110">
        <v>1064.5387501435528</v>
      </c>
      <c r="E95" s="110">
        <v>1064.5387501435528</v>
      </c>
      <c r="F95" s="110">
        <v>1064.5387501435528</v>
      </c>
      <c r="G95" s="110">
        <v>1064.5387501435528</v>
      </c>
      <c r="H95" s="110">
        <v>1275.3856677509723</v>
      </c>
      <c r="I95" s="110">
        <v>1275.3856677509723</v>
      </c>
      <c r="J95" s="110">
        <v>1275.3856677509723</v>
      </c>
      <c r="K95" s="110">
        <v>1275.3856677509723</v>
      </c>
      <c r="L95" s="110">
        <v>1064.5387501435528</v>
      </c>
      <c r="M95" s="110">
        <v>1064.5387501435528</v>
      </c>
      <c r="N95" s="110">
        <v>1064.5387501435528</v>
      </c>
      <c r="O95" s="110">
        <v>1064.5387501435528</v>
      </c>
      <c r="P95" s="110">
        <v>1064.5387501435528</v>
      </c>
      <c r="Q95" s="110">
        <v>1064.5387501435528</v>
      </c>
      <c r="R95" s="110">
        <v>1064.5387501435528</v>
      </c>
      <c r="S95" s="110">
        <v>1064.5387501435528</v>
      </c>
      <c r="T95" s="110">
        <v>1064.5387501435528</v>
      </c>
      <c r="U95" s="110">
        <v>1064.5387501435528</v>
      </c>
      <c r="V95" s="110">
        <v>1064.5387501435528</v>
      </c>
      <c r="W95" s="110">
        <v>1064.5387501435528</v>
      </c>
      <c r="X95" s="110">
        <v>853.69183253613312</v>
      </c>
      <c r="Y95" s="110">
        <v>853.69183253613312</v>
      </c>
      <c r="Z95" s="110">
        <v>853.69183253613312</v>
      </c>
      <c r="AA95" s="110">
        <v>853.69183253613312</v>
      </c>
      <c r="AB95" s="110">
        <v>1064.5387501435528</v>
      </c>
      <c r="AC95" s="110">
        <v>1064.5387501435528</v>
      </c>
      <c r="AD95" s="110">
        <v>1064.5387501435528</v>
      </c>
      <c r="AE95" s="110">
        <v>1064.5387501435528</v>
      </c>
      <c r="AF95" s="110">
        <v>1064.5387501435528</v>
      </c>
      <c r="AG95" s="110">
        <v>1064.5387501435528</v>
      </c>
      <c r="AH95" s="110">
        <v>1064.5387501435528</v>
      </c>
      <c r="AI95" s="110">
        <v>1064.5387501435528</v>
      </c>
      <c r="AJ95" s="110">
        <v>1064.5387501435528</v>
      </c>
      <c r="AK95" s="110">
        <v>1064.5387501435528</v>
      </c>
      <c r="AL95" s="110">
        <v>1064.5387501435528</v>
      </c>
      <c r="AM95" s="110">
        <v>1064.5387501435528</v>
      </c>
      <c r="AN95" s="110">
        <v>853.69183253613312</v>
      </c>
      <c r="AO95" s="110">
        <v>853.69183253613312</v>
      </c>
      <c r="AP95" s="110">
        <v>853.69183253613312</v>
      </c>
      <c r="AQ95" s="110">
        <v>853.69183253613312</v>
      </c>
      <c r="AR95" s="110">
        <v>1064.5387501435528</v>
      </c>
      <c r="AS95" s="110">
        <v>1064.5387501435528</v>
      </c>
      <c r="AT95" s="110">
        <v>1064.5387501435528</v>
      </c>
      <c r="AU95" s="110">
        <v>1064.5387501435528</v>
      </c>
      <c r="AV95" s="110">
        <v>1064.5387501435528</v>
      </c>
      <c r="AW95" s="110">
        <v>1064.5387501435528</v>
      </c>
      <c r="AX95" s="110">
        <v>1064.5387501435528</v>
      </c>
      <c r="AY95" s="110">
        <v>1064.5387501435528</v>
      </c>
    </row>
    <row r="96" spans="1:52">
      <c r="A96" s="109"/>
      <c r="B96" s="120">
        <v>2</v>
      </c>
      <c r="C96" s="110">
        <v>364.77496995253159</v>
      </c>
      <c r="D96" s="110">
        <v>216.04346520272452</v>
      </c>
      <c r="E96" s="110">
        <v>167.58221534627728</v>
      </c>
      <c r="F96" s="110">
        <v>141.12096548983004</v>
      </c>
      <c r="G96" s="110">
        <v>396.6597156333828</v>
      </c>
      <c r="H96" s="110">
        <v>397.19846577693556</v>
      </c>
      <c r="I96" s="110">
        <v>781.58413352790785</v>
      </c>
      <c r="J96" s="110">
        <v>898.96980127888014</v>
      </c>
      <c r="K96" s="110">
        <v>958.73533400496854</v>
      </c>
      <c r="L96" s="110">
        <v>1072.1210017559408</v>
      </c>
      <c r="M96" s="110">
        <v>1049.6597518994936</v>
      </c>
      <c r="N96" s="110">
        <v>1064.5387501435528</v>
      </c>
      <c r="O96" s="110">
        <v>1064.5387501435528</v>
      </c>
      <c r="P96" s="110">
        <v>1064.5387501435528</v>
      </c>
      <c r="Q96" s="110">
        <v>1064.5387501435528</v>
      </c>
      <c r="R96" s="110">
        <v>1064.5387501435528</v>
      </c>
      <c r="S96" s="110">
        <v>1064.5387501435528</v>
      </c>
      <c r="T96" s="110">
        <v>1053.1287966491002</v>
      </c>
      <c r="U96" s="110">
        <v>1040.667546792653</v>
      </c>
      <c r="V96" s="110">
        <v>987.20629693620572</v>
      </c>
      <c r="W96" s="110">
        <v>1064.5387501435528</v>
      </c>
      <c r="X96" s="110">
        <v>967.28379722331124</v>
      </c>
      <c r="Y96" s="110">
        <v>853.69183253613312</v>
      </c>
      <c r="Z96" s="110">
        <v>700.66746229557748</v>
      </c>
      <c r="AA96" s="110">
        <v>625.3592948317106</v>
      </c>
      <c r="AB96" s="110">
        <v>413.05112736784372</v>
      </c>
      <c r="AC96" s="110">
        <v>327.58987751139648</v>
      </c>
      <c r="AD96" s="110">
        <v>99.128627654949241</v>
      </c>
      <c r="AE96" s="110">
        <v>0</v>
      </c>
      <c r="AF96" s="110">
        <v>0</v>
      </c>
      <c r="AG96" s="110">
        <v>9.5387501435527611</v>
      </c>
      <c r="AH96" s="110">
        <v>68.077500287105522</v>
      </c>
      <c r="AI96" s="110">
        <v>0</v>
      </c>
      <c r="AJ96" s="110">
        <v>0</v>
      </c>
      <c r="AK96" s="110">
        <v>0</v>
      </c>
      <c r="AL96" s="110">
        <v>0</v>
      </c>
      <c r="AM96" s="110">
        <v>0</v>
      </c>
      <c r="AN96" s="110">
        <v>0</v>
      </c>
      <c r="AO96" s="110">
        <v>0</v>
      </c>
      <c r="AP96" s="110">
        <v>0</v>
      </c>
      <c r="AQ96" s="110">
        <v>0</v>
      </c>
      <c r="AR96" s="110">
        <v>0</v>
      </c>
      <c r="AS96" s="110">
        <v>19.538750143552761</v>
      </c>
      <c r="AT96" s="110">
        <v>44.077500287105522</v>
      </c>
      <c r="AU96" s="110">
        <v>3.6162504306582832</v>
      </c>
      <c r="AV96" s="110">
        <v>45.155000574211044</v>
      </c>
      <c r="AW96" s="110">
        <v>0</v>
      </c>
      <c r="AX96" s="110">
        <v>126.53875014355276</v>
      </c>
      <c r="AY96" s="110">
        <v>111.07750028710552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48.659751899493585</v>
      </c>
      <c r="O97" s="110">
        <v>141.19850204304635</v>
      </c>
      <c r="P97" s="110">
        <v>110.73725218659911</v>
      </c>
      <c r="Q97" s="110">
        <v>149.96956057726243</v>
      </c>
      <c r="R97" s="110">
        <v>244.51254621844191</v>
      </c>
      <c r="S97" s="110">
        <v>59.051296361994673</v>
      </c>
      <c r="T97" s="110">
        <v>0</v>
      </c>
      <c r="U97" s="110">
        <v>0</v>
      </c>
      <c r="V97" s="110">
        <v>0</v>
      </c>
      <c r="W97" s="110">
        <v>0.20629693620571743</v>
      </c>
      <c r="X97" s="110">
        <v>0</v>
      </c>
      <c r="Y97" s="110">
        <v>32.28379722331124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0</v>
      </c>
      <c r="D100" s="106">
        <v>610.74520421119007</v>
      </c>
      <c r="E100" s="106">
        <v>0</v>
      </c>
      <c r="F100" s="106">
        <v>607.88626862268802</v>
      </c>
      <c r="G100" s="106">
        <v>607.88626862268802</v>
      </c>
      <c r="H100" s="106">
        <v>225.5503414605468</v>
      </c>
      <c r="I100" s="106">
        <v>0</v>
      </c>
      <c r="J100" s="106">
        <v>728.28671997092306</v>
      </c>
      <c r="K100" s="106">
        <v>728.28671997092306</v>
      </c>
      <c r="L100" s="106">
        <v>728.28671997092306</v>
      </c>
      <c r="M100" s="106">
        <v>728.28671997092306</v>
      </c>
      <c r="N100" s="106">
        <v>225.5503414605468</v>
      </c>
      <c r="O100" s="106">
        <v>607.88626862268802</v>
      </c>
      <c r="P100" s="106">
        <v>225.5503414605468</v>
      </c>
      <c r="Q100" s="106">
        <v>607.88626862268802</v>
      </c>
      <c r="R100" s="106">
        <v>607.88626862268802</v>
      </c>
      <c r="S100" s="106">
        <v>607.88626862268802</v>
      </c>
      <c r="T100" s="106">
        <v>607.88626862268802</v>
      </c>
      <c r="U100" s="106">
        <v>0</v>
      </c>
      <c r="V100" s="106">
        <v>607.88626862268802</v>
      </c>
      <c r="W100" s="106">
        <v>607.88626862268802</v>
      </c>
      <c r="X100" s="106">
        <v>607.88626862268802</v>
      </c>
      <c r="Y100" s="106">
        <v>0</v>
      </c>
      <c r="Z100" s="106">
        <v>487.48581727445298</v>
      </c>
      <c r="AA100" s="106">
        <v>487.48581727445298</v>
      </c>
      <c r="AB100" s="106">
        <v>487.48581727445298</v>
      </c>
      <c r="AC100" s="106">
        <v>0</v>
      </c>
      <c r="AD100" s="106">
        <v>607.88626862268802</v>
      </c>
      <c r="AE100" s="106">
        <v>0</v>
      </c>
      <c r="AF100" s="106">
        <v>225.5503414605468</v>
      </c>
      <c r="AG100" s="106">
        <v>0</v>
      </c>
      <c r="AH100" s="106">
        <v>607.88626862268802</v>
      </c>
      <c r="AI100" s="106">
        <v>607.88626862268802</v>
      </c>
      <c r="AJ100" s="106">
        <v>607.88626862268802</v>
      </c>
      <c r="AK100" s="106">
        <v>607.88626862268802</v>
      </c>
      <c r="AL100" s="106">
        <v>607.88626862268802</v>
      </c>
      <c r="AM100" s="106">
        <v>607.88626862268802</v>
      </c>
      <c r="AN100" s="106">
        <v>225.5503414605468</v>
      </c>
      <c r="AO100" s="106">
        <v>0</v>
      </c>
      <c r="AP100" s="106">
        <v>225.5503414605468</v>
      </c>
      <c r="AQ100" s="106">
        <v>487.48581727445298</v>
      </c>
      <c r="AR100" s="106">
        <v>225.55034146054678</v>
      </c>
      <c r="AS100" s="106">
        <v>487.48581727445298</v>
      </c>
      <c r="AT100" s="106">
        <v>0</v>
      </c>
      <c r="AU100" s="106">
        <v>1215.772537245376</v>
      </c>
      <c r="AV100" s="106">
        <v>607.88626862268802</v>
      </c>
      <c r="AW100" s="106">
        <v>225.5503414605468</v>
      </c>
      <c r="AX100" s="106">
        <v>607.88626862268802</v>
      </c>
      <c r="AY100" s="106">
        <v>225.5503414605468</v>
      </c>
    </row>
    <row r="101" spans="1:52">
      <c r="A101" s="109"/>
      <c r="B101" s="119">
        <v>2</v>
      </c>
      <c r="C101" s="106">
        <v>499.49040842238014</v>
      </c>
      <c r="D101" s="106">
        <v>0</v>
      </c>
      <c r="E101" s="106">
        <v>0</v>
      </c>
      <c r="F101" s="106">
        <v>468.57008354555705</v>
      </c>
      <c r="G101" s="106">
        <v>337.45635216824508</v>
      </c>
      <c r="H101" s="106">
        <v>262.3426207909331</v>
      </c>
      <c r="I101" s="106">
        <v>382.33592716214122</v>
      </c>
      <c r="J101" s="106">
        <v>607.88626862268802</v>
      </c>
      <c r="K101" s="106">
        <v>660.17298859361108</v>
      </c>
      <c r="L101" s="106">
        <v>728.28671997092306</v>
      </c>
      <c r="M101" s="106">
        <v>728.28671997092306</v>
      </c>
      <c r="N101" s="106">
        <v>728.28671997092306</v>
      </c>
      <c r="O101" s="106">
        <v>607.88626862268802</v>
      </c>
      <c r="P101" s="106">
        <v>607.88626862268802</v>
      </c>
      <c r="Q101" s="106">
        <v>607.88626862268802</v>
      </c>
      <c r="R101" s="106">
        <v>607.88626862268802</v>
      </c>
      <c r="S101" s="106">
        <v>607.88626862268802</v>
      </c>
      <c r="T101" s="106">
        <v>607.88626862268802</v>
      </c>
      <c r="U101" s="106">
        <v>607.88626862268802</v>
      </c>
      <c r="V101" s="106">
        <v>607.88626862268802</v>
      </c>
      <c r="W101" s="106">
        <v>607.88626862268802</v>
      </c>
      <c r="X101" s="106">
        <v>607.88626862268802</v>
      </c>
      <c r="Y101" s="106">
        <v>465.78210335594849</v>
      </c>
      <c r="Z101" s="106">
        <v>607.88626862268802</v>
      </c>
      <c r="AA101" s="106">
        <v>367.37208589714101</v>
      </c>
      <c r="AB101" s="106">
        <v>204.85790317159399</v>
      </c>
      <c r="AC101" s="106">
        <v>0</v>
      </c>
      <c r="AD101" s="106">
        <v>0</v>
      </c>
      <c r="AE101" s="106">
        <v>0</v>
      </c>
      <c r="AF101" s="106">
        <v>607.88626862268802</v>
      </c>
      <c r="AG101" s="106">
        <v>607.88626862268802</v>
      </c>
      <c r="AH101" s="106">
        <v>0</v>
      </c>
      <c r="AI101" s="106">
        <v>0</v>
      </c>
      <c r="AJ101" s="106">
        <v>567.77253724537604</v>
      </c>
      <c r="AK101" s="106">
        <v>513.65880586806406</v>
      </c>
      <c r="AL101" s="106">
        <v>390.54507449075209</v>
      </c>
      <c r="AM101" s="106">
        <v>303.43134311344011</v>
      </c>
      <c r="AN101" s="106">
        <v>104.31761173612813</v>
      </c>
      <c r="AO101" s="106">
        <v>382.33592716214122</v>
      </c>
      <c r="AP101" s="106">
        <v>0</v>
      </c>
      <c r="AQ101" s="106">
        <v>0</v>
      </c>
      <c r="AR101" s="106">
        <v>0</v>
      </c>
      <c r="AS101" s="106">
        <v>225.55034146054678</v>
      </c>
      <c r="AT101" s="106">
        <v>97.857903171593875</v>
      </c>
      <c r="AU101" s="106">
        <v>0</v>
      </c>
      <c r="AV101" s="106">
        <v>510.77253724537604</v>
      </c>
      <c r="AW101" s="106">
        <v>331.65880586806406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610.74520421119007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15.17298859361108</v>
      </c>
      <c r="M102" s="106">
        <v>198.45970856453414</v>
      </c>
      <c r="N102" s="106">
        <v>320.7464285354572</v>
      </c>
      <c r="O102" s="106">
        <v>502.03314850638026</v>
      </c>
      <c r="P102" s="106">
        <v>511.91941712906828</v>
      </c>
      <c r="Q102" s="106">
        <v>565.8056857517563</v>
      </c>
      <c r="R102" s="106">
        <v>501.69195437444432</v>
      </c>
      <c r="S102" s="106">
        <v>358.57822299713234</v>
      </c>
      <c r="T102" s="106">
        <v>331.46449161982036</v>
      </c>
      <c r="U102" s="106">
        <v>186.35076024250839</v>
      </c>
      <c r="V102" s="106">
        <v>216.23702886519641</v>
      </c>
      <c r="W102" s="106">
        <v>208.12329748788443</v>
      </c>
      <c r="X102" s="106">
        <v>94.00956611057245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487.48581727445298</v>
      </c>
      <c r="AF102" s="106">
        <v>0</v>
      </c>
      <c r="AG102" s="106">
        <v>68.886268622688021</v>
      </c>
      <c r="AH102" s="106">
        <v>0</v>
      </c>
      <c r="AI102" s="106">
        <v>607.88626862268802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869.82174443659414</v>
      </c>
      <c r="AS102" s="106">
        <v>0</v>
      </c>
      <c r="AT102" s="106">
        <v>261.93547581390624</v>
      </c>
      <c r="AU102" s="106">
        <v>0</v>
      </c>
      <c r="AV102" s="106">
        <v>0</v>
      </c>
      <c r="AW102" s="106">
        <v>0</v>
      </c>
      <c r="AX102" s="106">
        <v>0</v>
      </c>
      <c r="AY102" s="106">
        <v>382.33592716214122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98.821744436594145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515.8152825385414</v>
      </c>
      <c r="D109" s="106">
        <v>223.14096188471174</v>
      </c>
      <c r="E109" s="106">
        <v>244.63162366783857</v>
      </c>
      <c r="F109" s="106">
        <v>244.63162366783857</v>
      </c>
      <c r="G109" s="106">
        <v>564.75024144622046</v>
      </c>
      <c r="H109" s="106">
        <v>383.98183482492072</v>
      </c>
      <c r="I109" s="106">
        <v>196.79470048721134</v>
      </c>
      <c r="J109" s="106">
        <v>264.59316973697537</v>
      </c>
      <c r="K109" s="106">
        <v>677.05897384366722</v>
      </c>
      <c r="L109" s="106">
        <v>521.61482336641541</v>
      </c>
      <c r="M109" s="106">
        <v>425.37962768671343</v>
      </c>
      <c r="N109" s="106">
        <v>414.19196150868061</v>
      </c>
      <c r="O109" s="106">
        <v>196.79470048721134</v>
      </c>
      <c r="P109" s="106">
        <v>527.46018207196198</v>
      </c>
      <c r="Q109" s="106">
        <v>203.10265146599235</v>
      </c>
      <c r="R109" s="106">
        <v>527.46018207196198</v>
      </c>
      <c r="S109" s="106">
        <v>383.04814184413573</v>
      </c>
      <c r="T109" s="106">
        <v>362.12744127958661</v>
      </c>
      <c r="U109" s="106">
        <v>362.12744127958661</v>
      </c>
      <c r="V109" s="106">
        <v>99.260428944600122</v>
      </c>
      <c r="W109" s="106">
        <v>624.99445361457299</v>
      </c>
      <c r="X109" s="106">
        <v>426.624824701752</v>
      </c>
      <c r="Y109" s="106">
        <v>390.43428618613132</v>
      </c>
      <c r="Z109" s="106">
        <v>99.260428944600122</v>
      </c>
      <c r="AA109" s="106">
        <v>572.9299333854791</v>
      </c>
      <c r="AB109" s="106">
        <v>380.36207195222556</v>
      </c>
      <c r="AC109" s="106">
        <v>310.0629210504926</v>
      </c>
      <c r="AD109" s="106">
        <v>99.260428944600122</v>
      </c>
      <c r="AE109" s="106">
        <v>362.12744127958661</v>
      </c>
      <c r="AF109" s="106">
        <v>310.0629210504926</v>
      </c>
      <c r="AG109" s="106">
        <v>459.66171282219779</v>
      </c>
      <c r="AH109" s="106">
        <v>264.59316973697543</v>
      </c>
      <c r="AI109" s="106">
        <v>362.12744127958661</v>
      </c>
      <c r="AJ109" s="106">
        <v>624.9944536145731</v>
      </c>
      <c r="AK109" s="106">
        <v>453.71630454663733</v>
      </c>
      <c r="AL109" s="106">
        <v>379.24574203057364</v>
      </c>
      <c r="AM109" s="106">
        <v>362.12744127958661</v>
      </c>
      <c r="AN109" s="106">
        <v>362.12744127958661</v>
      </c>
      <c r="AO109" s="106">
        <v>196.79470048721134</v>
      </c>
      <c r="AP109" s="106">
        <v>264.59316973697537</v>
      </c>
      <c r="AQ109" s="106">
        <v>196.79470048721134</v>
      </c>
      <c r="AR109" s="106">
        <v>310.0629210504926</v>
      </c>
      <c r="AS109" s="106">
        <v>572.9299333854791</v>
      </c>
      <c r="AT109" s="106">
        <v>310.0629210504926</v>
      </c>
      <c r="AU109" s="106">
        <v>212.5286495078814</v>
      </c>
      <c r="AV109" s="106">
        <v>624.9944536145731</v>
      </c>
      <c r="AW109" s="106">
        <v>408.36982205632893</v>
      </c>
      <c r="AX109" s="106">
        <v>196.79470048721134</v>
      </c>
      <c r="AY109" s="106">
        <v>362.12744127958661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122.75024144622046</v>
      </c>
      <c r="I110" s="106">
        <v>28.664333855859411</v>
      </c>
      <c r="J110" s="106">
        <v>0</v>
      </c>
      <c r="K110" s="106">
        <v>0</v>
      </c>
      <c r="L110" s="106">
        <v>212.05897384366722</v>
      </c>
      <c r="M110" s="106">
        <v>190.67379721008263</v>
      </c>
      <c r="N110" s="106">
        <v>117.05342489679606</v>
      </c>
      <c r="O110" s="106">
        <v>0</v>
      </c>
      <c r="P110" s="106">
        <v>0</v>
      </c>
      <c r="Q110" s="106">
        <v>22.460182071961981</v>
      </c>
      <c r="R110" s="106">
        <v>0</v>
      </c>
      <c r="S110" s="106">
        <v>190.46018207196198</v>
      </c>
      <c r="T110" s="106">
        <v>40.508323916097709</v>
      </c>
      <c r="U110" s="106">
        <v>0</v>
      </c>
      <c r="V110" s="106">
        <v>0</v>
      </c>
      <c r="W110" s="106">
        <v>0</v>
      </c>
      <c r="X110" s="106">
        <v>72.99445361457299</v>
      </c>
      <c r="Y110" s="106">
        <v>0</v>
      </c>
      <c r="Z110" s="106">
        <v>0</v>
      </c>
      <c r="AA110" s="106">
        <v>0</v>
      </c>
      <c r="AB110" s="106">
        <v>84.929933385479103</v>
      </c>
      <c r="AC110" s="106">
        <v>22.115270045677164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204.9944536145731</v>
      </c>
      <c r="AL110" s="106">
        <v>154.71075816121044</v>
      </c>
      <c r="AM110" s="106">
        <v>18.956500191784073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26.929933385479103</v>
      </c>
      <c r="AU110" s="106">
        <v>0</v>
      </c>
      <c r="AV110" s="106">
        <v>0</v>
      </c>
      <c r="AW110" s="106">
        <v>77.994453614573104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510.1110620624446</v>
      </c>
      <c r="D122" s="106">
        <v>562.95580550073771</v>
      </c>
      <c r="E122" s="106">
        <v>228.42195907888453</v>
      </c>
      <c r="F122" s="106">
        <v>833.34175010944114</v>
      </c>
      <c r="G122" s="106">
        <v>833.34175010944114</v>
      </c>
      <c r="H122" s="106">
        <v>452.87161761833772</v>
      </c>
      <c r="I122" s="106">
        <v>228.42195907888453</v>
      </c>
      <c r="J122" s="106">
        <v>953.15464872052303</v>
      </c>
      <c r="K122" s="106">
        <v>953.15464872052303</v>
      </c>
      <c r="L122" s="106">
        <v>953.15464872052303</v>
      </c>
      <c r="M122" s="106">
        <v>953.15464872052303</v>
      </c>
      <c r="N122" s="106">
        <v>452.87161761833772</v>
      </c>
      <c r="O122" s="106">
        <v>833.34175010944114</v>
      </c>
      <c r="P122" s="106">
        <v>452.87161761833772</v>
      </c>
      <c r="Q122" s="106">
        <v>833.34175010944114</v>
      </c>
      <c r="R122" s="106">
        <v>833.34175010944114</v>
      </c>
      <c r="S122" s="106">
        <v>833.34175010944114</v>
      </c>
      <c r="T122" s="106">
        <v>833.34175010944114</v>
      </c>
      <c r="U122" s="106">
        <v>228.42195907888453</v>
      </c>
      <c r="V122" s="106">
        <v>833.34175010944114</v>
      </c>
      <c r="W122" s="106">
        <v>833.34175010944114</v>
      </c>
      <c r="X122" s="106">
        <v>833.34175010944114</v>
      </c>
      <c r="Y122" s="106">
        <v>228.42195907888453</v>
      </c>
      <c r="Z122" s="106">
        <v>713.52885149835936</v>
      </c>
      <c r="AA122" s="106">
        <v>713.52885149835936</v>
      </c>
      <c r="AB122" s="106">
        <v>713.52885149835936</v>
      </c>
      <c r="AC122" s="106">
        <v>228.42195907888453</v>
      </c>
      <c r="AD122" s="106">
        <v>833.34175010944114</v>
      </c>
      <c r="AE122" s="106">
        <v>228.42195907888453</v>
      </c>
      <c r="AF122" s="106">
        <v>452.87161761833772</v>
      </c>
      <c r="AG122" s="106">
        <v>228.42195907888453</v>
      </c>
      <c r="AH122" s="106">
        <v>833.34175010944114</v>
      </c>
      <c r="AI122" s="106">
        <v>833.34175010944114</v>
      </c>
      <c r="AJ122" s="106">
        <v>833.34175010944114</v>
      </c>
      <c r="AK122" s="106">
        <v>833.34175010944114</v>
      </c>
      <c r="AL122" s="106">
        <v>833.34175010944114</v>
      </c>
      <c r="AM122" s="106">
        <v>833.34175010944114</v>
      </c>
      <c r="AN122" s="106">
        <v>452.87161761833772</v>
      </c>
      <c r="AO122" s="106">
        <v>228.42195907888453</v>
      </c>
      <c r="AP122" s="106">
        <v>452.87161761833772</v>
      </c>
      <c r="AQ122" s="106">
        <v>713.52885149835936</v>
      </c>
      <c r="AR122" s="106">
        <v>452.87161761833772</v>
      </c>
      <c r="AS122" s="106">
        <v>713.52885149835936</v>
      </c>
      <c r="AT122" s="106">
        <v>228.42195907888453</v>
      </c>
      <c r="AU122" s="106">
        <v>1438.2615411399979</v>
      </c>
      <c r="AV122" s="106">
        <v>833.34175010944114</v>
      </c>
      <c r="AW122" s="106">
        <v>452.87161761833772</v>
      </c>
      <c r="AX122" s="106">
        <v>833.34175010944114</v>
      </c>
      <c r="AY122" s="106">
        <v>452.87161761833772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0</v>
      </c>
      <c r="F123" s="106">
        <v>466.28346724094746</v>
      </c>
      <c r="G123" s="106">
        <v>50.292180289612986</v>
      </c>
      <c r="H123" s="106">
        <v>0</v>
      </c>
      <c r="I123" s="106">
        <v>380.47013249110353</v>
      </c>
      <c r="J123" s="106">
        <v>604.91979103055667</v>
      </c>
      <c r="K123" s="106">
        <v>247.2056671153349</v>
      </c>
      <c r="L123" s="106">
        <v>25.745492469442524</v>
      </c>
      <c r="M123" s="106">
        <v>0</v>
      </c>
      <c r="N123" s="106">
        <v>0</v>
      </c>
      <c r="O123" s="106">
        <v>380.47013249110353</v>
      </c>
      <c r="P123" s="106">
        <v>14.5161020929188</v>
      </c>
      <c r="Q123" s="106">
        <v>380.47013249110353</v>
      </c>
      <c r="R123" s="106">
        <v>48.143529693229425</v>
      </c>
      <c r="S123" s="106">
        <v>0</v>
      </c>
      <c r="T123" s="106">
        <v>0</v>
      </c>
      <c r="U123" s="106">
        <v>0</v>
      </c>
      <c r="V123" s="106">
        <v>604.91979103055655</v>
      </c>
      <c r="W123" s="106">
        <v>148.4238868741507</v>
      </c>
      <c r="X123" s="106">
        <v>65.140812281839771</v>
      </c>
      <c r="Y123" s="106">
        <v>0</v>
      </c>
      <c r="Z123" s="106">
        <v>604.91979103055655</v>
      </c>
      <c r="AA123" s="106">
        <v>161.77513981446026</v>
      </c>
      <c r="AB123" s="106">
        <v>0</v>
      </c>
      <c r="AC123" s="106">
        <v>0</v>
      </c>
      <c r="AD123" s="106">
        <v>0</v>
      </c>
      <c r="AE123" s="106">
        <v>0</v>
      </c>
      <c r="AF123" s="106">
        <v>604.91979103055655</v>
      </c>
      <c r="AG123" s="106">
        <v>380.47013249110358</v>
      </c>
      <c r="AH123" s="106">
        <v>0</v>
      </c>
      <c r="AI123" s="106">
        <v>0</v>
      </c>
      <c r="AJ123" s="106">
        <v>210.76785381357092</v>
      </c>
      <c r="AK123" s="106">
        <v>39.393299376374671</v>
      </c>
      <c r="AL123" s="106">
        <v>0</v>
      </c>
      <c r="AM123" s="106">
        <v>0</v>
      </c>
      <c r="AN123" s="106">
        <v>0</v>
      </c>
      <c r="AO123" s="106">
        <v>380.47013249110353</v>
      </c>
      <c r="AP123" s="106">
        <v>2.8421709430404007E-14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106.414764894786</v>
      </c>
      <c r="AW123" s="106">
        <v>0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334.53384642185318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485.10689241947483</v>
      </c>
      <c r="AF124" s="106">
        <v>0</v>
      </c>
      <c r="AG124" s="106">
        <v>0</v>
      </c>
      <c r="AH124" s="106">
        <v>0</v>
      </c>
      <c r="AI124" s="106">
        <v>604.91979103055667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865.5770249105783</v>
      </c>
      <c r="AS124" s="106">
        <v>0</v>
      </c>
      <c r="AT124" s="106">
        <v>260.65723388002164</v>
      </c>
      <c r="AU124" s="106">
        <v>0</v>
      </c>
      <c r="AV124" s="106">
        <v>0</v>
      </c>
      <c r="AW124" s="106">
        <v>0</v>
      </c>
      <c r="AX124" s="106">
        <v>0</v>
      </c>
      <c r="AY124" s="106">
        <v>380.47013249110347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0.4374360379140263</v>
      </c>
      <c r="D172" s="134">
        <v>0.43454854053817549</v>
      </c>
      <c r="E172" s="134">
        <v>0.43454854053817549</v>
      </c>
      <c r="F172" s="134">
        <v>0.43454854053817549</v>
      </c>
      <c r="G172" s="134">
        <v>0.43454854053817549</v>
      </c>
      <c r="H172" s="134">
        <v>0.43454854053817549</v>
      </c>
      <c r="I172" s="134">
        <v>0.43454854053817549</v>
      </c>
      <c r="J172" s="134">
        <v>0.43454854053817549</v>
      </c>
      <c r="K172" s="134">
        <v>0.43454854053817549</v>
      </c>
      <c r="L172" s="134">
        <v>0.43454854053817549</v>
      </c>
      <c r="M172" s="134">
        <v>0.43454854053817549</v>
      </c>
      <c r="N172" s="134">
        <v>0.43454854053817549</v>
      </c>
      <c r="O172" s="134">
        <v>0.43454854053817549</v>
      </c>
      <c r="P172" s="134">
        <v>0.43454854053817549</v>
      </c>
      <c r="Q172" s="134">
        <v>0.43454854053817549</v>
      </c>
      <c r="R172" s="134">
        <v>0.43454854053817549</v>
      </c>
      <c r="S172" s="134">
        <v>0.43454854053817549</v>
      </c>
      <c r="T172" s="134">
        <v>0.43454854053817549</v>
      </c>
      <c r="U172" s="134">
        <v>0.43454854053817549</v>
      </c>
      <c r="V172" s="134">
        <v>0.43454854053817549</v>
      </c>
      <c r="W172" s="134">
        <v>0.43454854053817549</v>
      </c>
      <c r="X172" s="134">
        <v>0.43454854053817549</v>
      </c>
      <c r="Y172" s="134">
        <v>0.43454854053817549</v>
      </c>
      <c r="Z172" s="134">
        <v>0.43454854053817549</v>
      </c>
      <c r="AA172" s="134">
        <v>0.43454854053817549</v>
      </c>
      <c r="AB172" s="134">
        <v>0.43454854053817549</v>
      </c>
      <c r="AC172" s="134">
        <v>0.43454854053817549</v>
      </c>
      <c r="AD172" s="134">
        <v>0.43454854053817549</v>
      </c>
      <c r="AE172" s="134">
        <v>0.43454854053817549</v>
      </c>
      <c r="AF172" s="134">
        <v>0.43454854053817549</v>
      </c>
      <c r="AG172" s="134">
        <v>0.43454854053817549</v>
      </c>
      <c r="AH172" s="134">
        <v>0.43454854053817549</v>
      </c>
      <c r="AI172" s="134">
        <v>0.43454854053817549</v>
      </c>
      <c r="AJ172" s="134">
        <v>0.43454854053817549</v>
      </c>
      <c r="AK172" s="134">
        <v>0.43454854053817549</v>
      </c>
      <c r="AL172" s="134">
        <v>0.43454854053817549</v>
      </c>
      <c r="AM172" s="134">
        <v>0.43454854053817549</v>
      </c>
      <c r="AN172" s="134">
        <v>0.43454854053817549</v>
      </c>
      <c r="AO172" s="134">
        <v>0.43454854053817549</v>
      </c>
      <c r="AP172" s="134">
        <v>0.43454854053817549</v>
      </c>
      <c r="AQ172" s="134">
        <v>0.43454854053817549</v>
      </c>
      <c r="AR172" s="134">
        <v>0.43454854053817549</v>
      </c>
      <c r="AS172" s="134">
        <v>0.43454854053817549</v>
      </c>
      <c r="AT172" s="134">
        <v>0.43454854053817549</v>
      </c>
      <c r="AU172" s="134">
        <v>0.43454854053817549</v>
      </c>
      <c r="AV172" s="134">
        <v>0.43454854053817549</v>
      </c>
      <c r="AW172" s="134">
        <v>0.43454854053817549</v>
      </c>
      <c r="AX172" s="134">
        <v>0.43454854053817549</v>
      </c>
      <c r="AY172" s="134">
        <v>0.43454854053817549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1280.5822153462773</v>
      </c>
      <c r="E175" s="124">
        <f t="shared" si="1"/>
        <v>1232.12096548983</v>
      </c>
      <c r="F175" s="124">
        <f t="shared" si="1"/>
        <v>1205.6597156333828</v>
      </c>
      <c r="G175" s="124">
        <f t="shared" si="1"/>
        <v>1461.1984657769356</v>
      </c>
      <c r="H175" s="124">
        <f t="shared" si="1"/>
        <v>1672.5841335279079</v>
      </c>
      <c r="I175" s="124">
        <f t="shared" si="1"/>
        <v>2056.9698012788804</v>
      </c>
      <c r="J175" s="124">
        <f t="shared" si="1"/>
        <v>2174.3554690298524</v>
      </c>
      <c r="K175" s="124">
        <f t="shared" si="1"/>
        <v>2234.1210017559406</v>
      </c>
      <c r="L175" s="124">
        <f t="shared" si="1"/>
        <v>2136.6597518994936</v>
      </c>
      <c r="M175" s="124">
        <f t="shared" si="1"/>
        <v>2114.1985020430466</v>
      </c>
      <c r="N175" s="124">
        <f t="shared" si="1"/>
        <v>2177.7372521865991</v>
      </c>
      <c r="O175" s="124">
        <f t="shared" si="1"/>
        <v>2270.2760023301516</v>
      </c>
      <c r="P175" s="124">
        <f t="shared" si="1"/>
        <v>2239.8147524737046</v>
      </c>
      <c r="Q175" s="124">
        <f t="shared" si="1"/>
        <v>2279.0470608643682</v>
      </c>
      <c r="R175" s="124">
        <f t="shared" si="1"/>
        <v>2373.5900465055474</v>
      </c>
      <c r="S175" s="124">
        <f t="shared" si="1"/>
        <v>2188.1287966491</v>
      </c>
      <c r="T175" s="124">
        <f t="shared" si="1"/>
        <v>2117.667546792653</v>
      </c>
      <c r="U175" s="124">
        <f t="shared" si="1"/>
        <v>2105.2062969362059</v>
      </c>
      <c r="V175" s="124">
        <f t="shared" si="1"/>
        <v>2051.7450470797585</v>
      </c>
      <c r="W175" s="124">
        <f t="shared" si="1"/>
        <v>2129.283797223311</v>
      </c>
      <c r="X175" s="124">
        <f t="shared" si="1"/>
        <v>1820.9756297594445</v>
      </c>
      <c r="Y175" s="124">
        <f t="shared" si="1"/>
        <v>1739.6674622955775</v>
      </c>
      <c r="Z175" s="124">
        <f t="shared" si="1"/>
        <v>1554.3592948317105</v>
      </c>
      <c r="AA175" s="124">
        <f t="shared" si="1"/>
        <v>1479.0511273678437</v>
      </c>
      <c r="AB175" s="124">
        <f t="shared" si="1"/>
        <v>1477.5898775113965</v>
      </c>
      <c r="AC175" s="124">
        <f t="shared" si="1"/>
        <v>1392.1286276549492</v>
      </c>
      <c r="AD175" s="124">
        <f t="shared" si="1"/>
        <v>1163.667377798502</v>
      </c>
      <c r="AE175" s="124">
        <f t="shared" si="1"/>
        <v>1064.5387501435528</v>
      </c>
      <c r="AF175" s="124">
        <f t="shared" si="1"/>
        <v>1064.5387501435528</v>
      </c>
      <c r="AG175" s="124">
        <f t="shared" si="1"/>
        <v>1074.0775002871055</v>
      </c>
      <c r="AH175" s="124">
        <f t="shared" si="1"/>
        <v>1132.6162504306583</v>
      </c>
      <c r="AI175" s="124">
        <f t="shared" si="1"/>
        <v>1064.5387501435528</v>
      </c>
      <c r="AJ175" s="124">
        <f t="shared" si="1"/>
        <v>1064.5387501435528</v>
      </c>
      <c r="AK175" s="124">
        <f t="shared" si="1"/>
        <v>1064.5387501435528</v>
      </c>
      <c r="AL175" s="124">
        <f t="shared" si="1"/>
        <v>1064.5387501435528</v>
      </c>
      <c r="AM175" s="124">
        <f t="shared" si="1"/>
        <v>1064.5387501435528</v>
      </c>
      <c r="AN175" s="124">
        <f t="shared" si="1"/>
        <v>853.69183253613312</v>
      </c>
      <c r="AO175" s="124">
        <f t="shared" si="1"/>
        <v>853.69183253613312</v>
      </c>
      <c r="AP175" s="124">
        <f t="shared" si="1"/>
        <v>853.69183253613312</v>
      </c>
      <c r="AQ175" s="124">
        <f t="shared" si="1"/>
        <v>853.69183253613312</v>
      </c>
      <c r="AR175" s="124">
        <f t="shared" si="1"/>
        <v>1064.5387501435528</v>
      </c>
      <c r="AS175" s="124">
        <f t="shared" si="1"/>
        <v>1084.0775002871055</v>
      </c>
      <c r="AT175" s="124">
        <f t="shared" si="1"/>
        <v>1108.6162504306583</v>
      </c>
      <c r="AU175" s="124">
        <f t="shared" si="1"/>
        <v>1068.155000574211</v>
      </c>
      <c r="AV175" s="124">
        <f t="shared" si="1"/>
        <v>1109.6937507177638</v>
      </c>
      <c r="AW175" s="124">
        <f t="shared" si="1"/>
        <v>1064.5387501435528</v>
      </c>
      <c r="AX175" s="124">
        <f t="shared" si="1"/>
        <v>1191.0775002871055</v>
      </c>
      <c r="AY175" s="124">
        <f t="shared" si="1"/>
        <v>1175.6162504306583</v>
      </c>
    </row>
    <row r="176" spans="1:52">
      <c r="A176" s="125"/>
      <c r="B176" s="136" t="s">
        <v>299</v>
      </c>
      <c r="C176" s="125" t="s">
        <v>293</v>
      </c>
      <c r="D176" s="125">
        <v>1113</v>
      </c>
      <c r="E176" s="125">
        <v>1091</v>
      </c>
      <c r="F176" s="125">
        <v>809</v>
      </c>
      <c r="G176" s="125">
        <v>1064</v>
      </c>
      <c r="H176" s="125">
        <v>891</v>
      </c>
      <c r="I176" s="125">
        <v>1158</v>
      </c>
      <c r="J176" s="125">
        <v>949</v>
      </c>
      <c r="K176" s="125">
        <v>1162</v>
      </c>
      <c r="L176" s="125">
        <v>1087</v>
      </c>
      <c r="M176" s="125">
        <v>1001</v>
      </c>
      <c r="N176" s="125">
        <v>972</v>
      </c>
      <c r="O176" s="125">
        <v>1095</v>
      </c>
      <c r="P176" s="125">
        <v>918</v>
      </c>
      <c r="Q176" s="125">
        <v>916</v>
      </c>
      <c r="R176" s="125">
        <v>1250</v>
      </c>
      <c r="S176" s="125">
        <v>1135</v>
      </c>
      <c r="T176" s="125">
        <v>1077</v>
      </c>
      <c r="U176" s="125">
        <v>1118</v>
      </c>
      <c r="V176" s="125">
        <v>987</v>
      </c>
      <c r="W176" s="125">
        <v>1162</v>
      </c>
      <c r="X176" s="125">
        <v>935</v>
      </c>
      <c r="Y176" s="125">
        <v>1039</v>
      </c>
      <c r="Z176" s="125">
        <v>929</v>
      </c>
      <c r="AA176" s="125">
        <v>1066</v>
      </c>
      <c r="AB176" s="125">
        <v>1150</v>
      </c>
      <c r="AC176" s="125">
        <v>1293</v>
      </c>
      <c r="AD176" s="125">
        <v>1163.667377798502</v>
      </c>
      <c r="AE176" s="125">
        <v>1064.5387501435528</v>
      </c>
      <c r="AF176" s="125">
        <v>1055</v>
      </c>
      <c r="AG176" s="125">
        <v>1006</v>
      </c>
      <c r="AH176" s="125">
        <v>1132.6162504306583</v>
      </c>
      <c r="AI176" s="125">
        <v>1064.5387501435528</v>
      </c>
      <c r="AJ176" s="125">
        <v>1064.5387501435528</v>
      </c>
      <c r="AK176" s="125">
        <v>1064.5387501435528</v>
      </c>
      <c r="AL176" s="125">
        <v>1064.5387501435528</v>
      </c>
      <c r="AM176" s="125">
        <v>1064.5387501435528</v>
      </c>
      <c r="AN176" s="125">
        <v>853.69183253613312</v>
      </c>
      <c r="AO176" s="125">
        <v>853.69183253613312</v>
      </c>
      <c r="AP176" s="125">
        <v>853.69183253613312</v>
      </c>
      <c r="AQ176" s="125">
        <v>853.69183253613312</v>
      </c>
      <c r="AR176" s="125">
        <v>1045</v>
      </c>
      <c r="AS176" s="125">
        <v>1040</v>
      </c>
      <c r="AT176" s="125">
        <v>1105</v>
      </c>
      <c r="AU176" s="125">
        <v>1023</v>
      </c>
      <c r="AV176" s="125">
        <v>1109.6937507177638</v>
      </c>
      <c r="AW176" s="125">
        <v>938</v>
      </c>
      <c r="AX176" s="125">
        <v>1080</v>
      </c>
      <c r="AY176" s="125">
        <v>1112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610.74520421119007</v>
      </c>
      <c r="E177" s="124">
        <f t="shared" si="2"/>
        <v>610.74520421119007</v>
      </c>
      <c r="F177" s="124">
        <f t="shared" si="2"/>
        <v>1076.4563521682451</v>
      </c>
      <c r="G177" s="124">
        <f t="shared" si="2"/>
        <v>945.3426207909331</v>
      </c>
      <c r="H177" s="124">
        <f t="shared" si="2"/>
        <v>487.8929622514799</v>
      </c>
      <c r="I177" s="124">
        <f t="shared" si="2"/>
        <v>382.33592716214122</v>
      </c>
      <c r="J177" s="124">
        <f t="shared" si="2"/>
        <v>1336.1729885936111</v>
      </c>
      <c r="K177" s="124">
        <f t="shared" si="2"/>
        <v>1388.4597085645341</v>
      </c>
      <c r="L177" s="124">
        <f t="shared" si="2"/>
        <v>1471.7464285354572</v>
      </c>
      <c r="M177" s="124">
        <f t="shared" si="2"/>
        <v>1655.0331485063803</v>
      </c>
      <c r="N177" s="124">
        <f t="shared" si="2"/>
        <v>1274.5834899669271</v>
      </c>
      <c r="O177" s="124">
        <f t="shared" si="2"/>
        <v>1717.8056857517563</v>
      </c>
      <c r="P177" s="124">
        <f t="shared" si="2"/>
        <v>1345.3560272123032</v>
      </c>
      <c r="Q177" s="124">
        <f t="shared" si="2"/>
        <v>1781.5782229971323</v>
      </c>
      <c r="R177" s="124">
        <f t="shared" si="2"/>
        <v>1717.4644916198204</v>
      </c>
      <c r="S177" s="124">
        <f t="shared" si="2"/>
        <v>1574.3507602425084</v>
      </c>
      <c r="T177" s="124">
        <f t="shared" si="2"/>
        <v>1547.2370288651964</v>
      </c>
      <c r="U177" s="124">
        <f t="shared" si="2"/>
        <v>794.23702886519641</v>
      </c>
      <c r="V177" s="124">
        <f t="shared" si="2"/>
        <v>1432.0095661105725</v>
      </c>
      <c r="W177" s="124">
        <f t="shared" si="2"/>
        <v>1423.8958347332605</v>
      </c>
      <c r="X177" s="124">
        <f t="shared" si="2"/>
        <v>1309.7821033559485</v>
      </c>
      <c r="Y177" s="124">
        <f t="shared" si="2"/>
        <v>465.78210335594849</v>
      </c>
      <c r="Z177" s="124">
        <f t="shared" si="2"/>
        <v>1095.372085897141</v>
      </c>
      <c r="AA177" s="124">
        <f t="shared" si="2"/>
        <v>854.85790317159399</v>
      </c>
      <c r="AB177" s="124">
        <f t="shared" si="2"/>
        <v>692.34372044604697</v>
      </c>
      <c r="AC177" s="124">
        <f t="shared" si="2"/>
        <v>0</v>
      </c>
      <c r="AD177" s="124">
        <f t="shared" si="2"/>
        <v>607.88626862268802</v>
      </c>
      <c r="AE177" s="124">
        <f t="shared" si="2"/>
        <v>487.48581727445298</v>
      </c>
      <c r="AF177" s="124">
        <f t="shared" si="2"/>
        <v>833.43661008323488</v>
      </c>
      <c r="AG177" s="124">
        <f t="shared" si="2"/>
        <v>676.77253724537604</v>
      </c>
      <c r="AH177" s="124">
        <f t="shared" si="2"/>
        <v>607.88626862268802</v>
      </c>
      <c r="AI177" s="124">
        <f t="shared" si="2"/>
        <v>1215.772537245376</v>
      </c>
      <c r="AJ177" s="124">
        <f t="shared" si="2"/>
        <v>1175.6588058680641</v>
      </c>
      <c r="AK177" s="124">
        <f t="shared" si="2"/>
        <v>1121.5450744907521</v>
      </c>
      <c r="AL177" s="124">
        <f t="shared" si="2"/>
        <v>998.43134311344011</v>
      </c>
      <c r="AM177" s="124">
        <f t="shared" si="2"/>
        <v>911.31761173612813</v>
      </c>
      <c r="AN177" s="124">
        <f t="shared" si="2"/>
        <v>329.86795319667493</v>
      </c>
      <c r="AO177" s="124">
        <f t="shared" si="2"/>
        <v>382.33592716214122</v>
      </c>
      <c r="AP177" s="124">
        <f t="shared" si="2"/>
        <v>225.5503414605468</v>
      </c>
      <c r="AQ177" s="124">
        <f t="shared" si="2"/>
        <v>487.48581727445298</v>
      </c>
      <c r="AR177" s="124">
        <f t="shared" si="2"/>
        <v>1095.372085897141</v>
      </c>
      <c r="AS177" s="124">
        <f t="shared" si="2"/>
        <v>811.85790317159388</v>
      </c>
      <c r="AT177" s="124">
        <f t="shared" si="2"/>
        <v>359.79337898550011</v>
      </c>
      <c r="AU177" s="124">
        <f t="shared" si="2"/>
        <v>1215.772537245376</v>
      </c>
      <c r="AV177" s="124">
        <f t="shared" si="2"/>
        <v>1118.6588058680641</v>
      </c>
      <c r="AW177" s="124">
        <f t="shared" si="2"/>
        <v>557.20914732861092</v>
      </c>
      <c r="AX177" s="124">
        <f t="shared" si="2"/>
        <v>607.88626862268802</v>
      </c>
      <c r="AY177" s="124">
        <f t="shared" si="2"/>
        <v>607.88626862268802</v>
      </c>
    </row>
    <row r="178" spans="1:51">
      <c r="A178" s="125"/>
      <c r="B178" s="136" t="s">
        <v>299</v>
      </c>
      <c r="C178" s="125" t="s">
        <v>293</v>
      </c>
      <c r="D178" s="125">
        <v>610.74520421119007</v>
      </c>
      <c r="E178" s="125">
        <v>610.74520421119007</v>
      </c>
      <c r="F178" s="125">
        <v>739</v>
      </c>
      <c r="G178" s="125">
        <v>683</v>
      </c>
      <c r="H178" s="125">
        <v>487.8929622514799</v>
      </c>
      <c r="I178" s="125">
        <v>382.33592716214122</v>
      </c>
      <c r="J178" s="125">
        <v>676</v>
      </c>
      <c r="K178" s="125">
        <v>645</v>
      </c>
      <c r="L178" s="125">
        <v>545</v>
      </c>
      <c r="M178" s="125">
        <v>606</v>
      </c>
      <c r="N178" s="125">
        <v>547</v>
      </c>
      <c r="O178" s="125">
        <v>598</v>
      </c>
      <c r="P178" s="125">
        <v>554</v>
      </c>
      <c r="Q178" s="125">
        <v>672</v>
      </c>
      <c r="R178" s="125">
        <v>751</v>
      </c>
      <c r="S178" s="125">
        <v>635</v>
      </c>
      <c r="T178" s="125">
        <v>753</v>
      </c>
      <c r="U178" s="125">
        <v>578</v>
      </c>
      <c r="V178" s="125">
        <v>616</v>
      </c>
      <c r="W178" s="125">
        <v>722</v>
      </c>
      <c r="X178" s="125">
        <v>844</v>
      </c>
      <c r="Y178" s="125">
        <v>465.78210335594849</v>
      </c>
      <c r="Z178" s="125">
        <v>728</v>
      </c>
      <c r="AA178" s="125">
        <v>650</v>
      </c>
      <c r="AB178" s="125">
        <v>692.34372044604697</v>
      </c>
      <c r="AC178" s="125">
        <v>0</v>
      </c>
      <c r="AD178" s="125">
        <v>607.88626862268802</v>
      </c>
      <c r="AE178" s="125">
        <v>487.48581727445298</v>
      </c>
      <c r="AF178" s="125">
        <v>539</v>
      </c>
      <c r="AG178" s="125">
        <v>676.77253724537604</v>
      </c>
      <c r="AH178" s="125">
        <v>607.88626862268802</v>
      </c>
      <c r="AI178" s="125">
        <v>648</v>
      </c>
      <c r="AJ178" s="125">
        <v>662</v>
      </c>
      <c r="AK178" s="125">
        <v>731</v>
      </c>
      <c r="AL178" s="125">
        <v>695</v>
      </c>
      <c r="AM178" s="125">
        <v>807</v>
      </c>
      <c r="AN178" s="125">
        <v>329.86795319667493</v>
      </c>
      <c r="AO178" s="125">
        <v>382.33592716214122</v>
      </c>
      <c r="AP178" s="125">
        <v>225.5503414605468</v>
      </c>
      <c r="AQ178" s="125">
        <v>487.48581727445298</v>
      </c>
      <c r="AR178" s="125">
        <v>771</v>
      </c>
      <c r="AS178" s="125">
        <v>714</v>
      </c>
      <c r="AT178" s="125">
        <v>359.79337898550011</v>
      </c>
      <c r="AU178" s="125">
        <v>705</v>
      </c>
      <c r="AV178" s="125">
        <v>787</v>
      </c>
      <c r="AW178" s="125">
        <v>557.20914732861092</v>
      </c>
      <c r="AX178" s="125">
        <v>607.88626862268802</v>
      </c>
      <c r="AY178" s="125">
        <v>607.88626862268802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223.14096188471174</v>
      </c>
      <c r="E179" s="124">
        <f t="shared" si="3"/>
        <v>244.63162366783857</v>
      </c>
      <c r="F179" s="124">
        <f t="shared" si="3"/>
        <v>244.63162366783857</v>
      </c>
      <c r="G179" s="124">
        <f t="shared" si="3"/>
        <v>564.75024144622046</v>
      </c>
      <c r="H179" s="124">
        <f t="shared" si="3"/>
        <v>506.73207627114118</v>
      </c>
      <c r="I179" s="124">
        <f t="shared" si="3"/>
        <v>225.45903434307075</v>
      </c>
      <c r="J179" s="124">
        <f t="shared" si="3"/>
        <v>264.59316973697537</v>
      </c>
      <c r="K179" s="124">
        <f t="shared" si="3"/>
        <v>677.05897384366722</v>
      </c>
      <c r="L179" s="124">
        <f t="shared" si="3"/>
        <v>733.67379721008263</v>
      </c>
      <c r="M179" s="124">
        <f t="shared" si="3"/>
        <v>616.05342489679606</v>
      </c>
      <c r="N179" s="124">
        <f t="shared" si="3"/>
        <v>531.24538640547667</v>
      </c>
      <c r="O179" s="124">
        <f t="shared" si="3"/>
        <v>196.79470048721134</v>
      </c>
      <c r="P179" s="124">
        <f t="shared" si="3"/>
        <v>527.46018207196198</v>
      </c>
      <c r="Q179" s="124">
        <f t="shared" si="3"/>
        <v>225.56283353795433</v>
      </c>
      <c r="R179" s="124">
        <f t="shared" si="3"/>
        <v>527.46018207196198</v>
      </c>
      <c r="S179" s="124">
        <f t="shared" si="3"/>
        <v>573.50832391609765</v>
      </c>
      <c r="T179" s="124">
        <f t="shared" si="3"/>
        <v>402.63576519568431</v>
      </c>
      <c r="U179" s="124">
        <f t="shared" si="3"/>
        <v>362.12744127958661</v>
      </c>
      <c r="V179" s="124">
        <f t="shared" si="3"/>
        <v>99.260428944600122</v>
      </c>
      <c r="W179" s="124">
        <f t="shared" si="3"/>
        <v>624.99445361457299</v>
      </c>
      <c r="X179" s="124">
        <f t="shared" si="3"/>
        <v>499.61927831632499</v>
      </c>
      <c r="Y179" s="124">
        <f t="shared" si="3"/>
        <v>390.43428618613132</v>
      </c>
      <c r="Z179" s="124">
        <f t="shared" si="3"/>
        <v>99.260428944600122</v>
      </c>
      <c r="AA179" s="124">
        <f t="shared" si="3"/>
        <v>572.9299333854791</v>
      </c>
      <c r="AB179" s="124">
        <f t="shared" si="3"/>
        <v>465.29200533770467</v>
      </c>
      <c r="AC179" s="124">
        <f t="shared" si="3"/>
        <v>332.17819109616977</v>
      </c>
      <c r="AD179" s="124">
        <f t="shared" si="3"/>
        <v>99.260428944600122</v>
      </c>
      <c r="AE179" s="124">
        <f t="shared" si="3"/>
        <v>362.12744127958661</v>
      </c>
      <c r="AF179" s="124">
        <f t="shared" si="3"/>
        <v>310.0629210504926</v>
      </c>
      <c r="AG179" s="124">
        <f t="shared" si="3"/>
        <v>459.66171282219779</v>
      </c>
      <c r="AH179" s="124">
        <f t="shared" si="3"/>
        <v>264.59316973697543</v>
      </c>
      <c r="AI179" s="124">
        <f t="shared" si="3"/>
        <v>362.12744127958661</v>
      </c>
      <c r="AJ179" s="124">
        <f t="shared" si="3"/>
        <v>624.9944536145731</v>
      </c>
      <c r="AK179" s="124">
        <f t="shared" si="3"/>
        <v>658.71075816121038</v>
      </c>
      <c r="AL179" s="124">
        <f t="shared" si="3"/>
        <v>533.95650019178402</v>
      </c>
      <c r="AM179" s="124">
        <f t="shared" si="3"/>
        <v>381.08394147137068</v>
      </c>
      <c r="AN179" s="124">
        <f t="shared" si="3"/>
        <v>362.12744127958661</v>
      </c>
      <c r="AO179" s="124">
        <f t="shared" si="3"/>
        <v>196.79470048721134</v>
      </c>
      <c r="AP179" s="124">
        <f t="shared" si="3"/>
        <v>264.59316973697537</v>
      </c>
      <c r="AQ179" s="124">
        <f t="shared" si="3"/>
        <v>196.79470048721134</v>
      </c>
      <c r="AR179" s="124">
        <f t="shared" si="3"/>
        <v>310.0629210504926</v>
      </c>
      <c r="AS179" s="124">
        <f t="shared" si="3"/>
        <v>572.9299333854791</v>
      </c>
      <c r="AT179" s="124">
        <f t="shared" si="3"/>
        <v>336.99285443597171</v>
      </c>
      <c r="AU179" s="124">
        <f t="shared" si="3"/>
        <v>212.5286495078814</v>
      </c>
      <c r="AV179" s="124">
        <f t="shared" si="3"/>
        <v>624.9944536145731</v>
      </c>
      <c r="AW179" s="124">
        <f t="shared" si="3"/>
        <v>486.36427567090203</v>
      </c>
      <c r="AX179" s="124">
        <f t="shared" si="3"/>
        <v>196.79470048721134</v>
      </c>
      <c r="AY179" s="124">
        <f t="shared" si="3"/>
        <v>362.12744127958661</v>
      </c>
    </row>
    <row r="180" spans="1:51">
      <c r="A180" s="125"/>
      <c r="B180" s="136" t="s">
        <v>299</v>
      </c>
      <c r="C180" s="125" t="s">
        <v>293</v>
      </c>
      <c r="D180" s="125">
        <v>223.14096188471174</v>
      </c>
      <c r="E180" s="125">
        <v>244.63162366783857</v>
      </c>
      <c r="F180" s="125">
        <v>244.63162366783857</v>
      </c>
      <c r="G180" s="125">
        <v>442</v>
      </c>
      <c r="H180" s="125">
        <v>478.06774241528177</v>
      </c>
      <c r="I180" s="125">
        <v>225.45903434307075</v>
      </c>
      <c r="J180" s="125">
        <v>264.59316973697537</v>
      </c>
      <c r="K180" s="125">
        <v>465</v>
      </c>
      <c r="L180" s="125">
        <v>543</v>
      </c>
      <c r="M180" s="125">
        <v>499</v>
      </c>
      <c r="N180" s="125">
        <v>531.24538640547667</v>
      </c>
      <c r="O180" s="125">
        <v>196.79470048721134</v>
      </c>
      <c r="P180" s="125">
        <v>505</v>
      </c>
      <c r="Q180" s="125">
        <v>225.56283353795433</v>
      </c>
      <c r="R180" s="125">
        <v>337</v>
      </c>
      <c r="S180" s="125">
        <v>533</v>
      </c>
      <c r="T180" s="125">
        <v>402.63576519568431</v>
      </c>
      <c r="U180" s="125">
        <v>362.12744127958661</v>
      </c>
      <c r="V180" s="125">
        <v>99.260428944600122</v>
      </c>
      <c r="W180" s="125">
        <v>552</v>
      </c>
      <c r="X180" s="125">
        <v>499.61927831632499</v>
      </c>
      <c r="Y180" s="125">
        <v>390.43428618613132</v>
      </c>
      <c r="Z180" s="125">
        <v>99.260428944600122</v>
      </c>
      <c r="AA180" s="125">
        <v>488</v>
      </c>
      <c r="AB180" s="125">
        <v>443.1767352920275</v>
      </c>
      <c r="AC180" s="125">
        <v>332.17819109616977</v>
      </c>
      <c r="AD180" s="125">
        <v>99.260428944600122</v>
      </c>
      <c r="AE180" s="125">
        <v>362.12744127958661</v>
      </c>
      <c r="AF180" s="125">
        <v>310.0629210504926</v>
      </c>
      <c r="AG180" s="125">
        <v>459.66171282219779</v>
      </c>
      <c r="AH180" s="125">
        <v>264.59316973697543</v>
      </c>
      <c r="AI180" s="125">
        <v>362.12744127958661</v>
      </c>
      <c r="AJ180" s="125">
        <v>420</v>
      </c>
      <c r="AK180" s="125">
        <v>504</v>
      </c>
      <c r="AL180" s="125">
        <v>515</v>
      </c>
      <c r="AM180" s="125">
        <v>381.08394147137068</v>
      </c>
      <c r="AN180" s="125">
        <v>362.12744127958661</v>
      </c>
      <c r="AO180" s="125">
        <v>196.79470048721134</v>
      </c>
      <c r="AP180" s="125">
        <v>264.59316973697537</v>
      </c>
      <c r="AQ180" s="125">
        <v>196.79470048721134</v>
      </c>
      <c r="AR180" s="125">
        <v>310.0629210504926</v>
      </c>
      <c r="AS180" s="125">
        <v>546</v>
      </c>
      <c r="AT180" s="125">
        <v>336.99285443597171</v>
      </c>
      <c r="AU180" s="125">
        <v>212.5286495078814</v>
      </c>
      <c r="AV180" s="125">
        <v>547</v>
      </c>
      <c r="AW180" s="125">
        <v>486.36427567090203</v>
      </c>
      <c r="AX180" s="125">
        <v>196.79470048721134</v>
      </c>
      <c r="AY180" s="125">
        <v>362.12744127958661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318.32418183289917</v>
      </c>
      <c r="E181" s="124">
        <f t="shared" si="4"/>
        <v>318.32418183289917</v>
      </c>
      <c r="F181" s="124">
        <f t="shared" si="4"/>
        <v>734.87497590416808</v>
      </c>
      <c r="G181" s="124">
        <f t="shared" si="4"/>
        <v>499.65209557413345</v>
      </c>
      <c r="H181" s="124">
        <f t="shared" si="4"/>
        <v>256.07691713112638</v>
      </c>
      <c r="I181" s="124">
        <f t="shared" si="4"/>
        <v>344.29892183301263</v>
      </c>
      <c r="J181" s="124">
        <f t="shared" si="4"/>
        <v>881.01546590741259</v>
      </c>
      <c r="K181" s="124">
        <f t="shared" si="4"/>
        <v>678.74549246944241</v>
      </c>
      <c r="L181" s="124">
        <f t="shared" si="4"/>
        <v>553.52051350325212</v>
      </c>
      <c r="M181" s="124">
        <f t="shared" si="4"/>
        <v>538.96268721184242</v>
      </c>
      <c r="N181" s="124">
        <f t="shared" si="4"/>
        <v>256.07691713112638</v>
      </c>
      <c r="O181" s="124">
        <f t="shared" si="4"/>
        <v>686.3517005285828</v>
      </c>
      <c r="P181" s="124">
        <f t="shared" si="4"/>
        <v>264.28506824526414</v>
      </c>
      <c r="Q181" s="124">
        <f t="shared" si="4"/>
        <v>686.3517005285828</v>
      </c>
      <c r="R181" s="124">
        <f t="shared" si="4"/>
        <v>498.43713795853483</v>
      </c>
      <c r="S181" s="124">
        <f t="shared" si="4"/>
        <v>471.21430882985453</v>
      </c>
      <c r="T181" s="124">
        <f t="shared" si="4"/>
        <v>471.21430882985453</v>
      </c>
      <c r="U181" s="124">
        <f t="shared" si="4"/>
        <v>129.16153013428442</v>
      </c>
      <c r="V181" s="124">
        <f t="shared" si="4"/>
        <v>813.2670875254247</v>
      </c>
      <c r="W181" s="124">
        <f t="shared" si="4"/>
        <v>555.14081228183977</v>
      </c>
      <c r="X181" s="124">
        <f t="shared" si="4"/>
        <v>508.04827620514959</v>
      </c>
      <c r="Y181" s="124">
        <f t="shared" si="4"/>
        <v>129.16153013428442</v>
      </c>
      <c r="Z181" s="124">
        <f t="shared" si="4"/>
        <v>745.51870914343692</v>
      </c>
      <c r="AA181" s="124">
        <f t="shared" si="4"/>
        <v>494.941919360594</v>
      </c>
      <c r="AB181" s="124">
        <f t="shared" si="4"/>
        <v>403.46593044786675</v>
      </c>
      <c r="AC181" s="124">
        <f t="shared" si="4"/>
        <v>129.16153013428442</v>
      </c>
      <c r="AD181" s="124">
        <f t="shared" si="4"/>
        <v>471.21430882985453</v>
      </c>
      <c r="AE181" s="124">
        <f t="shared" si="4"/>
        <v>403.46593044786675</v>
      </c>
      <c r="AF181" s="124">
        <f t="shared" si="4"/>
        <v>598.12969582669643</v>
      </c>
      <c r="AG181" s="124">
        <f t="shared" si="4"/>
        <v>344.29892183301268</v>
      </c>
      <c r="AH181" s="124">
        <f t="shared" si="4"/>
        <v>471.21430882985453</v>
      </c>
      <c r="AI181" s="124">
        <f t="shared" si="4"/>
        <v>813.26708752542481</v>
      </c>
      <c r="AJ181" s="124">
        <f t="shared" si="4"/>
        <v>590.39329937637467</v>
      </c>
      <c r="AK181" s="124">
        <f t="shared" si="4"/>
        <v>493.48930745524217</v>
      </c>
      <c r="AL181" s="124">
        <f t="shared" si="4"/>
        <v>471.21430882985453</v>
      </c>
      <c r="AM181" s="124">
        <f t="shared" si="4"/>
        <v>471.21430882985453</v>
      </c>
      <c r="AN181" s="124">
        <f t="shared" si="4"/>
        <v>256.07691713112638</v>
      </c>
      <c r="AO181" s="124">
        <f t="shared" si="4"/>
        <v>344.29892183301263</v>
      </c>
      <c r="AP181" s="124">
        <f t="shared" si="4"/>
        <v>256.07691713112638</v>
      </c>
      <c r="AQ181" s="124">
        <f t="shared" si="4"/>
        <v>403.46593044786675</v>
      </c>
      <c r="AR181" s="124">
        <f t="shared" si="4"/>
        <v>745.51870914343692</v>
      </c>
      <c r="AS181" s="124">
        <f t="shared" si="4"/>
        <v>403.46593044786675</v>
      </c>
      <c r="AT181" s="124">
        <f t="shared" si="4"/>
        <v>276.55054345102479</v>
      </c>
      <c r="AU181" s="124">
        <f t="shared" si="4"/>
        <v>813.26708752542481</v>
      </c>
      <c r="AV181" s="124">
        <f t="shared" si="4"/>
        <v>531.38669294789827</v>
      </c>
      <c r="AW181" s="124">
        <f t="shared" si="4"/>
        <v>256.07691713112638</v>
      </c>
      <c r="AX181" s="124">
        <f t="shared" si="4"/>
        <v>471.21430882985453</v>
      </c>
      <c r="AY181" s="124">
        <f t="shared" si="4"/>
        <v>471.21430882985453</v>
      </c>
    </row>
    <row r="182" spans="1:51">
      <c r="A182" s="125"/>
      <c r="B182" s="136" t="s">
        <v>299</v>
      </c>
      <c r="C182" s="125" t="s">
        <v>293</v>
      </c>
      <c r="D182" s="125">
        <v>318.32418183289917</v>
      </c>
      <c r="E182" s="125">
        <v>318.32418183289917</v>
      </c>
      <c r="F182" s="125">
        <v>684.58279561455515</v>
      </c>
      <c r="G182" s="125">
        <v>499.65209557413345</v>
      </c>
      <c r="H182" s="125">
        <v>256.07691713112638</v>
      </c>
      <c r="I182" s="125">
        <v>344.29892183301263</v>
      </c>
      <c r="J182" s="125">
        <v>633.80979879207769</v>
      </c>
      <c r="K182" s="125">
        <v>653</v>
      </c>
      <c r="L182" s="125">
        <v>553.52051350325212</v>
      </c>
      <c r="M182" s="125">
        <v>538.96268721184242</v>
      </c>
      <c r="N182" s="125">
        <v>256.07691713112638</v>
      </c>
      <c r="O182" s="125">
        <v>671.835598435664</v>
      </c>
      <c r="P182" s="125">
        <v>264.28506824526414</v>
      </c>
      <c r="Q182" s="125">
        <v>638.20817083535337</v>
      </c>
      <c r="R182" s="125">
        <v>498.43713795853483</v>
      </c>
      <c r="S182" s="125">
        <v>471.21430882985453</v>
      </c>
      <c r="T182" s="125">
        <v>471.21430882985453</v>
      </c>
      <c r="U182" s="125">
        <v>129.16153013428442</v>
      </c>
      <c r="V182" s="125">
        <v>664.84320065127395</v>
      </c>
      <c r="W182" s="125">
        <v>490</v>
      </c>
      <c r="X182" s="125">
        <v>508.04827620514959</v>
      </c>
      <c r="Y182" s="125">
        <v>129.16153013428442</v>
      </c>
      <c r="Z182" s="125">
        <v>583.7435693289766</v>
      </c>
      <c r="AA182" s="125">
        <v>494.941919360594</v>
      </c>
      <c r="AB182" s="125">
        <v>403.46593044786675</v>
      </c>
      <c r="AC182" s="125">
        <v>129.16153013428442</v>
      </c>
      <c r="AD182" s="125">
        <v>471.21430882985453</v>
      </c>
      <c r="AE182" s="125">
        <v>403.46593044786675</v>
      </c>
      <c r="AF182" s="125">
        <v>598.12969582669643</v>
      </c>
      <c r="AG182" s="125">
        <v>344.29892183301268</v>
      </c>
      <c r="AH182" s="125">
        <v>471.21430882985453</v>
      </c>
      <c r="AI182" s="125">
        <v>602.49923371185378</v>
      </c>
      <c r="AJ182" s="125">
        <v>551</v>
      </c>
      <c r="AK182" s="125">
        <v>493.48930745524217</v>
      </c>
      <c r="AL182" s="125">
        <v>471.21430882985453</v>
      </c>
      <c r="AM182" s="125">
        <v>471.21430882985453</v>
      </c>
      <c r="AN182" s="125">
        <v>256.07691713112638</v>
      </c>
      <c r="AO182" s="125">
        <v>344.29892183301263</v>
      </c>
      <c r="AP182" s="125">
        <v>256.07691713112638</v>
      </c>
      <c r="AQ182" s="125">
        <v>403.46593044786675</v>
      </c>
      <c r="AR182" s="125">
        <v>745.51870914343692</v>
      </c>
      <c r="AS182" s="125">
        <v>403.46593044786675</v>
      </c>
      <c r="AT182" s="125">
        <v>276.55054345102479</v>
      </c>
      <c r="AU182" s="125">
        <v>706.85232263063881</v>
      </c>
      <c r="AV182" s="125">
        <v>531.38669294789827</v>
      </c>
      <c r="AW182" s="125">
        <v>256.07691713112638</v>
      </c>
      <c r="AX182" s="125">
        <v>471.21430882985453</v>
      </c>
      <c r="AY182" s="125">
        <v>471.21430882985453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842.22503004746841</v>
      </c>
      <c r="D185" s="124">
        <v>896.95653479727548</v>
      </c>
      <c r="E185" s="124">
        <v>923.41778465372272</v>
      </c>
      <c r="F185" s="124">
        <v>667.87903451016996</v>
      </c>
      <c r="G185" s="124">
        <v>667.3402843666172</v>
      </c>
      <c r="H185" s="124">
        <v>493.80153422306444</v>
      </c>
      <c r="I185" s="124">
        <v>376.41586647209215</v>
      </c>
      <c r="J185" s="124">
        <v>50.030198721119859</v>
      </c>
      <c r="K185" s="124">
        <v>203.26466599503146</v>
      </c>
      <c r="L185" s="124">
        <v>14.878998244059176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11.409953494452566</v>
      </c>
      <c r="T185" s="124">
        <v>23.871203350899805</v>
      </c>
      <c r="U185" s="124">
        <v>77.332453207347044</v>
      </c>
      <c r="V185" s="124">
        <v>0</v>
      </c>
      <c r="W185" s="124">
        <v>97.254952920241521</v>
      </c>
      <c r="X185" s="124">
        <v>0</v>
      </c>
      <c r="Y185" s="124">
        <v>153.02437024055564</v>
      </c>
      <c r="Z185" s="124">
        <v>228.33253770442252</v>
      </c>
      <c r="AA185" s="124">
        <v>440.6407051682894</v>
      </c>
      <c r="AB185" s="124">
        <v>736.94887263215628</v>
      </c>
      <c r="AC185" s="124">
        <v>965.41012248860352</v>
      </c>
      <c r="AD185" s="124">
        <v>1064.5387501435528</v>
      </c>
      <c r="AE185" s="124">
        <v>1064.5387501435528</v>
      </c>
      <c r="AF185" s="124">
        <v>1055</v>
      </c>
      <c r="AG185" s="124">
        <v>996.46124985644724</v>
      </c>
      <c r="AH185" s="124">
        <v>1064.5387501435528</v>
      </c>
      <c r="AI185" s="124">
        <v>1064.5387501435528</v>
      </c>
      <c r="AJ185" s="124">
        <v>1064.5387501435528</v>
      </c>
      <c r="AK185" s="124">
        <v>1064.5387501435528</v>
      </c>
      <c r="AL185" s="124">
        <v>1064.5387501435528</v>
      </c>
      <c r="AM185" s="124">
        <v>1064.5387501435528</v>
      </c>
      <c r="AN185" s="124">
        <v>853.69183253613312</v>
      </c>
      <c r="AO185" s="124">
        <v>853.69183253613312</v>
      </c>
      <c r="AP185" s="124">
        <v>853.69183253613312</v>
      </c>
      <c r="AQ185" s="124">
        <v>853.69183253613312</v>
      </c>
      <c r="AR185" s="124">
        <v>1045</v>
      </c>
      <c r="AS185" s="124">
        <v>1020.4612498564472</v>
      </c>
      <c r="AT185" s="124">
        <v>1060.9224997128945</v>
      </c>
      <c r="AU185" s="124">
        <v>1019.3837495693417</v>
      </c>
      <c r="AV185" s="124">
        <v>1064.5387501435528</v>
      </c>
      <c r="AW185" s="124">
        <v>938</v>
      </c>
      <c r="AX185" s="124">
        <v>953.46124985644724</v>
      </c>
      <c r="AY185" s="124">
        <v>1000.9224997128945</v>
      </c>
    </row>
    <row r="186" spans="1:51">
      <c r="A186" s="109"/>
      <c r="B186" s="120">
        <v>2</v>
      </c>
      <c r="C186" s="106">
        <v>364.77496995253159</v>
      </c>
      <c r="D186" s="106">
        <v>216.04346520272452</v>
      </c>
      <c r="E186" s="106">
        <v>167.58221534627728</v>
      </c>
      <c r="F186" s="106">
        <v>141.12096548983004</v>
      </c>
      <c r="G186" s="106">
        <v>396.6597156333828</v>
      </c>
      <c r="H186" s="106">
        <v>397.19846577693556</v>
      </c>
      <c r="I186" s="106">
        <v>781.58413352790785</v>
      </c>
      <c r="J186" s="106">
        <v>898.96980127888014</v>
      </c>
      <c r="K186" s="106">
        <v>958.73533400496854</v>
      </c>
      <c r="L186" s="106">
        <v>1072.1210017559408</v>
      </c>
      <c r="M186" s="106">
        <v>1001</v>
      </c>
      <c r="N186" s="106">
        <v>923.34024810050641</v>
      </c>
      <c r="O186" s="106">
        <v>953.80149795695365</v>
      </c>
      <c r="P186" s="106">
        <v>807.26274781340089</v>
      </c>
      <c r="Q186" s="106">
        <v>766.03043942273757</v>
      </c>
      <c r="R186" s="106">
        <v>1005.4874537815581</v>
      </c>
      <c r="S186" s="106">
        <v>1064.5387501435528</v>
      </c>
      <c r="T186" s="106">
        <v>1053.1287966491002</v>
      </c>
      <c r="U186" s="106">
        <v>1040.667546792653</v>
      </c>
      <c r="V186" s="106">
        <v>987</v>
      </c>
      <c r="W186" s="106">
        <v>1064.5387501435528</v>
      </c>
      <c r="X186" s="106">
        <v>935</v>
      </c>
      <c r="Y186" s="106">
        <v>853.69183253613312</v>
      </c>
      <c r="Z186" s="106">
        <v>700.66746229557748</v>
      </c>
      <c r="AA186" s="106">
        <v>625.3592948317106</v>
      </c>
      <c r="AB186" s="106">
        <v>413.05112736784372</v>
      </c>
      <c r="AC186" s="106">
        <v>327.58987751139648</v>
      </c>
      <c r="AD186" s="106">
        <v>99.128627654949241</v>
      </c>
      <c r="AE186" s="106">
        <v>0</v>
      </c>
      <c r="AF186" s="106">
        <v>0</v>
      </c>
      <c r="AG186" s="106">
        <v>9.5387501435527611</v>
      </c>
      <c r="AH186" s="106">
        <v>68.077500287105522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19.538750143552761</v>
      </c>
      <c r="AT186" s="106">
        <v>44.077500287105522</v>
      </c>
      <c r="AU186" s="106">
        <v>3.6162504306582832</v>
      </c>
      <c r="AV186" s="106">
        <v>45.155000574211044</v>
      </c>
      <c r="AW186" s="106">
        <v>0</v>
      </c>
      <c r="AX186" s="106">
        <v>126.53875014355276</v>
      </c>
      <c r="AY186" s="106">
        <v>111.07750028710552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48.659751899493585</v>
      </c>
      <c r="O187" s="106">
        <v>141.19850204304635</v>
      </c>
      <c r="P187" s="106">
        <v>110.73725218659911</v>
      </c>
      <c r="Q187" s="106">
        <v>149.96956057726243</v>
      </c>
      <c r="R187" s="106">
        <v>244.51254621844191</v>
      </c>
      <c r="S187" s="106">
        <v>59.051296361994673</v>
      </c>
      <c r="T187" s="106">
        <v>0</v>
      </c>
      <c r="U187" s="106">
        <v>0</v>
      </c>
      <c r="V187" s="106">
        <v>0</v>
      </c>
      <c r="W187" s="106">
        <v>0.20629693620571743</v>
      </c>
      <c r="X187" s="106">
        <v>0</v>
      </c>
      <c r="Y187" s="106">
        <v>32.28379722331124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610.74520421119007</v>
      </c>
      <c r="E189" s="124">
        <v>0</v>
      </c>
      <c r="F189" s="124">
        <v>270.42991645444295</v>
      </c>
      <c r="G189" s="124">
        <v>345.54364783175492</v>
      </c>
      <c r="H189" s="124">
        <v>225.5503414605468</v>
      </c>
      <c r="I189" s="124">
        <v>0</v>
      </c>
      <c r="J189" s="124">
        <v>68.113731377311979</v>
      </c>
      <c r="K189" s="124">
        <v>0</v>
      </c>
      <c r="L189" s="124">
        <v>0</v>
      </c>
      <c r="M189" s="124">
        <v>0</v>
      </c>
      <c r="N189" s="124">
        <v>0</v>
      </c>
      <c r="O189" s="124">
        <v>0</v>
      </c>
      <c r="P189" s="124">
        <v>0</v>
      </c>
      <c r="Q189" s="124">
        <v>0</v>
      </c>
      <c r="R189" s="124">
        <v>0</v>
      </c>
      <c r="S189" s="124">
        <v>0</v>
      </c>
      <c r="T189" s="124">
        <v>0</v>
      </c>
      <c r="U189" s="124">
        <v>0</v>
      </c>
      <c r="V189" s="124">
        <v>0</v>
      </c>
      <c r="W189" s="124">
        <v>0</v>
      </c>
      <c r="X189" s="124">
        <v>142.10416526673953</v>
      </c>
      <c r="Y189" s="124">
        <v>0</v>
      </c>
      <c r="Z189" s="124">
        <v>120.11373137731198</v>
      </c>
      <c r="AA189" s="124">
        <v>282.62791410285899</v>
      </c>
      <c r="AB189" s="124">
        <v>487.48581727445298</v>
      </c>
      <c r="AC189" s="124">
        <v>0</v>
      </c>
      <c r="AD189" s="124">
        <v>607.88626862268802</v>
      </c>
      <c r="AE189" s="124">
        <v>0</v>
      </c>
      <c r="AF189" s="124">
        <v>0</v>
      </c>
      <c r="AG189" s="124">
        <v>0</v>
      </c>
      <c r="AH189" s="124">
        <v>607.88626862268802</v>
      </c>
      <c r="AI189" s="124">
        <v>40.113731377311979</v>
      </c>
      <c r="AJ189" s="124">
        <v>94.227462754623957</v>
      </c>
      <c r="AK189" s="124">
        <v>217.34119413193594</v>
      </c>
      <c r="AL189" s="124">
        <v>304.45492550924791</v>
      </c>
      <c r="AM189" s="124">
        <v>503.56865688655989</v>
      </c>
      <c r="AN189" s="124">
        <v>225.5503414605468</v>
      </c>
      <c r="AO189" s="124">
        <v>0</v>
      </c>
      <c r="AP189" s="124">
        <v>225.5503414605468</v>
      </c>
      <c r="AQ189" s="124">
        <v>487.48581727445298</v>
      </c>
      <c r="AR189" s="124">
        <v>0</v>
      </c>
      <c r="AS189" s="124">
        <v>389.62791410285911</v>
      </c>
      <c r="AT189" s="124">
        <v>0</v>
      </c>
      <c r="AU189" s="124">
        <v>705</v>
      </c>
      <c r="AV189" s="124">
        <v>276.22746275462396</v>
      </c>
      <c r="AW189" s="124">
        <v>225.5503414605468</v>
      </c>
      <c r="AX189" s="124">
        <v>607.88626862268802</v>
      </c>
      <c r="AY189" s="124">
        <v>225.5503414605468</v>
      </c>
    </row>
    <row r="190" spans="1:51">
      <c r="A190" s="109"/>
      <c r="B190" s="119">
        <v>2</v>
      </c>
      <c r="C190" s="106">
        <v>499.49040842238014</v>
      </c>
      <c r="D190" s="106">
        <v>0</v>
      </c>
      <c r="E190" s="106">
        <v>0</v>
      </c>
      <c r="F190" s="106">
        <v>468.57008354555705</v>
      </c>
      <c r="G190" s="106">
        <v>337.45635216824508</v>
      </c>
      <c r="H190" s="106">
        <v>262.3426207909331</v>
      </c>
      <c r="I190" s="106">
        <v>382.33592716214122</v>
      </c>
      <c r="J190" s="106">
        <v>607.88626862268802</v>
      </c>
      <c r="K190" s="106">
        <v>645</v>
      </c>
      <c r="L190" s="106">
        <v>529.82701140638892</v>
      </c>
      <c r="M190" s="106">
        <v>407.54029143546586</v>
      </c>
      <c r="N190" s="106">
        <v>226.2535714645428</v>
      </c>
      <c r="O190" s="106">
        <v>95.966851493619743</v>
      </c>
      <c r="P190" s="106">
        <v>42.080582870931721</v>
      </c>
      <c r="Q190" s="106">
        <v>106.1943142482437</v>
      </c>
      <c r="R190" s="106">
        <v>249.30804562555568</v>
      </c>
      <c r="S190" s="106">
        <v>276.42177700286766</v>
      </c>
      <c r="T190" s="106">
        <v>421.53550838017964</v>
      </c>
      <c r="U190" s="106">
        <v>391.64923975749161</v>
      </c>
      <c r="V190" s="106">
        <v>399.76297113480359</v>
      </c>
      <c r="W190" s="106">
        <v>513.87670251211557</v>
      </c>
      <c r="X190" s="106">
        <v>607.88626862268802</v>
      </c>
      <c r="Y190" s="106">
        <v>465.78210335594849</v>
      </c>
      <c r="Z190" s="106">
        <v>607.88626862268802</v>
      </c>
      <c r="AA190" s="106">
        <v>367.37208589714101</v>
      </c>
      <c r="AB190" s="106">
        <v>204.85790317159399</v>
      </c>
      <c r="AC190" s="106">
        <v>0</v>
      </c>
      <c r="AD190" s="106">
        <v>0</v>
      </c>
      <c r="AE190" s="106">
        <v>0</v>
      </c>
      <c r="AF190" s="106">
        <v>539</v>
      </c>
      <c r="AG190" s="106">
        <v>607.88626862268802</v>
      </c>
      <c r="AH190" s="106">
        <v>0</v>
      </c>
      <c r="AI190" s="106">
        <v>0</v>
      </c>
      <c r="AJ190" s="106">
        <v>567.77253724537604</v>
      </c>
      <c r="AK190" s="106">
        <v>513.65880586806406</v>
      </c>
      <c r="AL190" s="106">
        <v>390.54507449075209</v>
      </c>
      <c r="AM190" s="106">
        <v>303.43134311344011</v>
      </c>
      <c r="AN190" s="106">
        <v>104.31761173612813</v>
      </c>
      <c r="AO190" s="106">
        <v>382.33592716214122</v>
      </c>
      <c r="AP190" s="106">
        <v>0</v>
      </c>
      <c r="AQ190" s="106">
        <v>0</v>
      </c>
      <c r="AR190" s="106">
        <v>0</v>
      </c>
      <c r="AS190" s="106">
        <v>225.55034146054678</v>
      </c>
      <c r="AT190" s="106">
        <v>97.857903171593875</v>
      </c>
      <c r="AU190" s="106">
        <v>0</v>
      </c>
      <c r="AV190" s="106">
        <v>510.77253724537604</v>
      </c>
      <c r="AW190" s="106">
        <v>331.65880586806406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610.74520421119007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15.17298859361108</v>
      </c>
      <c r="M191" s="106">
        <v>198.45970856453414</v>
      </c>
      <c r="N191" s="106">
        <v>320.7464285354572</v>
      </c>
      <c r="O191" s="106">
        <v>502.03314850638026</v>
      </c>
      <c r="P191" s="106">
        <v>511.91941712906828</v>
      </c>
      <c r="Q191" s="106">
        <v>565.8056857517563</v>
      </c>
      <c r="R191" s="106">
        <v>501.69195437444432</v>
      </c>
      <c r="S191" s="106">
        <v>358.57822299713234</v>
      </c>
      <c r="T191" s="106">
        <v>331.46449161982036</v>
      </c>
      <c r="U191" s="106">
        <v>186.35076024250839</v>
      </c>
      <c r="V191" s="106">
        <v>216.23702886519641</v>
      </c>
      <c r="W191" s="106">
        <v>208.12329748788443</v>
      </c>
      <c r="X191" s="106">
        <v>94.00956611057245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487.48581727445298</v>
      </c>
      <c r="AF191" s="106">
        <v>0</v>
      </c>
      <c r="AG191" s="106">
        <v>68.886268622688021</v>
      </c>
      <c r="AH191" s="106">
        <v>0</v>
      </c>
      <c r="AI191" s="106">
        <v>607.88626862268802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771</v>
      </c>
      <c r="AS191" s="106">
        <v>0</v>
      </c>
      <c r="AT191" s="106">
        <v>261.93547581390624</v>
      </c>
      <c r="AU191" s="106">
        <v>0</v>
      </c>
      <c r="AV191" s="106">
        <v>0</v>
      </c>
      <c r="AW191" s="106">
        <v>0</v>
      </c>
      <c r="AX191" s="106">
        <v>0</v>
      </c>
      <c r="AY191" s="106">
        <v>382.33592716214122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98.821744436594145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515.8152825385414</v>
      </c>
      <c r="D197" s="106">
        <v>223.14096188471174</v>
      </c>
      <c r="E197" s="106">
        <v>244.63162366783857</v>
      </c>
      <c r="F197" s="106">
        <v>244.63162366783857</v>
      </c>
      <c r="G197" s="106">
        <v>442</v>
      </c>
      <c r="H197" s="106">
        <v>355.31750096906131</v>
      </c>
      <c r="I197" s="106">
        <v>196.79470048721134</v>
      </c>
      <c r="J197" s="106">
        <v>264.59316973697537</v>
      </c>
      <c r="K197" s="106">
        <v>465</v>
      </c>
      <c r="L197" s="106">
        <v>330.94102615633278</v>
      </c>
      <c r="M197" s="106">
        <v>308.32620278991737</v>
      </c>
      <c r="N197" s="106">
        <v>414.19196150868061</v>
      </c>
      <c r="O197" s="106">
        <v>196.79470048721134</v>
      </c>
      <c r="P197" s="106">
        <v>505</v>
      </c>
      <c r="Q197" s="106">
        <v>203.10265146599235</v>
      </c>
      <c r="R197" s="106">
        <v>337</v>
      </c>
      <c r="S197" s="106">
        <v>342.53981792803802</v>
      </c>
      <c r="T197" s="106">
        <v>362.12744127958661</v>
      </c>
      <c r="U197" s="106">
        <v>362.12744127958661</v>
      </c>
      <c r="V197" s="106">
        <v>99.260428944600122</v>
      </c>
      <c r="W197" s="106">
        <v>552</v>
      </c>
      <c r="X197" s="106">
        <v>426.624824701752</v>
      </c>
      <c r="Y197" s="106">
        <v>390.43428618613132</v>
      </c>
      <c r="Z197" s="106">
        <v>99.260428944600122</v>
      </c>
      <c r="AA197" s="106">
        <v>488</v>
      </c>
      <c r="AB197" s="106">
        <v>358.2468019065484</v>
      </c>
      <c r="AC197" s="106">
        <v>310.0629210504926</v>
      </c>
      <c r="AD197" s="106">
        <v>99.260428944600122</v>
      </c>
      <c r="AE197" s="106">
        <v>362.12744127958661</v>
      </c>
      <c r="AF197" s="106">
        <v>310.0629210504926</v>
      </c>
      <c r="AG197" s="106">
        <v>459.66171282219779</v>
      </c>
      <c r="AH197" s="106">
        <v>264.59316973697543</v>
      </c>
      <c r="AI197" s="106">
        <v>362.12744127958661</v>
      </c>
      <c r="AJ197" s="106">
        <v>420</v>
      </c>
      <c r="AK197" s="106">
        <v>299.0055463854269</v>
      </c>
      <c r="AL197" s="106">
        <v>360.28924183878956</v>
      </c>
      <c r="AM197" s="106">
        <v>362.12744127958661</v>
      </c>
      <c r="AN197" s="106">
        <v>362.12744127958661</v>
      </c>
      <c r="AO197" s="106">
        <v>196.79470048721134</v>
      </c>
      <c r="AP197" s="106">
        <v>264.59316973697537</v>
      </c>
      <c r="AQ197" s="106">
        <v>196.79470048721134</v>
      </c>
      <c r="AR197" s="106">
        <v>310.0629210504926</v>
      </c>
      <c r="AS197" s="106">
        <v>546</v>
      </c>
      <c r="AT197" s="106">
        <v>310.0629210504926</v>
      </c>
      <c r="AU197" s="106">
        <v>212.5286495078814</v>
      </c>
      <c r="AV197" s="106">
        <v>547</v>
      </c>
      <c r="AW197" s="106">
        <v>408.36982205632893</v>
      </c>
      <c r="AX197" s="106">
        <v>196.79470048721134</v>
      </c>
      <c r="AY197" s="106">
        <v>362.12744127958661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122.75024144622046</v>
      </c>
      <c r="I198" s="106">
        <v>28.664333855859411</v>
      </c>
      <c r="J198" s="106">
        <v>0</v>
      </c>
      <c r="K198" s="106">
        <v>0</v>
      </c>
      <c r="L198" s="106">
        <v>212.05897384366722</v>
      </c>
      <c r="M198" s="106">
        <v>190.67379721008263</v>
      </c>
      <c r="N198" s="106">
        <v>117.05342489679606</v>
      </c>
      <c r="O198" s="106">
        <v>0</v>
      </c>
      <c r="P198" s="106">
        <v>0</v>
      </c>
      <c r="Q198" s="106">
        <v>22.460182071961981</v>
      </c>
      <c r="R198" s="106">
        <v>0</v>
      </c>
      <c r="S198" s="106">
        <v>190.46018207196198</v>
      </c>
      <c r="T198" s="106">
        <v>40.508323916097709</v>
      </c>
      <c r="U198" s="106">
        <v>0</v>
      </c>
      <c r="V198" s="106">
        <v>0</v>
      </c>
      <c r="W198" s="106">
        <v>0</v>
      </c>
      <c r="X198" s="106">
        <v>72.99445361457299</v>
      </c>
      <c r="Y198" s="106">
        <v>0</v>
      </c>
      <c r="Z198" s="106">
        <v>0</v>
      </c>
      <c r="AA198" s="106">
        <v>0</v>
      </c>
      <c r="AB198" s="106">
        <v>84.929933385479103</v>
      </c>
      <c r="AC198" s="106">
        <v>22.115270045677164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204.9944536145731</v>
      </c>
      <c r="AL198" s="106">
        <v>154.71075816121044</v>
      </c>
      <c r="AM198" s="106">
        <v>18.956500191784073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26.929933385479103</v>
      </c>
      <c r="AU198" s="106">
        <v>0</v>
      </c>
      <c r="AV198" s="106">
        <v>0</v>
      </c>
      <c r="AW198" s="106">
        <v>77.994453614573104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286.97010017773289</v>
      </c>
      <c r="D209" s="124">
        <v>318.32418183289917</v>
      </c>
      <c r="E209" s="124">
        <v>129.16153013428442</v>
      </c>
      <c r="F209" s="124">
        <v>420.92212854024154</v>
      </c>
      <c r="G209" s="124">
        <v>471.21430882985453</v>
      </c>
      <c r="H209" s="124">
        <v>256.07691713112638</v>
      </c>
      <c r="I209" s="124">
        <v>129.16153013428439</v>
      </c>
      <c r="J209" s="124">
        <v>291.75702009650752</v>
      </c>
      <c r="K209" s="124">
        <v>513.2171947423999</v>
      </c>
      <c r="L209" s="124">
        <v>538.96268721184242</v>
      </c>
      <c r="M209" s="124">
        <v>538.96268721184242</v>
      </c>
      <c r="N209" s="124">
        <v>256.07691713112638</v>
      </c>
      <c r="O209" s="124">
        <v>456.69820673693573</v>
      </c>
      <c r="P209" s="124">
        <v>256.07691713112638</v>
      </c>
      <c r="Q209" s="124">
        <v>423.07077913662511</v>
      </c>
      <c r="R209" s="124">
        <v>471.21430882985453</v>
      </c>
      <c r="S209" s="124">
        <v>471.21430882985453</v>
      </c>
      <c r="T209" s="124">
        <v>471.21430882985453</v>
      </c>
      <c r="U209" s="124">
        <v>129.16153013428442</v>
      </c>
      <c r="V209" s="124">
        <v>322.79042195570383</v>
      </c>
      <c r="W209" s="124">
        <v>406.07349654801476</v>
      </c>
      <c r="X209" s="124">
        <v>471.21430882985453</v>
      </c>
      <c r="Y209" s="124">
        <v>129.16153013428442</v>
      </c>
      <c r="Z209" s="124">
        <v>241.69079063340649</v>
      </c>
      <c r="AA209" s="124">
        <v>403.46593044786675</v>
      </c>
      <c r="AB209" s="124">
        <v>403.46593044786675</v>
      </c>
      <c r="AC209" s="124">
        <v>129.16153013428442</v>
      </c>
      <c r="AD209" s="124">
        <v>471.21430882985453</v>
      </c>
      <c r="AE209" s="124">
        <v>129.16153013428442</v>
      </c>
      <c r="AF209" s="124">
        <v>256.07691713112632</v>
      </c>
      <c r="AG209" s="124">
        <v>129.16153013428442</v>
      </c>
      <c r="AH209" s="124">
        <v>471.21430882985453</v>
      </c>
      <c r="AI209" s="124">
        <v>260.44645501628361</v>
      </c>
      <c r="AJ209" s="124">
        <v>431.82100945347986</v>
      </c>
      <c r="AK209" s="124">
        <v>471.21430882985453</v>
      </c>
      <c r="AL209" s="124">
        <v>471.21430882985453</v>
      </c>
      <c r="AM209" s="124">
        <v>471.21430882985453</v>
      </c>
      <c r="AN209" s="124">
        <v>256.07691713112638</v>
      </c>
      <c r="AO209" s="124">
        <v>129.16153013428439</v>
      </c>
      <c r="AP209" s="124">
        <v>256.07691713112638</v>
      </c>
      <c r="AQ209" s="124">
        <v>403.46593044786675</v>
      </c>
      <c r="AR209" s="124">
        <v>256.07691713112638</v>
      </c>
      <c r="AS209" s="124">
        <v>403.46593044786675</v>
      </c>
      <c r="AT209" s="124">
        <v>129.16153013428442</v>
      </c>
      <c r="AU209" s="124">
        <v>706.85232263063881</v>
      </c>
      <c r="AV209" s="124">
        <v>471.21430882985453</v>
      </c>
      <c r="AW209" s="124">
        <v>256.07691713112638</v>
      </c>
      <c r="AX209" s="124">
        <v>471.21430882985453</v>
      </c>
      <c r="AY209" s="124">
        <v>256.07691713112632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0</v>
      </c>
      <c r="F210" s="110">
        <v>263.66066707431361</v>
      </c>
      <c r="G210" s="110">
        <v>28.437786744278867</v>
      </c>
      <c r="H210" s="110">
        <v>0</v>
      </c>
      <c r="I210" s="110">
        <v>215.13739169872824</v>
      </c>
      <c r="J210" s="110">
        <v>342.05277869557017</v>
      </c>
      <c r="K210" s="110">
        <v>139.78280525760007</v>
      </c>
      <c r="L210" s="110">
        <v>14.557826291409688</v>
      </c>
      <c r="M210" s="110">
        <v>0</v>
      </c>
      <c r="N210" s="110">
        <v>0</v>
      </c>
      <c r="O210" s="110">
        <v>215.13739169872824</v>
      </c>
      <c r="P210" s="110">
        <v>8.208151114137781</v>
      </c>
      <c r="Q210" s="110">
        <v>215.13739169872824</v>
      </c>
      <c r="R210" s="110">
        <v>27.222829128680264</v>
      </c>
      <c r="S210" s="110">
        <v>0</v>
      </c>
      <c r="T210" s="110">
        <v>0</v>
      </c>
      <c r="U210" s="110">
        <v>0</v>
      </c>
      <c r="V210" s="110">
        <v>342.05277869557011</v>
      </c>
      <c r="W210" s="110">
        <v>83.926503451985255</v>
      </c>
      <c r="X210" s="110">
        <v>36.833967375295039</v>
      </c>
      <c r="Y210" s="110">
        <v>0</v>
      </c>
      <c r="Z210" s="110">
        <v>342.05277869557011</v>
      </c>
      <c r="AA210" s="110">
        <v>91.475988912727274</v>
      </c>
      <c r="AB210" s="110">
        <v>0</v>
      </c>
      <c r="AC210" s="110">
        <v>0</v>
      </c>
      <c r="AD210" s="110">
        <v>0</v>
      </c>
      <c r="AE210" s="110">
        <v>0</v>
      </c>
      <c r="AF210" s="110">
        <v>342.05277869557011</v>
      </c>
      <c r="AG210" s="110">
        <v>215.13739169872827</v>
      </c>
      <c r="AH210" s="110">
        <v>0</v>
      </c>
      <c r="AI210" s="110">
        <v>0</v>
      </c>
      <c r="AJ210" s="110">
        <v>119.17899054652015</v>
      </c>
      <c r="AK210" s="110">
        <v>22.274998625387639</v>
      </c>
      <c r="AL210" s="110">
        <v>0</v>
      </c>
      <c r="AM210" s="110">
        <v>0</v>
      </c>
      <c r="AN210" s="110">
        <v>0</v>
      </c>
      <c r="AO210" s="110">
        <v>215.13739169872824</v>
      </c>
      <c r="AP210" s="110">
        <v>1.6071097077821847E-14</v>
      </c>
      <c r="AQ210" s="110">
        <v>0</v>
      </c>
      <c r="AR210" s="110">
        <v>0</v>
      </c>
      <c r="AS210" s="110">
        <v>0</v>
      </c>
      <c r="AT210" s="110">
        <v>0</v>
      </c>
      <c r="AU210" s="110">
        <v>0</v>
      </c>
      <c r="AV210" s="110">
        <v>60.172384118043674</v>
      </c>
      <c r="AW210" s="110">
        <v>0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189.16265169861475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274.30440031358233</v>
      </c>
      <c r="AF211" s="110">
        <v>0</v>
      </c>
      <c r="AG211" s="110">
        <v>0</v>
      </c>
      <c r="AH211" s="110">
        <v>0</v>
      </c>
      <c r="AI211" s="110">
        <v>342.05277869557017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489.44179201231054</v>
      </c>
      <c r="AS211" s="110">
        <v>0</v>
      </c>
      <c r="AT211" s="110">
        <v>147.38901331674037</v>
      </c>
      <c r="AU211" s="110">
        <v>0</v>
      </c>
      <c r="AV211" s="110">
        <v>0</v>
      </c>
      <c r="AW211" s="110">
        <v>0</v>
      </c>
      <c r="AX211" s="110">
        <v>0</v>
      </c>
      <c r="AY211" s="110">
        <v>215.13739169872821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159010.55538409506</v>
      </c>
      <c r="E259" s="124">
        <f t="shared" ref="E259:AX259" si="5">F$14*$B$259</f>
        <v>159010.55538409506</v>
      </c>
      <c r="F259" s="124">
        <f t="shared" si="5"/>
        <v>367087.65694004332</v>
      </c>
      <c r="G259" s="124">
        <f t="shared" si="5"/>
        <v>249588.19263619848</v>
      </c>
      <c r="H259" s="124">
        <f t="shared" si="5"/>
        <v>127916.55531668737</v>
      </c>
      <c r="I259" s="124">
        <f t="shared" si="5"/>
        <v>171985.56032903399</v>
      </c>
      <c r="J259" s="124">
        <f t="shared" si="5"/>
        <v>440088.33299838367</v>
      </c>
      <c r="K259" s="124">
        <f t="shared" si="5"/>
        <v>339049.63518817001</v>
      </c>
      <c r="L259" s="124">
        <f t="shared" si="5"/>
        <v>276496.75799636374</v>
      </c>
      <c r="M259" s="124">
        <f t="shared" si="5"/>
        <v>269224.77498064237</v>
      </c>
      <c r="N259" s="124">
        <f t="shared" si="5"/>
        <v>127916.55531668737</v>
      </c>
      <c r="O259" s="124">
        <f t="shared" si="5"/>
        <v>342849.1183467753</v>
      </c>
      <c r="P259" s="124">
        <f t="shared" si="5"/>
        <v>132016.72345289504</v>
      </c>
      <c r="Q259" s="124">
        <f t="shared" si="5"/>
        <v>342849.1183467753</v>
      </c>
      <c r="R259" s="124">
        <f t="shared" si="5"/>
        <v>248981.29219868823</v>
      </c>
      <c r="S259" s="124">
        <f t="shared" si="5"/>
        <v>235382.83683173129</v>
      </c>
      <c r="T259" s="124">
        <f t="shared" si="5"/>
        <v>235382.83683173129</v>
      </c>
      <c r="U259" s="124">
        <f t="shared" si="5"/>
        <v>64519.27881399008</v>
      </c>
      <c r="V259" s="124">
        <f t="shared" si="5"/>
        <v>406246.39484947245</v>
      </c>
      <c r="W259" s="124">
        <f t="shared" si="5"/>
        <v>277306.13605613878</v>
      </c>
      <c r="X259" s="124">
        <f t="shared" si="5"/>
        <v>253782.28602098537</v>
      </c>
      <c r="Y259" s="124">
        <f t="shared" si="5"/>
        <v>64519.27881399008</v>
      </c>
      <c r="Z259" s="124">
        <f t="shared" si="5"/>
        <v>372404.45670056139</v>
      </c>
      <c r="AA259" s="124">
        <f t="shared" si="5"/>
        <v>247235.34676894662</v>
      </c>
      <c r="AB259" s="124">
        <f t="shared" si="5"/>
        <v>201540.8986828202</v>
      </c>
      <c r="AC259" s="124">
        <f t="shared" si="5"/>
        <v>64519.27881399008</v>
      </c>
      <c r="AD259" s="124">
        <f t="shared" si="5"/>
        <v>235382.83683173129</v>
      </c>
      <c r="AE259" s="124">
        <f t="shared" si="5"/>
        <v>201540.8986828202</v>
      </c>
      <c r="AF259" s="124">
        <f t="shared" si="5"/>
        <v>298780.11333442858</v>
      </c>
      <c r="AG259" s="124">
        <f t="shared" si="5"/>
        <v>171985.56032903402</v>
      </c>
      <c r="AH259" s="124">
        <f t="shared" si="5"/>
        <v>235382.83683173129</v>
      </c>
      <c r="AI259" s="124">
        <f t="shared" si="5"/>
        <v>406246.3948494725</v>
      </c>
      <c r="AJ259" s="124">
        <f t="shared" si="5"/>
        <v>294915.59795531427</v>
      </c>
      <c r="AK259" s="124">
        <f t="shared" si="5"/>
        <v>246509.73231987286</v>
      </c>
      <c r="AL259" s="124">
        <f t="shared" si="5"/>
        <v>235382.83683173129</v>
      </c>
      <c r="AM259" s="124">
        <f t="shared" si="5"/>
        <v>235382.83683173129</v>
      </c>
      <c r="AN259" s="124">
        <f t="shared" si="5"/>
        <v>127916.55531668737</v>
      </c>
      <c r="AO259" s="124">
        <f t="shared" si="5"/>
        <v>171985.56032903399</v>
      </c>
      <c r="AP259" s="124">
        <f t="shared" si="5"/>
        <v>127916.55531668737</v>
      </c>
      <c r="AQ259" s="124">
        <f t="shared" si="5"/>
        <v>201540.8986828202</v>
      </c>
      <c r="AR259" s="124">
        <f t="shared" si="5"/>
        <v>372404.45670056139</v>
      </c>
      <c r="AS259" s="124">
        <f t="shared" si="5"/>
        <v>201540.8986828202</v>
      </c>
      <c r="AT259" s="124">
        <f t="shared" si="5"/>
        <v>138143.62218012291</v>
      </c>
      <c r="AU259" s="124">
        <f t="shared" si="5"/>
        <v>406246.3948494725</v>
      </c>
      <c r="AV259" s="124">
        <f t="shared" si="5"/>
        <v>265440.38433661382</v>
      </c>
      <c r="AW259" s="124">
        <f t="shared" si="5"/>
        <v>127916.55531668737</v>
      </c>
      <c r="AX259" s="124">
        <f t="shared" si="5"/>
        <v>235382.83683173129</v>
      </c>
      <c r="AY259" s="124">
        <f>AZ$14*$B$259</f>
        <v>235382.83683173129</v>
      </c>
      <c r="AZ259" s="139">
        <f>SUM($D259:$AY259)</f>
        <v>11350237.614172729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10054.932920776637</v>
      </c>
      <c r="E260" s="125">
        <f t="shared" ref="E260:AY260" si="6">(E$175-E$176+E$177-E$178+E$179-E$180+E$181-E$182)*$B$260</f>
        <v>8467.2579293898016</v>
      </c>
      <c r="F260" s="125">
        <f t="shared" si="6"/>
        <v>47064.494885474458</v>
      </c>
      <c r="G260" s="125">
        <f t="shared" si="6"/>
        <v>46937.479680845354</v>
      </c>
      <c r="H260" s="125">
        <f t="shared" si="6"/>
        <v>48614.908043026022</v>
      </c>
      <c r="I260" s="125">
        <f t="shared" si="6"/>
        <v>53938.188076732826</v>
      </c>
      <c r="J260" s="125">
        <f t="shared" si="6"/>
        <v>127964.04748432788</v>
      </c>
      <c r="K260" s="125">
        <f t="shared" si="6"/>
        <v>123203.11059801506</v>
      </c>
      <c r="L260" s="125">
        <f t="shared" si="6"/>
        <v>130024.79865870201</v>
      </c>
      <c r="M260" s="125">
        <f t="shared" si="6"/>
        <v>136757.10452677339</v>
      </c>
      <c r="N260" s="125">
        <f t="shared" si="6"/>
        <v>115999.2445292116</v>
      </c>
      <c r="O260" s="125">
        <f t="shared" si="6"/>
        <v>138575.86741048959</v>
      </c>
      <c r="P260" s="125">
        <f t="shared" si="6"/>
        <v>128137.85770547821</v>
      </c>
      <c r="Q260" s="125">
        <f t="shared" si="6"/>
        <v>151246.12881328378</v>
      </c>
      <c r="R260" s="125">
        <f t="shared" si="6"/>
        <v>136830.88321183977</v>
      </c>
      <c r="S260" s="125">
        <f t="shared" si="6"/>
        <v>121979.27284846237</v>
      </c>
      <c r="T260" s="125">
        <f t="shared" si="6"/>
        <v>110094.27453947096</v>
      </c>
      <c r="U260" s="125">
        <f t="shared" si="6"/>
        <v>72206.599548084137</v>
      </c>
      <c r="V260" s="125">
        <f t="shared" si="6"/>
        <v>121750.71000386891</v>
      </c>
      <c r="W260" s="125">
        <f t="shared" si="6"/>
        <v>108438.89387117905</v>
      </c>
      <c r="X260" s="125">
        <f t="shared" si="6"/>
        <v>81105.463986923583</v>
      </c>
      <c r="Y260" s="125">
        <f t="shared" si="6"/>
        <v>42040.047737734647</v>
      </c>
      <c r="Z260" s="125">
        <f t="shared" si="6"/>
        <v>69270.391232598689</v>
      </c>
      <c r="AA260" s="125">
        <f t="shared" si="6"/>
        <v>42170.337835495004</v>
      </c>
      <c r="AB260" s="125">
        <f t="shared" si="6"/>
        <v>20982.308853424423</v>
      </c>
      <c r="AC260" s="125">
        <f t="shared" si="6"/>
        <v>5947.7176592969545</v>
      </c>
      <c r="AD260" s="125">
        <f t="shared" si="6"/>
        <v>0</v>
      </c>
      <c r="AE260" s="125">
        <f t="shared" si="6"/>
        <v>0</v>
      </c>
      <c r="AF260" s="125">
        <f t="shared" si="6"/>
        <v>18238.521613607259</v>
      </c>
      <c r="AG260" s="125">
        <f t="shared" si="6"/>
        <v>4084.650017226335</v>
      </c>
      <c r="AH260" s="125">
        <f t="shared" si="6"/>
        <v>0</v>
      </c>
      <c r="AI260" s="125">
        <f t="shared" si="6"/>
        <v>46712.423463536827</v>
      </c>
      <c r="AJ260" s="125">
        <f t="shared" si="6"/>
        <v>45482.793531540708</v>
      </c>
      <c r="AK260" s="125">
        <f t="shared" si="6"/>
        <v>32715.349959117746</v>
      </c>
      <c r="AL260" s="125">
        <f t="shared" si="6"/>
        <v>19343.270598313447</v>
      </c>
      <c r="AM260" s="125">
        <f t="shared" si="6"/>
        <v>6259.0567041676877</v>
      </c>
      <c r="AN260" s="125">
        <f t="shared" si="6"/>
        <v>0</v>
      </c>
      <c r="AO260" s="125">
        <f t="shared" si="6"/>
        <v>0</v>
      </c>
      <c r="AP260" s="125">
        <f t="shared" si="6"/>
        <v>0</v>
      </c>
      <c r="AQ260" s="125">
        <f t="shared" si="6"/>
        <v>0</v>
      </c>
      <c r="AR260" s="125">
        <f t="shared" si="6"/>
        <v>20634.650162441634</v>
      </c>
      <c r="AS260" s="125">
        <f t="shared" si="6"/>
        <v>10131.920210650711</v>
      </c>
      <c r="AT260" s="125">
        <f t="shared" si="6"/>
        <v>216.97502583949699</v>
      </c>
      <c r="AU260" s="125">
        <f t="shared" si="6"/>
        <v>39740.538162862387</v>
      </c>
      <c r="AV260" s="125">
        <f t="shared" si="6"/>
        <v>24579.195568958232</v>
      </c>
      <c r="AW260" s="125">
        <f t="shared" si="6"/>
        <v>7592.3250086131693</v>
      </c>
      <c r="AX260" s="125">
        <f t="shared" si="6"/>
        <v>6664.6500172263313</v>
      </c>
      <c r="AY260" s="125">
        <f t="shared" si="6"/>
        <v>3816.975025839497</v>
      </c>
      <c r="AZ260" s="141">
        <f>SUM($D260:$AY260)</f>
        <v>2486015.6176608466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21</v>
      </c>
      <c r="E6" s="100">
        <v>12146.4</v>
      </c>
      <c r="F6" s="100">
        <v>19</v>
      </c>
      <c r="G6" s="100">
        <v>10989.6</v>
      </c>
      <c r="H6" s="100">
        <v>15</v>
      </c>
      <c r="I6" s="100">
        <v>8676</v>
      </c>
      <c r="J6" s="100">
        <v>15</v>
      </c>
      <c r="K6" s="100">
        <v>8676</v>
      </c>
      <c r="L6" s="100">
        <v>20</v>
      </c>
      <c r="M6" s="100">
        <v>11568</v>
      </c>
      <c r="N6" s="100">
        <v>29</v>
      </c>
      <c r="O6" s="100">
        <v>16773.599999999999</v>
      </c>
      <c r="P6" s="100">
        <v>13</v>
      </c>
      <c r="Q6" s="100">
        <v>7519.2</v>
      </c>
      <c r="R6" s="100">
        <v>23</v>
      </c>
      <c r="S6" s="100">
        <v>13303.199999999999</v>
      </c>
      <c r="T6" s="100">
        <v>14</v>
      </c>
      <c r="U6" s="100">
        <v>8097.5999999999995</v>
      </c>
      <c r="V6" s="100">
        <v>22</v>
      </c>
      <c r="W6" s="100">
        <v>12724.8</v>
      </c>
      <c r="X6" s="100">
        <v>17</v>
      </c>
      <c r="Y6" s="100">
        <v>9832.7999999999993</v>
      </c>
      <c r="Z6" s="100">
        <v>25</v>
      </c>
      <c r="AA6" s="100">
        <v>14460</v>
      </c>
      <c r="AB6" s="100">
        <v>20</v>
      </c>
      <c r="AC6" s="100">
        <v>11568</v>
      </c>
      <c r="AD6" s="100">
        <v>16</v>
      </c>
      <c r="AE6" s="100">
        <v>9254.4</v>
      </c>
      <c r="AF6" s="100">
        <v>22</v>
      </c>
      <c r="AG6" s="100">
        <v>12724.8</v>
      </c>
      <c r="AH6" s="100">
        <v>22</v>
      </c>
      <c r="AI6" s="100">
        <v>12724.8</v>
      </c>
      <c r="AJ6" s="100">
        <v>25</v>
      </c>
      <c r="AK6" s="100">
        <v>14460</v>
      </c>
      <c r="AL6" s="100">
        <v>28</v>
      </c>
      <c r="AM6" s="100">
        <v>16195.199999999999</v>
      </c>
      <c r="AN6" s="100">
        <v>15</v>
      </c>
      <c r="AO6" s="100">
        <v>8676</v>
      </c>
      <c r="AP6" s="100">
        <v>24</v>
      </c>
      <c r="AQ6" s="100">
        <v>13881.599999999999</v>
      </c>
      <c r="AR6" s="100">
        <v>18</v>
      </c>
      <c r="AS6" s="100">
        <v>10411.199999999999</v>
      </c>
      <c r="AT6" s="100">
        <v>23</v>
      </c>
      <c r="AU6" s="100">
        <v>13303.199999999999</v>
      </c>
      <c r="AV6" s="100">
        <v>18</v>
      </c>
      <c r="AW6" s="100">
        <v>10411.199999999999</v>
      </c>
      <c r="AX6" s="100">
        <v>21</v>
      </c>
      <c r="AY6" s="100">
        <v>12146.4</v>
      </c>
      <c r="AZ6" s="100">
        <v>29</v>
      </c>
      <c r="BA6" s="100">
        <v>16773.599999999999</v>
      </c>
      <c r="BB6" s="100">
        <v>24</v>
      </c>
      <c r="BC6" s="100">
        <v>13881.599999999999</v>
      </c>
      <c r="BD6" s="100">
        <v>22.303624741137952</v>
      </c>
      <c r="BE6" s="100">
        <v>12900.416550274191</v>
      </c>
      <c r="BF6" s="100">
        <v>21.897157835231305</v>
      </c>
      <c r="BG6" s="100">
        <v>12665.316091897786</v>
      </c>
      <c r="BH6" s="100">
        <v>26</v>
      </c>
      <c r="BI6" s="100">
        <v>15038.4</v>
      </c>
      <c r="BJ6" s="100">
        <v>29</v>
      </c>
      <c r="BK6" s="100">
        <v>16773.599999999999</v>
      </c>
      <c r="BL6" s="100">
        <v>23.078387547960119</v>
      </c>
      <c r="BM6" s="100">
        <v>13348.539357740132</v>
      </c>
      <c r="BN6" s="100">
        <v>17.213818087427661</v>
      </c>
      <c r="BO6" s="100">
        <v>9956.4723817681588</v>
      </c>
      <c r="BP6" s="100">
        <v>24.980151176653766</v>
      </c>
      <c r="BQ6" s="100">
        <v>14448.519440576538</v>
      </c>
      <c r="BR6" s="100">
        <v>24.30026997693799</v>
      </c>
      <c r="BS6" s="100">
        <v>14055.276154660933</v>
      </c>
      <c r="BT6" s="100">
        <v>18.145546877446922</v>
      </c>
      <c r="BU6" s="100">
        <v>10495.3843139153</v>
      </c>
      <c r="BV6" s="100">
        <v>22.42078243773279</v>
      </c>
      <c r="BW6" s="100">
        <v>12968.180561984645</v>
      </c>
      <c r="BX6" s="100">
        <v>23.526940266743825</v>
      </c>
      <c r="BY6" s="100">
        <v>13607.982250284627</v>
      </c>
      <c r="BZ6" s="100">
        <v>14.69469547808098</v>
      </c>
      <c r="CA6" s="100">
        <v>8499.4118645220387</v>
      </c>
      <c r="CB6" s="100">
        <v>18.639559662360984</v>
      </c>
      <c r="CC6" s="100">
        <v>10781.121308709593</v>
      </c>
      <c r="CD6" s="100">
        <v>17.593256607712263</v>
      </c>
      <c r="CE6" s="100">
        <v>10175.939621900772</v>
      </c>
      <c r="CF6" s="100">
        <v>26</v>
      </c>
      <c r="CG6" s="100">
        <v>15038.4</v>
      </c>
      <c r="CH6" s="100">
        <v>19</v>
      </c>
      <c r="CI6" s="100">
        <v>10989.6</v>
      </c>
      <c r="CJ6" s="100">
        <v>29</v>
      </c>
      <c r="CK6" s="100">
        <v>16773.599999999999</v>
      </c>
      <c r="CL6" s="100">
        <v>28</v>
      </c>
      <c r="CM6" s="100">
        <v>16195.199999999999</v>
      </c>
      <c r="CN6" s="100">
        <v>28.76296511057749</v>
      </c>
      <c r="CO6" s="100">
        <v>16636.499019958021</v>
      </c>
      <c r="CP6" s="100">
        <v>16</v>
      </c>
      <c r="CQ6" s="100">
        <v>9254.4</v>
      </c>
      <c r="CR6" s="100">
        <v>20</v>
      </c>
      <c r="CS6" s="100">
        <v>11568</v>
      </c>
      <c r="CT6" s="100">
        <v>21</v>
      </c>
      <c r="CU6" s="100">
        <v>12146.4</v>
      </c>
    </row>
    <row r="7" spans="1:99">
      <c r="C7" s="99" t="s">
        <v>173</v>
      </c>
      <c r="D7" s="100">
        <v>19</v>
      </c>
      <c r="E7" s="100">
        <v>14979.6</v>
      </c>
      <c r="F7" s="100">
        <v>19</v>
      </c>
      <c r="G7" s="100">
        <v>14979.6</v>
      </c>
      <c r="H7" s="100">
        <v>15</v>
      </c>
      <c r="I7" s="100">
        <v>11826</v>
      </c>
      <c r="J7" s="100">
        <v>14</v>
      </c>
      <c r="K7" s="100">
        <v>11037.6</v>
      </c>
      <c r="L7" s="100">
        <v>21</v>
      </c>
      <c r="M7" s="100">
        <v>16556.399999999998</v>
      </c>
      <c r="N7" s="100">
        <v>26</v>
      </c>
      <c r="O7" s="100">
        <v>20498.399999999998</v>
      </c>
      <c r="P7" s="100">
        <v>13</v>
      </c>
      <c r="Q7" s="100">
        <v>10249.199999999999</v>
      </c>
      <c r="R7" s="100">
        <v>23</v>
      </c>
      <c r="S7" s="100">
        <v>18133.2</v>
      </c>
      <c r="T7" s="100">
        <v>13</v>
      </c>
      <c r="U7" s="100">
        <v>10249.199999999999</v>
      </c>
      <c r="V7" s="100">
        <v>22</v>
      </c>
      <c r="W7" s="100">
        <v>17344.8</v>
      </c>
      <c r="X7" s="100">
        <v>18</v>
      </c>
      <c r="Y7" s="100">
        <v>14191.199999999999</v>
      </c>
      <c r="Z7" s="100">
        <v>25</v>
      </c>
      <c r="AA7" s="100">
        <v>19710</v>
      </c>
      <c r="AB7" s="100">
        <v>21</v>
      </c>
      <c r="AC7" s="100">
        <v>16556.399999999998</v>
      </c>
      <c r="AD7" s="100">
        <v>14</v>
      </c>
      <c r="AE7" s="100">
        <v>11037.6</v>
      </c>
      <c r="AF7" s="100">
        <v>20</v>
      </c>
      <c r="AG7" s="100">
        <v>15768</v>
      </c>
      <c r="AH7" s="100">
        <v>24</v>
      </c>
      <c r="AI7" s="100">
        <v>18921.599999999999</v>
      </c>
      <c r="AJ7" s="100">
        <v>24</v>
      </c>
      <c r="AK7" s="100">
        <v>18921.599999999999</v>
      </c>
      <c r="AL7" s="100">
        <v>28</v>
      </c>
      <c r="AM7" s="100">
        <v>22075.200000000001</v>
      </c>
      <c r="AN7" s="100">
        <v>15</v>
      </c>
      <c r="AO7" s="100">
        <v>11826</v>
      </c>
      <c r="AP7" s="100">
        <v>21</v>
      </c>
      <c r="AQ7" s="100">
        <v>16556.399999999998</v>
      </c>
      <c r="AR7" s="100">
        <v>18</v>
      </c>
      <c r="AS7" s="100">
        <v>14191.199999999999</v>
      </c>
      <c r="AT7" s="100">
        <v>23</v>
      </c>
      <c r="AU7" s="100">
        <v>18133.2</v>
      </c>
      <c r="AV7" s="100">
        <v>17</v>
      </c>
      <c r="AW7" s="100">
        <v>13402.8</v>
      </c>
      <c r="AX7" s="100">
        <v>18</v>
      </c>
      <c r="AY7" s="100">
        <v>14191.199999999999</v>
      </c>
      <c r="AZ7" s="100">
        <v>25</v>
      </c>
      <c r="BA7" s="100">
        <v>19710</v>
      </c>
      <c r="BB7" s="100">
        <v>22</v>
      </c>
      <c r="BC7" s="100">
        <v>17344.8</v>
      </c>
      <c r="BD7" s="100">
        <v>21.33390192630587</v>
      </c>
      <c r="BE7" s="100">
        <v>16819.648278699548</v>
      </c>
      <c r="BF7" s="100">
        <v>21.054959456953181</v>
      </c>
      <c r="BG7" s="100">
        <v>16599.730035861889</v>
      </c>
      <c r="BH7" s="100">
        <v>29</v>
      </c>
      <c r="BI7" s="100">
        <v>22863.599999999999</v>
      </c>
      <c r="BJ7" s="100">
        <v>25</v>
      </c>
      <c r="BK7" s="100">
        <v>19710</v>
      </c>
      <c r="BL7" s="100">
        <v>21.303126967347804</v>
      </c>
      <c r="BM7" s="100">
        <v>16795.385301057009</v>
      </c>
      <c r="BN7" s="100">
        <v>19.025798938735836</v>
      </c>
      <c r="BO7" s="100">
        <v>14999.939883299332</v>
      </c>
      <c r="BP7" s="100">
        <v>24.019376131397852</v>
      </c>
      <c r="BQ7" s="100">
        <v>18936.876141994067</v>
      </c>
      <c r="BR7" s="100">
        <v>28.038773050313068</v>
      </c>
      <c r="BS7" s="100">
        <v>22105.768672866823</v>
      </c>
      <c r="BT7" s="100">
        <v>15.553325894954504</v>
      </c>
      <c r="BU7" s="100">
        <v>12262.242135582132</v>
      </c>
      <c r="BV7" s="100">
        <v>23.317613735242098</v>
      </c>
      <c r="BW7" s="100">
        <v>18383.606668864868</v>
      </c>
      <c r="BX7" s="100">
        <v>25.207436000082669</v>
      </c>
      <c r="BY7" s="100">
        <v>19873.542542465177</v>
      </c>
      <c r="BZ7" s="100">
        <v>15.394442881799122</v>
      </c>
      <c r="CA7" s="100">
        <v>12136.978768010427</v>
      </c>
      <c r="CB7" s="100">
        <v>17.148394889372106</v>
      </c>
      <c r="CC7" s="100">
        <v>13519.794530780968</v>
      </c>
      <c r="CD7" s="100">
        <v>15.917708359358715</v>
      </c>
      <c r="CE7" s="100">
        <v>12549.521270518409</v>
      </c>
      <c r="CF7" s="100">
        <v>27</v>
      </c>
      <c r="CG7" s="100">
        <v>21286.799999999999</v>
      </c>
      <c r="CH7" s="100">
        <v>17</v>
      </c>
      <c r="CI7" s="100">
        <v>13402.8</v>
      </c>
      <c r="CJ7" s="100">
        <v>29</v>
      </c>
      <c r="CK7" s="100">
        <v>22863.599999999999</v>
      </c>
      <c r="CL7" s="100">
        <v>28</v>
      </c>
      <c r="CM7" s="100">
        <v>22075.200000000001</v>
      </c>
      <c r="CN7" s="100">
        <v>26.907289942153138</v>
      </c>
      <c r="CO7" s="100">
        <v>21213.707390393534</v>
      </c>
      <c r="CP7" s="100">
        <v>15</v>
      </c>
      <c r="CQ7" s="100">
        <v>11826</v>
      </c>
      <c r="CR7" s="100">
        <v>19</v>
      </c>
      <c r="CS7" s="100">
        <v>14979.6</v>
      </c>
      <c r="CT7" s="100">
        <v>20</v>
      </c>
      <c r="CU7" s="100">
        <v>15768</v>
      </c>
    </row>
    <row r="8" spans="1:99">
      <c r="C8" s="99" t="s">
        <v>174</v>
      </c>
      <c r="D8" s="100">
        <v>22</v>
      </c>
      <c r="E8" s="100">
        <v>6811.1999999999989</v>
      </c>
      <c r="F8" s="100">
        <v>22</v>
      </c>
      <c r="G8" s="100">
        <v>6811.1999999999989</v>
      </c>
      <c r="H8" s="100">
        <v>16</v>
      </c>
      <c r="I8" s="100">
        <v>4953.5999999999995</v>
      </c>
      <c r="J8" s="100">
        <v>14</v>
      </c>
      <c r="K8" s="100">
        <v>4334.3999999999996</v>
      </c>
      <c r="L8" s="100">
        <v>23</v>
      </c>
      <c r="M8" s="100">
        <v>7120.7999999999993</v>
      </c>
      <c r="N8" s="100">
        <v>26</v>
      </c>
      <c r="O8" s="100">
        <v>8049.5999999999995</v>
      </c>
      <c r="P8" s="100">
        <v>14</v>
      </c>
      <c r="Q8" s="100">
        <v>4334.3999999999996</v>
      </c>
      <c r="R8" s="100">
        <v>24</v>
      </c>
      <c r="S8" s="100">
        <v>7430.4</v>
      </c>
      <c r="T8" s="100">
        <v>14</v>
      </c>
      <c r="U8" s="100">
        <v>4334.3999999999996</v>
      </c>
      <c r="V8" s="100">
        <v>26</v>
      </c>
      <c r="W8" s="100">
        <v>8049.5999999999995</v>
      </c>
      <c r="X8" s="100">
        <v>19</v>
      </c>
      <c r="Y8" s="100">
        <v>5882.4</v>
      </c>
      <c r="Z8" s="100">
        <v>27</v>
      </c>
      <c r="AA8" s="100">
        <v>8359.1999999999989</v>
      </c>
      <c r="AB8" s="100">
        <v>20</v>
      </c>
      <c r="AC8" s="100">
        <v>6191.9999999999991</v>
      </c>
      <c r="AD8" s="100">
        <v>15</v>
      </c>
      <c r="AE8" s="100">
        <v>4643.9999999999991</v>
      </c>
      <c r="AF8" s="100">
        <v>25</v>
      </c>
      <c r="AG8" s="100">
        <v>7739.9999999999991</v>
      </c>
      <c r="AH8" s="100">
        <v>25</v>
      </c>
      <c r="AI8" s="100">
        <v>7739.9999999999991</v>
      </c>
      <c r="AJ8" s="100">
        <v>26</v>
      </c>
      <c r="AK8" s="100">
        <v>8049.5999999999995</v>
      </c>
      <c r="AL8" s="100">
        <v>30</v>
      </c>
      <c r="AM8" s="100">
        <v>9287.9999999999982</v>
      </c>
      <c r="AN8" s="100">
        <v>17</v>
      </c>
      <c r="AO8" s="100">
        <v>5263.2</v>
      </c>
      <c r="AP8" s="100">
        <v>25</v>
      </c>
      <c r="AQ8" s="100">
        <v>7739.9999999999991</v>
      </c>
      <c r="AR8" s="100">
        <v>20</v>
      </c>
      <c r="AS8" s="100">
        <v>6191.9999999999991</v>
      </c>
      <c r="AT8" s="100">
        <v>22</v>
      </c>
      <c r="AU8" s="100">
        <v>6811.1999999999989</v>
      </c>
      <c r="AV8" s="100">
        <v>17</v>
      </c>
      <c r="AW8" s="100">
        <v>5263.2</v>
      </c>
      <c r="AX8" s="100">
        <v>22</v>
      </c>
      <c r="AY8" s="100">
        <v>6811.1999999999989</v>
      </c>
      <c r="AZ8" s="100">
        <v>29</v>
      </c>
      <c r="BA8" s="100">
        <v>8978.4</v>
      </c>
      <c r="BB8" s="100">
        <v>24</v>
      </c>
      <c r="BC8" s="100">
        <v>7430.4</v>
      </c>
      <c r="BD8" s="100">
        <v>20.364179111473788</v>
      </c>
      <c r="BE8" s="100">
        <v>6304.749852912284</v>
      </c>
      <c r="BF8" s="100">
        <v>21.054959456953181</v>
      </c>
      <c r="BG8" s="100">
        <v>6518.615447872704</v>
      </c>
      <c r="BH8" s="100">
        <v>29</v>
      </c>
      <c r="BI8" s="100">
        <v>8978.4</v>
      </c>
      <c r="BJ8" s="100">
        <v>31</v>
      </c>
      <c r="BK8" s="100">
        <v>9597.5999999999985</v>
      </c>
      <c r="BL8" s="100">
        <v>23.966017838266279</v>
      </c>
      <c r="BM8" s="100">
        <v>7419.8791227272386</v>
      </c>
      <c r="BN8" s="100">
        <v>20.83777979004401</v>
      </c>
      <c r="BO8" s="100">
        <v>6451.3766229976245</v>
      </c>
      <c r="BP8" s="100">
        <v>28.823251357677421</v>
      </c>
      <c r="BQ8" s="100">
        <v>8923.6786203369284</v>
      </c>
      <c r="BR8" s="100">
        <v>26.169521513625529</v>
      </c>
      <c r="BS8" s="100">
        <v>8102.0838606184634</v>
      </c>
      <c r="BT8" s="100">
        <v>18.145546877446922</v>
      </c>
      <c r="BU8" s="100">
        <v>5617.8613132575665</v>
      </c>
      <c r="BV8" s="100">
        <v>22.42078243773279</v>
      </c>
      <c r="BW8" s="100">
        <v>6941.4742427220708</v>
      </c>
      <c r="BX8" s="100">
        <v>26.887931733421514</v>
      </c>
      <c r="BY8" s="100">
        <v>8324.5036646672997</v>
      </c>
      <c r="BZ8" s="100">
        <v>14.69469547808098</v>
      </c>
      <c r="CA8" s="100">
        <v>4549.4777200138715</v>
      </c>
      <c r="CB8" s="100">
        <v>16.402812502877669</v>
      </c>
      <c r="CC8" s="100">
        <v>5078.3107508909261</v>
      </c>
      <c r="CD8" s="100">
        <v>15.917708359358715</v>
      </c>
      <c r="CE8" s="100">
        <v>4928.1225080574577</v>
      </c>
      <c r="CF8" s="100">
        <v>29</v>
      </c>
      <c r="CG8" s="100">
        <v>8978.4</v>
      </c>
      <c r="CH8" s="100">
        <v>20</v>
      </c>
      <c r="CI8" s="100">
        <v>6191.9999999999991</v>
      </c>
      <c r="CJ8" s="100">
        <v>30</v>
      </c>
      <c r="CK8" s="100">
        <v>9287.9999999999982</v>
      </c>
      <c r="CL8" s="100">
        <v>25</v>
      </c>
      <c r="CM8" s="100">
        <v>7739.9999999999991</v>
      </c>
      <c r="CN8" s="100">
        <v>29.690802694789667</v>
      </c>
      <c r="CO8" s="100">
        <v>9192.2725143068801</v>
      </c>
      <c r="CP8" s="100">
        <v>18</v>
      </c>
      <c r="CQ8" s="100">
        <v>5572.7999999999993</v>
      </c>
      <c r="CR8" s="100">
        <v>21</v>
      </c>
      <c r="CS8" s="100">
        <v>6501.5999999999995</v>
      </c>
      <c r="CT8" s="100">
        <v>22</v>
      </c>
      <c r="CU8" s="100">
        <v>6811.1999999999989</v>
      </c>
    </row>
    <row r="9" spans="1:99">
      <c r="C9" s="99" t="s">
        <v>175</v>
      </c>
      <c r="D9" s="100">
        <v>22</v>
      </c>
      <c r="E9" s="100">
        <v>15444</v>
      </c>
      <c r="F9" s="100">
        <v>18</v>
      </c>
      <c r="G9" s="100">
        <v>12636</v>
      </c>
      <c r="H9" s="100">
        <v>14</v>
      </c>
      <c r="I9" s="100">
        <v>9828</v>
      </c>
      <c r="J9" s="100">
        <v>15</v>
      </c>
      <c r="K9" s="100">
        <v>10530</v>
      </c>
      <c r="L9" s="100">
        <v>20</v>
      </c>
      <c r="M9" s="100">
        <v>14040</v>
      </c>
      <c r="N9" s="100">
        <v>24</v>
      </c>
      <c r="O9" s="100">
        <v>16848</v>
      </c>
      <c r="P9" s="100">
        <v>14</v>
      </c>
      <c r="Q9" s="100">
        <v>9828</v>
      </c>
      <c r="R9" s="100">
        <v>23</v>
      </c>
      <c r="S9" s="100">
        <v>16146</v>
      </c>
      <c r="T9" s="100">
        <v>14</v>
      </c>
      <c r="U9" s="100">
        <v>9828</v>
      </c>
      <c r="V9" s="100">
        <v>24</v>
      </c>
      <c r="W9" s="100">
        <v>16848</v>
      </c>
      <c r="X9" s="100">
        <v>18</v>
      </c>
      <c r="Y9" s="100">
        <v>12636</v>
      </c>
      <c r="Z9" s="100">
        <v>26</v>
      </c>
      <c r="AA9" s="100">
        <v>18252</v>
      </c>
      <c r="AB9" s="100">
        <v>19</v>
      </c>
      <c r="AC9" s="100">
        <v>13338</v>
      </c>
      <c r="AD9" s="100">
        <v>14</v>
      </c>
      <c r="AE9" s="100">
        <v>9828</v>
      </c>
      <c r="AF9" s="100">
        <v>23</v>
      </c>
      <c r="AG9" s="100">
        <v>16146</v>
      </c>
      <c r="AH9" s="100">
        <v>22</v>
      </c>
      <c r="AI9" s="100">
        <v>15444</v>
      </c>
      <c r="AJ9" s="100">
        <v>22</v>
      </c>
      <c r="AK9" s="100">
        <v>15444</v>
      </c>
      <c r="AL9" s="100">
        <v>28</v>
      </c>
      <c r="AM9" s="100">
        <v>19656</v>
      </c>
      <c r="AN9" s="100">
        <v>14</v>
      </c>
      <c r="AO9" s="100">
        <v>9828</v>
      </c>
      <c r="AP9" s="100">
        <v>22</v>
      </c>
      <c r="AQ9" s="100">
        <v>15444</v>
      </c>
      <c r="AR9" s="100">
        <v>19</v>
      </c>
      <c r="AS9" s="100">
        <v>13338</v>
      </c>
      <c r="AT9" s="100">
        <v>19</v>
      </c>
      <c r="AU9" s="100">
        <v>13338</v>
      </c>
      <c r="AV9" s="100">
        <v>18</v>
      </c>
      <c r="AW9" s="100">
        <v>12636</v>
      </c>
      <c r="AX9" s="100">
        <v>22</v>
      </c>
      <c r="AY9" s="100">
        <v>15444</v>
      </c>
      <c r="AZ9" s="100">
        <v>25</v>
      </c>
      <c r="BA9" s="100">
        <v>17550</v>
      </c>
      <c r="BB9" s="100">
        <v>22</v>
      </c>
      <c r="BC9" s="100">
        <v>15444</v>
      </c>
      <c r="BD9" s="100">
        <v>20.364179111473788</v>
      </c>
      <c r="BE9" s="100">
        <v>14295.653736254599</v>
      </c>
      <c r="BF9" s="100">
        <v>18.528364322118797</v>
      </c>
      <c r="BG9" s="100">
        <v>13006.911754127395</v>
      </c>
      <c r="BH9" s="100">
        <v>26</v>
      </c>
      <c r="BI9" s="100">
        <v>18252</v>
      </c>
      <c r="BJ9" s="100">
        <v>27</v>
      </c>
      <c r="BK9" s="100">
        <v>18954</v>
      </c>
      <c r="BL9" s="100">
        <v>21.303126967347804</v>
      </c>
      <c r="BM9" s="100">
        <v>14954.795131078159</v>
      </c>
      <c r="BN9" s="100">
        <v>16.307827661773572</v>
      </c>
      <c r="BO9" s="100">
        <v>11448.095018565047</v>
      </c>
      <c r="BP9" s="100">
        <v>26.901701267165592</v>
      </c>
      <c r="BQ9" s="100">
        <v>18884.994289550246</v>
      </c>
      <c r="BR9" s="100">
        <v>27.104147281969301</v>
      </c>
      <c r="BS9" s="100">
        <v>19027.11139194245</v>
      </c>
      <c r="BT9" s="100">
        <v>15.553325894954504</v>
      </c>
      <c r="BU9" s="100">
        <v>10918.434778258063</v>
      </c>
      <c r="BV9" s="100">
        <v>22.42078243773279</v>
      </c>
      <c r="BW9" s="100">
        <v>15739.389271288419</v>
      </c>
      <c r="BX9" s="100">
        <v>25.207436000082669</v>
      </c>
      <c r="BY9" s="100">
        <v>17695.620072058035</v>
      </c>
      <c r="BZ9" s="100">
        <v>13.295200670644697</v>
      </c>
      <c r="CA9" s="100">
        <v>9333.2308707925768</v>
      </c>
      <c r="CB9" s="100">
        <v>17.148394889372106</v>
      </c>
      <c r="CC9" s="100">
        <v>12038.173212339219</v>
      </c>
      <c r="CD9" s="100">
        <v>15.917708359358715</v>
      </c>
      <c r="CE9" s="100">
        <v>11174.231268269818</v>
      </c>
      <c r="CF9" s="100">
        <v>26</v>
      </c>
      <c r="CG9" s="100">
        <v>18252</v>
      </c>
      <c r="CH9" s="100">
        <v>17</v>
      </c>
      <c r="CI9" s="100">
        <v>11934</v>
      </c>
      <c r="CJ9" s="100">
        <v>26</v>
      </c>
      <c r="CK9" s="100">
        <v>18252</v>
      </c>
      <c r="CL9" s="100">
        <v>27</v>
      </c>
      <c r="CM9" s="100">
        <v>18954</v>
      </c>
      <c r="CN9" s="100">
        <v>26.907289942153138</v>
      </c>
      <c r="CO9" s="100">
        <v>18888.917539391503</v>
      </c>
      <c r="CP9" s="100">
        <v>17</v>
      </c>
      <c r="CQ9" s="100">
        <v>11934</v>
      </c>
      <c r="CR9" s="100">
        <v>18</v>
      </c>
      <c r="CS9" s="100">
        <v>12636</v>
      </c>
      <c r="CT9" s="100">
        <v>20</v>
      </c>
      <c r="CU9" s="100">
        <v>14040</v>
      </c>
    </row>
    <row r="10" spans="1:99">
      <c r="C10" s="99" t="s">
        <v>176</v>
      </c>
      <c r="D10" s="100">
        <v>20</v>
      </c>
      <c r="E10" s="100">
        <v>10896</v>
      </c>
      <c r="F10" s="100">
        <v>18</v>
      </c>
      <c r="G10" s="100">
        <v>9806.4</v>
      </c>
      <c r="H10" s="100">
        <v>16</v>
      </c>
      <c r="I10" s="100">
        <v>8716.7999999999993</v>
      </c>
      <c r="J10" s="100">
        <v>15</v>
      </c>
      <c r="K10" s="100">
        <v>8171.9999999999991</v>
      </c>
      <c r="L10" s="100">
        <v>23</v>
      </c>
      <c r="M10" s="100">
        <v>12530.4</v>
      </c>
      <c r="N10" s="100">
        <v>26</v>
      </c>
      <c r="O10" s="100">
        <v>14164.8</v>
      </c>
      <c r="P10" s="100">
        <v>14</v>
      </c>
      <c r="Q10" s="100">
        <v>7627.1999999999989</v>
      </c>
      <c r="R10" s="100">
        <v>26</v>
      </c>
      <c r="S10" s="100">
        <v>14164.8</v>
      </c>
      <c r="T10" s="100">
        <v>14</v>
      </c>
      <c r="U10" s="100">
        <v>7627.1999999999989</v>
      </c>
      <c r="V10" s="100">
        <v>26</v>
      </c>
      <c r="W10" s="100">
        <v>14164.8</v>
      </c>
      <c r="X10" s="100">
        <v>18</v>
      </c>
      <c r="Y10" s="100">
        <v>9806.4</v>
      </c>
      <c r="Z10" s="100">
        <v>26</v>
      </c>
      <c r="AA10" s="100">
        <v>14164.8</v>
      </c>
      <c r="AB10" s="100">
        <v>20</v>
      </c>
      <c r="AC10" s="100">
        <v>10896</v>
      </c>
      <c r="AD10" s="100">
        <v>15</v>
      </c>
      <c r="AE10" s="100">
        <v>8171.9999999999991</v>
      </c>
      <c r="AF10" s="100">
        <v>22</v>
      </c>
      <c r="AG10" s="100">
        <v>11985.599999999999</v>
      </c>
      <c r="AH10" s="100">
        <v>23</v>
      </c>
      <c r="AI10" s="100">
        <v>12530.4</v>
      </c>
      <c r="AJ10" s="100">
        <v>23</v>
      </c>
      <c r="AK10" s="100">
        <v>12530.4</v>
      </c>
      <c r="AL10" s="100">
        <v>26</v>
      </c>
      <c r="AM10" s="100">
        <v>14164.8</v>
      </c>
      <c r="AN10" s="100">
        <v>14</v>
      </c>
      <c r="AO10" s="100">
        <v>7627.1999999999989</v>
      </c>
      <c r="AP10" s="100">
        <v>24</v>
      </c>
      <c r="AQ10" s="100">
        <v>13075.199999999999</v>
      </c>
      <c r="AR10" s="100">
        <v>18</v>
      </c>
      <c r="AS10" s="100">
        <v>9806.4</v>
      </c>
      <c r="AT10" s="100">
        <v>20</v>
      </c>
      <c r="AU10" s="100">
        <v>10896</v>
      </c>
      <c r="AV10" s="100">
        <v>17</v>
      </c>
      <c r="AW10" s="100">
        <v>9261.5999999999985</v>
      </c>
      <c r="AX10" s="100">
        <v>22</v>
      </c>
      <c r="AY10" s="100">
        <v>11985.599999999999</v>
      </c>
      <c r="AZ10" s="100">
        <v>26</v>
      </c>
      <c r="BA10" s="100">
        <v>14164.8</v>
      </c>
      <c r="BB10" s="100">
        <v>23</v>
      </c>
      <c r="BC10" s="100">
        <v>12530.4</v>
      </c>
      <c r="BD10" s="100">
        <v>20.364179111473788</v>
      </c>
      <c r="BE10" s="100">
        <v>11094.404779930919</v>
      </c>
      <c r="BF10" s="100">
        <v>20.212761078675054</v>
      </c>
      <c r="BG10" s="100">
        <v>11011.912235662168</v>
      </c>
      <c r="BH10" s="100">
        <v>26</v>
      </c>
      <c r="BI10" s="100">
        <v>14164.8</v>
      </c>
      <c r="BJ10" s="100">
        <v>29</v>
      </c>
      <c r="BK10" s="100">
        <v>15799.199999999999</v>
      </c>
      <c r="BL10" s="100">
        <v>25.741278418878597</v>
      </c>
      <c r="BM10" s="100">
        <v>14023.848482605059</v>
      </c>
      <c r="BN10" s="100">
        <v>19.931789364389925</v>
      </c>
      <c r="BO10" s="100">
        <v>10858.838845719631</v>
      </c>
      <c r="BP10" s="100">
        <v>25.940926221909677</v>
      </c>
      <c r="BQ10" s="100">
        <v>14132.61660569639</v>
      </c>
      <c r="BR10" s="100">
        <v>27.104147281969301</v>
      </c>
      <c r="BS10" s="100">
        <v>14766.339439216874</v>
      </c>
      <c r="BT10" s="100">
        <v>17.281473216616114</v>
      </c>
      <c r="BU10" s="100">
        <v>9414.9466084124579</v>
      </c>
      <c r="BV10" s="100">
        <v>21.523951140223478</v>
      </c>
      <c r="BW10" s="100">
        <v>11726.248581193749</v>
      </c>
      <c r="BX10" s="100">
        <v>26.887931733421514</v>
      </c>
      <c r="BY10" s="100">
        <v>14648.545208368039</v>
      </c>
      <c r="BZ10" s="100">
        <v>13.994948074362838</v>
      </c>
      <c r="CA10" s="100">
        <v>7624.4477109128738</v>
      </c>
      <c r="CB10" s="100">
        <v>15.657230116383227</v>
      </c>
      <c r="CC10" s="100">
        <v>8530.0589674055809</v>
      </c>
      <c r="CD10" s="100">
        <v>16.755482483535488</v>
      </c>
      <c r="CE10" s="100">
        <v>9128.3868570301329</v>
      </c>
      <c r="CF10" s="100">
        <v>25</v>
      </c>
      <c r="CG10" s="100">
        <v>13619.999999999998</v>
      </c>
      <c r="CH10" s="100">
        <v>20</v>
      </c>
      <c r="CI10" s="100">
        <v>10896</v>
      </c>
      <c r="CJ10" s="100">
        <v>32</v>
      </c>
      <c r="CK10" s="100">
        <v>17433.599999999999</v>
      </c>
      <c r="CL10" s="100">
        <v>26</v>
      </c>
      <c r="CM10" s="100">
        <v>14164.8</v>
      </c>
      <c r="CN10" s="100">
        <v>29.690802694789667</v>
      </c>
      <c r="CO10" s="100">
        <v>16175.54930812141</v>
      </c>
      <c r="CP10" s="100">
        <v>17</v>
      </c>
      <c r="CQ10" s="100">
        <v>9261.5999999999985</v>
      </c>
      <c r="CR10" s="100">
        <v>19</v>
      </c>
      <c r="CS10" s="100">
        <v>10351.199999999999</v>
      </c>
      <c r="CT10" s="100">
        <v>20</v>
      </c>
      <c r="CU10" s="100">
        <v>10896</v>
      </c>
    </row>
    <row r="11" spans="1:99">
      <c r="C11" s="99" t="s">
        <v>177</v>
      </c>
      <c r="D11" s="100">
        <v>22</v>
      </c>
      <c r="E11" s="100">
        <v>11721.599999999999</v>
      </c>
      <c r="F11" s="100">
        <v>20</v>
      </c>
      <c r="G11" s="100">
        <v>10656</v>
      </c>
      <c r="H11" s="100">
        <v>16</v>
      </c>
      <c r="I11" s="100">
        <v>8524.7999999999993</v>
      </c>
      <c r="J11" s="100">
        <v>15</v>
      </c>
      <c r="K11" s="100">
        <v>7991.9999999999991</v>
      </c>
      <c r="L11" s="100">
        <v>23</v>
      </c>
      <c r="M11" s="100">
        <v>12254.4</v>
      </c>
      <c r="N11" s="100">
        <v>25</v>
      </c>
      <c r="O11" s="100">
        <v>13319.999999999998</v>
      </c>
      <c r="P11" s="100">
        <v>14</v>
      </c>
      <c r="Q11" s="100">
        <v>7459.1999999999989</v>
      </c>
      <c r="R11" s="100">
        <v>27</v>
      </c>
      <c r="S11" s="100">
        <v>14385.599999999999</v>
      </c>
      <c r="T11" s="100">
        <v>13</v>
      </c>
      <c r="U11" s="100">
        <v>6926.4</v>
      </c>
      <c r="V11" s="100">
        <v>22</v>
      </c>
      <c r="W11" s="100">
        <v>11721.599999999999</v>
      </c>
      <c r="X11" s="100">
        <v>16</v>
      </c>
      <c r="Y11" s="100">
        <v>8524.7999999999993</v>
      </c>
      <c r="Z11" s="100">
        <v>22</v>
      </c>
      <c r="AA11" s="100">
        <v>11721.599999999999</v>
      </c>
      <c r="AB11" s="100">
        <v>22</v>
      </c>
      <c r="AC11" s="100">
        <v>11721.599999999999</v>
      </c>
      <c r="AD11" s="100">
        <v>14</v>
      </c>
      <c r="AE11" s="100">
        <v>7459.1999999999989</v>
      </c>
      <c r="AF11" s="100">
        <v>24</v>
      </c>
      <c r="AG11" s="100">
        <v>12787.199999999999</v>
      </c>
      <c r="AH11" s="100">
        <v>23</v>
      </c>
      <c r="AI11" s="100">
        <v>12254.4</v>
      </c>
      <c r="AJ11" s="100">
        <v>23</v>
      </c>
      <c r="AK11" s="100">
        <v>12254.4</v>
      </c>
      <c r="AL11" s="100">
        <v>27</v>
      </c>
      <c r="AM11" s="100">
        <v>14385.599999999999</v>
      </c>
      <c r="AN11" s="100">
        <v>15</v>
      </c>
      <c r="AO11" s="100">
        <v>7991.9999999999991</v>
      </c>
      <c r="AP11" s="100">
        <v>23</v>
      </c>
      <c r="AQ11" s="100">
        <v>12254.4</v>
      </c>
      <c r="AR11" s="100">
        <v>20</v>
      </c>
      <c r="AS11" s="100">
        <v>10656</v>
      </c>
      <c r="AT11" s="100">
        <v>21</v>
      </c>
      <c r="AU11" s="100">
        <v>11188.8</v>
      </c>
      <c r="AV11" s="100">
        <v>16</v>
      </c>
      <c r="AW11" s="100">
        <v>8524.7999999999993</v>
      </c>
      <c r="AX11" s="100">
        <v>18</v>
      </c>
      <c r="AY11" s="100">
        <v>9590.4</v>
      </c>
      <c r="AZ11" s="100">
        <v>27</v>
      </c>
      <c r="BA11" s="100">
        <v>14385.599999999999</v>
      </c>
      <c r="BB11" s="100">
        <v>21</v>
      </c>
      <c r="BC11" s="100">
        <v>11188.8</v>
      </c>
      <c r="BD11" s="100">
        <v>21.33390192630587</v>
      </c>
      <c r="BE11" s="100">
        <v>11366.702946335767</v>
      </c>
      <c r="BF11" s="100">
        <v>18.528364322118797</v>
      </c>
      <c r="BG11" s="100">
        <v>9871.9125108248936</v>
      </c>
      <c r="BH11" s="100">
        <v>27</v>
      </c>
      <c r="BI11" s="100">
        <v>14385.599999999999</v>
      </c>
      <c r="BJ11" s="100">
        <v>27</v>
      </c>
      <c r="BK11" s="100">
        <v>14385.599999999999</v>
      </c>
      <c r="BL11" s="100">
        <v>22.190757257653964</v>
      </c>
      <c r="BM11" s="100">
        <v>11823.23546687803</v>
      </c>
      <c r="BN11" s="100">
        <v>18.11980851308175</v>
      </c>
      <c r="BO11" s="100">
        <v>9654.2339757699556</v>
      </c>
      <c r="BP11" s="100">
        <v>26.901701267165592</v>
      </c>
      <c r="BQ11" s="100">
        <v>14333.226435145827</v>
      </c>
      <c r="BR11" s="100">
        <v>25.234895745281761</v>
      </c>
      <c r="BS11" s="100">
        <v>13445.152453086121</v>
      </c>
      <c r="BT11" s="100">
        <v>15.553325894954504</v>
      </c>
      <c r="BU11" s="100">
        <v>8286.8120368317595</v>
      </c>
      <c r="BV11" s="100">
        <v>24.21444503275141</v>
      </c>
      <c r="BW11" s="100">
        <v>12901.456313449949</v>
      </c>
      <c r="BX11" s="100">
        <v>25.207436000082669</v>
      </c>
      <c r="BY11" s="100">
        <v>13430.521900844045</v>
      </c>
      <c r="BZ11" s="100">
        <v>14.69469547808098</v>
      </c>
      <c r="CA11" s="100">
        <v>7829.3337507215456</v>
      </c>
      <c r="CB11" s="100">
        <v>18.639559662360984</v>
      </c>
      <c r="CC11" s="100">
        <v>9931.1573881059321</v>
      </c>
      <c r="CD11" s="100">
        <v>15.079934235181941</v>
      </c>
      <c r="CE11" s="100">
        <v>8034.5889605049379</v>
      </c>
      <c r="CF11" s="100">
        <v>25</v>
      </c>
      <c r="CG11" s="100">
        <v>13319.999999999998</v>
      </c>
      <c r="CH11" s="100">
        <v>17</v>
      </c>
      <c r="CI11" s="100">
        <v>9057.5999999999985</v>
      </c>
      <c r="CJ11" s="100">
        <v>28</v>
      </c>
      <c r="CK11" s="100">
        <v>14918.399999999998</v>
      </c>
      <c r="CL11" s="100">
        <v>27</v>
      </c>
      <c r="CM11" s="100">
        <v>14385.599999999999</v>
      </c>
      <c r="CN11" s="100">
        <v>26.907289942153138</v>
      </c>
      <c r="CO11" s="100">
        <v>14336.20408117919</v>
      </c>
      <c r="CP11" s="100">
        <v>18</v>
      </c>
      <c r="CQ11" s="100">
        <v>9590.4</v>
      </c>
      <c r="CR11" s="100">
        <v>20</v>
      </c>
      <c r="CS11" s="100">
        <v>10656</v>
      </c>
      <c r="CT11" s="100">
        <v>23</v>
      </c>
      <c r="CU11" s="100">
        <v>12254.4</v>
      </c>
    </row>
    <row r="12" spans="1:99">
      <c r="C12" s="99" t="s">
        <v>178</v>
      </c>
      <c r="D12" s="100">
        <v>21</v>
      </c>
      <c r="E12" s="100">
        <v>11818.8</v>
      </c>
      <c r="F12" s="100">
        <v>19</v>
      </c>
      <c r="G12" s="100">
        <v>10693.199999999999</v>
      </c>
      <c r="H12" s="100">
        <v>16</v>
      </c>
      <c r="I12" s="100">
        <v>9004.7999999999993</v>
      </c>
      <c r="J12" s="100">
        <v>14</v>
      </c>
      <c r="K12" s="100">
        <v>7879.1999999999989</v>
      </c>
      <c r="L12" s="100">
        <v>23</v>
      </c>
      <c r="M12" s="100">
        <v>12944.4</v>
      </c>
      <c r="N12" s="100">
        <v>29</v>
      </c>
      <c r="O12" s="100">
        <v>16321.199999999999</v>
      </c>
      <c r="P12" s="100">
        <v>14</v>
      </c>
      <c r="Q12" s="100">
        <v>7879.1999999999989</v>
      </c>
      <c r="R12" s="100">
        <v>24</v>
      </c>
      <c r="S12" s="100">
        <v>13507.199999999999</v>
      </c>
      <c r="T12" s="100">
        <v>16</v>
      </c>
      <c r="U12" s="100">
        <v>9004.7999999999993</v>
      </c>
      <c r="V12" s="100">
        <v>21</v>
      </c>
      <c r="W12" s="100">
        <v>11818.8</v>
      </c>
      <c r="X12" s="100">
        <v>18</v>
      </c>
      <c r="Y12" s="100">
        <v>10130.4</v>
      </c>
      <c r="Z12" s="100">
        <v>25</v>
      </c>
      <c r="AA12" s="100">
        <v>14069.999999999998</v>
      </c>
      <c r="AB12" s="100">
        <v>20</v>
      </c>
      <c r="AC12" s="100">
        <v>11256</v>
      </c>
      <c r="AD12" s="100">
        <v>15</v>
      </c>
      <c r="AE12" s="100">
        <v>8442</v>
      </c>
      <c r="AF12" s="100">
        <v>21</v>
      </c>
      <c r="AG12" s="100">
        <v>11818.8</v>
      </c>
      <c r="AH12" s="100">
        <v>23</v>
      </c>
      <c r="AI12" s="100">
        <v>12944.4</v>
      </c>
      <c r="AJ12" s="100">
        <v>26</v>
      </c>
      <c r="AK12" s="100">
        <v>14632.8</v>
      </c>
      <c r="AL12" s="100">
        <v>28</v>
      </c>
      <c r="AM12" s="100">
        <v>15758.399999999998</v>
      </c>
      <c r="AN12" s="100">
        <v>13</v>
      </c>
      <c r="AO12" s="100">
        <v>7316.4</v>
      </c>
      <c r="AP12" s="100">
        <v>20</v>
      </c>
      <c r="AQ12" s="100">
        <v>11256</v>
      </c>
      <c r="AR12" s="100">
        <v>18</v>
      </c>
      <c r="AS12" s="100">
        <v>10130.4</v>
      </c>
      <c r="AT12" s="100">
        <v>22</v>
      </c>
      <c r="AU12" s="100">
        <v>12381.599999999999</v>
      </c>
      <c r="AV12" s="100">
        <v>17</v>
      </c>
      <c r="AW12" s="100">
        <v>9567.5999999999985</v>
      </c>
      <c r="AX12" s="100">
        <v>19</v>
      </c>
      <c r="AY12" s="100">
        <v>10693.199999999999</v>
      </c>
      <c r="AZ12" s="100">
        <v>28</v>
      </c>
      <c r="BA12" s="100">
        <v>15758.399999999998</v>
      </c>
      <c r="BB12" s="100">
        <v>25</v>
      </c>
      <c r="BC12" s="100">
        <v>14069.999999999998</v>
      </c>
      <c r="BD12" s="100">
        <v>22.303624741137952</v>
      </c>
      <c r="BE12" s="100">
        <v>12552.480004312438</v>
      </c>
      <c r="BF12" s="100">
        <v>20.212761078675054</v>
      </c>
      <c r="BG12" s="100">
        <v>11375.74193507832</v>
      </c>
      <c r="BH12" s="100">
        <v>28</v>
      </c>
      <c r="BI12" s="100">
        <v>15758.399999999998</v>
      </c>
      <c r="BJ12" s="100">
        <v>28</v>
      </c>
      <c r="BK12" s="100">
        <v>15758.399999999998</v>
      </c>
      <c r="BL12" s="100">
        <v>23.078387547960119</v>
      </c>
      <c r="BM12" s="100">
        <v>12988.516511991955</v>
      </c>
      <c r="BN12" s="100">
        <v>17.213818087427661</v>
      </c>
      <c r="BO12" s="100">
        <v>9687.9368196042869</v>
      </c>
      <c r="BP12" s="100">
        <v>24.980151176653766</v>
      </c>
      <c r="BQ12" s="100">
        <v>14058.829082220738</v>
      </c>
      <c r="BR12" s="100">
        <v>28.038773050313068</v>
      </c>
      <c r="BS12" s="100">
        <v>15780.221472716194</v>
      </c>
      <c r="BT12" s="100">
        <v>18.145546877446922</v>
      </c>
      <c r="BU12" s="100">
        <v>10212.313782627127</v>
      </c>
      <c r="BV12" s="100">
        <v>24.21444503275141</v>
      </c>
      <c r="BW12" s="100">
        <v>13627.889664432492</v>
      </c>
      <c r="BX12" s="100">
        <v>26.047683866752095</v>
      </c>
      <c r="BY12" s="100">
        <v>14659.636480208077</v>
      </c>
      <c r="BZ12" s="100">
        <v>16.094190285517264</v>
      </c>
      <c r="CA12" s="100">
        <v>9057.8102926891152</v>
      </c>
      <c r="CB12" s="100">
        <v>16.402812502877669</v>
      </c>
      <c r="CC12" s="100">
        <v>9231.5028766195519</v>
      </c>
      <c r="CD12" s="100">
        <v>15.917708359358715</v>
      </c>
      <c r="CE12" s="100">
        <v>8958.4862646470847</v>
      </c>
      <c r="CF12" s="100">
        <v>25</v>
      </c>
      <c r="CG12" s="100">
        <v>14069.999999999998</v>
      </c>
      <c r="CH12" s="100">
        <v>19</v>
      </c>
      <c r="CI12" s="100">
        <v>10693.199999999999</v>
      </c>
      <c r="CJ12" s="100">
        <v>30</v>
      </c>
      <c r="CK12" s="100">
        <v>16884</v>
      </c>
      <c r="CL12" s="100">
        <v>27</v>
      </c>
      <c r="CM12" s="100">
        <v>15195.599999999999</v>
      </c>
      <c r="CN12" s="100">
        <v>26.907289942153138</v>
      </c>
      <c r="CO12" s="100">
        <v>15143.422779443785</v>
      </c>
      <c r="CP12" s="100">
        <v>17</v>
      </c>
      <c r="CQ12" s="100">
        <v>9567.5999999999985</v>
      </c>
      <c r="CR12" s="100">
        <v>19</v>
      </c>
      <c r="CS12" s="100">
        <v>10693.199999999999</v>
      </c>
      <c r="CT12" s="100">
        <v>22</v>
      </c>
      <c r="CU12" s="100">
        <v>12381.599999999999</v>
      </c>
    </row>
    <row r="13" spans="1:99">
      <c r="C13" s="99" t="s">
        <v>179</v>
      </c>
      <c r="D13" s="100">
        <v>23</v>
      </c>
      <c r="E13" s="100">
        <v>1959.6000000000001</v>
      </c>
      <c r="F13" s="100">
        <v>21</v>
      </c>
      <c r="G13" s="100">
        <v>1789.2</v>
      </c>
      <c r="H13" s="100">
        <v>17</v>
      </c>
      <c r="I13" s="100">
        <v>1448.4</v>
      </c>
      <c r="J13" s="100">
        <v>17</v>
      </c>
      <c r="K13" s="100">
        <v>1448.4</v>
      </c>
      <c r="L13" s="100">
        <v>23</v>
      </c>
      <c r="M13" s="100">
        <v>1959.6000000000001</v>
      </c>
      <c r="N13" s="100">
        <v>25</v>
      </c>
      <c r="O13" s="100">
        <v>2130</v>
      </c>
      <c r="P13" s="100">
        <v>16</v>
      </c>
      <c r="Q13" s="100">
        <v>1363.2</v>
      </c>
      <c r="R13" s="100">
        <v>29</v>
      </c>
      <c r="S13" s="100">
        <v>2470.8000000000002</v>
      </c>
      <c r="T13" s="100">
        <v>14</v>
      </c>
      <c r="U13" s="100">
        <v>1192.8</v>
      </c>
      <c r="V13" s="100">
        <v>25</v>
      </c>
      <c r="W13" s="100">
        <v>2130</v>
      </c>
      <c r="X13" s="100">
        <v>17</v>
      </c>
      <c r="Y13" s="100">
        <v>1448.4</v>
      </c>
      <c r="Z13" s="100">
        <v>25</v>
      </c>
      <c r="AA13" s="100">
        <v>2130</v>
      </c>
      <c r="AB13" s="100">
        <v>25</v>
      </c>
      <c r="AC13" s="100">
        <v>2130</v>
      </c>
      <c r="AD13" s="100">
        <v>17</v>
      </c>
      <c r="AE13" s="100">
        <v>1448.4</v>
      </c>
      <c r="AF13" s="100">
        <v>25</v>
      </c>
      <c r="AG13" s="100">
        <v>2130</v>
      </c>
      <c r="AH13" s="100">
        <v>23</v>
      </c>
      <c r="AI13" s="100">
        <v>1959.6000000000001</v>
      </c>
      <c r="AJ13" s="100">
        <v>28</v>
      </c>
      <c r="AK13" s="100">
        <v>2385.6</v>
      </c>
      <c r="AL13" s="100">
        <v>28</v>
      </c>
      <c r="AM13" s="100">
        <v>2385.6</v>
      </c>
      <c r="AN13" s="100">
        <v>16</v>
      </c>
      <c r="AO13" s="100">
        <v>1363.2</v>
      </c>
      <c r="AP13" s="100">
        <v>26</v>
      </c>
      <c r="AQ13" s="100">
        <v>2215.2000000000003</v>
      </c>
      <c r="AR13" s="100">
        <v>18</v>
      </c>
      <c r="AS13" s="100">
        <v>1533.6000000000001</v>
      </c>
      <c r="AT13" s="100">
        <v>24</v>
      </c>
      <c r="AU13" s="100">
        <v>2044.8000000000002</v>
      </c>
      <c r="AV13" s="100">
        <v>19</v>
      </c>
      <c r="AW13" s="100">
        <v>1618.8</v>
      </c>
      <c r="AX13" s="100">
        <v>21</v>
      </c>
      <c r="AY13" s="100">
        <v>1789.2</v>
      </c>
      <c r="AZ13" s="100">
        <v>31</v>
      </c>
      <c r="BA13" s="100">
        <v>2641.2000000000003</v>
      </c>
      <c r="BB13" s="100">
        <v>25</v>
      </c>
      <c r="BC13" s="100">
        <v>2130</v>
      </c>
      <c r="BD13" s="100">
        <v>24.243070370802123</v>
      </c>
      <c r="BE13" s="100">
        <v>2065.5095955923407</v>
      </c>
      <c r="BF13" s="100">
        <v>20.212761078675054</v>
      </c>
      <c r="BG13" s="100">
        <v>1722.1272439031147</v>
      </c>
      <c r="BH13" s="100">
        <v>31</v>
      </c>
      <c r="BI13" s="100">
        <v>2641.2000000000003</v>
      </c>
      <c r="BJ13" s="100">
        <v>31</v>
      </c>
      <c r="BK13" s="100">
        <v>2641.2000000000003</v>
      </c>
      <c r="BL13" s="100">
        <v>26.628908709184756</v>
      </c>
      <c r="BM13" s="100">
        <v>2268.7830220225414</v>
      </c>
      <c r="BN13" s="100">
        <v>20.83777979004401</v>
      </c>
      <c r="BO13" s="100">
        <v>1775.3788381117497</v>
      </c>
      <c r="BP13" s="100">
        <v>30.74480144818925</v>
      </c>
      <c r="BQ13" s="100">
        <v>2619.4570833857242</v>
      </c>
      <c r="BR13" s="100">
        <v>27.104147281969301</v>
      </c>
      <c r="BS13" s="100">
        <v>2309.2733484237847</v>
      </c>
      <c r="BT13" s="100">
        <v>18.145546877446922</v>
      </c>
      <c r="BU13" s="100">
        <v>1546.0005939584778</v>
      </c>
      <c r="BV13" s="100">
        <v>25.111276330260722</v>
      </c>
      <c r="BW13" s="100">
        <v>2139.4807433382134</v>
      </c>
      <c r="BX13" s="100">
        <v>26.887931733421514</v>
      </c>
      <c r="BY13" s="100">
        <v>2290.851783687513</v>
      </c>
      <c r="BZ13" s="100">
        <v>16.094190285517264</v>
      </c>
      <c r="CA13" s="100">
        <v>1371.225012326071</v>
      </c>
      <c r="CB13" s="100">
        <v>20.130724435349865</v>
      </c>
      <c r="CC13" s="100">
        <v>1715.1377218918085</v>
      </c>
      <c r="CD13" s="100">
        <v>15.917708359358715</v>
      </c>
      <c r="CE13" s="100">
        <v>1356.1887522173624</v>
      </c>
      <c r="CF13" s="100">
        <v>31</v>
      </c>
      <c r="CG13" s="100">
        <v>2641.2000000000003</v>
      </c>
      <c r="CH13" s="100">
        <v>21</v>
      </c>
      <c r="CI13" s="100">
        <v>1789.2</v>
      </c>
      <c r="CJ13" s="100">
        <v>32</v>
      </c>
      <c r="CK13" s="100">
        <v>2726.4</v>
      </c>
      <c r="CL13" s="100">
        <v>30</v>
      </c>
      <c r="CM13" s="100">
        <v>2556</v>
      </c>
      <c r="CN13" s="100">
        <v>26.907289942153138</v>
      </c>
      <c r="CO13" s="100">
        <v>2292.5011030714472</v>
      </c>
      <c r="CP13" s="100">
        <v>20</v>
      </c>
      <c r="CQ13" s="100">
        <v>1704</v>
      </c>
      <c r="CR13" s="100">
        <v>21</v>
      </c>
      <c r="CS13" s="100">
        <v>1789.2</v>
      </c>
      <c r="CT13" s="100">
        <v>21</v>
      </c>
      <c r="CU13" s="100">
        <v>1789.2</v>
      </c>
    </row>
    <row r="14" spans="1:99">
      <c r="C14" s="99" t="s">
        <v>180</v>
      </c>
      <c r="D14" s="100">
        <v>20</v>
      </c>
      <c r="E14" s="100">
        <v>9768</v>
      </c>
      <c r="F14" s="100">
        <v>19</v>
      </c>
      <c r="G14" s="100">
        <v>9279.6</v>
      </c>
      <c r="H14" s="100">
        <v>16</v>
      </c>
      <c r="I14" s="100">
        <v>7814.4</v>
      </c>
      <c r="J14" s="100">
        <v>14</v>
      </c>
      <c r="K14" s="100">
        <v>6837.5999999999995</v>
      </c>
      <c r="L14" s="100">
        <v>23</v>
      </c>
      <c r="M14" s="100">
        <v>11233.199999999999</v>
      </c>
      <c r="N14" s="100">
        <v>26</v>
      </c>
      <c r="O14" s="100">
        <v>12698.4</v>
      </c>
      <c r="P14" s="100">
        <v>14</v>
      </c>
      <c r="Q14" s="100">
        <v>6837.5999999999995</v>
      </c>
      <c r="R14" s="100">
        <v>27</v>
      </c>
      <c r="S14" s="100">
        <v>13186.8</v>
      </c>
      <c r="T14" s="100">
        <v>15</v>
      </c>
      <c r="U14" s="100">
        <v>7326</v>
      </c>
      <c r="V14" s="100">
        <v>23</v>
      </c>
      <c r="W14" s="100">
        <v>11233.199999999999</v>
      </c>
      <c r="X14" s="100">
        <v>18</v>
      </c>
      <c r="Y14" s="100">
        <v>8791.1999999999989</v>
      </c>
      <c r="Z14" s="100">
        <v>24</v>
      </c>
      <c r="AA14" s="100">
        <v>11721.599999999999</v>
      </c>
      <c r="AB14" s="100">
        <v>21</v>
      </c>
      <c r="AC14" s="100">
        <v>10256.4</v>
      </c>
      <c r="AD14" s="100">
        <v>16</v>
      </c>
      <c r="AE14" s="100">
        <v>7814.4</v>
      </c>
      <c r="AF14" s="100">
        <v>22</v>
      </c>
      <c r="AG14" s="100">
        <v>10744.8</v>
      </c>
      <c r="AH14" s="100">
        <v>23</v>
      </c>
      <c r="AI14" s="100">
        <v>11233.199999999999</v>
      </c>
      <c r="AJ14" s="100">
        <v>24</v>
      </c>
      <c r="AK14" s="100">
        <v>11721.599999999999</v>
      </c>
      <c r="AL14" s="100">
        <v>29</v>
      </c>
      <c r="AM14" s="100">
        <v>14163.599999999999</v>
      </c>
      <c r="AN14" s="100">
        <v>16</v>
      </c>
      <c r="AO14" s="100">
        <v>7814.4</v>
      </c>
      <c r="AP14" s="100">
        <v>25</v>
      </c>
      <c r="AQ14" s="100">
        <v>12210</v>
      </c>
      <c r="AR14" s="100">
        <v>18</v>
      </c>
      <c r="AS14" s="100">
        <v>8791.1999999999989</v>
      </c>
      <c r="AT14" s="100">
        <v>21</v>
      </c>
      <c r="AU14" s="100">
        <v>10256.4</v>
      </c>
      <c r="AV14" s="100">
        <v>18</v>
      </c>
      <c r="AW14" s="100">
        <v>8791.1999999999989</v>
      </c>
      <c r="AX14" s="100">
        <v>20</v>
      </c>
      <c r="AY14" s="100">
        <v>9768</v>
      </c>
      <c r="AZ14" s="100">
        <v>26</v>
      </c>
      <c r="BA14" s="100">
        <v>12698.4</v>
      </c>
      <c r="BB14" s="100">
        <v>26</v>
      </c>
      <c r="BC14" s="100">
        <v>12698.4</v>
      </c>
      <c r="BD14" s="100">
        <v>23.273347555970041</v>
      </c>
      <c r="BE14" s="100">
        <v>11366.702946335767</v>
      </c>
      <c r="BF14" s="100">
        <v>18.528364322118797</v>
      </c>
      <c r="BG14" s="100">
        <v>9049.2531349228193</v>
      </c>
      <c r="BH14" s="100">
        <v>26</v>
      </c>
      <c r="BI14" s="100">
        <v>12698.4</v>
      </c>
      <c r="BJ14" s="100">
        <v>28</v>
      </c>
      <c r="BK14" s="100">
        <v>13675.199999999999</v>
      </c>
      <c r="BL14" s="100">
        <v>23.966017838266279</v>
      </c>
      <c r="BM14" s="100">
        <v>11705.00311220925</v>
      </c>
      <c r="BN14" s="100">
        <v>17.213818087427661</v>
      </c>
      <c r="BO14" s="100">
        <v>8407.2287538996698</v>
      </c>
      <c r="BP14" s="100">
        <v>25.940926221909677</v>
      </c>
      <c r="BQ14" s="100">
        <v>12669.548366780686</v>
      </c>
      <c r="BR14" s="100">
        <v>26.169521513625529</v>
      </c>
      <c r="BS14" s="100">
        <v>12781.194307254707</v>
      </c>
      <c r="BT14" s="100">
        <v>15.553325894954504</v>
      </c>
      <c r="BU14" s="100">
        <v>7596.2443670957791</v>
      </c>
      <c r="BV14" s="100">
        <v>25.111276330260722</v>
      </c>
      <c r="BW14" s="100">
        <v>12264.347359699335</v>
      </c>
      <c r="BX14" s="100">
        <v>26.047683866752095</v>
      </c>
      <c r="BY14" s="100">
        <v>12721.688800521722</v>
      </c>
      <c r="BZ14" s="100">
        <v>16.094190285517264</v>
      </c>
      <c r="CA14" s="100">
        <v>7860.4025354466312</v>
      </c>
      <c r="CB14" s="100">
        <v>17.148394889372106</v>
      </c>
      <c r="CC14" s="100">
        <v>8375.276063969337</v>
      </c>
      <c r="CD14" s="100">
        <v>16.755482483535488</v>
      </c>
      <c r="CE14" s="100">
        <v>8183.3776449587322</v>
      </c>
      <c r="CF14" s="100">
        <v>25</v>
      </c>
      <c r="CG14" s="100">
        <v>12210</v>
      </c>
      <c r="CH14" s="100">
        <v>19</v>
      </c>
      <c r="CI14" s="100">
        <v>9279.6</v>
      </c>
      <c r="CJ14" s="100">
        <v>31</v>
      </c>
      <c r="CK14" s="100">
        <v>15140.4</v>
      </c>
      <c r="CL14" s="100">
        <v>27</v>
      </c>
      <c r="CM14" s="100">
        <v>13186.8</v>
      </c>
      <c r="CN14" s="100">
        <v>29.690802694789667</v>
      </c>
      <c r="CO14" s="100">
        <v>14500.988036135273</v>
      </c>
      <c r="CP14" s="100">
        <v>17</v>
      </c>
      <c r="CQ14" s="100">
        <v>8302.7999999999993</v>
      </c>
      <c r="CR14" s="100">
        <v>18</v>
      </c>
      <c r="CS14" s="100">
        <v>8791.1999999999989</v>
      </c>
      <c r="CT14" s="100">
        <v>22</v>
      </c>
      <c r="CU14" s="100">
        <v>10744.8</v>
      </c>
    </row>
    <row r="15" spans="1:99">
      <c r="C15" s="99" t="s">
        <v>181</v>
      </c>
      <c r="D15" s="100">
        <v>21</v>
      </c>
      <c r="E15" s="100">
        <v>16027.199999999999</v>
      </c>
      <c r="F15" s="100">
        <v>17</v>
      </c>
      <c r="G15" s="100">
        <v>12974.4</v>
      </c>
      <c r="H15" s="100">
        <v>15</v>
      </c>
      <c r="I15" s="100">
        <v>11447.999999999998</v>
      </c>
      <c r="J15" s="100">
        <v>14</v>
      </c>
      <c r="K15" s="100">
        <v>10684.8</v>
      </c>
      <c r="L15" s="100">
        <v>23</v>
      </c>
      <c r="M15" s="100">
        <v>17553.599999999999</v>
      </c>
      <c r="N15" s="100">
        <v>27</v>
      </c>
      <c r="O15" s="100">
        <v>20606.399999999998</v>
      </c>
      <c r="P15" s="100">
        <v>13</v>
      </c>
      <c r="Q15" s="100">
        <v>9921.5999999999985</v>
      </c>
      <c r="R15" s="100">
        <v>24</v>
      </c>
      <c r="S15" s="100">
        <v>18316.8</v>
      </c>
      <c r="T15" s="100">
        <v>13</v>
      </c>
      <c r="U15" s="100">
        <v>9921.5999999999985</v>
      </c>
      <c r="V15" s="100">
        <v>24</v>
      </c>
      <c r="W15" s="100">
        <v>18316.8</v>
      </c>
      <c r="X15" s="100">
        <v>18</v>
      </c>
      <c r="Y15" s="100">
        <v>13737.599999999999</v>
      </c>
      <c r="Z15" s="100">
        <v>23</v>
      </c>
      <c r="AA15" s="100">
        <v>17553.599999999999</v>
      </c>
      <c r="AB15" s="100">
        <v>22</v>
      </c>
      <c r="AC15" s="100">
        <v>16790.399999999998</v>
      </c>
      <c r="AD15" s="100">
        <v>15</v>
      </c>
      <c r="AE15" s="100">
        <v>11447.999999999998</v>
      </c>
      <c r="AF15" s="100">
        <v>23</v>
      </c>
      <c r="AG15" s="100">
        <v>17553.599999999999</v>
      </c>
      <c r="AH15" s="100">
        <v>24</v>
      </c>
      <c r="AI15" s="100">
        <v>18316.8</v>
      </c>
      <c r="AJ15" s="100">
        <v>23</v>
      </c>
      <c r="AK15" s="100">
        <v>17553.599999999999</v>
      </c>
      <c r="AL15" s="100">
        <v>28</v>
      </c>
      <c r="AM15" s="100">
        <v>21369.599999999999</v>
      </c>
      <c r="AN15" s="100">
        <v>14</v>
      </c>
      <c r="AO15" s="100">
        <v>10684.8</v>
      </c>
      <c r="AP15" s="100">
        <v>23</v>
      </c>
      <c r="AQ15" s="100">
        <v>17553.599999999999</v>
      </c>
      <c r="AR15" s="100">
        <v>17</v>
      </c>
      <c r="AS15" s="100">
        <v>12974.4</v>
      </c>
      <c r="AT15" s="100">
        <v>20</v>
      </c>
      <c r="AU15" s="100">
        <v>15263.999999999998</v>
      </c>
      <c r="AV15" s="100">
        <v>16</v>
      </c>
      <c r="AW15" s="100">
        <v>12211.199999999999</v>
      </c>
      <c r="AX15" s="100">
        <v>20</v>
      </c>
      <c r="AY15" s="100">
        <v>15263.999999999998</v>
      </c>
      <c r="AZ15" s="100">
        <v>26</v>
      </c>
      <c r="BA15" s="100">
        <v>19843.199999999997</v>
      </c>
      <c r="BB15" s="100">
        <v>22</v>
      </c>
      <c r="BC15" s="100">
        <v>16790.399999999998</v>
      </c>
      <c r="BD15" s="100">
        <v>22.303624741137952</v>
      </c>
      <c r="BE15" s="100">
        <v>17022.126402436483</v>
      </c>
      <c r="BF15" s="100">
        <v>21.054959456953181</v>
      </c>
      <c r="BG15" s="100">
        <v>16069.145057546666</v>
      </c>
      <c r="BH15" s="100">
        <v>28</v>
      </c>
      <c r="BI15" s="100">
        <v>21369.599999999999</v>
      </c>
      <c r="BJ15" s="100">
        <v>27</v>
      </c>
      <c r="BK15" s="100">
        <v>20606.399999999998</v>
      </c>
      <c r="BL15" s="100">
        <v>22.190757257653964</v>
      </c>
      <c r="BM15" s="100">
        <v>16935.985939041504</v>
      </c>
      <c r="BN15" s="100">
        <v>19.025798938735836</v>
      </c>
      <c r="BO15" s="100">
        <v>14520.489750043189</v>
      </c>
      <c r="BP15" s="100">
        <v>26.901701267165592</v>
      </c>
      <c r="BQ15" s="100">
        <v>20531.378407100779</v>
      </c>
      <c r="BR15" s="100">
        <v>25.234895745281761</v>
      </c>
      <c r="BS15" s="100">
        <v>19259.27243279904</v>
      </c>
      <c r="BT15" s="100">
        <v>17.281473216616114</v>
      </c>
      <c r="BU15" s="100">
        <v>13189.220358921417</v>
      </c>
      <c r="BV15" s="100">
        <v>22.42078243773279</v>
      </c>
      <c r="BW15" s="100">
        <v>17111.541156477662</v>
      </c>
      <c r="BX15" s="100">
        <v>26.887931733421514</v>
      </c>
      <c r="BY15" s="100">
        <v>20520.869498947297</v>
      </c>
      <c r="BZ15" s="100">
        <v>13.994948074362838</v>
      </c>
      <c r="CA15" s="100">
        <v>10680.944370353718</v>
      </c>
      <c r="CB15" s="100">
        <v>15.657230116383227</v>
      </c>
      <c r="CC15" s="100">
        <v>11949.598024823677</v>
      </c>
      <c r="CD15" s="100">
        <v>14.242160111005164</v>
      </c>
      <c r="CE15" s="100">
        <v>10869.616596719141</v>
      </c>
      <c r="CF15" s="100">
        <v>26</v>
      </c>
      <c r="CG15" s="100">
        <v>19843.199999999997</v>
      </c>
      <c r="CH15" s="100">
        <v>20</v>
      </c>
      <c r="CI15" s="100">
        <v>15263.999999999998</v>
      </c>
      <c r="CJ15" s="100">
        <v>29</v>
      </c>
      <c r="CK15" s="100">
        <v>22132.799999999999</v>
      </c>
      <c r="CL15" s="100">
        <v>28</v>
      </c>
      <c r="CM15" s="100">
        <v>21369.599999999999</v>
      </c>
      <c r="CN15" s="100">
        <v>24.123777189516606</v>
      </c>
      <c r="CO15" s="100">
        <v>18411.266751039071</v>
      </c>
      <c r="CP15" s="100">
        <v>15</v>
      </c>
      <c r="CQ15" s="100">
        <v>11447.999999999998</v>
      </c>
      <c r="CR15" s="100">
        <v>19</v>
      </c>
      <c r="CS15" s="100">
        <v>14500.8</v>
      </c>
      <c r="CT15" s="100">
        <v>22</v>
      </c>
      <c r="CU15" s="100">
        <v>16790.399999999998</v>
      </c>
    </row>
    <row r="16" spans="1:99">
      <c r="C16" s="99" t="s">
        <v>182</v>
      </c>
      <c r="D16" s="100">
        <v>20</v>
      </c>
      <c r="E16" s="100">
        <v>6816</v>
      </c>
      <c r="F16" s="100">
        <v>19</v>
      </c>
      <c r="G16" s="100">
        <v>6475.2</v>
      </c>
      <c r="H16" s="100">
        <v>16</v>
      </c>
      <c r="I16" s="100">
        <v>5452.8</v>
      </c>
      <c r="J16" s="100">
        <v>14</v>
      </c>
      <c r="K16" s="100">
        <v>4771.2</v>
      </c>
      <c r="L16" s="100">
        <v>22</v>
      </c>
      <c r="M16" s="100">
        <v>7497.6</v>
      </c>
      <c r="N16" s="100">
        <v>29</v>
      </c>
      <c r="O16" s="100">
        <v>9883.2000000000007</v>
      </c>
      <c r="P16" s="100">
        <v>14</v>
      </c>
      <c r="Q16" s="100">
        <v>4771.2</v>
      </c>
      <c r="R16" s="100">
        <v>25</v>
      </c>
      <c r="S16" s="100">
        <v>8520</v>
      </c>
      <c r="T16" s="100">
        <v>16</v>
      </c>
      <c r="U16" s="100">
        <v>5452.8</v>
      </c>
      <c r="V16" s="100">
        <v>24</v>
      </c>
      <c r="W16" s="100">
        <v>8179.2000000000007</v>
      </c>
      <c r="X16" s="100">
        <v>18</v>
      </c>
      <c r="Y16" s="100">
        <v>6134.4000000000005</v>
      </c>
      <c r="Z16" s="100">
        <v>24</v>
      </c>
      <c r="AA16" s="100">
        <v>8179.2000000000007</v>
      </c>
      <c r="AB16" s="100">
        <v>21</v>
      </c>
      <c r="AC16" s="100">
        <v>7156.8</v>
      </c>
      <c r="AD16" s="100">
        <v>16</v>
      </c>
      <c r="AE16" s="100">
        <v>5452.8</v>
      </c>
      <c r="AF16" s="100">
        <v>24</v>
      </c>
      <c r="AG16" s="100">
        <v>8179.2000000000007</v>
      </c>
      <c r="AH16" s="100">
        <v>22</v>
      </c>
      <c r="AI16" s="100">
        <v>7497.6</v>
      </c>
      <c r="AJ16" s="100">
        <v>26</v>
      </c>
      <c r="AK16" s="100">
        <v>8860.8000000000011</v>
      </c>
      <c r="AL16" s="100">
        <v>28</v>
      </c>
      <c r="AM16" s="100">
        <v>9542.4</v>
      </c>
      <c r="AN16" s="100">
        <v>15</v>
      </c>
      <c r="AO16" s="100">
        <v>5112</v>
      </c>
      <c r="AP16" s="100">
        <v>23</v>
      </c>
      <c r="AQ16" s="100">
        <v>7838.4000000000005</v>
      </c>
      <c r="AR16" s="100">
        <v>19</v>
      </c>
      <c r="AS16" s="100">
        <v>6475.2</v>
      </c>
      <c r="AT16" s="100">
        <v>22</v>
      </c>
      <c r="AU16" s="100">
        <v>7497.6</v>
      </c>
      <c r="AV16" s="100">
        <v>19</v>
      </c>
      <c r="AW16" s="100">
        <v>6475.2</v>
      </c>
      <c r="AX16" s="100">
        <v>22</v>
      </c>
      <c r="AY16" s="100">
        <v>7497.6</v>
      </c>
      <c r="AZ16" s="100">
        <v>30</v>
      </c>
      <c r="BA16" s="100">
        <v>10224</v>
      </c>
      <c r="BB16" s="100">
        <v>25</v>
      </c>
      <c r="BC16" s="100">
        <v>8520</v>
      </c>
      <c r="BD16" s="100">
        <v>23.273347555970041</v>
      </c>
      <c r="BE16" s="100">
        <v>7931.5568470745902</v>
      </c>
      <c r="BF16" s="100">
        <v>21.897157835231305</v>
      </c>
      <c r="BG16" s="100">
        <v>7462.5513902468292</v>
      </c>
      <c r="BH16" s="100">
        <v>26</v>
      </c>
      <c r="BI16" s="100">
        <v>8860.8000000000011</v>
      </c>
      <c r="BJ16" s="100">
        <v>27</v>
      </c>
      <c r="BK16" s="100">
        <v>9201.6</v>
      </c>
      <c r="BL16" s="100">
        <v>23.966017838266279</v>
      </c>
      <c r="BM16" s="100">
        <v>8167.6188792811481</v>
      </c>
      <c r="BN16" s="100">
        <v>20.83777979004401</v>
      </c>
      <c r="BO16" s="100">
        <v>7101.5153524469988</v>
      </c>
      <c r="BP16" s="100">
        <v>25.940926221909677</v>
      </c>
      <c r="BQ16" s="100">
        <v>8840.6676564268182</v>
      </c>
      <c r="BR16" s="100">
        <v>28.038773050313068</v>
      </c>
      <c r="BS16" s="100">
        <v>9555.6138555466932</v>
      </c>
      <c r="BT16" s="100">
        <v>18.145546877446922</v>
      </c>
      <c r="BU16" s="100">
        <v>6184.0023758339112</v>
      </c>
      <c r="BV16" s="100">
        <v>25.111276330260722</v>
      </c>
      <c r="BW16" s="100">
        <v>8557.9229733528537</v>
      </c>
      <c r="BX16" s="100">
        <v>27.728179600090936</v>
      </c>
      <c r="BY16" s="100">
        <v>9449.763607710991</v>
      </c>
      <c r="BZ16" s="100">
        <v>13.994948074362838</v>
      </c>
      <c r="CA16" s="100">
        <v>4769.4783037428551</v>
      </c>
      <c r="CB16" s="100">
        <v>19.385142048855425</v>
      </c>
      <c r="CC16" s="100">
        <v>6606.4564102499289</v>
      </c>
      <c r="CD16" s="100">
        <v>17.593256607712263</v>
      </c>
      <c r="CE16" s="100">
        <v>5995.7818519083394</v>
      </c>
      <c r="CF16" s="100">
        <v>29</v>
      </c>
      <c r="CG16" s="100">
        <v>9883.2000000000007</v>
      </c>
      <c r="CH16" s="100">
        <v>21</v>
      </c>
      <c r="CI16" s="100">
        <v>7156.8</v>
      </c>
      <c r="CJ16" s="100">
        <v>29</v>
      </c>
      <c r="CK16" s="100">
        <v>9883.2000000000007</v>
      </c>
      <c r="CL16" s="100">
        <v>26</v>
      </c>
      <c r="CM16" s="100">
        <v>8860.8000000000011</v>
      </c>
      <c r="CN16" s="100">
        <v>27.835127526365312</v>
      </c>
      <c r="CO16" s="100">
        <v>9486.2114609852979</v>
      </c>
      <c r="CP16" s="100">
        <v>17</v>
      </c>
      <c r="CQ16" s="100">
        <v>5793.6</v>
      </c>
      <c r="CR16" s="100">
        <v>19</v>
      </c>
      <c r="CS16" s="100">
        <v>6475.2</v>
      </c>
      <c r="CT16" s="100">
        <v>21</v>
      </c>
      <c r="CU16" s="100">
        <v>7156.8</v>
      </c>
    </row>
    <row r="17" spans="2:99">
      <c r="C17" s="99" t="s">
        <v>183</v>
      </c>
      <c r="D17" s="100">
        <v>19</v>
      </c>
      <c r="E17" s="100">
        <v>8025.5999999999995</v>
      </c>
      <c r="F17" s="100">
        <v>20</v>
      </c>
      <c r="G17" s="100">
        <v>8448</v>
      </c>
      <c r="H17" s="100">
        <v>14</v>
      </c>
      <c r="I17" s="100">
        <v>5913.5999999999995</v>
      </c>
      <c r="J17" s="100">
        <v>16</v>
      </c>
      <c r="K17" s="100">
        <v>6758.4</v>
      </c>
      <c r="L17" s="100">
        <v>24</v>
      </c>
      <c r="M17" s="100">
        <v>10137.599999999999</v>
      </c>
      <c r="N17" s="100">
        <v>29</v>
      </c>
      <c r="O17" s="100">
        <v>12249.599999999999</v>
      </c>
      <c r="P17" s="100">
        <v>15</v>
      </c>
      <c r="Q17" s="100">
        <v>6336</v>
      </c>
      <c r="R17" s="100">
        <v>25</v>
      </c>
      <c r="S17" s="100">
        <v>10560</v>
      </c>
      <c r="T17" s="100">
        <v>15</v>
      </c>
      <c r="U17" s="100">
        <v>6336</v>
      </c>
      <c r="V17" s="100">
        <v>23</v>
      </c>
      <c r="W17" s="100">
        <v>9715.1999999999989</v>
      </c>
      <c r="X17" s="100">
        <v>17</v>
      </c>
      <c r="Y17" s="100">
        <v>7180.7999999999993</v>
      </c>
      <c r="Z17" s="100">
        <v>22</v>
      </c>
      <c r="AA17" s="100">
        <v>9292.7999999999993</v>
      </c>
      <c r="AB17" s="100">
        <v>20</v>
      </c>
      <c r="AC17" s="100">
        <v>8448</v>
      </c>
      <c r="AD17" s="100">
        <v>15</v>
      </c>
      <c r="AE17" s="100">
        <v>6336</v>
      </c>
      <c r="AF17" s="100">
        <v>21</v>
      </c>
      <c r="AG17" s="100">
        <v>8870.4</v>
      </c>
      <c r="AH17" s="100">
        <v>25</v>
      </c>
      <c r="AI17" s="100">
        <v>10560</v>
      </c>
      <c r="AJ17" s="100">
        <v>25</v>
      </c>
      <c r="AK17" s="100">
        <v>10560</v>
      </c>
      <c r="AL17" s="100">
        <v>27</v>
      </c>
      <c r="AM17" s="100">
        <v>11404.8</v>
      </c>
      <c r="AN17" s="100">
        <v>14</v>
      </c>
      <c r="AO17" s="100">
        <v>5913.5999999999995</v>
      </c>
      <c r="AP17" s="100">
        <v>22</v>
      </c>
      <c r="AQ17" s="100">
        <v>9292.7999999999993</v>
      </c>
      <c r="AR17" s="100">
        <v>19</v>
      </c>
      <c r="AS17" s="100">
        <v>8025.5999999999995</v>
      </c>
      <c r="AT17" s="100">
        <v>23</v>
      </c>
      <c r="AU17" s="100">
        <v>9715.1999999999989</v>
      </c>
      <c r="AV17" s="100">
        <v>18</v>
      </c>
      <c r="AW17" s="100">
        <v>7603.2</v>
      </c>
      <c r="AX17" s="100">
        <v>19</v>
      </c>
      <c r="AY17" s="100">
        <v>8025.5999999999995</v>
      </c>
      <c r="AZ17" s="100">
        <v>29</v>
      </c>
      <c r="BA17" s="100">
        <v>12249.599999999999</v>
      </c>
      <c r="BB17" s="100">
        <v>26</v>
      </c>
      <c r="BC17" s="100">
        <v>10982.4</v>
      </c>
      <c r="BD17" s="100">
        <v>20.364179111473788</v>
      </c>
      <c r="BE17" s="100">
        <v>8601.8292566865275</v>
      </c>
      <c r="BF17" s="100">
        <v>19.370562700396924</v>
      </c>
      <c r="BG17" s="100">
        <v>8182.1256846476599</v>
      </c>
      <c r="BH17" s="100">
        <v>28</v>
      </c>
      <c r="BI17" s="100">
        <v>11827.199999999999</v>
      </c>
      <c r="BJ17" s="100">
        <v>30</v>
      </c>
      <c r="BK17" s="100">
        <v>12672</v>
      </c>
      <c r="BL17" s="100">
        <v>24.853648128572438</v>
      </c>
      <c r="BM17" s="100">
        <v>10498.180969508998</v>
      </c>
      <c r="BN17" s="100">
        <v>19.931789364389925</v>
      </c>
      <c r="BO17" s="100">
        <v>8419.1878275183044</v>
      </c>
      <c r="BP17" s="100">
        <v>24.980151176653766</v>
      </c>
      <c r="BQ17" s="100">
        <v>10551.615857018551</v>
      </c>
      <c r="BR17" s="100">
        <v>28.038773050313068</v>
      </c>
      <c r="BS17" s="100">
        <v>11843.57773645224</v>
      </c>
      <c r="BT17" s="100">
        <v>15.553325894954504</v>
      </c>
      <c r="BU17" s="100">
        <v>6569.7248580287824</v>
      </c>
      <c r="BV17" s="100">
        <v>26.008107627770034</v>
      </c>
      <c r="BW17" s="100">
        <v>10985.824661970062</v>
      </c>
      <c r="BX17" s="100">
        <v>24.367188133413251</v>
      </c>
      <c r="BY17" s="100">
        <v>10292.700267553757</v>
      </c>
      <c r="BZ17" s="100">
        <v>14.69469547808098</v>
      </c>
      <c r="CA17" s="100">
        <v>6207.0393699414062</v>
      </c>
      <c r="CB17" s="100">
        <v>16.402812502877669</v>
      </c>
      <c r="CC17" s="100">
        <v>6928.5480012155267</v>
      </c>
      <c r="CD17" s="100">
        <v>15.079934235181941</v>
      </c>
      <c r="CE17" s="100">
        <v>6369.7642209408514</v>
      </c>
      <c r="CF17" s="100">
        <v>28</v>
      </c>
      <c r="CG17" s="100">
        <v>11827.199999999999</v>
      </c>
      <c r="CH17" s="100">
        <v>20</v>
      </c>
      <c r="CI17" s="100">
        <v>8448</v>
      </c>
      <c r="CJ17" s="100">
        <v>29</v>
      </c>
      <c r="CK17" s="100">
        <v>12249.599999999999</v>
      </c>
      <c r="CL17" s="100">
        <v>27</v>
      </c>
      <c r="CM17" s="100">
        <v>11404.8</v>
      </c>
      <c r="CN17" s="100">
        <v>28.76296511057749</v>
      </c>
      <c r="CO17" s="100">
        <v>12149.476462707931</v>
      </c>
      <c r="CP17" s="100">
        <v>17</v>
      </c>
      <c r="CQ17" s="100">
        <v>7180.7999999999993</v>
      </c>
      <c r="CR17" s="100">
        <v>18</v>
      </c>
      <c r="CS17" s="100">
        <v>7603.2</v>
      </c>
      <c r="CT17" s="100">
        <v>22</v>
      </c>
      <c r="CU17" s="100">
        <v>9292.7999999999993</v>
      </c>
    </row>
    <row r="18" spans="2:99">
      <c r="C18" s="99" t="s">
        <v>184</v>
      </c>
      <c r="D18" s="100">
        <v>20</v>
      </c>
      <c r="E18" s="100">
        <v>13056</v>
      </c>
      <c r="F18" s="100">
        <v>17</v>
      </c>
      <c r="G18" s="100">
        <v>11097.599999999999</v>
      </c>
      <c r="H18" s="100">
        <v>14</v>
      </c>
      <c r="I18" s="100">
        <v>9139.1999999999989</v>
      </c>
      <c r="J18" s="100">
        <v>14</v>
      </c>
      <c r="K18" s="100">
        <v>9139.1999999999989</v>
      </c>
      <c r="L18" s="100">
        <v>22</v>
      </c>
      <c r="M18" s="100">
        <v>14361.599999999999</v>
      </c>
      <c r="N18" s="100">
        <v>27</v>
      </c>
      <c r="O18" s="100">
        <v>17625.599999999999</v>
      </c>
      <c r="P18" s="100">
        <v>13</v>
      </c>
      <c r="Q18" s="100">
        <v>8486.4</v>
      </c>
      <c r="R18" s="100">
        <v>25</v>
      </c>
      <c r="S18" s="100">
        <v>16319.999999999998</v>
      </c>
      <c r="T18" s="100">
        <v>14</v>
      </c>
      <c r="U18" s="100">
        <v>9139.1999999999989</v>
      </c>
      <c r="V18" s="100">
        <v>25</v>
      </c>
      <c r="W18" s="100">
        <v>16319.999999999998</v>
      </c>
      <c r="X18" s="100">
        <v>19</v>
      </c>
      <c r="Y18" s="100">
        <v>12403.199999999999</v>
      </c>
      <c r="Z18" s="100">
        <v>26</v>
      </c>
      <c r="AA18" s="100">
        <v>16972.8</v>
      </c>
      <c r="AB18" s="100">
        <v>22</v>
      </c>
      <c r="AC18" s="100">
        <v>14361.599999999999</v>
      </c>
      <c r="AD18" s="100">
        <v>13</v>
      </c>
      <c r="AE18" s="100">
        <v>8486.4</v>
      </c>
      <c r="AF18" s="100">
        <v>23</v>
      </c>
      <c r="AG18" s="100">
        <v>15014.4</v>
      </c>
      <c r="AH18" s="100">
        <v>21</v>
      </c>
      <c r="AI18" s="100">
        <v>13708.8</v>
      </c>
      <c r="AJ18" s="100">
        <v>26</v>
      </c>
      <c r="AK18" s="100">
        <v>16972.8</v>
      </c>
      <c r="AL18" s="100">
        <v>26</v>
      </c>
      <c r="AM18" s="100">
        <v>16972.8</v>
      </c>
      <c r="AN18" s="100">
        <v>16</v>
      </c>
      <c r="AO18" s="100">
        <v>10444.799999999999</v>
      </c>
      <c r="AP18" s="100">
        <v>20</v>
      </c>
      <c r="AQ18" s="100">
        <v>13056</v>
      </c>
      <c r="AR18" s="100">
        <v>17</v>
      </c>
      <c r="AS18" s="100">
        <v>11097.599999999999</v>
      </c>
      <c r="AT18" s="100">
        <v>23</v>
      </c>
      <c r="AU18" s="100">
        <v>15014.4</v>
      </c>
      <c r="AV18" s="100">
        <v>16</v>
      </c>
      <c r="AW18" s="100">
        <v>10444.799999999999</v>
      </c>
      <c r="AX18" s="100">
        <v>20</v>
      </c>
      <c r="AY18" s="100">
        <v>13056</v>
      </c>
      <c r="AZ18" s="100">
        <v>29</v>
      </c>
      <c r="BA18" s="100">
        <v>18931.199999999997</v>
      </c>
      <c r="BB18" s="100">
        <v>23</v>
      </c>
      <c r="BC18" s="100">
        <v>15014.4</v>
      </c>
      <c r="BD18" s="100">
        <v>22.303624741137952</v>
      </c>
      <c r="BE18" s="100">
        <v>14559.806231014854</v>
      </c>
      <c r="BF18" s="100">
        <v>21.054959456953181</v>
      </c>
      <c r="BG18" s="100">
        <v>13744.677533499036</v>
      </c>
      <c r="BH18" s="100">
        <v>27</v>
      </c>
      <c r="BI18" s="100">
        <v>17625.599999999999</v>
      </c>
      <c r="BJ18" s="100">
        <v>27</v>
      </c>
      <c r="BK18" s="100">
        <v>17625.599999999999</v>
      </c>
      <c r="BL18" s="100">
        <v>23.078387547960119</v>
      </c>
      <c r="BM18" s="100">
        <v>15065.571391308365</v>
      </c>
      <c r="BN18" s="100">
        <v>19.025798938735836</v>
      </c>
      <c r="BO18" s="100">
        <v>12420.041547206753</v>
      </c>
      <c r="BP18" s="100">
        <v>24.980151176653766</v>
      </c>
      <c r="BQ18" s="100">
        <v>16307.042688119578</v>
      </c>
      <c r="BR18" s="100">
        <v>24.30026997693799</v>
      </c>
      <c r="BS18" s="100">
        <v>15863.216240945119</v>
      </c>
      <c r="BT18" s="100">
        <v>15.553325894954504</v>
      </c>
      <c r="BU18" s="100">
        <v>10153.211144226299</v>
      </c>
      <c r="BV18" s="100">
        <v>22.42078243773279</v>
      </c>
      <c r="BW18" s="100">
        <v>14636.286775351964</v>
      </c>
      <c r="BX18" s="100">
        <v>24.367188133413251</v>
      </c>
      <c r="BY18" s="100">
        <v>15906.900413492169</v>
      </c>
      <c r="BZ18" s="100">
        <v>15.394442881799122</v>
      </c>
      <c r="CA18" s="100">
        <v>10049.492313238467</v>
      </c>
      <c r="CB18" s="100">
        <v>16.402812502877669</v>
      </c>
      <c r="CC18" s="100">
        <v>10707.756001878543</v>
      </c>
      <c r="CD18" s="100">
        <v>15.079934235181941</v>
      </c>
      <c r="CE18" s="100">
        <v>9844.1810687267698</v>
      </c>
      <c r="CF18" s="100">
        <v>28</v>
      </c>
      <c r="CG18" s="100">
        <v>18278.399999999998</v>
      </c>
      <c r="CH18" s="100">
        <v>17</v>
      </c>
      <c r="CI18" s="100">
        <v>11097.599999999999</v>
      </c>
      <c r="CJ18" s="100">
        <v>28</v>
      </c>
      <c r="CK18" s="100">
        <v>18278.399999999998</v>
      </c>
      <c r="CL18" s="100">
        <v>26</v>
      </c>
      <c r="CM18" s="100">
        <v>16972.8</v>
      </c>
      <c r="CN18" s="100">
        <v>25.05161477372878</v>
      </c>
      <c r="CO18" s="100">
        <v>16353.694124290147</v>
      </c>
      <c r="CP18" s="100">
        <v>16</v>
      </c>
      <c r="CQ18" s="100">
        <v>10444.799999999999</v>
      </c>
      <c r="CR18" s="100">
        <v>19</v>
      </c>
      <c r="CS18" s="100">
        <v>12403.199999999999</v>
      </c>
      <c r="CT18" s="100">
        <v>20</v>
      </c>
      <c r="CU18" s="100">
        <v>13056</v>
      </c>
    </row>
    <row r="19" spans="2:99">
      <c r="C19" s="99" t="s">
        <v>185</v>
      </c>
      <c r="D19" s="100">
        <v>23</v>
      </c>
      <c r="E19" s="100">
        <v>7590</v>
      </c>
      <c r="F19" s="100">
        <v>22</v>
      </c>
      <c r="G19" s="100">
        <v>7260</v>
      </c>
      <c r="H19" s="100">
        <v>15</v>
      </c>
      <c r="I19" s="100">
        <v>4950</v>
      </c>
      <c r="J19" s="100">
        <v>14</v>
      </c>
      <c r="K19" s="100">
        <v>4620</v>
      </c>
      <c r="L19" s="100">
        <v>24</v>
      </c>
      <c r="M19" s="100">
        <v>7920</v>
      </c>
      <c r="N19" s="100">
        <v>27</v>
      </c>
      <c r="O19" s="100">
        <v>8910</v>
      </c>
      <c r="P19" s="100">
        <v>14</v>
      </c>
      <c r="Q19" s="100">
        <v>4620</v>
      </c>
      <c r="R19" s="100">
        <v>27</v>
      </c>
      <c r="S19" s="100">
        <v>8910</v>
      </c>
      <c r="T19" s="100">
        <v>16</v>
      </c>
      <c r="U19" s="100">
        <v>5280</v>
      </c>
      <c r="V19" s="100">
        <v>25</v>
      </c>
      <c r="W19" s="100">
        <v>8250</v>
      </c>
      <c r="X19" s="100">
        <v>19</v>
      </c>
      <c r="Y19" s="100">
        <v>6270</v>
      </c>
      <c r="Z19" s="100">
        <v>26</v>
      </c>
      <c r="AA19" s="100">
        <v>8580</v>
      </c>
      <c r="AB19" s="100">
        <v>21</v>
      </c>
      <c r="AC19" s="100">
        <v>6930</v>
      </c>
      <c r="AD19" s="100">
        <v>14</v>
      </c>
      <c r="AE19" s="100">
        <v>4620</v>
      </c>
      <c r="AF19" s="100">
        <v>24</v>
      </c>
      <c r="AG19" s="100">
        <v>7920</v>
      </c>
      <c r="AH19" s="100">
        <v>22</v>
      </c>
      <c r="AI19" s="100">
        <v>7260</v>
      </c>
      <c r="AJ19" s="100">
        <v>22</v>
      </c>
      <c r="AK19" s="100">
        <v>7260</v>
      </c>
      <c r="AL19" s="100">
        <v>28</v>
      </c>
      <c r="AM19" s="100">
        <v>9240</v>
      </c>
      <c r="AN19" s="100">
        <v>14</v>
      </c>
      <c r="AO19" s="100">
        <v>4620</v>
      </c>
      <c r="AP19" s="100">
        <v>22</v>
      </c>
      <c r="AQ19" s="100">
        <v>7260</v>
      </c>
      <c r="AR19" s="100">
        <v>17</v>
      </c>
      <c r="AS19" s="100">
        <v>5610</v>
      </c>
      <c r="AT19" s="100">
        <v>20</v>
      </c>
      <c r="AU19" s="100">
        <v>6600</v>
      </c>
      <c r="AV19" s="100">
        <v>19</v>
      </c>
      <c r="AW19" s="100">
        <v>6270</v>
      </c>
      <c r="AX19" s="100">
        <v>19</v>
      </c>
      <c r="AY19" s="100">
        <v>6270</v>
      </c>
      <c r="AZ19" s="100">
        <v>30</v>
      </c>
      <c r="BA19" s="100">
        <v>9900</v>
      </c>
      <c r="BB19" s="100">
        <v>22</v>
      </c>
      <c r="BC19" s="100">
        <v>7260</v>
      </c>
      <c r="BD19" s="100">
        <v>21.33390192630587</v>
      </c>
      <c r="BE19" s="100">
        <v>7040.1876356809371</v>
      </c>
      <c r="BF19" s="100">
        <v>21.897157835231305</v>
      </c>
      <c r="BG19" s="100">
        <v>7226.0620856263304</v>
      </c>
      <c r="BH19" s="100">
        <v>30</v>
      </c>
      <c r="BI19" s="100">
        <v>9900</v>
      </c>
      <c r="BJ19" s="100">
        <v>26</v>
      </c>
      <c r="BK19" s="100">
        <v>8580</v>
      </c>
      <c r="BL19" s="100">
        <v>23.966017838266279</v>
      </c>
      <c r="BM19" s="100">
        <v>7908.7858866278721</v>
      </c>
      <c r="BN19" s="100">
        <v>19.931789364389925</v>
      </c>
      <c r="BO19" s="100">
        <v>6577.4904902486751</v>
      </c>
      <c r="BP19" s="100">
        <v>27.862476312421506</v>
      </c>
      <c r="BQ19" s="100">
        <v>9194.617183099097</v>
      </c>
      <c r="BR19" s="100">
        <v>27.104147281969301</v>
      </c>
      <c r="BS19" s="100">
        <v>8944.3686030498684</v>
      </c>
      <c r="BT19" s="100">
        <v>16.417399555785309</v>
      </c>
      <c r="BU19" s="100">
        <v>5417.7418534091521</v>
      </c>
      <c r="BV19" s="100">
        <v>23.317613735242098</v>
      </c>
      <c r="BW19" s="100">
        <v>7694.8125326298923</v>
      </c>
      <c r="BX19" s="100">
        <v>26.047683866752095</v>
      </c>
      <c r="BY19" s="100">
        <v>8595.7356760281909</v>
      </c>
      <c r="BZ19" s="100">
        <v>15.394442881799122</v>
      </c>
      <c r="CA19" s="100">
        <v>5080.1661509937103</v>
      </c>
      <c r="CB19" s="100">
        <v>16.402812502877669</v>
      </c>
      <c r="CC19" s="100">
        <v>5412.9281259496311</v>
      </c>
      <c r="CD19" s="100">
        <v>16.755482483535488</v>
      </c>
      <c r="CE19" s="100">
        <v>5529.3092195667114</v>
      </c>
      <c r="CF19" s="100">
        <v>27</v>
      </c>
      <c r="CG19" s="100">
        <v>8910</v>
      </c>
      <c r="CH19" s="100">
        <v>18</v>
      </c>
      <c r="CI19" s="100">
        <v>5940</v>
      </c>
      <c r="CJ19" s="100">
        <v>33</v>
      </c>
      <c r="CK19" s="100">
        <v>10890</v>
      </c>
      <c r="CL19" s="100">
        <v>26</v>
      </c>
      <c r="CM19" s="100">
        <v>8580</v>
      </c>
      <c r="CN19" s="100">
        <v>30.618640279001841</v>
      </c>
      <c r="CO19" s="100">
        <v>10104.151292070608</v>
      </c>
      <c r="CP19" s="100">
        <v>16</v>
      </c>
      <c r="CQ19" s="100">
        <v>5280</v>
      </c>
      <c r="CR19" s="100">
        <v>19</v>
      </c>
      <c r="CS19" s="100">
        <v>6270</v>
      </c>
      <c r="CT19" s="100">
        <v>22</v>
      </c>
      <c r="CU19" s="100">
        <v>7260</v>
      </c>
    </row>
    <row r="20" spans="2:99">
      <c r="B20" s="99" t="s">
        <v>127</v>
      </c>
      <c r="C20" s="99" t="s">
        <v>186</v>
      </c>
      <c r="D20" s="100">
        <v>22</v>
      </c>
      <c r="E20" s="100">
        <v>6309.6</v>
      </c>
      <c r="F20" s="100">
        <v>22</v>
      </c>
      <c r="G20" s="100">
        <v>6309.6</v>
      </c>
      <c r="H20" s="100">
        <v>14</v>
      </c>
      <c r="I20" s="100">
        <v>4015.2000000000003</v>
      </c>
      <c r="J20" s="100">
        <v>23</v>
      </c>
      <c r="K20" s="100">
        <v>6596.4000000000005</v>
      </c>
      <c r="L20" s="100">
        <v>18</v>
      </c>
      <c r="M20" s="100">
        <v>5162.4000000000005</v>
      </c>
      <c r="N20" s="100">
        <v>21</v>
      </c>
      <c r="O20" s="100">
        <v>6022.8</v>
      </c>
      <c r="P20" s="100">
        <v>21</v>
      </c>
      <c r="Q20" s="100">
        <v>6022.8</v>
      </c>
      <c r="R20" s="100">
        <v>18</v>
      </c>
      <c r="S20" s="100">
        <v>5162.4000000000005</v>
      </c>
      <c r="T20" s="100">
        <v>25</v>
      </c>
      <c r="U20" s="100">
        <v>7170</v>
      </c>
      <c r="V20" s="100">
        <v>17</v>
      </c>
      <c r="W20" s="100">
        <v>4875.6000000000004</v>
      </c>
      <c r="X20" s="100">
        <v>21</v>
      </c>
      <c r="Y20" s="100">
        <v>6022.8</v>
      </c>
      <c r="Z20" s="100">
        <v>19</v>
      </c>
      <c r="AA20" s="100">
        <v>5449.2</v>
      </c>
      <c r="AB20" s="100">
        <v>15</v>
      </c>
      <c r="AC20" s="100">
        <v>4302</v>
      </c>
      <c r="AD20" s="100">
        <v>18</v>
      </c>
      <c r="AE20" s="100">
        <v>5162.4000000000005</v>
      </c>
      <c r="AF20" s="100">
        <v>31</v>
      </c>
      <c r="AG20" s="100">
        <v>8890.8000000000011</v>
      </c>
      <c r="AH20" s="100">
        <v>29</v>
      </c>
      <c r="AI20" s="100">
        <v>8317.2000000000007</v>
      </c>
      <c r="AJ20" s="100">
        <v>21</v>
      </c>
      <c r="AK20" s="100">
        <v>6022.8</v>
      </c>
      <c r="AL20" s="100">
        <v>16</v>
      </c>
      <c r="AM20" s="100">
        <v>4588.8</v>
      </c>
      <c r="AN20" s="100">
        <v>22</v>
      </c>
      <c r="AO20" s="100">
        <v>6309.6</v>
      </c>
      <c r="AP20" s="100">
        <v>28</v>
      </c>
      <c r="AQ20" s="100">
        <v>8030.4000000000005</v>
      </c>
      <c r="AR20" s="100">
        <v>18</v>
      </c>
      <c r="AS20" s="100">
        <v>5162.4000000000005</v>
      </c>
      <c r="AT20" s="100">
        <v>21</v>
      </c>
      <c r="AU20" s="100">
        <v>6022.8</v>
      </c>
      <c r="AV20" s="100">
        <v>18</v>
      </c>
      <c r="AW20" s="100">
        <v>5162.4000000000005</v>
      </c>
      <c r="AX20" s="100">
        <v>27</v>
      </c>
      <c r="AY20" s="100">
        <v>7743.6</v>
      </c>
      <c r="AZ20" s="100">
        <v>23</v>
      </c>
      <c r="BA20" s="100">
        <v>6596.4000000000005</v>
      </c>
      <c r="BB20" s="100">
        <v>28</v>
      </c>
      <c r="BC20" s="100">
        <v>8030.4000000000005</v>
      </c>
      <c r="BD20" s="100">
        <v>26.182516000466293</v>
      </c>
      <c r="BE20" s="100">
        <v>7509.1455889337331</v>
      </c>
      <c r="BF20" s="100">
        <v>21.054959456953181</v>
      </c>
      <c r="BG20" s="100">
        <v>6038.5623722541723</v>
      </c>
      <c r="BH20" s="100">
        <v>16</v>
      </c>
      <c r="BI20" s="100">
        <v>4588.8</v>
      </c>
      <c r="BJ20" s="100">
        <v>18</v>
      </c>
      <c r="BK20" s="100">
        <v>5162.4000000000005</v>
      </c>
      <c r="BL20" s="100">
        <v>22.190757257653964</v>
      </c>
      <c r="BM20" s="100">
        <v>6364.3091814951567</v>
      </c>
      <c r="BN20" s="100">
        <v>28.9916936209308</v>
      </c>
      <c r="BO20" s="100">
        <v>8314.8177304829533</v>
      </c>
      <c r="BP20" s="100">
        <v>18.254725859862369</v>
      </c>
      <c r="BQ20" s="100">
        <v>5235.4553766085273</v>
      </c>
      <c r="BR20" s="100">
        <v>17.757889598531609</v>
      </c>
      <c r="BS20" s="100">
        <v>5092.9627368588654</v>
      </c>
      <c r="BT20" s="100">
        <v>27.650357146585787</v>
      </c>
      <c r="BU20" s="100">
        <v>7930.1224296408036</v>
      </c>
      <c r="BV20" s="100">
        <v>18.833457247695542</v>
      </c>
      <c r="BW20" s="100">
        <v>5401.4355386390816</v>
      </c>
      <c r="BX20" s="100">
        <v>13.443965866710757</v>
      </c>
      <c r="BY20" s="100">
        <v>3855.7294105726451</v>
      </c>
      <c r="BZ20" s="100">
        <v>22.391916918980542</v>
      </c>
      <c r="CA20" s="100">
        <v>6422.0017723636192</v>
      </c>
      <c r="CB20" s="100">
        <v>16.402812502877669</v>
      </c>
      <c r="CC20" s="100">
        <v>4704.3266258253161</v>
      </c>
      <c r="CD20" s="100">
        <v>20.106578980242585</v>
      </c>
      <c r="CE20" s="100">
        <v>5766.5668515335738</v>
      </c>
      <c r="CF20" s="100">
        <v>21</v>
      </c>
      <c r="CG20" s="100">
        <v>6022.8</v>
      </c>
      <c r="CH20" s="100">
        <v>19</v>
      </c>
      <c r="CI20" s="100">
        <v>5449.2</v>
      </c>
      <c r="CJ20" s="100">
        <v>19</v>
      </c>
      <c r="CK20" s="100">
        <v>5449.2</v>
      </c>
      <c r="CL20" s="100">
        <v>19</v>
      </c>
      <c r="CM20" s="100">
        <v>5449.2</v>
      </c>
      <c r="CN20" s="100">
        <v>20.412426852667899</v>
      </c>
      <c r="CO20" s="100">
        <v>5854.2840213451536</v>
      </c>
      <c r="CP20" s="100">
        <v>18</v>
      </c>
      <c r="CQ20" s="100">
        <v>5162.4000000000005</v>
      </c>
      <c r="CR20" s="100">
        <v>20</v>
      </c>
      <c r="CS20" s="100">
        <v>5736</v>
      </c>
      <c r="CT20" s="100">
        <v>27</v>
      </c>
      <c r="CU20" s="100">
        <v>7743.6</v>
      </c>
    </row>
    <row r="21" spans="2:99">
      <c r="C21" s="99" t="s">
        <v>187</v>
      </c>
      <c r="D21" s="100">
        <v>20</v>
      </c>
      <c r="E21" s="100">
        <v>1248</v>
      </c>
      <c r="F21" s="100">
        <v>25</v>
      </c>
      <c r="G21" s="100">
        <v>1560</v>
      </c>
      <c r="H21" s="100">
        <v>15</v>
      </c>
      <c r="I21" s="100">
        <v>936</v>
      </c>
      <c r="J21" s="100">
        <v>21</v>
      </c>
      <c r="K21" s="100">
        <v>1310.3999999999999</v>
      </c>
      <c r="L21" s="100">
        <v>18</v>
      </c>
      <c r="M21" s="100">
        <v>1123.2</v>
      </c>
      <c r="N21" s="100">
        <v>19</v>
      </c>
      <c r="O21" s="100">
        <v>1185.5999999999999</v>
      </c>
      <c r="P21" s="100">
        <v>23</v>
      </c>
      <c r="Q21" s="100">
        <v>1435.2</v>
      </c>
      <c r="R21" s="100">
        <v>21</v>
      </c>
      <c r="S21" s="100">
        <v>1310.3999999999999</v>
      </c>
      <c r="T21" s="100">
        <v>27</v>
      </c>
      <c r="U21" s="100">
        <v>1684.8</v>
      </c>
      <c r="V21" s="100">
        <v>16</v>
      </c>
      <c r="W21" s="100">
        <v>998.4</v>
      </c>
      <c r="X21" s="100">
        <v>25</v>
      </c>
      <c r="Y21" s="100">
        <v>1560</v>
      </c>
      <c r="Z21" s="100">
        <v>20</v>
      </c>
      <c r="AA21" s="100">
        <v>1248</v>
      </c>
      <c r="AB21" s="100">
        <v>18</v>
      </c>
      <c r="AC21" s="100">
        <v>1123.2</v>
      </c>
      <c r="AD21" s="100">
        <v>18</v>
      </c>
      <c r="AE21" s="100">
        <v>1123.2</v>
      </c>
      <c r="AF21" s="100">
        <v>30</v>
      </c>
      <c r="AG21" s="100">
        <v>1872</v>
      </c>
      <c r="AH21" s="100">
        <v>30</v>
      </c>
      <c r="AI21" s="100">
        <v>1872</v>
      </c>
      <c r="AJ21" s="100">
        <v>23</v>
      </c>
      <c r="AK21" s="100">
        <v>1435.2</v>
      </c>
      <c r="AL21" s="100">
        <v>19</v>
      </c>
      <c r="AM21" s="100">
        <v>1185.5999999999999</v>
      </c>
      <c r="AN21" s="100">
        <v>24</v>
      </c>
      <c r="AO21" s="100">
        <v>1497.6</v>
      </c>
      <c r="AP21" s="100">
        <v>27</v>
      </c>
      <c r="AQ21" s="100">
        <v>1684.8</v>
      </c>
      <c r="AR21" s="100">
        <v>19</v>
      </c>
      <c r="AS21" s="100">
        <v>1185.5999999999999</v>
      </c>
      <c r="AT21" s="100">
        <v>25</v>
      </c>
      <c r="AU21" s="100">
        <v>1560</v>
      </c>
      <c r="AV21" s="100">
        <v>17</v>
      </c>
      <c r="AW21" s="100">
        <v>1060.8</v>
      </c>
      <c r="AX21" s="100">
        <v>27</v>
      </c>
      <c r="AY21" s="100">
        <v>1684.8</v>
      </c>
      <c r="AZ21" s="100">
        <v>21</v>
      </c>
      <c r="BA21" s="100">
        <v>1310.3999999999999</v>
      </c>
      <c r="BB21" s="100">
        <v>30</v>
      </c>
      <c r="BC21" s="100">
        <v>1872</v>
      </c>
      <c r="BD21" s="100">
        <v>29.091684444962553</v>
      </c>
      <c r="BE21" s="100">
        <v>1815.3211093656632</v>
      </c>
      <c r="BF21" s="100">
        <v>24.423752970065689</v>
      </c>
      <c r="BG21" s="100">
        <v>1524.0421853320988</v>
      </c>
      <c r="BH21" s="100">
        <v>17</v>
      </c>
      <c r="BI21" s="100">
        <v>1060.8</v>
      </c>
      <c r="BJ21" s="100">
        <v>16</v>
      </c>
      <c r="BK21" s="100">
        <v>998.4</v>
      </c>
      <c r="BL21" s="100">
        <v>21.303126967347804</v>
      </c>
      <c r="BM21" s="100">
        <v>1329.3151227625031</v>
      </c>
      <c r="BN21" s="100">
        <v>28.9916936209308</v>
      </c>
      <c r="BO21" s="100">
        <v>1809.081681946082</v>
      </c>
      <c r="BP21" s="100">
        <v>16.333175769350539</v>
      </c>
      <c r="BQ21" s="100">
        <v>1019.1901680074736</v>
      </c>
      <c r="BR21" s="100">
        <v>20.561766903562916</v>
      </c>
      <c r="BS21" s="100">
        <v>1283.0542547823259</v>
      </c>
      <c r="BT21" s="100">
        <v>25.058136164093369</v>
      </c>
      <c r="BU21" s="100">
        <v>1563.6276966394262</v>
      </c>
      <c r="BV21" s="100">
        <v>21.523951140223478</v>
      </c>
      <c r="BW21" s="100">
        <v>1343.0945511499449</v>
      </c>
      <c r="BX21" s="100">
        <v>13.443965866710757</v>
      </c>
      <c r="BY21" s="100">
        <v>838.90347008275126</v>
      </c>
      <c r="BZ21" s="100">
        <v>23.791411726416825</v>
      </c>
      <c r="CA21" s="100">
        <v>1484.5840917284099</v>
      </c>
      <c r="CB21" s="100">
        <v>16.402812502877669</v>
      </c>
      <c r="CC21" s="100">
        <v>1023.5355001795665</v>
      </c>
      <c r="CD21" s="100">
        <v>20.106578980242585</v>
      </c>
      <c r="CE21" s="100">
        <v>1254.6505283671372</v>
      </c>
      <c r="CF21" s="100">
        <v>22</v>
      </c>
      <c r="CG21" s="100">
        <v>1372.8</v>
      </c>
      <c r="CH21" s="100">
        <v>21</v>
      </c>
      <c r="CI21" s="100">
        <v>1310.3999999999999</v>
      </c>
      <c r="CJ21" s="100">
        <v>16</v>
      </c>
      <c r="CK21" s="100">
        <v>998.4</v>
      </c>
      <c r="CL21" s="100">
        <v>20</v>
      </c>
      <c r="CM21" s="100">
        <v>1248</v>
      </c>
      <c r="CN21" s="100">
        <v>23.195939605304428</v>
      </c>
      <c r="CO21" s="100">
        <v>1447.4266313709963</v>
      </c>
      <c r="CP21" s="100">
        <v>16</v>
      </c>
      <c r="CQ21" s="100">
        <v>998.4</v>
      </c>
      <c r="CR21" s="100">
        <v>20</v>
      </c>
      <c r="CS21" s="100">
        <v>1248</v>
      </c>
      <c r="CT21" s="100">
        <v>23</v>
      </c>
      <c r="CU21" s="100">
        <v>1435.2</v>
      </c>
    </row>
    <row r="22" spans="2:99">
      <c r="C22" s="99" t="s">
        <v>188</v>
      </c>
      <c r="D22" s="100">
        <v>22</v>
      </c>
      <c r="E22" s="100">
        <v>4118.3999999999996</v>
      </c>
      <c r="F22" s="100">
        <v>25</v>
      </c>
      <c r="G22" s="100">
        <v>4680</v>
      </c>
      <c r="H22" s="100">
        <v>14</v>
      </c>
      <c r="I22" s="100">
        <v>2620.7999999999997</v>
      </c>
      <c r="J22" s="100">
        <v>20</v>
      </c>
      <c r="K22" s="100">
        <v>3744</v>
      </c>
      <c r="L22" s="100">
        <v>19</v>
      </c>
      <c r="M22" s="100">
        <v>3556.7999999999997</v>
      </c>
      <c r="N22" s="100">
        <v>18</v>
      </c>
      <c r="O22" s="100">
        <v>3369.6</v>
      </c>
      <c r="P22" s="100">
        <v>22</v>
      </c>
      <c r="Q22" s="100">
        <v>4118.3999999999996</v>
      </c>
      <c r="R22" s="100">
        <v>20</v>
      </c>
      <c r="S22" s="100">
        <v>3744</v>
      </c>
      <c r="T22" s="100">
        <v>28</v>
      </c>
      <c r="U22" s="100">
        <v>5241.5999999999995</v>
      </c>
      <c r="V22" s="100">
        <v>15</v>
      </c>
      <c r="W22" s="100">
        <v>2808</v>
      </c>
      <c r="X22" s="100">
        <v>22</v>
      </c>
      <c r="Y22" s="100">
        <v>4118.3999999999996</v>
      </c>
      <c r="Z22" s="100">
        <v>21</v>
      </c>
      <c r="AA22" s="100">
        <v>3931.2</v>
      </c>
      <c r="AB22" s="100">
        <v>18</v>
      </c>
      <c r="AC22" s="100">
        <v>3369.6</v>
      </c>
      <c r="AD22" s="100">
        <v>15</v>
      </c>
      <c r="AE22" s="100">
        <v>2808</v>
      </c>
      <c r="AF22" s="100">
        <v>32</v>
      </c>
      <c r="AG22" s="100">
        <v>5990.4</v>
      </c>
      <c r="AH22" s="100">
        <v>26</v>
      </c>
      <c r="AI22" s="100">
        <v>4867.2</v>
      </c>
      <c r="AJ22" s="100">
        <v>19</v>
      </c>
      <c r="AK22" s="100">
        <v>3556.7999999999997</v>
      </c>
      <c r="AL22" s="100">
        <v>19</v>
      </c>
      <c r="AM22" s="100">
        <v>3556.7999999999997</v>
      </c>
      <c r="AN22" s="100">
        <v>20</v>
      </c>
      <c r="AO22" s="100">
        <v>3744</v>
      </c>
      <c r="AP22" s="100">
        <v>26</v>
      </c>
      <c r="AQ22" s="100">
        <v>4867.2</v>
      </c>
      <c r="AR22" s="100">
        <v>19</v>
      </c>
      <c r="AS22" s="100">
        <v>3556.7999999999997</v>
      </c>
      <c r="AT22" s="100">
        <v>23</v>
      </c>
      <c r="AU22" s="100">
        <v>4305.5999999999995</v>
      </c>
      <c r="AV22" s="100">
        <v>20</v>
      </c>
      <c r="AW22" s="100">
        <v>3744</v>
      </c>
      <c r="AX22" s="100">
        <v>26</v>
      </c>
      <c r="AY22" s="100">
        <v>4867.2</v>
      </c>
      <c r="AZ22" s="100">
        <v>20</v>
      </c>
      <c r="BA22" s="100">
        <v>3744</v>
      </c>
      <c r="BB22" s="100">
        <v>28</v>
      </c>
      <c r="BC22" s="100">
        <v>5241.5999999999995</v>
      </c>
      <c r="BD22" s="100">
        <v>30.061407259794635</v>
      </c>
      <c r="BE22" s="100">
        <v>5627.4954390335552</v>
      </c>
      <c r="BF22" s="100">
        <v>22.739356213509435</v>
      </c>
      <c r="BG22" s="100">
        <v>4256.8074831689655</v>
      </c>
      <c r="BH22" s="100">
        <v>17</v>
      </c>
      <c r="BI22" s="100">
        <v>3182.3999999999996</v>
      </c>
      <c r="BJ22" s="100">
        <v>16</v>
      </c>
      <c r="BK22" s="100">
        <v>2995.2</v>
      </c>
      <c r="BL22" s="100">
        <v>22.190757257653964</v>
      </c>
      <c r="BM22" s="100">
        <v>4154.1097586328215</v>
      </c>
      <c r="BN22" s="100">
        <v>27.179712769622622</v>
      </c>
      <c r="BO22" s="100">
        <v>5088.0422304733547</v>
      </c>
      <c r="BP22" s="100">
        <v>18.254725859862369</v>
      </c>
      <c r="BQ22" s="100">
        <v>3417.2846809662351</v>
      </c>
      <c r="BR22" s="100">
        <v>16.823263830187841</v>
      </c>
      <c r="BS22" s="100">
        <v>3149.3149890111636</v>
      </c>
      <c r="BT22" s="100">
        <v>24.194062503262565</v>
      </c>
      <c r="BU22" s="100">
        <v>4529.1285006107519</v>
      </c>
      <c r="BV22" s="100">
        <v>21.523951140223478</v>
      </c>
      <c r="BW22" s="100">
        <v>4029.2836534498347</v>
      </c>
      <c r="BX22" s="100">
        <v>12.603718000041335</v>
      </c>
      <c r="BY22" s="100">
        <v>2359.4160096077376</v>
      </c>
      <c r="BZ22" s="100">
        <v>21.6921695152624</v>
      </c>
      <c r="CA22" s="100">
        <v>4060.7741332571209</v>
      </c>
      <c r="CB22" s="100">
        <v>14.166065343394349</v>
      </c>
      <c r="CC22" s="100">
        <v>2651.8874322834222</v>
      </c>
      <c r="CD22" s="100">
        <v>18.431030731889038</v>
      </c>
      <c r="CE22" s="100">
        <v>3450.2889530096277</v>
      </c>
      <c r="CF22" s="100">
        <v>23</v>
      </c>
      <c r="CG22" s="100">
        <v>4305.5999999999995</v>
      </c>
      <c r="CH22" s="100">
        <v>21</v>
      </c>
      <c r="CI22" s="100">
        <v>3931.2</v>
      </c>
      <c r="CJ22" s="100">
        <v>17</v>
      </c>
      <c r="CK22" s="100">
        <v>3182.3999999999996</v>
      </c>
      <c r="CL22" s="100">
        <v>21</v>
      </c>
      <c r="CM22" s="100">
        <v>3931.2</v>
      </c>
      <c r="CN22" s="100">
        <v>21.340264436880073</v>
      </c>
      <c r="CO22" s="100">
        <v>3994.8975025839495</v>
      </c>
      <c r="CP22" s="100">
        <v>19</v>
      </c>
      <c r="CQ22" s="100">
        <v>3556.7999999999997</v>
      </c>
      <c r="CR22" s="100">
        <v>23</v>
      </c>
      <c r="CS22" s="100">
        <v>4305.5999999999995</v>
      </c>
      <c r="CT22" s="100">
        <v>23</v>
      </c>
      <c r="CU22" s="100">
        <v>4305.5999999999995</v>
      </c>
    </row>
    <row r="23" spans="2:99">
      <c r="C23" s="99" t="s">
        <v>189</v>
      </c>
      <c r="D23" s="100">
        <v>18</v>
      </c>
      <c r="E23" s="100">
        <v>5292</v>
      </c>
      <c r="F23" s="100">
        <v>26</v>
      </c>
      <c r="G23" s="100">
        <v>7644</v>
      </c>
      <c r="H23" s="100">
        <v>15</v>
      </c>
      <c r="I23" s="100">
        <v>4410</v>
      </c>
      <c r="J23" s="100">
        <v>23</v>
      </c>
      <c r="K23" s="100">
        <v>6762</v>
      </c>
      <c r="L23" s="100">
        <v>16</v>
      </c>
      <c r="M23" s="100">
        <v>4704</v>
      </c>
      <c r="N23" s="100">
        <v>19</v>
      </c>
      <c r="O23" s="100">
        <v>5586</v>
      </c>
      <c r="P23" s="100">
        <v>22</v>
      </c>
      <c r="Q23" s="100">
        <v>6468</v>
      </c>
      <c r="R23" s="100">
        <v>20</v>
      </c>
      <c r="S23" s="100">
        <v>5880</v>
      </c>
      <c r="T23" s="100">
        <v>26</v>
      </c>
      <c r="U23" s="100">
        <v>7644</v>
      </c>
      <c r="V23" s="100">
        <v>16</v>
      </c>
      <c r="W23" s="100">
        <v>4704</v>
      </c>
      <c r="X23" s="100">
        <v>24</v>
      </c>
      <c r="Y23" s="100">
        <v>7056</v>
      </c>
      <c r="Z23" s="100">
        <v>18</v>
      </c>
      <c r="AA23" s="100">
        <v>5292</v>
      </c>
      <c r="AB23" s="100">
        <v>18</v>
      </c>
      <c r="AC23" s="100">
        <v>5292</v>
      </c>
      <c r="AD23" s="100">
        <v>17</v>
      </c>
      <c r="AE23" s="100">
        <v>4998</v>
      </c>
      <c r="AF23" s="100">
        <v>29</v>
      </c>
      <c r="AG23" s="100">
        <v>8526</v>
      </c>
      <c r="AH23" s="100">
        <v>28</v>
      </c>
      <c r="AI23" s="100">
        <v>8232</v>
      </c>
      <c r="AJ23" s="100">
        <v>19</v>
      </c>
      <c r="AK23" s="100">
        <v>5586</v>
      </c>
      <c r="AL23" s="100">
        <v>19</v>
      </c>
      <c r="AM23" s="100">
        <v>5586</v>
      </c>
      <c r="AN23" s="100">
        <v>21</v>
      </c>
      <c r="AO23" s="100">
        <v>6174</v>
      </c>
      <c r="AP23" s="100">
        <v>28</v>
      </c>
      <c r="AQ23" s="100">
        <v>8232</v>
      </c>
      <c r="AR23" s="100">
        <v>18</v>
      </c>
      <c r="AS23" s="100">
        <v>5292</v>
      </c>
      <c r="AT23" s="100">
        <v>22</v>
      </c>
      <c r="AU23" s="100">
        <v>6468</v>
      </c>
      <c r="AV23" s="100">
        <v>19</v>
      </c>
      <c r="AW23" s="100">
        <v>5586</v>
      </c>
      <c r="AX23" s="100">
        <v>26</v>
      </c>
      <c r="AY23" s="100">
        <v>7644</v>
      </c>
      <c r="AZ23" s="100">
        <v>19</v>
      </c>
      <c r="BA23" s="100">
        <v>5586</v>
      </c>
      <c r="BB23" s="100">
        <v>31</v>
      </c>
      <c r="BC23" s="100">
        <v>9114</v>
      </c>
      <c r="BD23" s="100">
        <v>28.121961630130464</v>
      </c>
      <c r="BE23" s="100">
        <v>8267.856719258356</v>
      </c>
      <c r="BF23" s="100">
        <v>23.581554591787562</v>
      </c>
      <c r="BG23" s="100">
        <v>6932.9770499855431</v>
      </c>
      <c r="BH23" s="100">
        <v>16</v>
      </c>
      <c r="BI23" s="100">
        <v>4704</v>
      </c>
      <c r="BJ23" s="100">
        <v>16</v>
      </c>
      <c r="BK23" s="100">
        <v>4704</v>
      </c>
      <c r="BL23" s="100">
        <v>22.190757257653964</v>
      </c>
      <c r="BM23" s="100">
        <v>6524.0826337502649</v>
      </c>
      <c r="BN23" s="100">
        <v>28.085703195276711</v>
      </c>
      <c r="BO23" s="100">
        <v>8257.1967394113526</v>
      </c>
      <c r="BP23" s="100">
        <v>19.215500905118279</v>
      </c>
      <c r="BQ23" s="100">
        <v>5649.3572661047738</v>
      </c>
      <c r="BR23" s="100">
        <v>18.692515366875377</v>
      </c>
      <c r="BS23" s="100">
        <v>5495.5995178613603</v>
      </c>
      <c r="BT23" s="100">
        <v>28.514430807416591</v>
      </c>
      <c r="BU23" s="100">
        <v>8383.2426573804787</v>
      </c>
      <c r="BV23" s="100">
        <v>17.93662595018623</v>
      </c>
      <c r="BW23" s="100">
        <v>5273.3680293547513</v>
      </c>
      <c r="BX23" s="100">
        <v>13.443965866710757</v>
      </c>
      <c r="BY23" s="100">
        <v>3952.5259648129627</v>
      </c>
      <c r="BZ23" s="100">
        <v>21.6921695152624</v>
      </c>
      <c r="CA23" s="100">
        <v>6377.4978374871453</v>
      </c>
      <c r="CB23" s="100">
        <v>14.911647729888788</v>
      </c>
      <c r="CC23" s="100">
        <v>4384.0244325873036</v>
      </c>
      <c r="CD23" s="100">
        <v>20.94435310441936</v>
      </c>
      <c r="CE23" s="100">
        <v>6157.6398126992917</v>
      </c>
      <c r="CF23" s="100">
        <v>22</v>
      </c>
      <c r="CG23" s="100">
        <v>6468</v>
      </c>
      <c r="CH23" s="100">
        <v>21</v>
      </c>
      <c r="CI23" s="100">
        <v>6174</v>
      </c>
      <c r="CJ23" s="100">
        <v>18</v>
      </c>
      <c r="CK23" s="100">
        <v>5292</v>
      </c>
      <c r="CL23" s="100">
        <v>19</v>
      </c>
      <c r="CM23" s="100">
        <v>5586</v>
      </c>
      <c r="CN23" s="100">
        <v>24.123777189516606</v>
      </c>
      <c r="CO23" s="100">
        <v>7092.3904937178822</v>
      </c>
      <c r="CP23" s="100">
        <v>17</v>
      </c>
      <c r="CQ23" s="100">
        <v>4998</v>
      </c>
      <c r="CR23" s="100">
        <v>19</v>
      </c>
      <c r="CS23" s="100">
        <v>5586</v>
      </c>
      <c r="CT23" s="100">
        <v>23</v>
      </c>
      <c r="CU23" s="100">
        <v>6762</v>
      </c>
    </row>
    <row r="24" spans="2:99">
      <c r="C24" s="99" t="s">
        <v>190</v>
      </c>
      <c r="D24" s="100">
        <v>19</v>
      </c>
      <c r="E24" s="100">
        <v>6976.8</v>
      </c>
      <c r="F24" s="100">
        <v>23</v>
      </c>
      <c r="G24" s="100">
        <v>8445.6</v>
      </c>
      <c r="H24" s="100">
        <v>15</v>
      </c>
      <c r="I24" s="100">
        <v>5508</v>
      </c>
      <c r="J24" s="100">
        <v>21</v>
      </c>
      <c r="K24" s="100">
        <v>7711.2</v>
      </c>
      <c r="L24" s="100">
        <v>17</v>
      </c>
      <c r="M24" s="100">
        <v>6242.4</v>
      </c>
      <c r="N24" s="100">
        <v>20</v>
      </c>
      <c r="O24" s="100">
        <v>7344</v>
      </c>
      <c r="P24" s="100">
        <v>21</v>
      </c>
      <c r="Q24" s="100">
        <v>7711.2</v>
      </c>
      <c r="R24" s="100">
        <v>20</v>
      </c>
      <c r="S24" s="100">
        <v>7344</v>
      </c>
      <c r="T24" s="100">
        <v>24</v>
      </c>
      <c r="U24" s="100">
        <v>8812.7999999999993</v>
      </c>
      <c r="V24" s="100">
        <v>17</v>
      </c>
      <c r="W24" s="100">
        <v>6242.4</v>
      </c>
      <c r="X24" s="100">
        <v>23</v>
      </c>
      <c r="Y24" s="100">
        <v>8445.6</v>
      </c>
      <c r="Z24" s="100">
        <v>20</v>
      </c>
      <c r="AA24" s="100">
        <v>7344</v>
      </c>
      <c r="AB24" s="100">
        <v>18</v>
      </c>
      <c r="AC24" s="100">
        <v>6609.5999999999995</v>
      </c>
      <c r="AD24" s="100">
        <v>15</v>
      </c>
      <c r="AE24" s="100">
        <v>5508</v>
      </c>
      <c r="AF24" s="100">
        <v>27</v>
      </c>
      <c r="AG24" s="100">
        <v>9914.4</v>
      </c>
      <c r="AH24" s="100">
        <v>25</v>
      </c>
      <c r="AI24" s="100">
        <v>9180</v>
      </c>
      <c r="AJ24" s="100">
        <v>22</v>
      </c>
      <c r="AK24" s="100">
        <v>8078.4</v>
      </c>
      <c r="AL24" s="100">
        <v>16</v>
      </c>
      <c r="AM24" s="100">
        <v>5875.2</v>
      </c>
      <c r="AN24" s="100">
        <v>22</v>
      </c>
      <c r="AO24" s="100">
        <v>8078.4</v>
      </c>
      <c r="AP24" s="100">
        <v>30</v>
      </c>
      <c r="AQ24" s="100">
        <v>11016</v>
      </c>
      <c r="AR24" s="100">
        <v>18</v>
      </c>
      <c r="AS24" s="100">
        <v>6609.5999999999995</v>
      </c>
      <c r="AT24" s="100">
        <v>22</v>
      </c>
      <c r="AU24" s="100">
        <v>8078.4</v>
      </c>
      <c r="AV24" s="100">
        <v>18</v>
      </c>
      <c r="AW24" s="100">
        <v>6609.5999999999995</v>
      </c>
      <c r="AX24" s="100">
        <v>25</v>
      </c>
      <c r="AY24" s="100">
        <v>9180</v>
      </c>
      <c r="AZ24" s="100">
        <v>23</v>
      </c>
      <c r="BA24" s="100">
        <v>8445.6</v>
      </c>
      <c r="BB24" s="100">
        <v>29</v>
      </c>
      <c r="BC24" s="100">
        <v>10648.8</v>
      </c>
      <c r="BD24" s="100">
        <v>24.243070370802123</v>
      </c>
      <c r="BE24" s="100">
        <v>8902.0554401585396</v>
      </c>
      <c r="BF24" s="100">
        <v>21.897157835231305</v>
      </c>
      <c r="BG24" s="100">
        <v>8040.6363570969352</v>
      </c>
      <c r="BH24" s="100">
        <v>18</v>
      </c>
      <c r="BI24" s="100">
        <v>6609.5999999999995</v>
      </c>
      <c r="BJ24" s="100">
        <v>16</v>
      </c>
      <c r="BK24" s="100">
        <v>5875.2</v>
      </c>
      <c r="BL24" s="100">
        <v>21.303126967347804</v>
      </c>
      <c r="BM24" s="100">
        <v>7822.5082224101134</v>
      </c>
      <c r="BN24" s="100">
        <v>28.085703195276711</v>
      </c>
      <c r="BO24" s="100">
        <v>10313.070213305607</v>
      </c>
      <c r="BP24" s="100">
        <v>16.333175769350539</v>
      </c>
      <c r="BQ24" s="100">
        <v>5997.5421425055183</v>
      </c>
      <c r="BR24" s="100">
        <v>17.757889598531609</v>
      </c>
      <c r="BS24" s="100">
        <v>6520.6970605808065</v>
      </c>
      <c r="BT24" s="100">
        <v>27.650357146585787</v>
      </c>
      <c r="BU24" s="100">
        <v>10153.211144226301</v>
      </c>
      <c r="BV24" s="100">
        <v>20.627119842714166</v>
      </c>
      <c r="BW24" s="100">
        <v>7574.2784062446417</v>
      </c>
      <c r="BX24" s="100">
        <v>13.443965866710757</v>
      </c>
      <c r="BY24" s="100">
        <v>4936.6242662561899</v>
      </c>
      <c r="BZ24" s="100">
        <v>22.391916918980542</v>
      </c>
      <c r="CA24" s="100">
        <v>8222.3118926496554</v>
      </c>
      <c r="CB24" s="100">
        <v>15.657230116383227</v>
      </c>
      <c r="CC24" s="100">
        <v>5749.3348987359204</v>
      </c>
      <c r="CD24" s="100">
        <v>18.431030731889038</v>
      </c>
      <c r="CE24" s="100">
        <v>6767.8744847496546</v>
      </c>
      <c r="CF24" s="100">
        <v>19</v>
      </c>
      <c r="CG24" s="100">
        <v>6976.8</v>
      </c>
      <c r="CH24" s="100">
        <v>18</v>
      </c>
      <c r="CI24" s="100">
        <v>6609.5999999999995</v>
      </c>
      <c r="CJ24" s="100">
        <v>16</v>
      </c>
      <c r="CK24" s="100">
        <v>5875.2</v>
      </c>
      <c r="CL24" s="100">
        <v>20</v>
      </c>
      <c r="CM24" s="100">
        <v>7344</v>
      </c>
      <c r="CN24" s="100">
        <v>23.195939605304428</v>
      </c>
      <c r="CO24" s="100">
        <v>8517.549023067786</v>
      </c>
      <c r="CP24" s="100">
        <v>18</v>
      </c>
      <c r="CQ24" s="100">
        <v>6609.5999999999995</v>
      </c>
      <c r="CR24" s="100">
        <v>20</v>
      </c>
      <c r="CS24" s="100">
        <v>7344</v>
      </c>
      <c r="CT24" s="100">
        <v>22</v>
      </c>
      <c r="CU24" s="100">
        <v>8078.4</v>
      </c>
    </row>
    <row r="25" spans="2:99">
      <c r="C25" s="99" t="s">
        <v>191</v>
      </c>
      <c r="D25" s="100">
        <v>21</v>
      </c>
      <c r="E25" s="100">
        <v>11138.4</v>
      </c>
      <c r="F25" s="100">
        <v>25</v>
      </c>
      <c r="G25" s="100">
        <v>13260</v>
      </c>
      <c r="H25" s="100">
        <v>14</v>
      </c>
      <c r="I25" s="100">
        <v>7425.5999999999995</v>
      </c>
      <c r="J25" s="100">
        <v>22</v>
      </c>
      <c r="K25" s="100">
        <v>11668.8</v>
      </c>
      <c r="L25" s="100">
        <v>17</v>
      </c>
      <c r="M25" s="100">
        <v>9016.7999999999993</v>
      </c>
      <c r="N25" s="100">
        <v>20</v>
      </c>
      <c r="O25" s="100">
        <v>10608</v>
      </c>
      <c r="P25" s="100">
        <v>20</v>
      </c>
      <c r="Q25" s="100">
        <v>10608</v>
      </c>
      <c r="R25" s="100">
        <v>20</v>
      </c>
      <c r="S25" s="100">
        <v>10608</v>
      </c>
      <c r="T25" s="100">
        <v>26</v>
      </c>
      <c r="U25" s="100">
        <v>13790.4</v>
      </c>
      <c r="V25" s="100">
        <v>17</v>
      </c>
      <c r="W25" s="100">
        <v>9016.7999999999993</v>
      </c>
      <c r="X25" s="100">
        <v>23</v>
      </c>
      <c r="Y25" s="100">
        <v>12199.199999999999</v>
      </c>
      <c r="Z25" s="100">
        <v>20</v>
      </c>
      <c r="AA25" s="100">
        <v>10608</v>
      </c>
      <c r="AB25" s="100">
        <v>18</v>
      </c>
      <c r="AC25" s="100">
        <v>9547.1999999999989</v>
      </c>
      <c r="AD25" s="100">
        <v>17</v>
      </c>
      <c r="AE25" s="100">
        <v>9016.7999999999993</v>
      </c>
      <c r="AF25" s="100">
        <v>30</v>
      </c>
      <c r="AG25" s="100">
        <v>15912</v>
      </c>
      <c r="AH25" s="100">
        <v>27</v>
      </c>
      <c r="AI25" s="100">
        <v>14320.8</v>
      </c>
      <c r="AJ25" s="100">
        <v>20</v>
      </c>
      <c r="AK25" s="100">
        <v>10608</v>
      </c>
      <c r="AL25" s="100">
        <v>17</v>
      </c>
      <c r="AM25" s="100">
        <v>9016.7999999999993</v>
      </c>
      <c r="AN25" s="100">
        <v>20</v>
      </c>
      <c r="AO25" s="100">
        <v>10608</v>
      </c>
      <c r="AP25" s="100">
        <v>25</v>
      </c>
      <c r="AQ25" s="100">
        <v>13260</v>
      </c>
      <c r="AR25" s="100">
        <v>17</v>
      </c>
      <c r="AS25" s="100">
        <v>9016.7999999999993</v>
      </c>
      <c r="AT25" s="100">
        <v>20</v>
      </c>
      <c r="AU25" s="100">
        <v>10608</v>
      </c>
      <c r="AV25" s="100">
        <v>19</v>
      </c>
      <c r="AW25" s="100">
        <v>10077.6</v>
      </c>
      <c r="AX25" s="100">
        <v>25</v>
      </c>
      <c r="AY25" s="100">
        <v>13260</v>
      </c>
      <c r="AZ25" s="100">
        <v>21</v>
      </c>
      <c r="BA25" s="100">
        <v>11138.4</v>
      </c>
      <c r="BB25" s="100">
        <v>27</v>
      </c>
      <c r="BC25" s="100">
        <v>14320.8</v>
      </c>
      <c r="BD25" s="100">
        <v>24.243070370802123</v>
      </c>
      <c r="BE25" s="100">
        <v>12858.524524673445</v>
      </c>
      <c r="BF25" s="100">
        <v>21.054959456953181</v>
      </c>
      <c r="BG25" s="100">
        <v>11167.550495967967</v>
      </c>
      <c r="BH25" s="100">
        <v>17</v>
      </c>
      <c r="BI25" s="100">
        <v>9016.7999999999993</v>
      </c>
      <c r="BJ25" s="100">
        <v>17</v>
      </c>
      <c r="BK25" s="100">
        <v>9016.7999999999993</v>
      </c>
      <c r="BL25" s="100">
        <v>19.527866386735486</v>
      </c>
      <c r="BM25" s="100">
        <v>10357.580331524501</v>
      </c>
      <c r="BN25" s="100">
        <v>25.367731918314451</v>
      </c>
      <c r="BO25" s="100">
        <v>13455.045009473984</v>
      </c>
      <c r="BP25" s="100">
        <v>15.372400724094625</v>
      </c>
      <c r="BQ25" s="100">
        <v>8153.521344059789</v>
      </c>
      <c r="BR25" s="100">
        <v>17.757889598531609</v>
      </c>
      <c r="BS25" s="100">
        <v>9418.7846430611644</v>
      </c>
      <c r="BT25" s="100">
        <v>25.922209824924174</v>
      </c>
      <c r="BU25" s="100">
        <v>13749.140091139781</v>
      </c>
      <c r="BV25" s="100">
        <v>20.627119842714166</v>
      </c>
      <c r="BW25" s="100">
        <v>10940.624364575593</v>
      </c>
      <c r="BX25" s="100">
        <v>14.284213733380181</v>
      </c>
      <c r="BY25" s="100">
        <v>7576.3469641848478</v>
      </c>
      <c r="BZ25" s="100">
        <v>20.292674707826116</v>
      </c>
      <c r="CA25" s="100">
        <v>10763.234665030972</v>
      </c>
      <c r="CB25" s="100">
        <v>14.911647729888788</v>
      </c>
      <c r="CC25" s="100">
        <v>7909.1379559330126</v>
      </c>
      <c r="CD25" s="100">
        <v>17.593256607712263</v>
      </c>
      <c r="CE25" s="100">
        <v>9331.4633047305833</v>
      </c>
      <c r="CF25" s="100">
        <v>19</v>
      </c>
      <c r="CG25" s="100">
        <v>10077.6</v>
      </c>
      <c r="CH25" s="100">
        <v>20</v>
      </c>
      <c r="CI25" s="100">
        <v>10608</v>
      </c>
      <c r="CJ25" s="100">
        <v>16</v>
      </c>
      <c r="CK25" s="100">
        <v>8486.4</v>
      </c>
      <c r="CL25" s="100">
        <v>20</v>
      </c>
      <c r="CM25" s="100">
        <v>10608</v>
      </c>
      <c r="CN25" s="100">
        <v>23.195939605304428</v>
      </c>
      <c r="CO25" s="100">
        <v>12303.126366653469</v>
      </c>
      <c r="CP25" s="100">
        <v>18</v>
      </c>
      <c r="CQ25" s="100">
        <v>9547.1999999999989</v>
      </c>
      <c r="CR25" s="100">
        <v>20</v>
      </c>
      <c r="CS25" s="100">
        <v>10608</v>
      </c>
      <c r="CT25" s="100">
        <v>26</v>
      </c>
      <c r="CU25" s="100">
        <v>13790.4</v>
      </c>
    </row>
    <row r="26" spans="2:99">
      <c r="C26" s="99" t="s">
        <v>192</v>
      </c>
      <c r="D26" s="100">
        <v>21</v>
      </c>
      <c r="E26" s="100">
        <v>10206</v>
      </c>
      <c r="F26" s="100">
        <v>21</v>
      </c>
      <c r="G26" s="100">
        <v>10206</v>
      </c>
      <c r="H26" s="100">
        <v>15</v>
      </c>
      <c r="I26" s="100">
        <v>7290</v>
      </c>
      <c r="J26" s="100">
        <v>22</v>
      </c>
      <c r="K26" s="100">
        <v>10692</v>
      </c>
      <c r="L26" s="100">
        <v>15</v>
      </c>
      <c r="M26" s="100">
        <v>7290</v>
      </c>
      <c r="N26" s="100">
        <v>20</v>
      </c>
      <c r="O26" s="100">
        <v>9720</v>
      </c>
      <c r="P26" s="100">
        <v>19</v>
      </c>
      <c r="Q26" s="100">
        <v>9234</v>
      </c>
      <c r="R26" s="100">
        <v>18</v>
      </c>
      <c r="S26" s="100">
        <v>8748</v>
      </c>
      <c r="T26" s="100">
        <v>24</v>
      </c>
      <c r="U26" s="100">
        <v>11664</v>
      </c>
      <c r="V26" s="100">
        <v>17</v>
      </c>
      <c r="W26" s="100">
        <v>8262</v>
      </c>
      <c r="X26" s="100">
        <v>22</v>
      </c>
      <c r="Y26" s="100">
        <v>10692</v>
      </c>
      <c r="Z26" s="100">
        <v>18</v>
      </c>
      <c r="AA26" s="100">
        <v>8748</v>
      </c>
      <c r="AB26" s="100">
        <v>16</v>
      </c>
      <c r="AC26" s="100">
        <v>7776</v>
      </c>
      <c r="AD26" s="100">
        <v>15</v>
      </c>
      <c r="AE26" s="100">
        <v>7290</v>
      </c>
      <c r="AF26" s="100">
        <v>28</v>
      </c>
      <c r="AG26" s="100">
        <v>13608</v>
      </c>
      <c r="AH26" s="100">
        <v>28</v>
      </c>
      <c r="AI26" s="100">
        <v>13608</v>
      </c>
      <c r="AJ26" s="100">
        <v>21</v>
      </c>
      <c r="AK26" s="100">
        <v>10206</v>
      </c>
      <c r="AL26" s="100">
        <v>17</v>
      </c>
      <c r="AM26" s="100">
        <v>8262</v>
      </c>
      <c r="AN26" s="100">
        <v>21</v>
      </c>
      <c r="AO26" s="100">
        <v>10206</v>
      </c>
      <c r="AP26" s="100">
        <v>29</v>
      </c>
      <c r="AQ26" s="100">
        <v>14094</v>
      </c>
      <c r="AR26" s="100">
        <v>17</v>
      </c>
      <c r="AS26" s="100">
        <v>8262</v>
      </c>
      <c r="AT26" s="100">
        <v>24</v>
      </c>
      <c r="AU26" s="100">
        <v>11664</v>
      </c>
      <c r="AV26" s="100">
        <v>17</v>
      </c>
      <c r="AW26" s="100">
        <v>8262</v>
      </c>
      <c r="AX26" s="100">
        <v>27</v>
      </c>
      <c r="AY26" s="100">
        <v>13122</v>
      </c>
      <c r="AZ26" s="100">
        <v>22</v>
      </c>
      <c r="BA26" s="100">
        <v>10692</v>
      </c>
      <c r="BB26" s="100">
        <v>27</v>
      </c>
      <c r="BC26" s="100">
        <v>13122</v>
      </c>
      <c r="BD26" s="100">
        <v>29.091684444962553</v>
      </c>
      <c r="BE26" s="100">
        <v>14138.5586402518</v>
      </c>
      <c r="BF26" s="100">
        <v>20.212761078675054</v>
      </c>
      <c r="BG26" s="100">
        <v>9823.4018842360765</v>
      </c>
      <c r="BH26" s="100">
        <v>17</v>
      </c>
      <c r="BI26" s="100">
        <v>8262</v>
      </c>
      <c r="BJ26" s="100">
        <v>15</v>
      </c>
      <c r="BK26" s="100">
        <v>7290</v>
      </c>
      <c r="BL26" s="100">
        <v>22.190757257653964</v>
      </c>
      <c r="BM26" s="100">
        <v>10784.708027219825</v>
      </c>
      <c r="BN26" s="100">
        <v>24.461741492660362</v>
      </c>
      <c r="BO26" s="100">
        <v>11888.406365432937</v>
      </c>
      <c r="BP26" s="100">
        <v>16.333175769350539</v>
      </c>
      <c r="BQ26" s="100">
        <v>7937.9234239043626</v>
      </c>
      <c r="BR26" s="100">
        <v>19.627141135219148</v>
      </c>
      <c r="BS26" s="100">
        <v>9538.7905917165062</v>
      </c>
      <c r="BT26" s="100">
        <v>24.194062503262565</v>
      </c>
      <c r="BU26" s="100">
        <v>11758.314376585606</v>
      </c>
      <c r="BV26" s="100">
        <v>17.93662595018623</v>
      </c>
      <c r="BW26" s="100">
        <v>8717.2002117905067</v>
      </c>
      <c r="BX26" s="100">
        <v>14.284213733380181</v>
      </c>
      <c r="BY26" s="100">
        <v>6942.1278744227675</v>
      </c>
      <c r="BZ26" s="100">
        <v>19.592927304107974</v>
      </c>
      <c r="CA26" s="100">
        <v>9522.1626697964748</v>
      </c>
      <c r="CB26" s="100">
        <v>15.657230116383227</v>
      </c>
      <c r="CC26" s="100">
        <v>7609.4138365622484</v>
      </c>
      <c r="CD26" s="100">
        <v>19.268804856065813</v>
      </c>
      <c r="CE26" s="100">
        <v>9364.6391600479856</v>
      </c>
      <c r="CF26" s="100">
        <v>21</v>
      </c>
      <c r="CG26" s="100">
        <v>10206</v>
      </c>
      <c r="CH26" s="100">
        <v>18</v>
      </c>
      <c r="CI26" s="100">
        <v>8748</v>
      </c>
      <c r="CJ26" s="100">
        <v>17</v>
      </c>
      <c r="CK26" s="100">
        <v>8262</v>
      </c>
      <c r="CL26" s="100">
        <v>18</v>
      </c>
      <c r="CM26" s="100">
        <v>8748</v>
      </c>
      <c r="CN26" s="100">
        <v>21.340264436880073</v>
      </c>
      <c r="CO26" s="100">
        <v>10371.368516323715</v>
      </c>
      <c r="CP26" s="100">
        <v>18</v>
      </c>
      <c r="CQ26" s="100">
        <v>8748</v>
      </c>
      <c r="CR26" s="100">
        <v>23</v>
      </c>
      <c r="CS26" s="100">
        <v>11178</v>
      </c>
      <c r="CT26" s="100">
        <v>26</v>
      </c>
      <c r="CU26" s="100">
        <v>12636</v>
      </c>
    </row>
    <row r="27" spans="2:99">
      <c r="C27" s="99" t="s">
        <v>193</v>
      </c>
      <c r="D27" s="100">
        <v>20</v>
      </c>
      <c r="E27" s="100">
        <v>8544</v>
      </c>
      <c r="F27" s="100">
        <v>26</v>
      </c>
      <c r="G27" s="100">
        <v>11107.199999999999</v>
      </c>
      <c r="H27" s="100">
        <v>16</v>
      </c>
      <c r="I27" s="100">
        <v>6835.2</v>
      </c>
      <c r="J27" s="100">
        <v>22</v>
      </c>
      <c r="K27" s="100">
        <v>9398.4</v>
      </c>
      <c r="L27" s="100">
        <v>19</v>
      </c>
      <c r="M27" s="100">
        <v>8116.8</v>
      </c>
      <c r="N27" s="100">
        <v>19</v>
      </c>
      <c r="O27" s="100">
        <v>8116.8</v>
      </c>
      <c r="P27" s="100">
        <v>22</v>
      </c>
      <c r="Q27" s="100">
        <v>9398.4</v>
      </c>
      <c r="R27" s="100">
        <v>21</v>
      </c>
      <c r="S27" s="100">
        <v>8971.1999999999989</v>
      </c>
      <c r="T27" s="100">
        <v>28</v>
      </c>
      <c r="U27" s="100">
        <v>11961.6</v>
      </c>
      <c r="V27" s="100">
        <v>16</v>
      </c>
      <c r="W27" s="100">
        <v>6835.2</v>
      </c>
      <c r="X27" s="100">
        <v>25</v>
      </c>
      <c r="Y27" s="100">
        <v>10680</v>
      </c>
      <c r="Z27" s="100">
        <v>18</v>
      </c>
      <c r="AA27" s="100">
        <v>7689.5999999999995</v>
      </c>
      <c r="AB27" s="100">
        <v>16</v>
      </c>
      <c r="AC27" s="100">
        <v>6835.2</v>
      </c>
      <c r="AD27" s="100">
        <v>17</v>
      </c>
      <c r="AE27" s="100">
        <v>7262.4</v>
      </c>
      <c r="AF27" s="100">
        <v>27</v>
      </c>
      <c r="AG27" s="100">
        <v>11534.4</v>
      </c>
      <c r="AH27" s="100">
        <v>28</v>
      </c>
      <c r="AI27" s="100">
        <v>11961.6</v>
      </c>
      <c r="AJ27" s="100">
        <v>20</v>
      </c>
      <c r="AK27" s="100">
        <v>8544</v>
      </c>
      <c r="AL27" s="100">
        <v>18</v>
      </c>
      <c r="AM27" s="100">
        <v>7689.5999999999995</v>
      </c>
      <c r="AN27" s="100">
        <v>22</v>
      </c>
      <c r="AO27" s="100">
        <v>9398.4</v>
      </c>
      <c r="AP27" s="100">
        <v>29</v>
      </c>
      <c r="AQ27" s="100">
        <v>12388.8</v>
      </c>
      <c r="AR27" s="100">
        <v>17</v>
      </c>
      <c r="AS27" s="100">
        <v>7262.4</v>
      </c>
      <c r="AT27" s="100">
        <v>20</v>
      </c>
      <c r="AU27" s="100">
        <v>8544</v>
      </c>
      <c r="AV27" s="100">
        <v>17</v>
      </c>
      <c r="AW27" s="100">
        <v>7262.4</v>
      </c>
      <c r="AX27" s="100">
        <v>28</v>
      </c>
      <c r="AY27" s="100">
        <v>11961.6</v>
      </c>
      <c r="AZ27" s="100">
        <v>21</v>
      </c>
      <c r="BA27" s="100">
        <v>8971.1999999999989</v>
      </c>
      <c r="BB27" s="100">
        <v>30</v>
      </c>
      <c r="BC27" s="100">
        <v>12816</v>
      </c>
      <c r="BD27" s="100">
        <v>29.091684444962553</v>
      </c>
      <c r="BE27" s="100">
        <v>12427.967594888003</v>
      </c>
      <c r="BF27" s="100">
        <v>21.897157835231305</v>
      </c>
      <c r="BG27" s="100">
        <v>9354.4658272108136</v>
      </c>
      <c r="BH27" s="100">
        <v>18</v>
      </c>
      <c r="BI27" s="100">
        <v>7689.5999999999995</v>
      </c>
      <c r="BJ27" s="100">
        <v>17</v>
      </c>
      <c r="BK27" s="100">
        <v>7262.4</v>
      </c>
      <c r="BL27" s="100">
        <v>23.078387547960119</v>
      </c>
      <c r="BM27" s="100">
        <v>9859.0871604885633</v>
      </c>
      <c r="BN27" s="100">
        <v>26.273722343968537</v>
      </c>
      <c r="BO27" s="100">
        <v>11224.134185343359</v>
      </c>
      <c r="BP27" s="100">
        <v>17.29395081460645</v>
      </c>
      <c r="BQ27" s="100">
        <v>7387.9757879998751</v>
      </c>
      <c r="BR27" s="100">
        <v>16.823263830187841</v>
      </c>
      <c r="BS27" s="100">
        <v>7186.8983082562454</v>
      </c>
      <c r="BT27" s="100">
        <v>26.786283485754982</v>
      </c>
      <c r="BU27" s="100">
        <v>11443.100305114527</v>
      </c>
      <c r="BV27" s="100">
        <v>18.833457247695542</v>
      </c>
      <c r="BW27" s="100">
        <v>8045.6529362155352</v>
      </c>
      <c r="BX27" s="100">
        <v>11.763470133371912</v>
      </c>
      <c r="BY27" s="100">
        <v>5025.3544409764809</v>
      </c>
      <c r="BZ27" s="100">
        <v>20.292674707826116</v>
      </c>
      <c r="CA27" s="100">
        <v>8669.0306351833169</v>
      </c>
      <c r="CB27" s="100">
        <v>14.911647729888788</v>
      </c>
      <c r="CC27" s="100">
        <v>6370.2559102084897</v>
      </c>
      <c r="CD27" s="100">
        <v>19.268804856065813</v>
      </c>
      <c r="CE27" s="100">
        <v>8231.6334345113155</v>
      </c>
      <c r="CF27" s="100">
        <v>20</v>
      </c>
      <c r="CG27" s="100">
        <v>8544</v>
      </c>
      <c r="CH27" s="100">
        <v>19</v>
      </c>
      <c r="CI27" s="100">
        <v>8116.8</v>
      </c>
      <c r="CJ27" s="100">
        <v>18</v>
      </c>
      <c r="CK27" s="100">
        <v>7689.5999999999995</v>
      </c>
      <c r="CL27" s="100">
        <v>20</v>
      </c>
      <c r="CM27" s="100">
        <v>8544</v>
      </c>
      <c r="CN27" s="100">
        <v>22.26810202109225</v>
      </c>
      <c r="CO27" s="100">
        <v>9512.9331834106088</v>
      </c>
      <c r="CP27" s="100">
        <v>16</v>
      </c>
      <c r="CQ27" s="100">
        <v>6835.2</v>
      </c>
      <c r="CR27" s="100">
        <v>20</v>
      </c>
      <c r="CS27" s="100">
        <v>8544</v>
      </c>
      <c r="CT27" s="100">
        <v>24</v>
      </c>
      <c r="CU27" s="100">
        <v>10252.799999999999</v>
      </c>
    </row>
    <row r="28" spans="2:99">
      <c r="C28" s="99" t="s">
        <v>194</v>
      </c>
      <c r="D28" s="100">
        <v>21</v>
      </c>
      <c r="E28" s="100">
        <v>15498</v>
      </c>
      <c r="F28" s="100">
        <v>23</v>
      </c>
      <c r="G28" s="100">
        <v>16974</v>
      </c>
      <c r="H28" s="100">
        <v>14</v>
      </c>
      <c r="I28" s="100">
        <v>10332</v>
      </c>
      <c r="J28" s="100">
        <v>20</v>
      </c>
      <c r="K28" s="100">
        <v>14760</v>
      </c>
      <c r="L28" s="100">
        <v>16</v>
      </c>
      <c r="M28" s="100">
        <v>11808</v>
      </c>
      <c r="N28" s="100">
        <v>18</v>
      </c>
      <c r="O28" s="100">
        <v>13284</v>
      </c>
      <c r="P28" s="100">
        <v>20</v>
      </c>
      <c r="Q28" s="100">
        <v>14760</v>
      </c>
      <c r="R28" s="100">
        <v>18</v>
      </c>
      <c r="S28" s="100">
        <v>13284</v>
      </c>
      <c r="T28" s="100">
        <v>26</v>
      </c>
      <c r="U28" s="100">
        <v>19188</v>
      </c>
      <c r="V28" s="100">
        <v>16</v>
      </c>
      <c r="W28" s="100">
        <v>11808</v>
      </c>
      <c r="X28" s="100">
        <v>20</v>
      </c>
      <c r="Y28" s="100">
        <v>14760</v>
      </c>
      <c r="Z28" s="100">
        <v>19</v>
      </c>
      <c r="AA28" s="100">
        <v>14022</v>
      </c>
      <c r="AB28" s="100">
        <v>16</v>
      </c>
      <c r="AC28" s="100">
        <v>11808</v>
      </c>
      <c r="AD28" s="100">
        <v>15</v>
      </c>
      <c r="AE28" s="100">
        <v>11070</v>
      </c>
      <c r="AF28" s="100">
        <v>31</v>
      </c>
      <c r="AG28" s="100">
        <v>22878</v>
      </c>
      <c r="AH28" s="100">
        <v>25</v>
      </c>
      <c r="AI28" s="100">
        <v>18450</v>
      </c>
      <c r="AJ28" s="100">
        <v>20</v>
      </c>
      <c r="AK28" s="100">
        <v>14760</v>
      </c>
      <c r="AL28" s="100">
        <v>17</v>
      </c>
      <c r="AM28" s="100">
        <v>12546</v>
      </c>
      <c r="AN28" s="100">
        <v>19</v>
      </c>
      <c r="AO28" s="100">
        <v>14022</v>
      </c>
      <c r="AP28" s="100">
        <v>27</v>
      </c>
      <c r="AQ28" s="100">
        <v>19926</v>
      </c>
      <c r="AR28" s="100">
        <v>18</v>
      </c>
      <c r="AS28" s="100">
        <v>13284</v>
      </c>
      <c r="AT28" s="100">
        <v>22</v>
      </c>
      <c r="AU28" s="100">
        <v>16236</v>
      </c>
      <c r="AV28" s="100">
        <v>16</v>
      </c>
      <c r="AW28" s="100">
        <v>11808</v>
      </c>
      <c r="AX28" s="100">
        <v>29</v>
      </c>
      <c r="AY28" s="100">
        <v>21402</v>
      </c>
      <c r="AZ28" s="100">
        <v>18</v>
      </c>
      <c r="BA28" s="100">
        <v>13284</v>
      </c>
      <c r="BB28" s="100">
        <v>30</v>
      </c>
      <c r="BC28" s="100">
        <v>22140</v>
      </c>
      <c r="BD28" s="100">
        <v>24.243070370802123</v>
      </c>
      <c r="BE28" s="100">
        <v>17891.385933651967</v>
      </c>
      <c r="BF28" s="100">
        <v>20.212761078675054</v>
      </c>
      <c r="BG28" s="100">
        <v>14917.017676062191</v>
      </c>
      <c r="BH28" s="100">
        <v>17</v>
      </c>
      <c r="BI28" s="100">
        <v>12546</v>
      </c>
      <c r="BJ28" s="100">
        <v>15</v>
      </c>
      <c r="BK28" s="100">
        <v>11070</v>
      </c>
      <c r="BL28" s="100">
        <v>23.078387547960119</v>
      </c>
      <c r="BM28" s="100">
        <v>17031.85001039457</v>
      </c>
      <c r="BN28" s="100">
        <v>25.367731918314451</v>
      </c>
      <c r="BO28" s="100">
        <v>18721.386155716064</v>
      </c>
      <c r="BP28" s="100">
        <v>15.372400724094625</v>
      </c>
      <c r="BQ28" s="100">
        <v>11344.831734381833</v>
      </c>
      <c r="BR28" s="100">
        <v>17.757889598531609</v>
      </c>
      <c r="BS28" s="100">
        <v>13105.322523716328</v>
      </c>
      <c r="BT28" s="100">
        <v>25.922209824924174</v>
      </c>
      <c r="BU28" s="100">
        <v>19130.59085079404</v>
      </c>
      <c r="BV28" s="100">
        <v>17.93662595018623</v>
      </c>
      <c r="BW28" s="100">
        <v>13237.229951237437</v>
      </c>
      <c r="BX28" s="100">
        <v>13.443965866710757</v>
      </c>
      <c r="BY28" s="100">
        <v>9921.6468096325389</v>
      </c>
      <c r="BZ28" s="100">
        <v>20.992422111544258</v>
      </c>
      <c r="CA28" s="100">
        <v>15492.407518319662</v>
      </c>
      <c r="CB28" s="100">
        <v>14.911647729888788</v>
      </c>
      <c r="CC28" s="100">
        <v>11004.796024657926</v>
      </c>
      <c r="CD28" s="100">
        <v>17.593256607712263</v>
      </c>
      <c r="CE28" s="100">
        <v>12983.823376491649</v>
      </c>
      <c r="CF28" s="100">
        <v>20</v>
      </c>
      <c r="CG28" s="100">
        <v>14760</v>
      </c>
      <c r="CH28" s="100">
        <v>18</v>
      </c>
      <c r="CI28" s="100">
        <v>13284</v>
      </c>
      <c r="CJ28" s="100">
        <v>16</v>
      </c>
      <c r="CK28" s="100">
        <v>11808</v>
      </c>
      <c r="CL28" s="100">
        <v>18</v>
      </c>
      <c r="CM28" s="100">
        <v>13284</v>
      </c>
      <c r="CN28" s="100">
        <v>20.412426852667899</v>
      </c>
      <c r="CO28" s="100">
        <v>15064.37101726891</v>
      </c>
      <c r="CP28" s="100">
        <v>15</v>
      </c>
      <c r="CQ28" s="100">
        <v>11070</v>
      </c>
      <c r="CR28" s="100">
        <v>21</v>
      </c>
      <c r="CS28" s="100">
        <v>15498</v>
      </c>
      <c r="CT28" s="100">
        <v>21</v>
      </c>
      <c r="CU28" s="100">
        <v>15498</v>
      </c>
    </row>
    <row r="29" spans="2:99">
      <c r="C29" s="99" t="s">
        <v>195</v>
      </c>
      <c r="D29" s="100">
        <v>19</v>
      </c>
      <c r="E29" s="100">
        <v>6429.5999999999995</v>
      </c>
      <c r="F29" s="100">
        <v>23</v>
      </c>
      <c r="G29" s="100">
        <v>7783.2</v>
      </c>
      <c r="H29" s="100">
        <v>16</v>
      </c>
      <c r="I29" s="100">
        <v>5414.4</v>
      </c>
      <c r="J29" s="100">
        <v>22</v>
      </c>
      <c r="K29" s="100">
        <v>7444.7999999999993</v>
      </c>
      <c r="L29" s="100">
        <v>18</v>
      </c>
      <c r="M29" s="100">
        <v>6091.2</v>
      </c>
      <c r="N29" s="100">
        <v>21</v>
      </c>
      <c r="O29" s="100">
        <v>7106.4</v>
      </c>
      <c r="P29" s="100">
        <v>21</v>
      </c>
      <c r="Q29" s="100">
        <v>7106.4</v>
      </c>
      <c r="R29" s="100">
        <v>20</v>
      </c>
      <c r="S29" s="100">
        <v>6768</v>
      </c>
      <c r="T29" s="100">
        <v>24</v>
      </c>
      <c r="U29" s="100">
        <v>8121.5999999999995</v>
      </c>
      <c r="V29" s="100">
        <v>16</v>
      </c>
      <c r="W29" s="100">
        <v>5414.4</v>
      </c>
      <c r="X29" s="100">
        <v>22</v>
      </c>
      <c r="Y29" s="100">
        <v>7444.7999999999993</v>
      </c>
      <c r="Z29" s="100">
        <v>18</v>
      </c>
      <c r="AA29" s="100">
        <v>6091.2</v>
      </c>
      <c r="AB29" s="100">
        <v>18</v>
      </c>
      <c r="AC29" s="100">
        <v>6091.2</v>
      </c>
      <c r="AD29" s="100">
        <v>16</v>
      </c>
      <c r="AE29" s="100">
        <v>5414.4</v>
      </c>
      <c r="AF29" s="100">
        <v>27</v>
      </c>
      <c r="AG29" s="100">
        <v>9136.7999999999993</v>
      </c>
      <c r="AH29" s="100">
        <v>29</v>
      </c>
      <c r="AI29" s="100">
        <v>9813.5999999999985</v>
      </c>
      <c r="AJ29" s="100">
        <v>19</v>
      </c>
      <c r="AK29" s="100">
        <v>6429.5999999999995</v>
      </c>
      <c r="AL29" s="100">
        <v>18</v>
      </c>
      <c r="AM29" s="100">
        <v>6091.2</v>
      </c>
      <c r="AN29" s="100">
        <v>21</v>
      </c>
      <c r="AO29" s="100">
        <v>7106.4</v>
      </c>
      <c r="AP29" s="100">
        <v>28</v>
      </c>
      <c r="AQ29" s="100">
        <v>9475.1999999999989</v>
      </c>
      <c r="AR29" s="100">
        <v>17</v>
      </c>
      <c r="AS29" s="100">
        <v>5752.7999999999993</v>
      </c>
      <c r="AT29" s="100">
        <v>24</v>
      </c>
      <c r="AU29" s="100">
        <v>8121.5999999999995</v>
      </c>
      <c r="AV29" s="100">
        <v>18</v>
      </c>
      <c r="AW29" s="100">
        <v>6091.2</v>
      </c>
      <c r="AX29" s="100">
        <v>28</v>
      </c>
      <c r="AY29" s="100">
        <v>9475.1999999999989</v>
      </c>
      <c r="AZ29" s="100">
        <v>20</v>
      </c>
      <c r="BA29" s="100">
        <v>6768</v>
      </c>
      <c r="BB29" s="100">
        <v>30</v>
      </c>
      <c r="BC29" s="100">
        <v>10152</v>
      </c>
      <c r="BD29" s="100">
        <v>26.182516000466293</v>
      </c>
      <c r="BE29" s="100">
        <v>8860.1634145577937</v>
      </c>
      <c r="BF29" s="100">
        <v>23.581554591787562</v>
      </c>
      <c r="BG29" s="100">
        <v>7979.9980738609102</v>
      </c>
      <c r="BH29" s="100">
        <v>16</v>
      </c>
      <c r="BI29" s="100">
        <v>5414.4</v>
      </c>
      <c r="BJ29" s="100">
        <v>18</v>
      </c>
      <c r="BK29" s="100">
        <v>6091.2</v>
      </c>
      <c r="BL29" s="100">
        <v>21.303126967347804</v>
      </c>
      <c r="BM29" s="100">
        <v>7208.9781657504964</v>
      </c>
      <c r="BN29" s="100">
        <v>27.179712769622622</v>
      </c>
      <c r="BO29" s="100">
        <v>9197.6148012402955</v>
      </c>
      <c r="BP29" s="100">
        <v>17.29395081460645</v>
      </c>
      <c r="BQ29" s="100">
        <v>5852.2729556628228</v>
      </c>
      <c r="BR29" s="100">
        <v>18.692515366875377</v>
      </c>
      <c r="BS29" s="100">
        <v>6325.5472001506268</v>
      </c>
      <c r="BT29" s="100">
        <v>27.650357146585787</v>
      </c>
      <c r="BU29" s="100">
        <v>9356.8808584046292</v>
      </c>
      <c r="BV29" s="100">
        <v>18.833457247695542</v>
      </c>
      <c r="BW29" s="100">
        <v>6373.2419326201707</v>
      </c>
      <c r="BX29" s="100">
        <v>12.603718000041335</v>
      </c>
      <c r="BY29" s="100">
        <v>4265.0981712139874</v>
      </c>
      <c r="BZ29" s="100">
        <v>19.592927304107974</v>
      </c>
      <c r="CA29" s="100">
        <v>6630.2465997101381</v>
      </c>
      <c r="CB29" s="100">
        <v>14.166065343394349</v>
      </c>
      <c r="CC29" s="100">
        <v>4793.7965122046471</v>
      </c>
      <c r="CD29" s="100">
        <v>19.268804856065813</v>
      </c>
      <c r="CE29" s="100">
        <v>6520.5635632926706</v>
      </c>
      <c r="CF29" s="100">
        <v>21</v>
      </c>
      <c r="CG29" s="100">
        <v>7106.4</v>
      </c>
      <c r="CH29" s="100">
        <v>20</v>
      </c>
      <c r="CI29" s="100">
        <v>6768</v>
      </c>
      <c r="CJ29" s="100">
        <v>15</v>
      </c>
      <c r="CK29" s="100">
        <v>5076</v>
      </c>
      <c r="CL29" s="100">
        <v>18</v>
      </c>
      <c r="CM29" s="100">
        <v>6091.2</v>
      </c>
      <c r="CN29" s="100">
        <v>23.195939605304428</v>
      </c>
      <c r="CO29" s="100">
        <v>7849.5059624350179</v>
      </c>
      <c r="CP29" s="100">
        <v>17</v>
      </c>
      <c r="CQ29" s="100">
        <v>5752.7999999999993</v>
      </c>
      <c r="CR29" s="100">
        <v>21</v>
      </c>
      <c r="CS29" s="100">
        <v>7106.4</v>
      </c>
      <c r="CT29" s="100">
        <v>24</v>
      </c>
      <c r="CU29" s="100">
        <v>8121.5999999999995</v>
      </c>
    </row>
    <row r="30" spans="2:99">
      <c r="C30" s="99" t="s">
        <v>196</v>
      </c>
      <c r="D30" s="100">
        <v>21</v>
      </c>
      <c r="E30" s="100">
        <v>2923.2</v>
      </c>
      <c r="F30" s="100">
        <v>25</v>
      </c>
      <c r="G30" s="100">
        <v>3479.9999999999995</v>
      </c>
      <c r="H30" s="100">
        <v>15</v>
      </c>
      <c r="I30" s="100">
        <v>2088</v>
      </c>
      <c r="J30" s="100">
        <v>20</v>
      </c>
      <c r="K30" s="100">
        <v>2784</v>
      </c>
      <c r="L30" s="100">
        <v>19</v>
      </c>
      <c r="M30" s="100">
        <v>2644.7999999999997</v>
      </c>
      <c r="N30" s="100">
        <v>21</v>
      </c>
      <c r="O30" s="100">
        <v>2923.2</v>
      </c>
      <c r="P30" s="100">
        <v>22</v>
      </c>
      <c r="Q30" s="100">
        <v>3062.3999999999996</v>
      </c>
      <c r="R30" s="100">
        <v>22</v>
      </c>
      <c r="S30" s="100">
        <v>3062.3999999999996</v>
      </c>
      <c r="T30" s="100">
        <v>27</v>
      </c>
      <c r="U30" s="100">
        <v>3758.3999999999996</v>
      </c>
      <c r="V30" s="100">
        <v>16</v>
      </c>
      <c r="W30" s="100">
        <v>2227.1999999999998</v>
      </c>
      <c r="X30" s="100">
        <v>23</v>
      </c>
      <c r="Y30" s="100">
        <v>3201.6</v>
      </c>
      <c r="Z30" s="100">
        <v>21</v>
      </c>
      <c r="AA30" s="100">
        <v>2923.2</v>
      </c>
      <c r="AB30" s="100">
        <v>18</v>
      </c>
      <c r="AC30" s="100">
        <v>2505.6</v>
      </c>
      <c r="AD30" s="100">
        <v>16</v>
      </c>
      <c r="AE30" s="100">
        <v>2227.1999999999998</v>
      </c>
      <c r="AF30" s="100">
        <v>30</v>
      </c>
      <c r="AG30" s="100">
        <v>4176</v>
      </c>
      <c r="AH30" s="100">
        <v>29</v>
      </c>
      <c r="AI30" s="100">
        <v>4036.7999999999997</v>
      </c>
      <c r="AJ30" s="100">
        <v>23</v>
      </c>
      <c r="AK30" s="100">
        <v>3201.6</v>
      </c>
      <c r="AL30" s="100">
        <v>19</v>
      </c>
      <c r="AM30" s="100">
        <v>2644.7999999999997</v>
      </c>
      <c r="AN30" s="100">
        <v>22</v>
      </c>
      <c r="AO30" s="100">
        <v>3062.3999999999996</v>
      </c>
      <c r="AP30" s="100">
        <v>30</v>
      </c>
      <c r="AQ30" s="100">
        <v>4176</v>
      </c>
      <c r="AR30" s="100">
        <v>20</v>
      </c>
      <c r="AS30" s="100">
        <v>2784</v>
      </c>
      <c r="AT30" s="100">
        <v>22</v>
      </c>
      <c r="AU30" s="100">
        <v>3062.3999999999996</v>
      </c>
      <c r="AV30" s="100">
        <v>17</v>
      </c>
      <c r="AW30" s="100">
        <v>2366.3999999999996</v>
      </c>
      <c r="AX30" s="100">
        <v>27</v>
      </c>
      <c r="AY30" s="100">
        <v>3758.3999999999996</v>
      </c>
      <c r="AZ30" s="100">
        <v>22</v>
      </c>
      <c r="BA30" s="100">
        <v>3062.3999999999996</v>
      </c>
      <c r="BB30" s="100">
        <v>30</v>
      </c>
      <c r="BC30" s="100">
        <v>4176</v>
      </c>
      <c r="BD30" s="100">
        <v>28.121961630130464</v>
      </c>
      <c r="BE30" s="100">
        <v>3914.5770589141603</v>
      </c>
      <c r="BF30" s="100">
        <v>23.581554591787562</v>
      </c>
      <c r="BG30" s="100">
        <v>3282.5523991768282</v>
      </c>
      <c r="BH30" s="100">
        <v>18</v>
      </c>
      <c r="BI30" s="100">
        <v>2505.6</v>
      </c>
      <c r="BJ30" s="100">
        <v>16</v>
      </c>
      <c r="BK30" s="100">
        <v>2227.1999999999998</v>
      </c>
      <c r="BL30" s="100">
        <v>20.415496677041645</v>
      </c>
      <c r="BM30" s="100">
        <v>2841.8371374441967</v>
      </c>
      <c r="BN30" s="100">
        <v>28.085703195276711</v>
      </c>
      <c r="BO30" s="100">
        <v>3909.5298847825179</v>
      </c>
      <c r="BP30" s="100">
        <v>17.29395081460645</v>
      </c>
      <c r="BQ30" s="100">
        <v>2407.3179533932175</v>
      </c>
      <c r="BR30" s="100">
        <v>18.692515366875377</v>
      </c>
      <c r="BS30" s="100">
        <v>2601.9981390690523</v>
      </c>
      <c r="BT30" s="100">
        <v>24.194062503262565</v>
      </c>
      <c r="BU30" s="100">
        <v>3367.8135004541487</v>
      </c>
      <c r="BV30" s="100">
        <v>21.523951140223478</v>
      </c>
      <c r="BW30" s="100">
        <v>2996.1339987191077</v>
      </c>
      <c r="BX30" s="100">
        <v>13.443965866710757</v>
      </c>
      <c r="BY30" s="100">
        <v>1871.4000486461373</v>
      </c>
      <c r="BZ30" s="100">
        <v>21.6921695152624</v>
      </c>
      <c r="CA30" s="100">
        <v>3019.5499965245258</v>
      </c>
      <c r="CB30" s="100">
        <v>15.657230116383227</v>
      </c>
      <c r="CC30" s="100">
        <v>2179.4864322005451</v>
      </c>
      <c r="CD30" s="100">
        <v>18.431030731889038</v>
      </c>
      <c r="CE30" s="100">
        <v>2565.5994778789541</v>
      </c>
      <c r="CF30" s="100">
        <v>21</v>
      </c>
      <c r="CG30" s="100">
        <v>2923.2</v>
      </c>
      <c r="CH30" s="100">
        <v>21</v>
      </c>
      <c r="CI30" s="100">
        <v>2923.2</v>
      </c>
      <c r="CJ30" s="100">
        <v>19</v>
      </c>
      <c r="CK30" s="100">
        <v>2644.7999999999997</v>
      </c>
      <c r="CL30" s="100">
        <v>19</v>
      </c>
      <c r="CM30" s="100">
        <v>2644.7999999999997</v>
      </c>
      <c r="CN30" s="100">
        <v>25.05161477372878</v>
      </c>
      <c r="CO30" s="100">
        <v>3487.1847765030457</v>
      </c>
      <c r="CP30" s="100">
        <v>18</v>
      </c>
      <c r="CQ30" s="100">
        <v>2505.6</v>
      </c>
      <c r="CR30" s="100">
        <v>23</v>
      </c>
      <c r="CS30" s="100">
        <v>3201.6</v>
      </c>
      <c r="CT30" s="100">
        <v>23</v>
      </c>
      <c r="CU30" s="100">
        <v>3201.6</v>
      </c>
    </row>
    <row r="31" spans="2:99">
      <c r="C31" s="99" t="s">
        <v>197</v>
      </c>
      <c r="D31" s="100">
        <v>21</v>
      </c>
      <c r="E31" s="100">
        <v>7156.8</v>
      </c>
      <c r="F31" s="100">
        <v>25</v>
      </c>
      <c r="G31" s="100">
        <v>8520</v>
      </c>
      <c r="H31" s="100">
        <v>15</v>
      </c>
      <c r="I31" s="100">
        <v>5112</v>
      </c>
      <c r="J31" s="100">
        <v>23</v>
      </c>
      <c r="K31" s="100">
        <v>7838.4000000000005</v>
      </c>
      <c r="L31" s="100">
        <v>16</v>
      </c>
      <c r="M31" s="100">
        <v>5452.8</v>
      </c>
      <c r="N31" s="100">
        <v>19</v>
      </c>
      <c r="O31" s="100">
        <v>6475.2</v>
      </c>
      <c r="P31" s="100">
        <v>22</v>
      </c>
      <c r="Q31" s="100">
        <v>7497.6</v>
      </c>
      <c r="R31" s="100">
        <v>20</v>
      </c>
      <c r="S31" s="100">
        <v>6816</v>
      </c>
      <c r="T31" s="100">
        <v>24</v>
      </c>
      <c r="U31" s="100">
        <v>8179.2000000000007</v>
      </c>
      <c r="V31" s="100">
        <v>17</v>
      </c>
      <c r="W31" s="100">
        <v>5793.6</v>
      </c>
      <c r="X31" s="100">
        <v>21</v>
      </c>
      <c r="Y31" s="100">
        <v>7156.8</v>
      </c>
      <c r="Z31" s="100">
        <v>21</v>
      </c>
      <c r="AA31" s="100">
        <v>7156.8</v>
      </c>
      <c r="AB31" s="100">
        <v>15</v>
      </c>
      <c r="AC31" s="100">
        <v>5112</v>
      </c>
      <c r="AD31" s="100">
        <v>15</v>
      </c>
      <c r="AE31" s="100">
        <v>5112</v>
      </c>
      <c r="AF31" s="100">
        <v>29</v>
      </c>
      <c r="AG31" s="100">
        <v>9883.2000000000007</v>
      </c>
      <c r="AH31" s="100">
        <v>25</v>
      </c>
      <c r="AI31" s="100">
        <v>8520</v>
      </c>
      <c r="AJ31" s="100">
        <v>20</v>
      </c>
      <c r="AK31" s="100">
        <v>6816</v>
      </c>
      <c r="AL31" s="100">
        <v>17</v>
      </c>
      <c r="AM31" s="100">
        <v>5793.6</v>
      </c>
      <c r="AN31" s="100">
        <v>19</v>
      </c>
      <c r="AO31" s="100">
        <v>6475.2</v>
      </c>
      <c r="AP31" s="100">
        <v>30</v>
      </c>
      <c r="AQ31" s="100">
        <v>10224</v>
      </c>
      <c r="AR31" s="100">
        <v>17</v>
      </c>
      <c r="AS31" s="100">
        <v>5793.6</v>
      </c>
      <c r="AT31" s="100">
        <v>25</v>
      </c>
      <c r="AU31" s="100">
        <v>8520</v>
      </c>
      <c r="AV31" s="100">
        <v>18</v>
      </c>
      <c r="AW31" s="100">
        <v>6134.4000000000005</v>
      </c>
      <c r="AX31" s="100">
        <v>27</v>
      </c>
      <c r="AY31" s="100">
        <v>9201.6</v>
      </c>
      <c r="AZ31" s="100">
        <v>21</v>
      </c>
      <c r="BA31" s="100">
        <v>7156.8</v>
      </c>
      <c r="BB31" s="100">
        <v>32</v>
      </c>
      <c r="BC31" s="100">
        <v>10905.6</v>
      </c>
      <c r="BD31" s="100">
        <v>24.243070370802123</v>
      </c>
      <c r="BE31" s="100">
        <v>8262.0383823693628</v>
      </c>
      <c r="BF31" s="100">
        <v>21.054959456953181</v>
      </c>
      <c r="BG31" s="100">
        <v>7175.5301829296441</v>
      </c>
      <c r="BH31" s="100">
        <v>18</v>
      </c>
      <c r="BI31" s="100">
        <v>6134.4000000000005</v>
      </c>
      <c r="BJ31" s="100">
        <v>16</v>
      </c>
      <c r="BK31" s="100">
        <v>5452.8</v>
      </c>
      <c r="BL31" s="100">
        <v>21.303126967347804</v>
      </c>
      <c r="BM31" s="100">
        <v>7260.1056704721323</v>
      </c>
      <c r="BN31" s="100">
        <v>25.367731918314451</v>
      </c>
      <c r="BO31" s="100">
        <v>8645.3230377615655</v>
      </c>
      <c r="BP31" s="100">
        <v>15.372400724094625</v>
      </c>
      <c r="BQ31" s="100">
        <v>5238.9141667714484</v>
      </c>
      <c r="BR31" s="100">
        <v>18.692515366875377</v>
      </c>
      <c r="BS31" s="100">
        <v>6370.4092370311282</v>
      </c>
      <c r="BT31" s="100">
        <v>27.650357146585787</v>
      </c>
      <c r="BU31" s="100">
        <v>9423.2417155564362</v>
      </c>
      <c r="BV31" s="100">
        <v>19.730288545204854</v>
      </c>
      <c r="BW31" s="100">
        <v>6724.0823362058145</v>
      </c>
      <c r="BX31" s="100">
        <v>12.603718000041335</v>
      </c>
      <c r="BY31" s="100">
        <v>4295.3470944140872</v>
      </c>
      <c r="BZ31" s="100">
        <v>20.292674707826116</v>
      </c>
      <c r="CA31" s="100">
        <v>6915.7435404271409</v>
      </c>
      <c r="CB31" s="100">
        <v>15.657230116383227</v>
      </c>
      <c r="CC31" s="100">
        <v>5335.9840236634036</v>
      </c>
      <c r="CD31" s="100">
        <v>20.94435310441936</v>
      </c>
      <c r="CE31" s="100">
        <v>7137.8355379861177</v>
      </c>
      <c r="CF31" s="100">
        <v>23</v>
      </c>
      <c r="CG31" s="100">
        <v>7838.4000000000005</v>
      </c>
      <c r="CH31" s="100">
        <v>19</v>
      </c>
      <c r="CI31" s="100">
        <v>6475.2</v>
      </c>
      <c r="CJ31" s="100">
        <v>18</v>
      </c>
      <c r="CK31" s="100">
        <v>6134.4000000000005</v>
      </c>
      <c r="CL31" s="100">
        <v>20</v>
      </c>
      <c r="CM31" s="100">
        <v>6816</v>
      </c>
      <c r="CN31" s="100">
        <v>21.340264436880073</v>
      </c>
      <c r="CO31" s="100">
        <v>7272.7621200887288</v>
      </c>
      <c r="CP31" s="100">
        <v>18</v>
      </c>
      <c r="CQ31" s="100">
        <v>6134.4000000000005</v>
      </c>
      <c r="CR31" s="100">
        <v>22</v>
      </c>
      <c r="CS31" s="100">
        <v>7497.6</v>
      </c>
      <c r="CT31" s="100">
        <v>26</v>
      </c>
      <c r="CU31" s="100">
        <v>8860.8000000000011</v>
      </c>
    </row>
    <row r="32" spans="2:99">
      <c r="C32" s="99" t="s">
        <v>198</v>
      </c>
      <c r="D32" s="100">
        <v>19</v>
      </c>
      <c r="E32" s="100">
        <v>15960</v>
      </c>
      <c r="F32" s="100">
        <v>24</v>
      </c>
      <c r="G32" s="100">
        <v>20160</v>
      </c>
      <c r="H32" s="100">
        <v>14</v>
      </c>
      <c r="I32" s="100">
        <v>11760</v>
      </c>
      <c r="J32" s="100">
        <v>21</v>
      </c>
      <c r="K32" s="100">
        <v>17640</v>
      </c>
      <c r="L32" s="100">
        <v>16</v>
      </c>
      <c r="M32" s="100">
        <v>13440</v>
      </c>
      <c r="N32" s="100">
        <v>17</v>
      </c>
      <c r="O32" s="100">
        <v>14280</v>
      </c>
      <c r="P32" s="100">
        <v>20</v>
      </c>
      <c r="Q32" s="100">
        <v>16800</v>
      </c>
      <c r="R32" s="100">
        <v>17</v>
      </c>
      <c r="S32" s="100">
        <v>14280</v>
      </c>
      <c r="T32" s="100">
        <v>26</v>
      </c>
      <c r="U32" s="100">
        <v>21840</v>
      </c>
      <c r="V32" s="100">
        <v>15</v>
      </c>
      <c r="W32" s="100">
        <v>12600</v>
      </c>
      <c r="X32" s="100">
        <v>22</v>
      </c>
      <c r="Y32" s="100">
        <v>18480</v>
      </c>
      <c r="Z32" s="100">
        <v>17</v>
      </c>
      <c r="AA32" s="100">
        <v>14280</v>
      </c>
      <c r="AB32" s="100">
        <v>15</v>
      </c>
      <c r="AC32" s="100">
        <v>12600</v>
      </c>
      <c r="AD32" s="100">
        <v>14</v>
      </c>
      <c r="AE32" s="100">
        <v>11760</v>
      </c>
      <c r="AF32" s="100">
        <v>27</v>
      </c>
      <c r="AG32" s="100">
        <v>22680</v>
      </c>
      <c r="AH32" s="100">
        <v>26</v>
      </c>
      <c r="AI32" s="100">
        <v>21840</v>
      </c>
      <c r="AJ32" s="100">
        <v>20</v>
      </c>
      <c r="AK32" s="100">
        <v>16800</v>
      </c>
      <c r="AL32" s="100">
        <v>16</v>
      </c>
      <c r="AM32" s="100">
        <v>13440</v>
      </c>
      <c r="AN32" s="100">
        <v>20</v>
      </c>
      <c r="AO32" s="100">
        <v>16800</v>
      </c>
      <c r="AP32" s="100">
        <v>25</v>
      </c>
      <c r="AQ32" s="100">
        <v>21000</v>
      </c>
      <c r="AR32" s="100">
        <v>16</v>
      </c>
      <c r="AS32" s="100">
        <v>13440</v>
      </c>
      <c r="AT32" s="100">
        <v>21</v>
      </c>
      <c r="AU32" s="100">
        <v>17640</v>
      </c>
      <c r="AV32" s="100">
        <v>18</v>
      </c>
      <c r="AW32" s="100">
        <v>15120</v>
      </c>
      <c r="AX32" s="100">
        <v>29</v>
      </c>
      <c r="AY32" s="100">
        <v>24360</v>
      </c>
      <c r="AZ32" s="100">
        <v>19</v>
      </c>
      <c r="BA32" s="100">
        <v>15960</v>
      </c>
      <c r="BB32" s="100">
        <v>30</v>
      </c>
      <c r="BC32" s="100">
        <v>25200</v>
      </c>
      <c r="BD32" s="100">
        <v>26.182516000466293</v>
      </c>
      <c r="BE32" s="100">
        <v>21993.313440391685</v>
      </c>
      <c r="BF32" s="100">
        <v>19.370562700396924</v>
      </c>
      <c r="BG32" s="100">
        <v>16271.272668333417</v>
      </c>
      <c r="BH32" s="100">
        <v>16</v>
      </c>
      <c r="BI32" s="100">
        <v>13440</v>
      </c>
      <c r="BJ32" s="100">
        <v>16</v>
      </c>
      <c r="BK32" s="100">
        <v>13440</v>
      </c>
      <c r="BL32" s="100">
        <v>19.527866386735486</v>
      </c>
      <c r="BM32" s="100">
        <v>16403.40776485781</v>
      </c>
      <c r="BN32" s="100">
        <v>26.273722343968537</v>
      </c>
      <c r="BO32" s="100">
        <v>22069.926768933572</v>
      </c>
      <c r="BP32" s="100">
        <v>17.29395081460645</v>
      </c>
      <c r="BQ32" s="100">
        <v>14526.918684269418</v>
      </c>
      <c r="BR32" s="100">
        <v>17.757889598531609</v>
      </c>
      <c r="BS32" s="100">
        <v>14916.627262766551</v>
      </c>
      <c r="BT32" s="100">
        <v>23.329988842431757</v>
      </c>
      <c r="BU32" s="100">
        <v>19597.190627642674</v>
      </c>
      <c r="BV32" s="100">
        <v>19.730288545204854</v>
      </c>
      <c r="BW32" s="100">
        <v>16573.442377972078</v>
      </c>
      <c r="BX32" s="100">
        <v>13.443965866710757</v>
      </c>
      <c r="BY32" s="100">
        <v>11292.931328037035</v>
      </c>
      <c r="BZ32" s="100">
        <v>20.992422111544258</v>
      </c>
      <c r="CA32" s="100">
        <v>17633.634573697178</v>
      </c>
      <c r="CB32" s="100">
        <v>13.42048295689991</v>
      </c>
      <c r="CC32" s="100">
        <v>11273.205683795924</v>
      </c>
      <c r="CD32" s="100">
        <v>19.268804856065813</v>
      </c>
      <c r="CE32" s="100">
        <v>16185.796079095284</v>
      </c>
      <c r="CF32" s="100">
        <v>21</v>
      </c>
      <c r="CG32" s="100">
        <v>17640</v>
      </c>
      <c r="CH32" s="100">
        <v>19</v>
      </c>
      <c r="CI32" s="100">
        <v>15960</v>
      </c>
      <c r="CJ32" s="100">
        <v>15</v>
      </c>
      <c r="CK32" s="100">
        <v>12600</v>
      </c>
      <c r="CL32" s="100">
        <v>19</v>
      </c>
      <c r="CM32" s="100">
        <v>15960</v>
      </c>
      <c r="CN32" s="100">
        <v>19.484589268455718</v>
      </c>
      <c r="CO32" s="100">
        <v>16367.054985502802</v>
      </c>
      <c r="CP32" s="100">
        <v>15</v>
      </c>
      <c r="CQ32" s="100">
        <v>12600</v>
      </c>
      <c r="CR32" s="100">
        <v>22</v>
      </c>
      <c r="CS32" s="100">
        <v>18480</v>
      </c>
      <c r="CT32" s="100">
        <v>24</v>
      </c>
      <c r="CU32" s="100">
        <v>20160</v>
      </c>
    </row>
    <row r="33" spans="2:99">
      <c r="C33" s="99" t="s">
        <v>199</v>
      </c>
      <c r="D33" s="100">
        <v>21</v>
      </c>
      <c r="E33" s="100">
        <v>9954</v>
      </c>
      <c r="F33" s="100">
        <v>21</v>
      </c>
      <c r="G33" s="100">
        <v>9954</v>
      </c>
      <c r="H33" s="100">
        <v>16</v>
      </c>
      <c r="I33" s="100">
        <v>7584</v>
      </c>
      <c r="J33" s="100">
        <v>23</v>
      </c>
      <c r="K33" s="100">
        <v>10902</v>
      </c>
      <c r="L33" s="100">
        <v>16</v>
      </c>
      <c r="M33" s="100">
        <v>7584</v>
      </c>
      <c r="N33" s="100">
        <v>19</v>
      </c>
      <c r="O33" s="100">
        <v>9006</v>
      </c>
      <c r="P33" s="100">
        <v>20</v>
      </c>
      <c r="Q33" s="100">
        <v>9480</v>
      </c>
      <c r="R33" s="100">
        <v>18</v>
      </c>
      <c r="S33" s="100">
        <v>8532</v>
      </c>
      <c r="T33" s="100">
        <v>25</v>
      </c>
      <c r="U33" s="100">
        <v>11850</v>
      </c>
      <c r="V33" s="100">
        <v>16</v>
      </c>
      <c r="W33" s="100">
        <v>7584</v>
      </c>
      <c r="X33" s="100">
        <v>23</v>
      </c>
      <c r="Y33" s="100">
        <v>10902</v>
      </c>
      <c r="Z33" s="100">
        <v>18</v>
      </c>
      <c r="AA33" s="100">
        <v>8532</v>
      </c>
      <c r="AB33" s="100">
        <v>16</v>
      </c>
      <c r="AC33" s="100">
        <v>7584</v>
      </c>
      <c r="AD33" s="100">
        <v>15</v>
      </c>
      <c r="AE33" s="100">
        <v>7110</v>
      </c>
      <c r="AF33" s="100">
        <v>31</v>
      </c>
      <c r="AG33" s="100">
        <v>14694</v>
      </c>
      <c r="AH33" s="100">
        <v>27</v>
      </c>
      <c r="AI33" s="100">
        <v>12798</v>
      </c>
      <c r="AJ33" s="100">
        <v>19</v>
      </c>
      <c r="AK33" s="100">
        <v>9006</v>
      </c>
      <c r="AL33" s="100">
        <v>16</v>
      </c>
      <c r="AM33" s="100">
        <v>7584</v>
      </c>
      <c r="AN33" s="100">
        <v>20</v>
      </c>
      <c r="AO33" s="100">
        <v>9480</v>
      </c>
      <c r="AP33" s="100">
        <v>30</v>
      </c>
      <c r="AQ33" s="100">
        <v>14220</v>
      </c>
      <c r="AR33" s="100">
        <v>19</v>
      </c>
      <c r="AS33" s="100">
        <v>9006</v>
      </c>
      <c r="AT33" s="100">
        <v>23</v>
      </c>
      <c r="AU33" s="100">
        <v>10902</v>
      </c>
      <c r="AV33" s="100">
        <v>20</v>
      </c>
      <c r="AW33" s="100">
        <v>9480</v>
      </c>
      <c r="AX33" s="100">
        <v>29</v>
      </c>
      <c r="AY33" s="100">
        <v>13746</v>
      </c>
      <c r="AZ33" s="100">
        <v>22</v>
      </c>
      <c r="BA33" s="100">
        <v>10428</v>
      </c>
      <c r="BB33" s="100">
        <v>28</v>
      </c>
      <c r="BC33" s="100">
        <v>13272</v>
      </c>
      <c r="BD33" s="100">
        <v>29.091684444962553</v>
      </c>
      <c r="BE33" s="100">
        <v>13789.45842691225</v>
      </c>
      <c r="BF33" s="100">
        <v>21.897157835231305</v>
      </c>
      <c r="BG33" s="100">
        <v>10379.252813899639</v>
      </c>
      <c r="BH33" s="100">
        <v>17</v>
      </c>
      <c r="BI33" s="100">
        <v>8058</v>
      </c>
      <c r="BJ33" s="100">
        <v>16</v>
      </c>
      <c r="BK33" s="100">
        <v>7584</v>
      </c>
      <c r="BL33" s="100">
        <v>23.966017838266279</v>
      </c>
      <c r="BM33" s="100">
        <v>11359.892455338217</v>
      </c>
      <c r="BN33" s="100">
        <v>25.367731918314451</v>
      </c>
      <c r="BO33" s="100">
        <v>12024.30492928105</v>
      </c>
      <c r="BP33" s="100">
        <v>16.333175769350539</v>
      </c>
      <c r="BQ33" s="100">
        <v>7741.9253146721558</v>
      </c>
      <c r="BR33" s="100">
        <v>19.627141135219148</v>
      </c>
      <c r="BS33" s="100">
        <v>9303.2648980938757</v>
      </c>
      <c r="BT33" s="100">
        <v>25.922209824924174</v>
      </c>
      <c r="BU33" s="100">
        <v>12287.127457014058</v>
      </c>
      <c r="BV33" s="100">
        <v>21.523951140223478</v>
      </c>
      <c r="BW33" s="100">
        <v>10202.352840465928</v>
      </c>
      <c r="BX33" s="100">
        <v>14.284213733380181</v>
      </c>
      <c r="BY33" s="100">
        <v>6770.7173096222059</v>
      </c>
      <c r="BZ33" s="100">
        <v>21.6921695152624</v>
      </c>
      <c r="CA33" s="100">
        <v>10282.088350234377</v>
      </c>
      <c r="CB33" s="100">
        <v>13.42048295689991</v>
      </c>
      <c r="CC33" s="100">
        <v>6361.3089215705577</v>
      </c>
      <c r="CD33" s="100">
        <v>20.106578980242585</v>
      </c>
      <c r="CE33" s="100">
        <v>9530.5184366349858</v>
      </c>
      <c r="CF33" s="100">
        <v>20</v>
      </c>
      <c r="CG33" s="100">
        <v>9480</v>
      </c>
      <c r="CH33" s="100">
        <v>20</v>
      </c>
      <c r="CI33" s="100">
        <v>9480</v>
      </c>
      <c r="CJ33" s="100">
        <v>15</v>
      </c>
      <c r="CK33" s="100">
        <v>7110</v>
      </c>
      <c r="CL33" s="100">
        <v>19</v>
      </c>
      <c r="CM33" s="100">
        <v>9006</v>
      </c>
      <c r="CN33" s="100">
        <v>20.412426852667899</v>
      </c>
      <c r="CO33" s="100">
        <v>9675.4903281645838</v>
      </c>
      <c r="CP33" s="100">
        <v>18</v>
      </c>
      <c r="CQ33" s="100">
        <v>8532</v>
      </c>
      <c r="CR33" s="100">
        <v>22</v>
      </c>
      <c r="CS33" s="100">
        <v>10428</v>
      </c>
      <c r="CT33" s="100">
        <v>25</v>
      </c>
      <c r="CU33" s="100">
        <v>11850</v>
      </c>
    </row>
    <row r="34" spans="2:99">
      <c r="C34" s="99" t="s">
        <v>200</v>
      </c>
      <c r="D34" s="100">
        <v>20</v>
      </c>
      <c r="E34" s="100">
        <v>10968</v>
      </c>
      <c r="F34" s="100">
        <v>21</v>
      </c>
      <c r="G34" s="100">
        <v>11516.4</v>
      </c>
      <c r="H34" s="100">
        <v>13</v>
      </c>
      <c r="I34" s="100">
        <v>7129.2</v>
      </c>
      <c r="J34" s="100">
        <v>22</v>
      </c>
      <c r="K34" s="100">
        <v>12064.8</v>
      </c>
      <c r="L34" s="100">
        <v>17</v>
      </c>
      <c r="M34" s="100">
        <v>9322.7999999999993</v>
      </c>
      <c r="N34" s="100">
        <v>18</v>
      </c>
      <c r="O34" s="100">
        <v>9871.1999999999989</v>
      </c>
      <c r="P34" s="100">
        <v>18</v>
      </c>
      <c r="Q34" s="100">
        <v>9871.1999999999989</v>
      </c>
      <c r="R34" s="100">
        <v>20</v>
      </c>
      <c r="S34" s="100">
        <v>10968</v>
      </c>
      <c r="T34" s="100">
        <v>24</v>
      </c>
      <c r="U34" s="100">
        <v>13161.599999999999</v>
      </c>
      <c r="V34" s="100">
        <v>16</v>
      </c>
      <c r="W34" s="100">
        <v>8774.4</v>
      </c>
      <c r="X34" s="100">
        <v>22</v>
      </c>
      <c r="Y34" s="100">
        <v>12064.8</v>
      </c>
      <c r="Z34" s="100">
        <v>18</v>
      </c>
      <c r="AA34" s="100">
        <v>9871.1999999999989</v>
      </c>
      <c r="AB34" s="100">
        <v>15</v>
      </c>
      <c r="AC34" s="100">
        <v>8226</v>
      </c>
      <c r="AD34" s="100">
        <v>17</v>
      </c>
      <c r="AE34" s="100">
        <v>9322.7999999999993</v>
      </c>
      <c r="AF34" s="100">
        <v>28</v>
      </c>
      <c r="AG34" s="100">
        <v>15355.199999999999</v>
      </c>
      <c r="AH34" s="100">
        <v>28</v>
      </c>
      <c r="AI34" s="100">
        <v>15355.199999999999</v>
      </c>
      <c r="AJ34" s="100">
        <v>20</v>
      </c>
      <c r="AK34" s="100">
        <v>10968</v>
      </c>
      <c r="AL34" s="100">
        <v>17</v>
      </c>
      <c r="AM34" s="100">
        <v>9322.7999999999993</v>
      </c>
      <c r="AN34" s="100">
        <v>20</v>
      </c>
      <c r="AO34" s="100">
        <v>10968</v>
      </c>
      <c r="AP34" s="100">
        <v>28</v>
      </c>
      <c r="AQ34" s="100">
        <v>15355.199999999999</v>
      </c>
      <c r="AR34" s="100">
        <v>20</v>
      </c>
      <c r="AS34" s="100">
        <v>10968</v>
      </c>
      <c r="AT34" s="100">
        <v>23</v>
      </c>
      <c r="AU34" s="100">
        <v>12613.199999999999</v>
      </c>
      <c r="AV34" s="100">
        <v>19</v>
      </c>
      <c r="AW34" s="100">
        <v>10419.6</v>
      </c>
      <c r="AX34" s="100">
        <v>25</v>
      </c>
      <c r="AY34" s="100">
        <v>13710</v>
      </c>
      <c r="AZ34" s="100">
        <v>22</v>
      </c>
      <c r="BA34" s="100">
        <v>12064.8</v>
      </c>
      <c r="BB34" s="100">
        <v>28</v>
      </c>
      <c r="BC34" s="100">
        <v>15355.199999999999</v>
      </c>
      <c r="BD34" s="100">
        <v>28.121961630130464</v>
      </c>
      <c r="BE34" s="100">
        <v>15422.083757963546</v>
      </c>
      <c r="BF34" s="100">
        <v>20.212761078675054</v>
      </c>
      <c r="BG34" s="100">
        <v>11084.678175545399</v>
      </c>
      <c r="BH34" s="100">
        <v>16</v>
      </c>
      <c r="BI34" s="100">
        <v>8774.4</v>
      </c>
      <c r="BJ34" s="100">
        <v>16</v>
      </c>
      <c r="BK34" s="100">
        <v>8774.4</v>
      </c>
      <c r="BL34" s="100">
        <v>22.190757257653964</v>
      </c>
      <c r="BM34" s="100">
        <v>12169.411280097433</v>
      </c>
      <c r="BN34" s="100">
        <v>25.367731918314451</v>
      </c>
      <c r="BO34" s="100">
        <v>13911.664184003645</v>
      </c>
      <c r="BP34" s="100">
        <v>17.29395081460645</v>
      </c>
      <c r="BQ34" s="100">
        <v>9484.0026267301764</v>
      </c>
      <c r="BR34" s="100">
        <v>16.823263830187841</v>
      </c>
      <c r="BS34" s="100">
        <v>9225.8778844750123</v>
      </c>
      <c r="BT34" s="100">
        <v>24.194062503262565</v>
      </c>
      <c r="BU34" s="100">
        <v>13268.02387678919</v>
      </c>
      <c r="BV34" s="100">
        <v>17.93662595018623</v>
      </c>
      <c r="BW34" s="100">
        <v>9836.4456710821287</v>
      </c>
      <c r="BX34" s="100">
        <v>14.284213733380181</v>
      </c>
      <c r="BY34" s="100">
        <v>7833.4628113856907</v>
      </c>
      <c r="BZ34" s="100">
        <v>19.592927304107974</v>
      </c>
      <c r="CA34" s="100">
        <v>10744.761333572813</v>
      </c>
      <c r="CB34" s="100">
        <v>13.42048295689991</v>
      </c>
      <c r="CC34" s="100">
        <v>7359.7928535639103</v>
      </c>
      <c r="CD34" s="100">
        <v>20.94435310441936</v>
      </c>
      <c r="CE34" s="100">
        <v>11485.883242463577</v>
      </c>
      <c r="CF34" s="100">
        <v>22</v>
      </c>
      <c r="CG34" s="100">
        <v>12064.8</v>
      </c>
      <c r="CH34" s="100">
        <v>18</v>
      </c>
      <c r="CI34" s="100">
        <v>9871.1999999999989</v>
      </c>
      <c r="CJ34" s="100">
        <v>18</v>
      </c>
      <c r="CK34" s="100">
        <v>9871.1999999999989</v>
      </c>
      <c r="CL34" s="100">
        <v>20</v>
      </c>
      <c r="CM34" s="100">
        <v>10968</v>
      </c>
      <c r="CN34" s="100">
        <v>23.195939605304428</v>
      </c>
      <c r="CO34" s="100">
        <v>12720.653279548947</v>
      </c>
      <c r="CP34" s="100">
        <v>18</v>
      </c>
      <c r="CQ34" s="100">
        <v>9871.1999999999989</v>
      </c>
      <c r="CR34" s="100">
        <v>20</v>
      </c>
      <c r="CS34" s="100">
        <v>10968</v>
      </c>
      <c r="CT34" s="100">
        <v>24</v>
      </c>
      <c r="CU34" s="100">
        <v>13161.599999999999</v>
      </c>
    </row>
    <row r="35" spans="2:99">
      <c r="C35" s="99" t="s">
        <v>201</v>
      </c>
      <c r="D35" s="100">
        <v>19</v>
      </c>
      <c r="E35" s="100">
        <v>9553.1999999999989</v>
      </c>
      <c r="F35" s="100">
        <v>24</v>
      </c>
      <c r="G35" s="100">
        <v>12067.199999999997</v>
      </c>
      <c r="H35" s="100">
        <v>14</v>
      </c>
      <c r="I35" s="100">
        <v>7039.1999999999989</v>
      </c>
      <c r="J35" s="100">
        <v>20</v>
      </c>
      <c r="K35" s="100">
        <v>10055.999999999998</v>
      </c>
      <c r="L35" s="100">
        <v>19</v>
      </c>
      <c r="M35" s="100">
        <v>9553.1999999999989</v>
      </c>
      <c r="N35" s="100">
        <v>19</v>
      </c>
      <c r="O35" s="100">
        <v>9553.1999999999989</v>
      </c>
      <c r="P35" s="100">
        <v>20</v>
      </c>
      <c r="Q35" s="100">
        <v>10055.999999999998</v>
      </c>
      <c r="R35" s="100">
        <v>20</v>
      </c>
      <c r="S35" s="100">
        <v>10055.999999999998</v>
      </c>
      <c r="T35" s="100">
        <v>27</v>
      </c>
      <c r="U35" s="100">
        <v>13575.599999999997</v>
      </c>
      <c r="V35" s="100">
        <v>15</v>
      </c>
      <c r="W35" s="100">
        <v>7541.9999999999982</v>
      </c>
      <c r="X35" s="100">
        <v>24</v>
      </c>
      <c r="Y35" s="100">
        <v>12067.199999999997</v>
      </c>
      <c r="Z35" s="100">
        <v>19</v>
      </c>
      <c r="AA35" s="100">
        <v>9553.1999999999989</v>
      </c>
      <c r="AB35" s="100">
        <v>17</v>
      </c>
      <c r="AC35" s="100">
        <v>8547.5999999999985</v>
      </c>
      <c r="AD35" s="100">
        <v>18</v>
      </c>
      <c r="AE35" s="100">
        <v>9050.3999999999978</v>
      </c>
      <c r="AF35" s="100">
        <v>26</v>
      </c>
      <c r="AG35" s="100">
        <v>13072.799999999997</v>
      </c>
      <c r="AH35" s="100">
        <v>29</v>
      </c>
      <c r="AI35" s="100">
        <v>14581.199999999997</v>
      </c>
      <c r="AJ35" s="100">
        <v>20</v>
      </c>
      <c r="AK35" s="100">
        <v>10055.999999999998</v>
      </c>
      <c r="AL35" s="100">
        <v>18</v>
      </c>
      <c r="AM35" s="100">
        <v>9050.3999999999978</v>
      </c>
      <c r="AN35" s="100">
        <v>19</v>
      </c>
      <c r="AO35" s="100">
        <v>9553.1999999999989</v>
      </c>
      <c r="AP35" s="100">
        <v>27</v>
      </c>
      <c r="AQ35" s="100">
        <v>13575.599999999997</v>
      </c>
      <c r="AR35" s="100">
        <v>20</v>
      </c>
      <c r="AS35" s="100">
        <v>10055.999999999998</v>
      </c>
      <c r="AT35" s="100">
        <v>21</v>
      </c>
      <c r="AU35" s="100">
        <v>10558.799999999997</v>
      </c>
      <c r="AV35" s="100">
        <v>18</v>
      </c>
      <c r="AW35" s="100">
        <v>9050.3999999999978</v>
      </c>
      <c r="AX35" s="100">
        <v>25</v>
      </c>
      <c r="AY35" s="100">
        <v>12569.999999999998</v>
      </c>
      <c r="AZ35" s="100">
        <v>21</v>
      </c>
      <c r="BA35" s="100">
        <v>10558.799999999997</v>
      </c>
      <c r="BB35" s="100">
        <v>30</v>
      </c>
      <c r="BC35" s="100">
        <v>15083.999999999996</v>
      </c>
      <c r="BD35" s="100">
        <v>25.212793185634212</v>
      </c>
      <c r="BE35" s="100">
        <v>12676.99241373688</v>
      </c>
      <c r="BF35" s="100">
        <v>22.739356213509435</v>
      </c>
      <c r="BG35" s="100">
        <v>11433.348304152541</v>
      </c>
      <c r="BH35" s="100">
        <v>18</v>
      </c>
      <c r="BI35" s="100">
        <v>9050.3999999999978</v>
      </c>
      <c r="BJ35" s="100">
        <v>15</v>
      </c>
      <c r="BK35" s="100">
        <v>7541.9999999999982</v>
      </c>
      <c r="BL35" s="100">
        <v>23.078387547960119</v>
      </c>
      <c r="BM35" s="100">
        <v>11603.813259114346</v>
      </c>
      <c r="BN35" s="100">
        <v>25.367731918314451</v>
      </c>
      <c r="BO35" s="100">
        <v>12754.895608528503</v>
      </c>
      <c r="BP35" s="100">
        <v>18.254725859862369</v>
      </c>
      <c r="BQ35" s="100">
        <v>9178.4761623387967</v>
      </c>
      <c r="BR35" s="100">
        <v>17.757889598531609</v>
      </c>
      <c r="BS35" s="100">
        <v>8928.6668901416906</v>
      </c>
      <c r="BT35" s="100">
        <v>26.786283485754982</v>
      </c>
      <c r="BU35" s="100">
        <v>13468.143336637602</v>
      </c>
      <c r="BV35" s="100">
        <v>17.93662595018623</v>
      </c>
      <c r="BW35" s="100">
        <v>9018.5355277536346</v>
      </c>
      <c r="BX35" s="100">
        <v>13.443965866710757</v>
      </c>
      <c r="BY35" s="100">
        <v>6759.6260377821673</v>
      </c>
      <c r="BZ35" s="100">
        <v>20.992422111544258</v>
      </c>
      <c r="CA35" s="100">
        <v>10554.98983768445</v>
      </c>
      <c r="CB35" s="100">
        <v>14.911647729888788</v>
      </c>
      <c r="CC35" s="100">
        <v>7497.576478588081</v>
      </c>
      <c r="CD35" s="100">
        <v>18.431030731889038</v>
      </c>
      <c r="CE35" s="100">
        <v>9267.1222519938055</v>
      </c>
      <c r="CF35" s="100">
        <v>22</v>
      </c>
      <c r="CG35" s="100">
        <v>11061.599999999999</v>
      </c>
      <c r="CH35" s="100">
        <v>19</v>
      </c>
      <c r="CI35" s="100">
        <v>9553.1999999999989</v>
      </c>
      <c r="CJ35" s="100">
        <v>18</v>
      </c>
      <c r="CK35" s="100">
        <v>9050.3999999999978</v>
      </c>
      <c r="CL35" s="100">
        <v>21</v>
      </c>
      <c r="CM35" s="100">
        <v>10558.799999999997</v>
      </c>
      <c r="CN35" s="100">
        <v>21.340264436880073</v>
      </c>
      <c r="CO35" s="100">
        <v>10729.884958863298</v>
      </c>
      <c r="CP35" s="100">
        <v>18</v>
      </c>
      <c r="CQ35" s="100">
        <v>9050.3999999999978</v>
      </c>
      <c r="CR35" s="100">
        <v>19</v>
      </c>
      <c r="CS35" s="100">
        <v>9553.1999999999989</v>
      </c>
      <c r="CT35" s="100">
        <v>24</v>
      </c>
      <c r="CU35" s="100">
        <v>12067.199999999997</v>
      </c>
    </row>
    <row r="36" spans="2:99">
      <c r="C36" s="99" t="s">
        <v>202</v>
      </c>
      <c r="D36" s="100">
        <v>18</v>
      </c>
      <c r="E36" s="100">
        <v>13694.4</v>
      </c>
      <c r="F36" s="100">
        <v>23</v>
      </c>
      <c r="G36" s="100">
        <v>17498.399999999998</v>
      </c>
      <c r="H36" s="100">
        <v>15</v>
      </c>
      <c r="I36" s="100">
        <v>11412</v>
      </c>
      <c r="J36" s="100">
        <v>23</v>
      </c>
      <c r="K36" s="100">
        <v>17498.399999999998</v>
      </c>
      <c r="L36" s="100">
        <v>15</v>
      </c>
      <c r="M36" s="100">
        <v>11412</v>
      </c>
      <c r="N36" s="100">
        <v>18</v>
      </c>
      <c r="O36" s="100">
        <v>13694.4</v>
      </c>
      <c r="P36" s="100">
        <v>18</v>
      </c>
      <c r="Q36" s="100">
        <v>13694.4</v>
      </c>
      <c r="R36" s="100">
        <v>20</v>
      </c>
      <c r="S36" s="100">
        <v>15216</v>
      </c>
      <c r="T36" s="100">
        <v>27</v>
      </c>
      <c r="U36" s="100">
        <v>20541.599999999999</v>
      </c>
      <c r="V36" s="100">
        <v>16</v>
      </c>
      <c r="W36" s="100">
        <v>12172.8</v>
      </c>
      <c r="X36" s="100">
        <v>21</v>
      </c>
      <c r="Y36" s="100">
        <v>15976.8</v>
      </c>
      <c r="Z36" s="100">
        <v>17</v>
      </c>
      <c r="AA36" s="100">
        <v>12933.599999999999</v>
      </c>
      <c r="AB36" s="100">
        <v>16</v>
      </c>
      <c r="AC36" s="100">
        <v>12172.8</v>
      </c>
      <c r="AD36" s="100">
        <v>16</v>
      </c>
      <c r="AE36" s="100">
        <v>12172.8</v>
      </c>
      <c r="AF36" s="100">
        <v>29</v>
      </c>
      <c r="AG36" s="100">
        <v>22063.199999999997</v>
      </c>
      <c r="AH36" s="100">
        <v>26</v>
      </c>
      <c r="AI36" s="100">
        <v>19780.8</v>
      </c>
      <c r="AJ36" s="100">
        <v>21</v>
      </c>
      <c r="AK36" s="100">
        <v>15976.8</v>
      </c>
      <c r="AL36" s="100">
        <v>18</v>
      </c>
      <c r="AM36" s="100">
        <v>13694.4</v>
      </c>
      <c r="AN36" s="100">
        <v>22</v>
      </c>
      <c r="AO36" s="100">
        <v>16737.599999999999</v>
      </c>
      <c r="AP36" s="100">
        <v>25</v>
      </c>
      <c r="AQ36" s="100">
        <v>19020</v>
      </c>
      <c r="AR36" s="100">
        <v>19</v>
      </c>
      <c r="AS36" s="100">
        <v>14455.199999999999</v>
      </c>
      <c r="AT36" s="100">
        <v>21</v>
      </c>
      <c r="AU36" s="100">
        <v>15976.8</v>
      </c>
      <c r="AV36" s="100">
        <v>18</v>
      </c>
      <c r="AW36" s="100">
        <v>13694.4</v>
      </c>
      <c r="AX36" s="100">
        <v>25</v>
      </c>
      <c r="AY36" s="100">
        <v>19020</v>
      </c>
      <c r="AZ36" s="100">
        <v>19</v>
      </c>
      <c r="BA36" s="100">
        <v>14455.199999999999</v>
      </c>
      <c r="BB36" s="100">
        <v>28</v>
      </c>
      <c r="BC36" s="100">
        <v>21302.399999999998</v>
      </c>
      <c r="BD36" s="100">
        <v>25.212793185634212</v>
      </c>
      <c r="BE36" s="100">
        <v>19181.893055630506</v>
      </c>
      <c r="BF36" s="100">
        <v>22.739356213509435</v>
      </c>
      <c r="BG36" s="100">
        <v>17300.102207237978</v>
      </c>
      <c r="BH36" s="100">
        <v>17</v>
      </c>
      <c r="BI36" s="100">
        <v>12933.599999999999</v>
      </c>
      <c r="BJ36" s="100">
        <v>18</v>
      </c>
      <c r="BK36" s="100">
        <v>13694.4</v>
      </c>
      <c r="BL36" s="100">
        <v>21.303126967347804</v>
      </c>
      <c r="BM36" s="100">
        <v>16207.418996758208</v>
      </c>
      <c r="BN36" s="100">
        <v>24.461741492660362</v>
      </c>
      <c r="BO36" s="100">
        <v>18610.492927616004</v>
      </c>
      <c r="BP36" s="100">
        <v>17.29395081460645</v>
      </c>
      <c r="BQ36" s="100">
        <v>13157.237779752586</v>
      </c>
      <c r="BR36" s="100">
        <v>17.757889598531609</v>
      </c>
      <c r="BS36" s="100">
        <v>13510.202406562847</v>
      </c>
      <c r="BT36" s="100">
        <v>23.329988842431757</v>
      </c>
      <c r="BU36" s="100">
        <v>17749.455511322078</v>
      </c>
      <c r="BV36" s="100">
        <v>20.627119842714166</v>
      </c>
      <c r="BW36" s="100">
        <v>15693.112776336937</v>
      </c>
      <c r="BX36" s="100">
        <v>12.603718000041335</v>
      </c>
      <c r="BY36" s="100">
        <v>9588.9086544314468</v>
      </c>
      <c r="BZ36" s="100">
        <v>21.6921695152624</v>
      </c>
      <c r="CA36" s="100">
        <v>16503.402567211633</v>
      </c>
      <c r="CB36" s="100">
        <v>13.42048295689991</v>
      </c>
      <c r="CC36" s="100">
        <v>10210.303433609452</v>
      </c>
      <c r="CD36" s="100">
        <v>18.431030731889038</v>
      </c>
      <c r="CE36" s="100">
        <v>14022.32818082118</v>
      </c>
      <c r="CF36" s="100">
        <v>19</v>
      </c>
      <c r="CG36" s="100">
        <v>14455.199999999999</v>
      </c>
      <c r="CH36" s="100">
        <v>20</v>
      </c>
      <c r="CI36" s="100">
        <v>15216</v>
      </c>
      <c r="CJ36" s="100">
        <v>16</v>
      </c>
      <c r="CK36" s="100">
        <v>12172.8</v>
      </c>
      <c r="CL36" s="100">
        <v>17</v>
      </c>
      <c r="CM36" s="100">
        <v>12933.599999999999</v>
      </c>
      <c r="CN36" s="100">
        <v>21.340264436880073</v>
      </c>
      <c r="CO36" s="100">
        <v>16235.673183578359</v>
      </c>
      <c r="CP36" s="100">
        <v>16</v>
      </c>
      <c r="CQ36" s="100">
        <v>12172.8</v>
      </c>
      <c r="CR36" s="100">
        <v>21</v>
      </c>
      <c r="CS36" s="100">
        <v>15976.8</v>
      </c>
      <c r="CT36" s="100">
        <v>24</v>
      </c>
      <c r="CU36" s="100">
        <v>18259.199999999997</v>
      </c>
    </row>
    <row r="37" spans="2:99">
      <c r="B37" s="99" t="s">
        <v>128</v>
      </c>
      <c r="C37" s="99" t="s">
        <v>203</v>
      </c>
      <c r="D37" s="100">
        <v>17</v>
      </c>
      <c r="E37" s="100">
        <v>14626.8</v>
      </c>
      <c r="F37" s="100">
        <v>13</v>
      </c>
      <c r="G37" s="100">
        <v>11185.199999999999</v>
      </c>
      <c r="H37" s="100">
        <v>13</v>
      </c>
      <c r="I37" s="100">
        <v>11185.199999999999</v>
      </c>
      <c r="J37" s="100">
        <v>16</v>
      </c>
      <c r="K37" s="100">
        <v>13766.4</v>
      </c>
      <c r="L37" s="100">
        <v>10</v>
      </c>
      <c r="M37" s="100">
        <v>8604</v>
      </c>
      <c r="N37" s="100">
        <v>15</v>
      </c>
      <c r="O37" s="100">
        <v>12906</v>
      </c>
      <c r="P37" s="100">
        <v>17</v>
      </c>
      <c r="Q37" s="100">
        <v>14626.8</v>
      </c>
      <c r="R37" s="100">
        <v>16</v>
      </c>
      <c r="S37" s="100">
        <v>13766.4</v>
      </c>
      <c r="T37" s="100">
        <v>13</v>
      </c>
      <c r="U37" s="100">
        <v>11185.199999999999</v>
      </c>
      <c r="V37" s="100">
        <v>12</v>
      </c>
      <c r="W37" s="100">
        <v>10324.799999999999</v>
      </c>
      <c r="X37" s="100">
        <v>13</v>
      </c>
      <c r="Y37" s="100">
        <v>11185.199999999999</v>
      </c>
      <c r="Z37" s="100">
        <v>17</v>
      </c>
      <c r="AA37" s="100">
        <v>14626.8</v>
      </c>
      <c r="AB37" s="100">
        <v>14</v>
      </c>
      <c r="AC37" s="100">
        <v>12045.6</v>
      </c>
      <c r="AD37" s="100">
        <v>12</v>
      </c>
      <c r="AE37" s="100">
        <v>10324.799999999999</v>
      </c>
      <c r="AF37" s="100">
        <v>17</v>
      </c>
      <c r="AG37" s="100">
        <v>14626.8</v>
      </c>
      <c r="AH37" s="100">
        <v>16</v>
      </c>
      <c r="AI37" s="100">
        <v>13766.4</v>
      </c>
      <c r="AJ37" s="100">
        <v>16</v>
      </c>
      <c r="AK37" s="100">
        <v>13766.4</v>
      </c>
      <c r="AL37" s="100">
        <v>16</v>
      </c>
      <c r="AM37" s="100">
        <v>13766.4</v>
      </c>
      <c r="AN37" s="100">
        <v>18</v>
      </c>
      <c r="AO37" s="100">
        <v>15487.199999999999</v>
      </c>
      <c r="AP37" s="100">
        <v>12</v>
      </c>
      <c r="AQ37" s="100">
        <v>10324.799999999999</v>
      </c>
      <c r="AR37" s="100">
        <v>18</v>
      </c>
      <c r="AS37" s="100">
        <v>15487.199999999999</v>
      </c>
      <c r="AT37" s="100">
        <v>16</v>
      </c>
      <c r="AU37" s="100">
        <v>13766.4</v>
      </c>
      <c r="AV37" s="100">
        <v>14</v>
      </c>
      <c r="AW37" s="100">
        <v>12045.6</v>
      </c>
      <c r="AX37" s="100">
        <v>11</v>
      </c>
      <c r="AY37" s="100">
        <v>9464.4</v>
      </c>
      <c r="AZ37" s="100">
        <v>13</v>
      </c>
      <c r="BA37" s="100">
        <v>11185.199999999999</v>
      </c>
      <c r="BB37" s="100">
        <v>17</v>
      </c>
      <c r="BC37" s="100">
        <v>14626.8</v>
      </c>
      <c r="BD37" s="100">
        <v>8.7275053334887644</v>
      </c>
      <c r="BE37" s="100">
        <v>7509.1455889337331</v>
      </c>
      <c r="BF37" s="100">
        <v>12.632975674171909</v>
      </c>
      <c r="BG37" s="100">
        <v>10869.41227005751</v>
      </c>
      <c r="BH37" s="100">
        <v>12</v>
      </c>
      <c r="BI37" s="100">
        <v>10324.799999999999</v>
      </c>
      <c r="BJ37" s="100">
        <v>14</v>
      </c>
      <c r="BK37" s="100">
        <v>12045.6</v>
      </c>
      <c r="BL37" s="100">
        <v>16.864975515817012</v>
      </c>
      <c r="BM37" s="100">
        <v>14510.624933808956</v>
      </c>
      <c r="BN37" s="100">
        <v>15.401837236119487</v>
      </c>
      <c r="BO37" s="100">
        <v>13251.740757957206</v>
      </c>
      <c r="BP37" s="100">
        <v>19.215500905118279</v>
      </c>
      <c r="BQ37" s="100">
        <v>16533.016978763768</v>
      </c>
      <c r="BR37" s="100">
        <v>13.084760756812765</v>
      </c>
      <c r="BS37" s="100">
        <v>11258.128155161703</v>
      </c>
      <c r="BT37" s="100">
        <v>11.232957590800476</v>
      </c>
      <c r="BU37" s="100">
        <v>9664.8367111247298</v>
      </c>
      <c r="BV37" s="100">
        <v>9.8651442726024268</v>
      </c>
      <c r="BW37" s="100">
        <v>8487.9701321471275</v>
      </c>
      <c r="BX37" s="100">
        <v>9.2427265333636459</v>
      </c>
      <c r="BY37" s="100">
        <v>7952.4419093060806</v>
      </c>
      <c r="BZ37" s="100">
        <v>11.195958459490271</v>
      </c>
      <c r="CA37" s="100">
        <v>9633.0026585454289</v>
      </c>
      <c r="CB37" s="100">
        <v>10.438153410922151</v>
      </c>
      <c r="CC37" s="100">
        <v>8980.9871947574193</v>
      </c>
      <c r="CD37" s="100">
        <v>8.3777412417677439</v>
      </c>
      <c r="CE37" s="100">
        <v>7208.2085644169665</v>
      </c>
      <c r="CF37" s="100">
        <v>11</v>
      </c>
      <c r="CG37" s="100">
        <v>9464.4</v>
      </c>
      <c r="CH37" s="100">
        <v>18</v>
      </c>
      <c r="CI37" s="100">
        <v>15487.199999999999</v>
      </c>
      <c r="CJ37" s="100">
        <v>16</v>
      </c>
      <c r="CK37" s="100">
        <v>13766.4</v>
      </c>
      <c r="CL37" s="100">
        <v>12</v>
      </c>
      <c r="CM37" s="100">
        <v>10324.799999999999</v>
      </c>
      <c r="CN37" s="100">
        <v>14.845401347394834</v>
      </c>
      <c r="CO37" s="100">
        <v>12772.983319298515</v>
      </c>
      <c r="CP37" s="100">
        <v>15</v>
      </c>
      <c r="CQ37" s="100">
        <v>12906</v>
      </c>
      <c r="CR37" s="100">
        <v>17</v>
      </c>
      <c r="CS37" s="100">
        <v>14626.8</v>
      </c>
      <c r="CT37" s="100">
        <v>10</v>
      </c>
      <c r="CU37" s="100">
        <v>8604</v>
      </c>
    </row>
    <row r="38" spans="2:99">
      <c r="C38" s="99" t="s">
        <v>204</v>
      </c>
      <c r="D38" s="100">
        <v>17</v>
      </c>
      <c r="E38" s="100">
        <v>21114</v>
      </c>
      <c r="F38" s="100">
        <v>12</v>
      </c>
      <c r="G38" s="100">
        <v>14904</v>
      </c>
      <c r="H38" s="100">
        <v>13</v>
      </c>
      <c r="I38" s="100">
        <v>16146</v>
      </c>
      <c r="J38" s="100">
        <v>16</v>
      </c>
      <c r="K38" s="100">
        <v>19872</v>
      </c>
      <c r="L38" s="100">
        <v>10</v>
      </c>
      <c r="M38" s="100">
        <v>12420</v>
      </c>
      <c r="N38" s="100">
        <v>13</v>
      </c>
      <c r="O38" s="100">
        <v>16146</v>
      </c>
      <c r="P38" s="100">
        <v>15</v>
      </c>
      <c r="Q38" s="100">
        <v>18630</v>
      </c>
      <c r="R38" s="100">
        <v>16</v>
      </c>
      <c r="S38" s="100">
        <v>19872</v>
      </c>
      <c r="T38" s="100">
        <v>13</v>
      </c>
      <c r="U38" s="100">
        <v>16146</v>
      </c>
      <c r="V38" s="100">
        <v>13</v>
      </c>
      <c r="W38" s="100">
        <v>16146</v>
      </c>
      <c r="X38" s="100">
        <v>14</v>
      </c>
      <c r="Y38" s="100">
        <v>17388</v>
      </c>
      <c r="Z38" s="100">
        <v>18</v>
      </c>
      <c r="AA38" s="100">
        <v>22356</v>
      </c>
      <c r="AB38" s="100">
        <v>16</v>
      </c>
      <c r="AC38" s="100">
        <v>19872</v>
      </c>
      <c r="AD38" s="100">
        <v>11</v>
      </c>
      <c r="AE38" s="100">
        <v>13662</v>
      </c>
      <c r="AF38" s="100">
        <v>17</v>
      </c>
      <c r="AG38" s="100">
        <v>21114</v>
      </c>
      <c r="AH38" s="100">
        <v>14</v>
      </c>
      <c r="AI38" s="100">
        <v>17388</v>
      </c>
      <c r="AJ38" s="100">
        <v>17</v>
      </c>
      <c r="AK38" s="100">
        <v>21114</v>
      </c>
      <c r="AL38" s="100">
        <v>15</v>
      </c>
      <c r="AM38" s="100">
        <v>18630</v>
      </c>
      <c r="AN38" s="100">
        <v>17</v>
      </c>
      <c r="AO38" s="100">
        <v>21114</v>
      </c>
      <c r="AP38" s="100">
        <v>14</v>
      </c>
      <c r="AQ38" s="100">
        <v>17388</v>
      </c>
      <c r="AR38" s="100">
        <v>15</v>
      </c>
      <c r="AS38" s="100">
        <v>18630</v>
      </c>
      <c r="AT38" s="100">
        <v>15</v>
      </c>
      <c r="AU38" s="100">
        <v>18630</v>
      </c>
      <c r="AV38" s="100">
        <v>13</v>
      </c>
      <c r="AW38" s="100">
        <v>16146</v>
      </c>
      <c r="AX38" s="100">
        <v>10</v>
      </c>
      <c r="AY38" s="100">
        <v>12420</v>
      </c>
      <c r="AZ38" s="100">
        <v>14</v>
      </c>
      <c r="BA38" s="100">
        <v>17388</v>
      </c>
      <c r="BB38" s="100">
        <v>18</v>
      </c>
      <c r="BC38" s="100">
        <v>22356</v>
      </c>
      <c r="BD38" s="100">
        <v>8.7275053334887644</v>
      </c>
      <c r="BE38" s="100">
        <v>10839.561624193046</v>
      </c>
      <c r="BF38" s="100">
        <v>12.632975674171909</v>
      </c>
      <c r="BG38" s="100">
        <v>15690.155787321512</v>
      </c>
      <c r="BH38" s="100">
        <v>11</v>
      </c>
      <c r="BI38" s="100">
        <v>13662</v>
      </c>
      <c r="BJ38" s="100">
        <v>14</v>
      </c>
      <c r="BK38" s="100">
        <v>17388</v>
      </c>
      <c r="BL38" s="100">
        <v>14.202084644898536</v>
      </c>
      <c r="BM38" s="100">
        <v>17638.989128963982</v>
      </c>
      <c r="BN38" s="100">
        <v>15.401837236119487</v>
      </c>
      <c r="BO38" s="100">
        <v>19129.081847260404</v>
      </c>
      <c r="BP38" s="100">
        <v>19.215500905118279</v>
      </c>
      <c r="BQ38" s="100">
        <v>23865.652124156903</v>
      </c>
      <c r="BR38" s="100">
        <v>14.019386525156534</v>
      </c>
      <c r="BS38" s="100">
        <v>17412.078064244415</v>
      </c>
      <c r="BT38" s="100">
        <v>10.36888392996967</v>
      </c>
      <c r="BU38" s="100">
        <v>12878.153841022329</v>
      </c>
      <c r="BV38" s="100">
        <v>9.8651442726024268</v>
      </c>
      <c r="BW38" s="100">
        <v>12252.509186572213</v>
      </c>
      <c r="BX38" s="100">
        <v>10.082974400033068</v>
      </c>
      <c r="BY38" s="100">
        <v>12523.05420484107</v>
      </c>
      <c r="BZ38" s="100">
        <v>12.595453266926555</v>
      </c>
      <c r="CA38" s="100">
        <v>15643.552957522781</v>
      </c>
      <c r="CB38" s="100">
        <v>11.18373579741659</v>
      </c>
      <c r="CC38" s="100">
        <v>13890.199860391405</v>
      </c>
      <c r="CD38" s="100">
        <v>9.215515365944519</v>
      </c>
      <c r="CE38" s="100">
        <v>11445.670084503092</v>
      </c>
      <c r="CF38" s="100">
        <v>12</v>
      </c>
      <c r="CG38" s="100">
        <v>14904</v>
      </c>
      <c r="CH38" s="100">
        <v>15</v>
      </c>
      <c r="CI38" s="100">
        <v>18630</v>
      </c>
      <c r="CJ38" s="100">
        <v>16</v>
      </c>
      <c r="CK38" s="100">
        <v>19872</v>
      </c>
      <c r="CL38" s="100">
        <v>10</v>
      </c>
      <c r="CM38" s="100">
        <v>12420</v>
      </c>
      <c r="CN38" s="100">
        <v>15.773238931607009</v>
      </c>
      <c r="CO38" s="100">
        <v>19590.362753055906</v>
      </c>
      <c r="CP38" s="100">
        <v>15</v>
      </c>
      <c r="CQ38" s="100">
        <v>18630</v>
      </c>
      <c r="CR38" s="100">
        <v>17</v>
      </c>
      <c r="CS38" s="100">
        <v>21114</v>
      </c>
      <c r="CT38" s="100">
        <v>10</v>
      </c>
      <c r="CU38" s="100">
        <v>12420</v>
      </c>
    </row>
    <row r="39" spans="2:99">
      <c r="C39" s="99" t="s">
        <v>205</v>
      </c>
      <c r="D39" s="100">
        <v>17</v>
      </c>
      <c r="E39" s="100">
        <v>24194.400000000001</v>
      </c>
      <c r="F39" s="100">
        <v>12</v>
      </c>
      <c r="G39" s="100">
        <v>17078.400000000001</v>
      </c>
      <c r="H39" s="100">
        <v>11</v>
      </c>
      <c r="I39" s="100">
        <v>15655.2</v>
      </c>
      <c r="J39" s="100">
        <v>14</v>
      </c>
      <c r="K39" s="100">
        <v>19924.8</v>
      </c>
      <c r="L39" s="100">
        <v>8</v>
      </c>
      <c r="M39" s="100">
        <v>11385.6</v>
      </c>
      <c r="N39" s="100">
        <v>13</v>
      </c>
      <c r="O39" s="100">
        <v>18501.600000000002</v>
      </c>
      <c r="P39" s="100">
        <v>17</v>
      </c>
      <c r="Q39" s="100">
        <v>24194.400000000001</v>
      </c>
      <c r="R39" s="100">
        <v>17</v>
      </c>
      <c r="S39" s="100">
        <v>24194.400000000001</v>
      </c>
      <c r="T39" s="100">
        <v>13</v>
      </c>
      <c r="U39" s="100">
        <v>18501.600000000002</v>
      </c>
      <c r="V39" s="100">
        <v>11</v>
      </c>
      <c r="W39" s="100">
        <v>15655.2</v>
      </c>
      <c r="X39" s="100">
        <v>14</v>
      </c>
      <c r="Y39" s="100">
        <v>19924.8</v>
      </c>
      <c r="Z39" s="100">
        <v>16</v>
      </c>
      <c r="AA39" s="100">
        <v>22771.200000000001</v>
      </c>
      <c r="AB39" s="100">
        <v>15</v>
      </c>
      <c r="AC39" s="100">
        <v>21348</v>
      </c>
      <c r="AD39" s="100">
        <v>11</v>
      </c>
      <c r="AE39" s="100">
        <v>15655.2</v>
      </c>
      <c r="AF39" s="100">
        <v>18</v>
      </c>
      <c r="AG39" s="100">
        <v>25617.600000000002</v>
      </c>
      <c r="AH39" s="100">
        <v>16</v>
      </c>
      <c r="AI39" s="100">
        <v>22771.200000000001</v>
      </c>
      <c r="AJ39" s="100">
        <v>17</v>
      </c>
      <c r="AK39" s="100">
        <v>24194.400000000001</v>
      </c>
      <c r="AL39" s="100">
        <v>15</v>
      </c>
      <c r="AM39" s="100">
        <v>21348</v>
      </c>
      <c r="AN39" s="100">
        <v>16</v>
      </c>
      <c r="AO39" s="100">
        <v>22771.200000000001</v>
      </c>
      <c r="AP39" s="100">
        <v>12</v>
      </c>
      <c r="AQ39" s="100">
        <v>17078.400000000001</v>
      </c>
      <c r="AR39" s="100">
        <v>15</v>
      </c>
      <c r="AS39" s="100">
        <v>21348</v>
      </c>
      <c r="AT39" s="100">
        <v>13</v>
      </c>
      <c r="AU39" s="100">
        <v>18501.600000000002</v>
      </c>
      <c r="AV39" s="100">
        <v>13</v>
      </c>
      <c r="AW39" s="100">
        <v>18501.600000000002</v>
      </c>
      <c r="AX39" s="100">
        <v>9</v>
      </c>
      <c r="AY39" s="100">
        <v>12808.800000000001</v>
      </c>
      <c r="AZ39" s="100">
        <v>13</v>
      </c>
      <c r="BA39" s="100">
        <v>18501.600000000002</v>
      </c>
      <c r="BB39" s="100">
        <v>15</v>
      </c>
      <c r="BC39" s="100">
        <v>21348</v>
      </c>
      <c r="BD39" s="100">
        <v>8.7275053334887644</v>
      </c>
      <c r="BE39" s="100">
        <v>12420.985590621211</v>
      </c>
      <c r="BF39" s="100">
        <v>12.632975674171909</v>
      </c>
      <c r="BG39" s="100">
        <v>17979.250979481461</v>
      </c>
      <c r="BH39" s="100">
        <v>12</v>
      </c>
      <c r="BI39" s="100">
        <v>17078.400000000001</v>
      </c>
      <c r="BJ39" s="100">
        <v>12</v>
      </c>
      <c r="BK39" s="100">
        <v>17078.400000000001</v>
      </c>
      <c r="BL39" s="100">
        <v>14.202084644898536</v>
      </c>
      <c r="BM39" s="100">
        <v>20212.406866619596</v>
      </c>
      <c r="BN39" s="100">
        <v>16.307827661773572</v>
      </c>
      <c r="BO39" s="100">
        <v>23209.30032823615</v>
      </c>
      <c r="BP39" s="100">
        <v>16.333175769350539</v>
      </c>
      <c r="BQ39" s="100">
        <v>23245.375754939687</v>
      </c>
      <c r="BR39" s="100">
        <v>14.019386525156534</v>
      </c>
      <c r="BS39" s="100">
        <v>19952.39090260278</v>
      </c>
      <c r="BT39" s="100">
        <v>10.36888392996967</v>
      </c>
      <c r="BU39" s="100">
        <v>14756.995609132835</v>
      </c>
      <c r="BV39" s="100">
        <v>9.8651442726024268</v>
      </c>
      <c r="BW39" s="100">
        <v>14040.073328767774</v>
      </c>
      <c r="BX39" s="100">
        <v>9.2427265333636459</v>
      </c>
      <c r="BY39" s="100">
        <v>13154.248402283141</v>
      </c>
      <c r="BZ39" s="100">
        <v>11.895705863208413</v>
      </c>
      <c r="CA39" s="100">
        <v>16929.968584518214</v>
      </c>
      <c r="CB39" s="100">
        <v>11.18373579741659</v>
      </c>
      <c r="CC39" s="100">
        <v>15916.692786883292</v>
      </c>
      <c r="CD39" s="100">
        <v>8.3777412417677439</v>
      </c>
      <c r="CE39" s="100">
        <v>11923.201335283853</v>
      </c>
      <c r="CF39" s="100">
        <v>10</v>
      </c>
      <c r="CG39" s="100">
        <v>14232</v>
      </c>
      <c r="CH39" s="100">
        <v>17</v>
      </c>
      <c r="CI39" s="100">
        <v>24194.400000000001</v>
      </c>
      <c r="CJ39" s="100">
        <v>17</v>
      </c>
      <c r="CK39" s="100">
        <v>24194.400000000001</v>
      </c>
      <c r="CL39" s="100">
        <v>10</v>
      </c>
      <c r="CM39" s="100">
        <v>14232</v>
      </c>
      <c r="CN39" s="100">
        <v>15.773238931607009</v>
      </c>
      <c r="CO39" s="100">
        <v>22448.473647463095</v>
      </c>
      <c r="CP39" s="100">
        <v>14</v>
      </c>
      <c r="CQ39" s="100">
        <v>19924.8</v>
      </c>
      <c r="CR39" s="100">
        <v>16</v>
      </c>
      <c r="CS39" s="100">
        <v>22771.200000000001</v>
      </c>
      <c r="CT39" s="100">
        <v>10</v>
      </c>
      <c r="CU39" s="100">
        <v>14232</v>
      </c>
    </row>
    <row r="40" spans="2:99">
      <c r="C40" s="99" t="s">
        <v>206</v>
      </c>
      <c r="D40" s="100">
        <v>19</v>
      </c>
      <c r="E40" s="100">
        <v>13771.199999999999</v>
      </c>
      <c r="F40" s="100">
        <v>13</v>
      </c>
      <c r="G40" s="100">
        <v>9422.4</v>
      </c>
      <c r="H40" s="100">
        <v>14</v>
      </c>
      <c r="I40" s="100">
        <v>10147.199999999999</v>
      </c>
      <c r="J40" s="100">
        <v>18</v>
      </c>
      <c r="K40" s="100">
        <v>13046.4</v>
      </c>
      <c r="L40" s="100">
        <v>9</v>
      </c>
      <c r="M40" s="100">
        <v>6523.2</v>
      </c>
      <c r="N40" s="100">
        <v>13</v>
      </c>
      <c r="O40" s="100">
        <v>9422.4</v>
      </c>
      <c r="P40" s="100">
        <v>18</v>
      </c>
      <c r="Q40" s="100">
        <v>13046.4</v>
      </c>
      <c r="R40" s="100">
        <v>16</v>
      </c>
      <c r="S40" s="100">
        <v>11596.8</v>
      </c>
      <c r="T40" s="100">
        <v>11</v>
      </c>
      <c r="U40" s="100">
        <v>7972.7999999999993</v>
      </c>
      <c r="V40" s="100">
        <v>12</v>
      </c>
      <c r="W40" s="100">
        <v>8697.5999999999985</v>
      </c>
      <c r="X40" s="100">
        <v>16</v>
      </c>
      <c r="Y40" s="100">
        <v>11596.8</v>
      </c>
      <c r="Z40" s="100">
        <v>18</v>
      </c>
      <c r="AA40" s="100">
        <v>13046.4</v>
      </c>
      <c r="AB40" s="100">
        <v>15</v>
      </c>
      <c r="AC40" s="100">
        <v>10872</v>
      </c>
      <c r="AD40" s="100">
        <v>13</v>
      </c>
      <c r="AE40" s="100">
        <v>9422.4</v>
      </c>
      <c r="AF40" s="100">
        <v>18</v>
      </c>
      <c r="AG40" s="100">
        <v>13046.4</v>
      </c>
      <c r="AH40" s="100">
        <v>15</v>
      </c>
      <c r="AI40" s="100">
        <v>10872</v>
      </c>
      <c r="AJ40" s="100">
        <v>18</v>
      </c>
      <c r="AK40" s="100">
        <v>13046.4</v>
      </c>
      <c r="AL40" s="100">
        <v>17</v>
      </c>
      <c r="AM40" s="100">
        <v>12321.599999999999</v>
      </c>
      <c r="AN40" s="100">
        <v>19</v>
      </c>
      <c r="AO40" s="100">
        <v>13771.199999999999</v>
      </c>
      <c r="AP40" s="100">
        <v>13</v>
      </c>
      <c r="AQ40" s="100">
        <v>9422.4</v>
      </c>
      <c r="AR40" s="100">
        <v>18</v>
      </c>
      <c r="AS40" s="100">
        <v>13046.4</v>
      </c>
      <c r="AT40" s="100">
        <v>16</v>
      </c>
      <c r="AU40" s="100">
        <v>11596.8</v>
      </c>
      <c r="AV40" s="100">
        <v>14</v>
      </c>
      <c r="AW40" s="100">
        <v>10147.199999999999</v>
      </c>
      <c r="AX40" s="100">
        <v>10</v>
      </c>
      <c r="AY40" s="100">
        <v>7248</v>
      </c>
      <c r="AZ40" s="100">
        <v>14</v>
      </c>
      <c r="BA40" s="100">
        <v>10147.199999999999</v>
      </c>
      <c r="BB40" s="100">
        <v>16</v>
      </c>
      <c r="BC40" s="100">
        <v>11596.8</v>
      </c>
      <c r="BD40" s="100">
        <v>9.6972281483208498</v>
      </c>
      <c r="BE40" s="100">
        <v>7028.5509619029517</v>
      </c>
      <c r="BF40" s="100">
        <v>15.159570809006288</v>
      </c>
      <c r="BG40" s="100">
        <v>10987.656922367756</v>
      </c>
      <c r="BH40" s="100">
        <v>13</v>
      </c>
      <c r="BI40" s="100">
        <v>9422.4</v>
      </c>
      <c r="BJ40" s="100">
        <v>14</v>
      </c>
      <c r="BK40" s="100">
        <v>10147.199999999999</v>
      </c>
      <c r="BL40" s="100">
        <v>16.864975515817012</v>
      </c>
      <c r="BM40" s="100">
        <v>12223.73425386417</v>
      </c>
      <c r="BN40" s="100">
        <v>17.213818087427661</v>
      </c>
      <c r="BO40" s="100">
        <v>12476.575349767569</v>
      </c>
      <c r="BP40" s="100">
        <v>19.215500905118279</v>
      </c>
      <c r="BQ40" s="100">
        <v>13927.395056029729</v>
      </c>
      <c r="BR40" s="100">
        <v>14.019386525156534</v>
      </c>
      <c r="BS40" s="100">
        <v>10161.251353433456</v>
      </c>
      <c r="BT40" s="100">
        <v>11.232957590800476</v>
      </c>
      <c r="BU40" s="100">
        <v>8141.6476618121842</v>
      </c>
      <c r="BV40" s="100">
        <v>10.761975570111739</v>
      </c>
      <c r="BW40" s="100">
        <v>7800.2798932169881</v>
      </c>
      <c r="BX40" s="100">
        <v>11.763470133371912</v>
      </c>
      <c r="BY40" s="100">
        <v>8526.1631526679612</v>
      </c>
      <c r="BZ40" s="100">
        <v>12.595453266926555</v>
      </c>
      <c r="CA40" s="100">
        <v>9129.1845278683668</v>
      </c>
      <c r="CB40" s="100">
        <v>10.438153410922151</v>
      </c>
      <c r="CC40" s="100">
        <v>7565.5735922363747</v>
      </c>
      <c r="CD40" s="100">
        <v>10.053289490121292</v>
      </c>
      <c r="CE40" s="100">
        <v>7286.624222439912</v>
      </c>
      <c r="CF40" s="100">
        <v>12</v>
      </c>
      <c r="CG40" s="100">
        <v>8697.5999999999985</v>
      </c>
      <c r="CH40" s="100">
        <v>18</v>
      </c>
      <c r="CI40" s="100">
        <v>13046.4</v>
      </c>
      <c r="CJ40" s="100">
        <v>17</v>
      </c>
      <c r="CK40" s="100">
        <v>12321.599999999999</v>
      </c>
      <c r="CL40" s="100">
        <v>11</v>
      </c>
      <c r="CM40" s="100">
        <v>7972.7999999999993</v>
      </c>
      <c r="CN40" s="100">
        <v>16.701076515819189</v>
      </c>
      <c r="CO40" s="100">
        <v>12104.940258665747</v>
      </c>
      <c r="CP40" s="100">
        <v>16</v>
      </c>
      <c r="CQ40" s="100">
        <v>11596.8</v>
      </c>
      <c r="CR40" s="100">
        <v>17</v>
      </c>
      <c r="CS40" s="100">
        <v>12321.599999999999</v>
      </c>
      <c r="CT40" s="100">
        <v>11</v>
      </c>
      <c r="CU40" s="100">
        <v>7972.7999999999993</v>
      </c>
    </row>
    <row r="41" spans="2:99">
      <c r="C41" s="99" t="s">
        <v>207</v>
      </c>
      <c r="D41" s="100">
        <v>18</v>
      </c>
      <c r="E41" s="100">
        <v>11880</v>
      </c>
      <c r="F41" s="100">
        <v>12</v>
      </c>
      <c r="G41" s="100">
        <v>7920</v>
      </c>
      <c r="H41" s="100">
        <v>13</v>
      </c>
      <c r="I41" s="100">
        <v>8580</v>
      </c>
      <c r="J41" s="100">
        <v>17</v>
      </c>
      <c r="K41" s="100">
        <v>11220</v>
      </c>
      <c r="L41" s="100">
        <v>9</v>
      </c>
      <c r="M41" s="100">
        <v>5940</v>
      </c>
      <c r="N41" s="100">
        <v>16</v>
      </c>
      <c r="O41" s="100">
        <v>10560</v>
      </c>
      <c r="P41" s="100">
        <v>17</v>
      </c>
      <c r="Q41" s="100">
        <v>11220</v>
      </c>
      <c r="R41" s="100">
        <v>18</v>
      </c>
      <c r="S41" s="100">
        <v>11880</v>
      </c>
      <c r="T41" s="100">
        <v>13</v>
      </c>
      <c r="U41" s="100">
        <v>8580</v>
      </c>
      <c r="V41" s="100">
        <v>12</v>
      </c>
      <c r="W41" s="100">
        <v>7920</v>
      </c>
      <c r="X41" s="100">
        <v>16</v>
      </c>
      <c r="Y41" s="100">
        <v>10560</v>
      </c>
      <c r="Z41" s="100">
        <v>19</v>
      </c>
      <c r="AA41" s="100">
        <v>12540</v>
      </c>
      <c r="AB41" s="100">
        <v>15</v>
      </c>
      <c r="AC41" s="100">
        <v>9900</v>
      </c>
      <c r="AD41" s="100">
        <v>11</v>
      </c>
      <c r="AE41" s="100">
        <v>7260</v>
      </c>
      <c r="AF41" s="100">
        <v>18</v>
      </c>
      <c r="AG41" s="100">
        <v>11880</v>
      </c>
      <c r="AH41" s="100">
        <v>16</v>
      </c>
      <c r="AI41" s="100">
        <v>10560</v>
      </c>
      <c r="AJ41" s="100">
        <v>19</v>
      </c>
      <c r="AK41" s="100">
        <v>12540</v>
      </c>
      <c r="AL41" s="100">
        <v>17</v>
      </c>
      <c r="AM41" s="100">
        <v>11220</v>
      </c>
      <c r="AN41" s="100">
        <v>17</v>
      </c>
      <c r="AO41" s="100">
        <v>11220</v>
      </c>
      <c r="AP41" s="100">
        <v>14</v>
      </c>
      <c r="AQ41" s="100">
        <v>9240</v>
      </c>
      <c r="AR41" s="100">
        <v>18</v>
      </c>
      <c r="AS41" s="100">
        <v>11880</v>
      </c>
      <c r="AT41" s="100">
        <v>15</v>
      </c>
      <c r="AU41" s="100">
        <v>9900</v>
      </c>
      <c r="AV41" s="100">
        <v>15</v>
      </c>
      <c r="AW41" s="100">
        <v>9900</v>
      </c>
      <c r="AX41" s="100">
        <v>9</v>
      </c>
      <c r="AY41" s="100">
        <v>5940</v>
      </c>
      <c r="AZ41" s="100">
        <v>14</v>
      </c>
      <c r="BA41" s="100">
        <v>9240</v>
      </c>
      <c r="BB41" s="100">
        <v>17</v>
      </c>
      <c r="BC41" s="100">
        <v>11220</v>
      </c>
      <c r="BD41" s="100">
        <v>10.666950963152935</v>
      </c>
      <c r="BE41" s="100">
        <v>7040.1876356809371</v>
      </c>
      <c r="BF41" s="100">
        <v>14.317372430728163</v>
      </c>
      <c r="BG41" s="100">
        <v>9449.4658042805877</v>
      </c>
      <c r="BH41" s="100">
        <v>14</v>
      </c>
      <c r="BI41" s="100">
        <v>9240</v>
      </c>
      <c r="BJ41" s="100">
        <v>15</v>
      </c>
      <c r="BK41" s="100">
        <v>9900</v>
      </c>
      <c r="BL41" s="100">
        <v>17.752605806123167</v>
      </c>
      <c r="BM41" s="100">
        <v>11716.71983204129</v>
      </c>
      <c r="BN41" s="100">
        <v>15.401837236119487</v>
      </c>
      <c r="BO41" s="100">
        <v>10165.212575838861</v>
      </c>
      <c r="BP41" s="100">
        <v>18.254725859862369</v>
      </c>
      <c r="BQ41" s="100">
        <v>12048.119067509164</v>
      </c>
      <c r="BR41" s="100">
        <v>14.019386525156534</v>
      </c>
      <c r="BS41" s="100">
        <v>9252.7951066033129</v>
      </c>
      <c r="BT41" s="100">
        <v>11.232957590800476</v>
      </c>
      <c r="BU41" s="100">
        <v>7413.7520099283138</v>
      </c>
      <c r="BV41" s="100">
        <v>11.658806867621049</v>
      </c>
      <c r="BW41" s="100">
        <v>7694.8125326298923</v>
      </c>
      <c r="BX41" s="100">
        <v>10.92322226670249</v>
      </c>
      <c r="BY41" s="100">
        <v>7209.3266960236433</v>
      </c>
      <c r="BZ41" s="100">
        <v>11.895705863208413</v>
      </c>
      <c r="CA41" s="100">
        <v>7851.1658697175526</v>
      </c>
      <c r="CB41" s="100">
        <v>11.929318183911031</v>
      </c>
      <c r="CC41" s="100">
        <v>7873.35000138128</v>
      </c>
      <c r="CD41" s="100">
        <v>10.053289490121292</v>
      </c>
      <c r="CE41" s="100">
        <v>6635.1710634800529</v>
      </c>
      <c r="CF41" s="100">
        <v>11</v>
      </c>
      <c r="CG41" s="100">
        <v>7260</v>
      </c>
      <c r="CH41" s="100">
        <v>18</v>
      </c>
      <c r="CI41" s="100">
        <v>11880</v>
      </c>
      <c r="CJ41" s="100">
        <v>16</v>
      </c>
      <c r="CK41" s="100">
        <v>10560</v>
      </c>
      <c r="CL41" s="100">
        <v>12</v>
      </c>
      <c r="CM41" s="100">
        <v>7920</v>
      </c>
      <c r="CN41" s="100">
        <v>16.701076515819189</v>
      </c>
      <c r="CO41" s="100">
        <v>11022.710500440664</v>
      </c>
      <c r="CP41" s="100">
        <v>17</v>
      </c>
      <c r="CQ41" s="100">
        <v>11220</v>
      </c>
      <c r="CR41" s="100">
        <v>19</v>
      </c>
      <c r="CS41" s="100">
        <v>12540</v>
      </c>
      <c r="CT41" s="100">
        <v>12</v>
      </c>
      <c r="CU41" s="100">
        <v>7920</v>
      </c>
    </row>
    <row r="42" spans="2:99">
      <c r="C42" s="99" t="s">
        <v>208</v>
      </c>
      <c r="D42" s="100">
        <v>16</v>
      </c>
      <c r="E42" s="100">
        <v>13536</v>
      </c>
      <c r="F42" s="100">
        <v>12</v>
      </c>
      <c r="G42" s="100">
        <v>10152</v>
      </c>
      <c r="H42" s="100">
        <v>14</v>
      </c>
      <c r="I42" s="100">
        <v>11844</v>
      </c>
      <c r="J42" s="100">
        <v>16</v>
      </c>
      <c r="K42" s="100">
        <v>13536</v>
      </c>
      <c r="L42" s="100">
        <v>10</v>
      </c>
      <c r="M42" s="100">
        <v>8460</v>
      </c>
      <c r="N42" s="100">
        <v>14</v>
      </c>
      <c r="O42" s="100">
        <v>11844</v>
      </c>
      <c r="P42" s="100">
        <v>18</v>
      </c>
      <c r="Q42" s="100">
        <v>15228</v>
      </c>
      <c r="R42" s="100">
        <v>17</v>
      </c>
      <c r="S42" s="100">
        <v>14382</v>
      </c>
      <c r="T42" s="100">
        <v>13</v>
      </c>
      <c r="U42" s="100">
        <v>10998</v>
      </c>
      <c r="V42" s="100">
        <v>12</v>
      </c>
      <c r="W42" s="100">
        <v>10152</v>
      </c>
      <c r="X42" s="100">
        <v>14</v>
      </c>
      <c r="Y42" s="100">
        <v>11844</v>
      </c>
      <c r="Z42" s="100">
        <v>16</v>
      </c>
      <c r="AA42" s="100">
        <v>13536</v>
      </c>
      <c r="AB42" s="100">
        <v>15</v>
      </c>
      <c r="AC42" s="100">
        <v>12690</v>
      </c>
      <c r="AD42" s="100">
        <v>12</v>
      </c>
      <c r="AE42" s="100">
        <v>10152</v>
      </c>
      <c r="AF42" s="100">
        <v>17</v>
      </c>
      <c r="AG42" s="100">
        <v>14382</v>
      </c>
      <c r="AH42" s="100">
        <v>17</v>
      </c>
      <c r="AI42" s="100">
        <v>14382</v>
      </c>
      <c r="AJ42" s="100">
        <v>18</v>
      </c>
      <c r="AK42" s="100">
        <v>15228</v>
      </c>
      <c r="AL42" s="100">
        <v>14</v>
      </c>
      <c r="AM42" s="100">
        <v>11844</v>
      </c>
      <c r="AN42" s="100">
        <v>16</v>
      </c>
      <c r="AO42" s="100">
        <v>13536</v>
      </c>
      <c r="AP42" s="100">
        <v>14</v>
      </c>
      <c r="AQ42" s="100">
        <v>11844</v>
      </c>
      <c r="AR42" s="100">
        <v>16</v>
      </c>
      <c r="AS42" s="100">
        <v>13536</v>
      </c>
      <c r="AT42" s="100">
        <v>15</v>
      </c>
      <c r="AU42" s="100">
        <v>12690</v>
      </c>
      <c r="AV42" s="100">
        <v>15</v>
      </c>
      <c r="AW42" s="100">
        <v>12690</v>
      </c>
      <c r="AX42" s="100">
        <v>10</v>
      </c>
      <c r="AY42" s="100">
        <v>8460</v>
      </c>
      <c r="AZ42" s="100">
        <v>12</v>
      </c>
      <c r="BA42" s="100">
        <v>10152</v>
      </c>
      <c r="BB42" s="100">
        <v>19</v>
      </c>
      <c r="BC42" s="100">
        <v>16074</v>
      </c>
      <c r="BD42" s="100">
        <v>9.6972281483208498</v>
      </c>
      <c r="BE42" s="100">
        <v>8203.8550134794386</v>
      </c>
      <c r="BF42" s="100">
        <v>13.475174052450035</v>
      </c>
      <c r="BG42" s="100">
        <v>11399.997248372729</v>
      </c>
      <c r="BH42" s="100">
        <v>11</v>
      </c>
      <c r="BI42" s="100">
        <v>9306</v>
      </c>
      <c r="BJ42" s="100">
        <v>13</v>
      </c>
      <c r="BK42" s="100">
        <v>10998</v>
      </c>
      <c r="BL42" s="100">
        <v>15.089714935204695</v>
      </c>
      <c r="BM42" s="100">
        <v>12765.898835183172</v>
      </c>
      <c r="BN42" s="100">
        <v>15.401837236119487</v>
      </c>
      <c r="BO42" s="100">
        <v>13029.954301757087</v>
      </c>
      <c r="BP42" s="100">
        <v>16.333175769350539</v>
      </c>
      <c r="BQ42" s="100">
        <v>13817.866700870556</v>
      </c>
      <c r="BR42" s="100">
        <v>14.954012293500302</v>
      </c>
      <c r="BS42" s="100">
        <v>12651.094400301256</v>
      </c>
      <c r="BT42" s="100">
        <v>9.5048102691388632</v>
      </c>
      <c r="BU42" s="100">
        <v>8041.0694876914786</v>
      </c>
      <c r="BV42" s="100">
        <v>11.658806867621049</v>
      </c>
      <c r="BW42" s="100">
        <v>9863.3506100074082</v>
      </c>
      <c r="BX42" s="100">
        <v>10.082974400033068</v>
      </c>
      <c r="BY42" s="100">
        <v>8530.1963424279747</v>
      </c>
      <c r="BZ42" s="100">
        <v>11.195958459490271</v>
      </c>
      <c r="CA42" s="100">
        <v>9471.7808567287684</v>
      </c>
      <c r="CB42" s="100">
        <v>10.438153410922151</v>
      </c>
      <c r="CC42" s="100">
        <v>8830.6777856401404</v>
      </c>
      <c r="CD42" s="100">
        <v>10.053289490121292</v>
      </c>
      <c r="CE42" s="100">
        <v>8505.0829086426129</v>
      </c>
      <c r="CF42" s="100">
        <v>11</v>
      </c>
      <c r="CG42" s="100">
        <v>9306</v>
      </c>
      <c r="CH42" s="100">
        <v>18</v>
      </c>
      <c r="CI42" s="100">
        <v>15228</v>
      </c>
      <c r="CJ42" s="100">
        <v>16</v>
      </c>
      <c r="CK42" s="100">
        <v>13536</v>
      </c>
      <c r="CL42" s="100">
        <v>12</v>
      </c>
      <c r="CM42" s="100">
        <v>10152</v>
      </c>
      <c r="CN42" s="100">
        <v>14.845401347394834</v>
      </c>
      <c r="CO42" s="100">
        <v>12559.20953989603</v>
      </c>
      <c r="CP42" s="100">
        <v>15</v>
      </c>
      <c r="CQ42" s="100">
        <v>12690</v>
      </c>
      <c r="CR42" s="100">
        <v>18</v>
      </c>
      <c r="CS42" s="100">
        <v>15228</v>
      </c>
      <c r="CT42" s="100">
        <v>12</v>
      </c>
      <c r="CU42" s="100">
        <v>10152</v>
      </c>
    </row>
    <row r="43" spans="2:99">
      <c r="C43" s="99" t="s">
        <v>209</v>
      </c>
      <c r="D43" s="100">
        <v>16</v>
      </c>
      <c r="E43" s="100">
        <v>16358.4</v>
      </c>
      <c r="F43" s="100">
        <v>12</v>
      </c>
      <c r="G43" s="100">
        <v>12268.8</v>
      </c>
      <c r="H43" s="100">
        <v>14</v>
      </c>
      <c r="I43" s="100">
        <v>14313.6</v>
      </c>
      <c r="J43" s="100">
        <v>15</v>
      </c>
      <c r="K43" s="100">
        <v>15336</v>
      </c>
      <c r="L43" s="100">
        <v>8</v>
      </c>
      <c r="M43" s="100">
        <v>8179.2</v>
      </c>
      <c r="N43" s="100">
        <v>13</v>
      </c>
      <c r="O43" s="100">
        <v>13291.199999999999</v>
      </c>
      <c r="P43" s="100">
        <v>16</v>
      </c>
      <c r="Q43" s="100">
        <v>16358.4</v>
      </c>
      <c r="R43" s="100">
        <v>17</v>
      </c>
      <c r="S43" s="100">
        <v>17380.8</v>
      </c>
      <c r="T43" s="100">
        <v>11</v>
      </c>
      <c r="U43" s="100">
        <v>11246.4</v>
      </c>
      <c r="V43" s="100">
        <v>11</v>
      </c>
      <c r="W43" s="100">
        <v>11246.4</v>
      </c>
      <c r="X43" s="100">
        <v>13</v>
      </c>
      <c r="Y43" s="100">
        <v>13291.199999999999</v>
      </c>
      <c r="Z43" s="100">
        <v>17</v>
      </c>
      <c r="AA43" s="100">
        <v>17380.8</v>
      </c>
      <c r="AB43" s="100">
        <v>14</v>
      </c>
      <c r="AC43" s="100">
        <v>14313.6</v>
      </c>
      <c r="AD43" s="100">
        <v>12</v>
      </c>
      <c r="AE43" s="100">
        <v>12268.8</v>
      </c>
      <c r="AF43" s="100">
        <v>18</v>
      </c>
      <c r="AG43" s="100">
        <v>18403.2</v>
      </c>
      <c r="AH43" s="100">
        <v>14</v>
      </c>
      <c r="AI43" s="100">
        <v>14313.6</v>
      </c>
      <c r="AJ43" s="100">
        <v>19</v>
      </c>
      <c r="AK43" s="100">
        <v>19425.599999999999</v>
      </c>
      <c r="AL43" s="100">
        <v>14</v>
      </c>
      <c r="AM43" s="100">
        <v>14313.6</v>
      </c>
      <c r="AN43" s="100">
        <v>18</v>
      </c>
      <c r="AO43" s="100">
        <v>18403.2</v>
      </c>
      <c r="AP43" s="100">
        <v>13</v>
      </c>
      <c r="AQ43" s="100">
        <v>13291.199999999999</v>
      </c>
      <c r="AR43" s="100">
        <v>15</v>
      </c>
      <c r="AS43" s="100">
        <v>15336</v>
      </c>
      <c r="AT43" s="100">
        <v>14</v>
      </c>
      <c r="AU43" s="100">
        <v>14313.6</v>
      </c>
      <c r="AV43" s="100">
        <v>12</v>
      </c>
      <c r="AW43" s="100">
        <v>12268.8</v>
      </c>
      <c r="AX43" s="100">
        <v>11</v>
      </c>
      <c r="AY43" s="100">
        <v>11246.4</v>
      </c>
      <c r="AZ43" s="100">
        <v>14</v>
      </c>
      <c r="BA43" s="100">
        <v>14313.6</v>
      </c>
      <c r="BB43" s="100">
        <v>18</v>
      </c>
      <c r="BC43" s="100">
        <v>18403.2</v>
      </c>
      <c r="BD43" s="100">
        <v>9.6972281483208498</v>
      </c>
      <c r="BE43" s="100">
        <v>9914.4460588432357</v>
      </c>
      <c r="BF43" s="100">
        <v>13.475174052450035</v>
      </c>
      <c r="BG43" s="100">
        <v>13777.017951224914</v>
      </c>
      <c r="BH43" s="100">
        <v>11</v>
      </c>
      <c r="BI43" s="100">
        <v>11246.4</v>
      </c>
      <c r="BJ43" s="100">
        <v>13</v>
      </c>
      <c r="BK43" s="100">
        <v>13291.199999999999</v>
      </c>
      <c r="BL43" s="100">
        <v>15.089714935204695</v>
      </c>
      <c r="BM43" s="100">
        <v>15427.72454975328</v>
      </c>
      <c r="BN43" s="100">
        <v>15.401837236119487</v>
      </c>
      <c r="BO43" s="100">
        <v>15746.838390208562</v>
      </c>
      <c r="BP43" s="100">
        <v>17.29395081460645</v>
      </c>
      <c r="BQ43" s="100">
        <v>17681.335312853633</v>
      </c>
      <c r="BR43" s="100">
        <v>13.084760756812765</v>
      </c>
      <c r="BS43" s="100">
        <v>13377.859397765371</v>
      </c>
      <c r="BT43" s="100">
        <v>10.36888392996967</v>
      </c>
      <c r="BU43" s="100">
        <v>10601.14693000099</v>
      </c>
      <c r="BV43" s="100">
        <v>9.8651442726024268</v>
      </c>
      <c r="BW43" s="100">
        <v>10086.123504308722</v>
      </c>
      <c r="BX43" s="100">
        <v>10.92322226670249</v>
      </c>
      <c r="BY43" s="100">
        <v>11167.902445476626</v>
      </c>
      <c r="BZ43" s="100">
        <v>11.895705863208413</v>
      </c>
      <c r="CA43" s="100">
        <v>12162.16967454428</v>
      </c>
      <c r="CB43" s="100">
        <v>11.18373579741659</v>
      </c>
      <c r="CC43" s="100">
        <v>11434.251479278721</v>
      </c>
      <c r="CD43" s="100">
        <v>10.053289490121292</v>
      </c>
      <c r="CE43" s="100">
        <v>10278.48317470001</v>
      </c>
      <c r="CF43" s="100">
        <v>12</v>
      </c>
      <c r="CG43" s="100">
        <v>12268.8</v>
      </c>
      <c r="CH43" s="100">
        <v>17</v>
      </c>
      <c r="CI43" s="100">
        <v>17380.8</v>
      </c>
      <c r="CJ43" s="100">
        <v>16</v>
      </c>
      <c r="CK43" s="100">
        <v>16358.4</v>
      </c>
      <c r="CL43" s="100">
        <v>11</v>
      </c>
      <c r="CM43" s="100">
        <v>11246.4</v>
      </c>
      <c r="CN43" s="100">
        <v>16.701076515819189</v>
      </c>
      <c r="CO43" s="100">
        <v>17075.180629773538</v>
      </c>
      <c r="CP43" s="100">
        <v>15</v>
      </c>
      <c r="CQ43" s="100">
        <v>15336</v>
      </c>
      <c r="CR43" s="100">
        <v>17</v>
      </c>
      <c r="CS43" s="100">
        <v>17380.8</v>
      </c>
      <c r="CT43" s="100">
        <v>12</v>
      </c>
      <c r="CU43" s="100">
        <v>12268.8</v>
      </c>
    </row>
    <row r="44" spans="2:99">
      <c r="C44" s="99" t="s">
        <v>210</v>
      </c>
      <c r="D44" s="100">
        <v>19</v>
      </c>
      <c r="E44" s="100">
        <v>19425.599999999999</v>
      </c>
      <c r="F44" s="100">
        <v>12</v>
      </c>
      <c r="G44" s="100">
        <v>12268.8</v>
      </c>
      <c r="H44" s="100">
        <v>13</v>
      </c>
      <c r="I44" s="100">
        <v>13291.199999999999</v>
      </c>
      <c r="J44" s="100">
        <v>16</v>
      </c>
      <c r="K44" s="100">
        <v>16358.4</v>
      </c>
      <c r="L44" s="100">
        <v>9</v>
      </c>
      <c r="M44" s="100">
        <v>9201.6</v>
      </c>
      <c r="N44" s="100">
        <v>13</v>
      </c>
      <c r="O44" s="100">
        <v>13291.199999999999</v>
      </c>
      <c r="P44" s="100">
        <v>15</v>
      </c>
      <c r="Q44" s="100">
        <v>15336</v>
      </c>
      <c r="R44" s="100">
        <v>18</v>
      </c>
      <c r="S44" s="100">
        <v>18403.2</v>
      </c>
      <c r="T44" s="100">
        <v>13</v>
      </c>
      <c r="U44" s="100">
        <v>13291.199999999999</v>
      </c>
      <c r="V44" s="100">
        <v>12</v>
      </c>
      <c r="W44" s="100">
        <v>12268.8</v>
      </c>
      <c r="X44" s="100">
        <v>13</v>
      </c>
      <c r="Y44" s="100">
        <v>13291.199999999999</v>
      </c>
      <c r="Z44" s="100">
        <v>17</v>
      </c>
      <c r="AA44" s="100">
        <v>17380.8</v>
      </c>
      <c r="AB44" s="100">
        <v>15</v>
      </c>
      <c r="AC44" s="100">
        <v>15336</v>
      </c>
      <c r="AD44" s="100">
        <v>12</v>
      </c>
      <c r="AE44" s="100">
        <v>12268.8</v>
      </c>
      <c r="AF44" s="100">
        <v>16</v>
      </c>
      <c r="AG44" s="100">
        <v>16358.4</v>
      </c>
      <c r="AH44" s="100">
        <v>15</v>
      </c>
      <c r="AI44" s="100">
        <v>15336</v>
      </c>
      <c r="AJ44" s="100">
        <v>18</v>
      </c>
      <c r="AK44" s="100">
        <v>18403.2</v>
      </c>
      <c r="AL44" s="100">
        <v>14</v>
      </c>
      <c r="AM44" s="100">
        <v>14313.6</v>
      </c>
      <c r="AN44" s="100">
        <v>17</v>
      </c>
      <c r="AO44" s="100">
        <v>17380.8</v>
      </c>
      <c r="AP44" s="100">
        <v>12</v>
      </c>
      <c r="AQ44" s="100">
        <v>12268.8</v>
      </c>
      <c r="AR44" s="100">
        <v>15</v>
      </c>
      <c r="AS44" s="100">
        <v>15336</v>
      </c>
      <c r="AT44" s="100">
        <v>16</v>
      </c>
      <c r="AU44" s="100">
        <v>16358.4</v>
      </c>
      <c r="AV44" s="100">
        <v>12</v>
      </c>
      <c r="AW44" s="100">
        <v>12268.8</v>
      </c>
      <c r="AX44" s="100">
        <v>10</v>
      </c>
      <c r="AY44" s="100">
        <v>10224</v>
      </c>
      <c r="AZ44" s="100">
        <v>12</v>
      </c>
      <c r="BA44" s="100">
        <v>12268.8</v>
      </c>
      <c r="BB44" s="100">
        <v>16</v>
      </c>
      <c r="BC44" s="100">
        <v>16358.4</v>
      </c>
      <c r="BD44" s="100">
        <v>8.7275053334887644</v>
      </c>
      <c r="BE44" s="100">
        <v>8923.0014529589134</v>
      </c>
      <c r="BF44" s="100">
        <v>13.475174052450035</v>
      </c>
      <c r="BG44" s="100">
        <v>13777.017951224914</v>
      </c>
      <c r="BH44" s="100">
        <v>12</v>
      </c>
      <c r="BI44" s="100">
        <v>12268.8</v>
      </c>
      <c r="BJ44" s="100">
        <v>13</v>
      </c>
      <c r="BK44" s="100">
        <v>13291.199999999999</v>
      </c>
      <c r="BL44" s="100">
        <v>16.864975515817012</v>
      </c>
      <c r="BM44" s="100">
        <v>17242.750967371314</v>
      </c>
      <c r="BN44" s="100">
        <v>18.11980851308175</v>
      </c>
      <c r="BO44" s="100">
        <v>18525.692223774782</v>
      </c>
      <c r="BP44" s="100">
        <v>18.254725859862369</v>
      </c>
      <c r="BQ44" s="100">
        <v>18663.631719123285</v>
      </c>
      <c r="BR44" s="100">
        <v>13.084760756812765</v>
      </c>
      <c r="BS44" s="100">
        <v>13377.859397765371</v>
      </c>
      <c r="BT44" s="100">
        <v>11.232957590800476</v>
      </c>
      <c r="BU44" s="100">
        <v>11484.575840834406</v>
      </c>
      <c r="BV44" s="100">
        <v>8.9683129750931148</v>
      </c>
      <c r="BW44" s="100">
        <v>9169.2031857351994</v>
      </c>
      <c r="BX44" s="100">
        <v>10.082974400033068</v>
      </c>
      <c r="BY44" s="100">
        <v>10308.833026593809</v>
      </c>
      <c r="BZ44" s="100">
        <v>13.295200670644697</v>
      </c>
      <c r="CA44" s="100">
        <v>13593.013165667138</v>
      </c>
      <c r="CB44" s="100">
        <v>11.18373579741659</v>
      </c>
      <c r="CC44" s="100">
        <v>11434.251479278721</v>
      </c>
      <c r="CD44" s="100">
        <v>8.3777412417677439</v>
      </c>
      <c r="CE44" s="100">
        <v>8565.4026455833409</v>
      </c>
      <c r="CF44" s="100">
        <v>12</v>
      </c>
      <c r="CG44" s="100">
        <v>12268.8</v>
      </c>
      <c r="CH44" s="100">
        <v>15</v>
      </c>
      <c r="CI44" s="100">
        <v>15336</v>
      </c>
      <c r="CJ44" s="100">
        <v>17</v>
      </c>
      <c r="CK44" s="100">
        <v>17380.8</v>
      </c>
      <c r="CL44" s="100">
        <v>10</v>
      </c>
      <c r="CM44" s="100">
        <v>10224</v>
      </c>
      <c r="CN44" s="100">
        <v>16.701076515819189</v>
      </c>
      <c r="CO44" s="100">
        <v>17075.180629773538</v>
      </c>
      <c r="CP44" s="100">
        <v>17</v>
      </c>
      <c r="CQ44" s="100">
        <v>17380.8</v>
      </c>
      <c r="CR44" s="100">
        <v>17</v>
      </c>
      <c r="CS44" s="100">
        <v>17380.8</v>
      </c>
      <c r="CT44" s="100">
        <v>10</v>
      </c>
      <c r="CU44" s="100">
        <v>10224</v>
      </c>
    </row>
    <row r="45" spans="2:99">
      <c r="C45" s="99" t="s">
        <v>211</v>
      </c>
      <c r="D45" s="100">
        <v>17</v>
      </c>
      <c r="E45" s="100">
        <v>21236.400000000001</v>
      </c>
      <c r="F45" s="100">
        <v>13</v>
      </c>
      <c r="G45" s="100">
        <v>16239.6</v>
      </c>
      <c r="H45" s="100">
        <v>14</v>
      </c>
      <c r="I45" s="100">
        <v>17488.8</v>
      </c>
      <c r="J45" s="100">
        <v>17</v>
      </c>
      <c r="K45" s="100">
        <v>21236.400000000001</v>
      </c>
      <c r="L45" s="100">
        <v>10</v>
      </c>
      <c r="M45" s="100">
        <v>12492</v>
      </c>
      <c r="N45" s="100">
        <v>13</v>
      </c>
      <c r="O45" s="100">
        <v>16239.6</v>
      </c>
      <c r="P45" s="100">
        <v>18</v>
      </c>
      <c r="Q45" s="100">
        <v>22485.600000000002</v>
      </c>
      <c r="R45" s="100">
        <v>18</v>
      </c>
      <c r="S45" s="100">
        <v>22485.600000000002</v>
      </c>
      <c r="T45" s="100">
        <v>11</v>
      </c>
      <c r="U45" s="100">
        <v>13741.2</v>
      </c>
      <c r="V45" s="100">
        <v>13</v>
      </c>
      <c r="W45" s="100">
        <v>16239.6</v>
      </c>
      <c r="X45" s="100">
        <v>14</v>
      </c>
      <c r="Y45" s="100">
        <v>17488.8</v>
      </c>
      <c r="Z45" s="100">
        <v>16</v>
      </c>
      <c r="AA45" s="100">
        <v>19987.2</v>
      </c>
      <c r="AB45" s="100">
        <v>13</v>
      </c>
      <c r="AC45" s="100">
        <v>16239.6</v>
      </c>
      <c r="AD45" s="100">
        <v>11</v>
      </c>
      <c r="AE45" s="100">
        <v>13741.2</v>
      </c>
      <c r="AF45" s="100">
        <v>17</v>
      </c>
      <c r="AG45" s="100">
        <v>21236.400000000001</v>
      </c>
      <c r="AH45" s="100">
        <v>16</v>
      </c>
      <c r="AI45" s="100">
        <v>19987.2</v>
      </c>
      <c r="AJ45" s="100">
        <v>19</v>
      </c>
      <c r="AK45" s="100">
        <v>23734.799999999999</v>
      </c>
      <c r="AL45" s="100">
        <v>14</v>
      </c>
      <c r="AM45" s="100">
        <v>17488.8</v>
      </c>
      <c r="AN45" s="100">
        <v>16</v>
      </c>
      <c r="AO45" s="100">
        <v>19987.2</v>
      </c>
      <c r="AP45" s="100">
        <v>12</v>
      </c>
      <c r="AQ45" s="100">
        <v>14990.400000000001</v>
      </c>
      <c r="AR45" s="100">
        <v>17</v>
      </c>
      <c r="AS45" s="100">
        <v>21236.400000000001</v>
      </c>
      <c r="AT45" s="100">
        <v>13</v>
      </c>
      <c r="AU45" s="100">
        <v>16239.6</v>
      </c>
      <c r="AV45" s="100">
        <v>12</v>
      </c>
      <c r="AW45" s="100">
        <v>14990.400000000001</v>
      </c>
      <c r="AX45" s="100">
        <v>10</v>
      </c>
      <c r="AY45" s="100">
        <v>12492</v>
      </c>
      <c r="AZ45" s="100">
        <v>12</v>
      </c>
      <c r="BA45" s="100">
        <v>14990.400000000001</v>
      </c>
      <c r="BB45" s="100">
        <v>15</v>
      </c>
      <c r="BC45" s="100">
        <v>18738</v>
      </c>
      <c r="BD45" s="100">
        <v>8.7275053334887644</v>
      </c>
      <c r="BE45" s="100">
        <v>10902.399662594165</v>
      </c>
      <c r="BF45" s="100">
        <v>13.475174052450035</v>
      </c>
      <c r="BG45" s="100">
        <v>16833.187426320583</v>
      </c>
      <c r="BH45" s="100">
        <v>12</v>
      </c>
      <c r="BI45" s="100">
        <v>14990.400000000001</v>
      </c>
      <c r="BJ45" s="100">
        <v>13</v>
      </c>
      <c r="BK45" s="100">
        <v>16239.6</v>
      </c>
      <c r="BL45" s="100">
        <v>15.977345225510854</v>
      </c>
      <c r="BM45" s="100">
        <v>19958.899655708159</v>
      </c>
      <c r="BN45" s="100">
        <v>16.307827661773572</v>
      </c>
      <c r="BO45" s="100">
        <v>20371.738315087547</v>
      </c>
      <c r="BP45" s="100">
        <v>16.333175769350539</v>
      </c>
      <c r="BQ45" s="100">
        <v>20403.403171072696</v>
      </c>
      <c r="BR45" s="100">
        <v>13.084760756812765</v>
      </c>
      <c r="BS45" s="100">
        <v>16345.483137410507</v>
      </c>
      <c r="BT45" s="100">
        <v>11.232957590800476</v>
      </c>
      <c r="BU45" s="100">
        <v>14032.210622427956</v>
      </c>
      <c r="BV45" s="100">
        <v>10.761975570111739</v>
      </c>
      <c r="BW45" s="100">
        <v>13443.859882183584</v>
      </c>
      <c r="BX45" s="100">
        <v>10.082974400033068</v>
      </c>
      <c r="BY45" s="100">
        <v>12595.651620521308</v>
      </c>
      <c r="BZ45" s="100">
        <v>11.895705863208413</v>
      </c>
      <c r="CA45" s="100">
        <v>14860.115764319949</v>
      </c>
      <c r="CB45" s="100">
        <v>11.929318183911031</v>
      </c>
      <c r="CC45" s="100">
        <v>14902.10427534166</v>
      </c>
      <c r="CD45" s="100">
        <v>9.215515365944519</v>
      </c>
      <c r="CE45" s="100">
        <v>11512.021795137893</v>
      </c>
      <c r="CF45" s="100">
        <v>11</v>
      </c>
      <c r="CG45" s="100">
        <v>13741.2</v>
      </c>
      <c r="CH45" s="100">
        <v>17</v>
      </c>
      <c r="CI45" s="100">
        <v>21236.400000000001</v>
      </c>
      <c r="CJ45" s="100">
        <v>15</v>
      </c>
      <c r="CK45" s="100">
        <v>18738</v>
      </c>
      <c r="CL45" s="100">
        <v>10</v>
      </c>
      <c r="CM45" s="100">
        <v>12492</v>
      </c>
      <c r="CN45" s="100">
        <v>16.701076515819189</v>
      </c>
      <c r="CO45" s="100">
        <v>20862.984783561333</v>
      </c>
      <c r="CP45" s="100">
        <v>16</v>
      </c>
      <c r="CQ45" s="100">
        <v>19987.2</v>
      </c>
      <c r="CR45" s="100">
        <v>18</v>
      </c>
      <c r="CS45" s="100">
        <v>22485.600000000002</v>
      </c>
      <c r="CT45" s="100">
        <v>10</v>
      </c>
      <c r="CU45" s="100">
        <v>12492</v>
      </c>
    </row>
    <row r="46" spans="2:99">
      <c r="C46" s="99" t="s">
        <v>212</v>
      </c>
      <c r="D46" s="100">
        <v>16</v>
      </c>
      <c r="E46" s="100">
        <v>19392</v>
      </c>
      <c r="F46" s="100">
        <v>12</v>
      </c>
      <c r="G46" s="100">
        <v>14544</v>
      </c>
      <c r="H46" s="100">
        <v>12</v>
      </c>
      <c r="I46" s="100">
        <v>14544</v>
      </c>
      <c r="J46" s="100">
        <v>16</v>
      </c>
      <c r="K46" s="100">
        <v>19392</v>
      </c>
      <c r="L46" s="100">
        <v>10</v>
      </c>
      <c r="M46" s="100">
        <v>12120</v>
      </c>
      <c r="N46" s="100">
        <v>13</v>
      </c>
      <c r="O46" s="100">
        <v>15756</v>
      </c>
      <c r="P46" s="100">
        <v>18</v>
      </c>
      <c r="Q46" s="100">
        <v>21816</v>
      </c>
      <c r="R46" s="100">
        <v>16</v>
      </c>
      <c r="S46" s="100">
        <v>19392</v>
      </c>
      <c r="T46" s="100">
        <v>12</v>
      </c>
      <c r="U46" s="100">
        <v>14544</v>
      </c>
      <c r="V46" s="100">
        <v>12</v>
      </c>
      <c r="W46" s="100">
        <v>14544</v>
      </c>
      <c r="X46" s="100">
        <v>14</v>
      </c>
      <c r="Y46" s="100">
        <v>16968</v>
      </c>
      <c r="Z46" s="100">
        <v>18</v>
      </c>
      <c r="AA46" s="100">
        <v>21816</v>
      </c>
      <c r="AB46" s="100">
        <v>15</v>
      </c>
      <c r="AC46" s="100">
        <v>18180</v>
      </c>
      <c r="AD46" s="100">
        <v>11</v>
      </c>
      <c r="AE46" s="100">
        <v>13332</v>
      </c>
      <c r="AF46" s="100">
        <v>15</v>
      </c>
      <c r="AG46" s="100">
        <v>18180</v>
      </c>
      <c r="AH46" s="100">
        <v>16</v>
      </c>
      <c r="AI46" s="100">
        <v>19392</v>
      </c>
      <c r="AJ46" s="100">
        <v>17</v>
      </c>
      <c r="AK46" s="100">
        <v>20604</v>
      </c>
      <c r="AL46" s="100">
        <v>14</v>
      </c>
      <c r="AM46" s="100">
        <v>16968</v>
      </c>
      <c r="AN46" s="100">
        <v>18</v>
      </c>
      <c r="AO46" s="100">
        <v>21816</v>
      </c>
      <c r="AP46" s="100">
        <v>13</v>
      </c>
      <c r="AQ46" s="100">
        <v>15756</v>
      </c>
      <c r="AR46" s="100">
        <v>17</v>
      </c>
      <c r="AS46" s="100">
        <v>20604</v>
      </c>
      <c r="AT46" s="100">
        <v>15</v>
      </c>
      <c r="AU46" s="100">
        <v>18180</v>
      </c>
      <c r="AV46" s="100">
        <v>13</v>
      </c>
      <c r="AW46" s="100">
        <v>15756</v>
      </c>
      <c r="AX46" s="100">
        <v>9</v>
      </c>
      <c r="AY46" s="100">
        <v>10908</v>
      </c>
      <c r="AZ46" s="100">
        <v>12</v>
      </c>
      <c r="BA46" s="100">
        <v>14544</v>
      </c>
      <c r="BB46" s="100">
        <v>18</v>
      </c>
      <c r="BC46" s="100">
        <v>21816</v>
      </c>
      <c r="BD46" s="100">
        <v>8.7275053334887644</v>
      </c>
      <c r="BE46" s="100">
        <v>10577.736464188383</v>
      </c>
      <c r="BF46" s="100">
        <v>12.632975674171909</v>
      </c>
      <c r="BG46" s="100">
        <v>15311.166517096355</v>
      </c>
      <c r="BH46" s="100">
        <v>13</v>
      </c>
      <c r="BI46" s="100">
        <v>15756</v>
      </c>
      <c r="BJ46" s="100">
        <v>14</v>
      </c>
      <c r="BK46" s="100">
        <v>16968</v>
      </c>
      <c r="BL46" s="100">
        <v>15.977345225510854</v>
      </c>
      <c r="BM46" s="100">
        <v>19364.542413319155</v>
      </c>
      <c r="BN46" s="100">
        <v>15.401837236119487</v>
      </c>
      <c r="BO46" s="100">
        <v>18667.026730176818</v>
      </c>
      <c r="BP46" s="100">
        <v>17.29395081460645</v>
      </c>
      <c r="BQ46" s="100">
        <v>20960.268387303018</v>
      </c>
      <c r="BR46" s="100">
        <v>12.150134988468995</v>
      </c>
      <c r="BS46" s="100">
        <v>14725.963606024423</v>
      </c>
      <c r="BT46" s="100">
        <v>11.232957590800476</v>
      </c>
      <c r="BU46" s="100">
        <v>13614.344600050177</v>
      </c>
      <c r="BV46" s="100">
        <v>9.8651442726024268</v>
      </c>
      <c r="BW46" s="100">
        <v>11956.554858394142</v>
      </c>
      <c r="BX46" s="100">
        <v>10.92322226670249</v>
      </c>
      <c r="BY46" s="100">
        <v>13238.945387243419</v>
      </c>
      <c r="BZ46" s="100">
        <v>11.895705863208413</v>
      </c>
      <c r="CA46" s="100">
        <v>14417.595506208596</v>
      </c>
      <c r="CB46" s="100">
        <v>10.438153410922151</v>
      </c>
      <c r="CC46" s="100">
        <v>12651.041934037647</v>
      </c>
      <c r="CD46" s="100">
        <v>8.3777412417677439</v>
      </c>
      <c r="CE46" s="100">
        <v>10153.822385022506</v>
      </c>
      <c r="CF46" s="100">
        <v>11</v>
      </c>
      <c r="CG46" s="100">
        <v>13332</v>
      </c>
      <c r="CH46" s="100">
        <v>15</v>
      </c>
      <c r="CI46" s="100">
        <v>18180</v>
      </c>
      <c r="CJ46" s="100">
        <v>17</v>
      </c>
      <c r="CK46" s="100">
        <v>20604</v>
      </c>
      <c r="CL46" s="100">
        <v>11</v>
      </c>
      <c r="CM46" s="100">
        <v>13332</v>
      </c>
      <c r="CN46" s="100">
        <v>16.701076515819189</v>
      </c>
      <c r="CO46" s="100">
        <v>20241.704737172855</v>
      </c>
      <c r="CP46" s="100">
        <v>16</v>
      </c>
      <c r="CQ46" s="100">
        <v>19392</v>
      </c>
      <c r="CR46" s="100">
        <v>18</v>
      </c>
      <c r="CS46" s="100">
        <v>21816</v>
      </c>
      <c r="CT46" s="100">
        <v>12</v>
      </c>
      <c r="CU46" s="100">
        <v>14544</v>
      </c>
    </row>
    <row r="47" spans="2:99">
      <c r="C47" s="99" t="s">
        <v>213</v>
      </c>
      <c r="D47" s="100">
        <v>15</v>
      </c>
      <c r="E47" s="100">
        <v>22914</v>
      </c>
      <c r="F47" s="100">
        <v>12</v>
      </c>
      <c r="G47" s="100">
        <v>18331.199999999997</v>
      </c>
      <c r="H47" s="100">
        <v>12</v>
      </c>
      <c r="I47" s="100">
        <v>18331.199999999997</v>
      </c>
      <c r="J47" s="100">
        <v>16</v>
      </c>
      <c r="K47" s="100">
        <v>24441.599999999999</v>
      </c>
      <c r="L47" s="100">
        <v>9</v>
      </c>
      <c r="M47" s="100">
        <v>13748.4</v>
      </c>
      <c r="N47" s="100">
        <v>14</v>
      </c>
      <c r="O47" s="100">
        <v>21386.399999999998</v>
      </c>
      <c r="P47" s="100">
        <v>16</v>
      </c>
      <c r="Q47" s="100">
        <v>24441.599999999999</v>
      </c>
      <c r="R47" s="100">
        <v>16</v>
      </c>
      <c r="S47" s="100">
        <v>24441.599999999999</v>
      </c>
      <c r="T47" s="100">
        <v>12</v>
      </c>
      <c r="U47" s="100">
        <v>18331.199999999997</v>
      </c>
      <c r="V47" s="100">
        <v>12</v>
      </c>
      <c r="W47" s="100">
        <v>18331.199999999997</v>
      </c>
      <c r="X47" s="100">
        <v>14</v>
      </c>
      <c r="Y47" s="100">
        <v>21386.399999999998</v>
      </c>
      <c r="Z47" s="100">
        <v>15</v>
      </c>
      <c r="AA47" s="100">
        <v>22914</v>
      </c>
      <c r="AB47" s="100">
        <v>13</v>
      </c>
      <c r="AC47" s="100">
        <v>19858.8</v>
      </c>
      <c r="AD47" s="100">
        <v>11</v>
      </c>
      <c r="AE47" s="100">
        <v>16803.599999999999</v>
      </c>
      <c r="AF47" s="100">
        <v>15</v>
      </c>
      <c r="AG47" s="100">
        <v>22914</v>
      </c>
      <c r="AH47" s="100">
        <v>15</v>
      </c>
      <c r="AI47" s="100">
        <v>22914</v>
      </c>
      <c r="AJ47" s="100">
        <v>17</v>
      </c>
      <c r="AK47" s="100">
        <v>25969.199999999997</v>
      </c>
      <c r="AL47" s="100">
        <v>14</v>
      </c>
      <c r="AM47" s="100">
        <v>21386.399999999998</v>
      </c>
      <c r="AN47" s="100">
        <v>16</v>
      </c>
      <c r="AO47" s="100">
        <v>24441.599999999999</v>
      </c>
      <c r="AP47" s="100">
        <v>11</v>
      </c>
      <c r="AQ47" s="100">
        <v>16803.599999999999</v>
      </c>
      <c r="AR47" s="100">
        <v>15</v>
      </c>
      <c r="AS47" s="100">
        <v>22914</v>
      </c>
      <c r="AT47" s="100">
        <v>15</v>
      </c>
      <c r="AU47" s="100">
        <v>22914</v>
      </c>
      <c r="AV47" s="100">
        <v>13</v>
      </c>
      <c r="AW47" s="100">
        <v>19858.8</v>
      </c>
      <c r="AX47" s="100">
        <v>9</v>
      </c>
      <c r="AY47" s="100">
        <v>13748.4</v>
      </c>
      <c r="AZ47" s="100">
        <v>13</v>
      </c>
      <c r="BA47" s="100">
        <v>19858.8</v>
      </c>
      <c r="BB47" s="100">
        <v>15</v>
      </c>
      <c r="BC47" s="100">
        <v>22914</v>
      </c>
      <c r="BD47" s="100">
        <v>8.7275053334887644</v>
      </c>
      <c r="BE47" s="100">
        <v>13332.137147437435</v>
      </c>
      <c r="BF47" s="100">
        <v>11.790777295893781</v>
      </c>
      <c r="BG47" s="100">
        <v>18011.591397207339</v>
      </c>
      <c r="BH47" s="100">
        <v>11</v>
      </c>
      <c r="BI47" s="100">
        <v>16803.599999999999</v>
      </c>
      <c r="BJ47" s="100">
        <v>13</v>
      </c>
      <c r="BK47" s="100">
        <v>19858.8</v>
      </c>
      <c r="BL47" s="100">
        <v>15.089714935204695</v>
      </c>
      <c r="BM47" s="100">
        <v>23051.04853501869</v>
      </c>
      <c r="BN47" s="100">
        <v>17.213818087427661</v>
      </c>
      <c r="BO47" s="100">
        <v>26295.828510354495</v>
      </c>
      <c r="BP47" s="100">
        <v>18.254725859862369</v>
      </c>
      <c r="BQ47" s="100">
        <v>27885.919223525754</v>
      </c>
      <c r="BR47" s="100">
        <v>13.084760756812765</v>
      </c>
      <c r="BS47" s="100">
        <v>19988.280532107179</v>
      </c>
      <c r="BT47" s="100">
        <v>9.5048102691388632</v>
      </c>
      <c r="BU47" s="100">
        <v>14519.548167136527</v>
      </c>
      <c r="BV47" s="100">
        <v>9.8651442726024268</v>
      </c>
      <c r="BW47" s="100">
        <v>15069.994390827465</v>
      </c>
      <c r="BX47" s="100">
        <v>10.082974400033068</v>
      </c>
      <c r="BY47" s="100">
        <v>15402.751693490514</v>
      </c>
      <c r="BZ47" s="100">
        <v>11.195958459490271</v>
      </c>
      <c r="CA47" s="100">
        <v>17102.946142717337</v>
      </c>
      <c r="CB47" s="100">
        <v>9.6925710244277123</v>
      </c>
      <c r="CC47" s="100">
        <v>14806.371496915772</v>
      </c>
      <c r="CD47" s="100">
        <v>8.3777412417677439</v>
      </c>
      <c r="CE47" s="100">
        <v>12797.837520924404</v>
      </c>
      <c r="CF47" s="100">
        <v>12</v>
      </c>
      <c r="CG47" s="100">
        <v>18331.199999999997</v>
      </c>
      <c r="CH47" s="100">
        <v>17</v>
      </c>
      <c r="CI47" s="100">
        <v>25969.199999999997</v>
      </c>
      <c r="CJ47" s="100">
        <v>15</v>
      </c>
      <c r="CK47" s="100">
        <v>22914</v>
      </c>
      <c r="CL47" s="100">
        <v>11</v>
      </c>
      <c r="CM47" s="100">
        <v>16803.599999999999</v>
      </c>
      <c r="CN47" s="100">
        <v>14.845401347394834</v>
      </c>
      <c r="CO47" s="100">
        <v>22677.835098280346</v>
      </c>
      <c r="CP47" s="100">
        <v>14</v>
      </c>
      <c r="CQ47" s="100">
        <v>21386.399999999998</v>
      </c>
      <c r="CR47" s="100">
        <v>16</v>
      </c>
      <c r="CS47" s="100">
        <v>24441.599999999999</v>
      </c>
      <c r="CT47" s="100">
        <v>11</v>
      </c>
      <c r="CU47" s="100">
        <v>16803.599999999999</v>
      </c>
    </row>
    <row r="48" spans="2:99">
      <c r="C48" s="99" t="s">
        <v>214</v>
      </c>
      <c r="D48" s="100">
        <v>18</v>
      </c>
      <c r="E48" s="100">
        <v>15616.800000000001</v>
      </c>
      <c r="F48" s="100">
        <v>11</v>
      </c>
      <c r="G48" s="100">
        <v>9543.6</v>
      </c>
      <c r="H48" s="100">
        <v>13</v>
      </c>
      <c r="I48" s="100">
        <v>11278.800000000001</v>
      </c>
      <c r="J48" s="100">
        <v>15</v>
      </c>
      <c r="K48" s="100">
        <v>13014</v>
      </c>
      <c r="L48" s="100">
        <v>9</v>
      </c>
      <c r="M48" s="100">
        <v>7808.4000000000005</v>
      </c>
      <c r="N48" s="100">
        <v>15</v>
      </c>
      <c r="O48" s="100">
        <v>13014</v>
      </c>
      <c r="P48" s="100">
        <v>17</v>
      </c>
      <c r="Q48" s="100">
        <v>14749.2</v>
      </c>
      <c r="R48" s="100">
        <v>16</v>
      </c>
      <c r="S48" s="100">
        <v>13881.6</v>
      </c>
      <c r="T48" s="100">
        <v>13</v>
      </c>
      <c r="U48" s="100">
        <v>11278.800000000001</v>
      </c>
      <c r="V48" s="100">
        <v>14</v>
      </c>
      <c r="W48" s="100">
        <v>12146.4</v>
      </c>
      <c r="X48" s="100">
        <v>15</v>
      </c>
      <c r="Y48" s="100">
        <v>13014</v>
      </c>
      <c r="Z48" s="100">
        <v>18</v>
      </c>
      <c r="AA48" s="100">
        <v>15616.800000000001</v>
      </c>
      <c r="AB48" s="100">
        <v>15</v>
      </c>
      <c r="AC48" s="100">
        <v>13014</v>
      </c>
      <c r="AD48" s="100">
        <v>12</v>
      </c>
      <c r="AE48" s="100">
        <v>10411.200000000001</v>
      </c>
      <c r="AF48" s="100">
        <v>16</v>
      </c>
      <c r="AG48" s="100">
        <v>13881.6</v>
      </c>
      <c r="AH48" s="100">
        <v>17</v>
      </c>
      <c r="AI48" s="100">
        <v>14749.2</v>
      </c>
      <c r="AJ48" s="100">
        <v>19</v>
      </c>
      <c r="AK48" s="100">
        <v>16484.400000000001</v>
      </c>
      <c r="AL48" s="100">
        <v>14</v>
      </c>
      <c r="AM48" s="100">
        <v>12146.4</v>
      </c>
      <c r="AN48" s="100">
        <v>19</v>
      </c>
      <c r="AO48" s="100">
        <v>16484.400000000001</v>
      </c>
      <c r="AP48" s="100">
        <v>14</v>
      </c>
      <c r="AQ48" s="100">
        <v>12146.4</v>
      </c>
      <c r="AR48" s="100">
        <v>16</v>
      </c>
      <c r="AS48" s="100">
        <v>13881.6</v>
      </c>
      <c r="AT48" s="100">
        <v>15</v>
      </c>
      <c r="AU48" s="100">
        <v>13014</v>
      </c>
      <c r="AV48" s="100">
        <v>14</v>
      </c>
      <c r="AW48" s="100">
        <v>12146.4</v>
      </c>
      <c r="AX48" s="100">
        <v>11</v>
      </c>
      <c r="AY48" s="100">
        <v>9543.6</v>
      </c>
      <c r="AZ48" s="100">
        <v>13</v>
      </c>
      <c r="BA48" s="100">
        <v>11278.800000000001</v>
      </c>
      <c r="BB48" s="100">
        <v>18</v>
      </c>
      <c r="BC48" s="100">
        <v>15616.800000000001</v>
      </c>
      <c r="BD48" s="100">
        <v>8.7275053334887644</v>
      </c>
      <c r="BE48" s="100">
        <v>7571.9836273348519</v>
      </c>
      <c r="BF48" s="100">
        <v>14.317372430728163</v>
      </c>
      <c r="BG48" s="100">
        <v>12421.752320899755</v>
      </c>
      <c r="BH48" s="100">
        <v>13</v>
      </c>
      <c r="BI48" s="100">
        <v>11278.800000000001</v>
      </c>
      <c r="BJ48" s="100">
        <v>15</v>
      </c>
      <c r="BK48" s="100">
        <v>13014</v>
      </c>
      <c r="BL48" s="100">
        <v>15.977345225510854</v>
      </c>
      <c r="BM48" s="100">
        <v>13861.944717653218</v>
      </c>
      <c r="BN48" s="100">
        <v>15.401837236119487</v>
      </c>
      <c r="BO48" s="100">
        <v>13362.633986057268</v>
      </c>
      <c r="BP48" s="100">
        <v>19.215500905118279</v>
      </c>
      <c r="BQ48" s="100">
        <v>16671.368585280619</v>
      </c>
      <c r="BR48" s="100">
        <v>13.084760756812765</v>
      </c>
      <c r="BS48" s="100">
        <v>11352.338432610755</v>
      </c>
      <c r="BT48" s="100">
        <v>10.36888392996967</v>
      </c>
      <c r="BU48" s="100">
        <v>8996.0436976416859</v>
      </c>
      <c r="BV48" s="100">
        <v>9.8651442726024268</v>
      </c>
      <c r="BW48" s="100">
        <v>8558.9991709098649</v>
      </c>
      <c r="BX48" s="100">
        <v>10.082974400033068</v>
      </c>
      <c r="BY48" s="100">
        <v>8747.9885894686904</v>
      </c>
      <c r="BZ48" s="100">
        <v>11.895705863208413</v>
      </c>
      <c r="CA48" s="100">
        <v>10320.714406919618</v>
      </c>
      <c r="CB48" s="100">
        <v>11.929318183911031</v>
      </c>
      <c r="CC48" s="100">
        <v>10349.876456361211</v>
      </c>
      <c r="CD48" s="100">
        <v>9.215515365944519</v>
      </c>
      <c r="CE48" s="100">
        <v>7995.3811314934646</v>
      </c>
      <c r="CF48" s="100">
        <v>11</v>
      </c>
      <c r="CG48" s="100">
        <v>9543.6</v>
      </c>
      <c r="CH48" s="100">
        <v>18</v>
      </c>
      <c r="CI48" s="100">
        <v>15616.800000000001</v>
      </c>
      <c r="CJ48" s="100">
        <v>16</v>
      </c>
      <c r="CK48" s="100">
        <v>13881.6</v>
      </c>
      <c r="CL48" s="100">
        <v>12</v>
      </c>
      <c r="CM48" s="100">
        <v>10411.200000000001</v>
      </c>
      <c r="CN48" s="100">
        <v>15.773238931607009</v>
      </c>
      <c r="CO48" s="100">
        <v>13684.862097062241</v>
      </c>
      <c r="CP48" s="100">
        <v>15</v>
      </c>
      <c r="CQ48" s="100">
        <v>13014</v>
      </c>
      <c r="CR48" s="100">
        <v>18</v>
      </c>
      <c r="CS48" s="100">
        <v>15616.800000000001</v>
      </c>
      <c r="CT48" s="100">
        <v>11</v>
      </c>
      <c r="CU48" s="100">
        <v>9543.6</v>
      </c>
    </row>
    <row r="49" spans="2:99">
      <c r="B49" s="99" t="s">
        <v>129</v>
      </c>
      <c r="C49" s="99" t="s">
        <v>215</v>
      </c>
      <c r="D49" s="100">
        <v>8.6419753086419746</v>
      </c>
      <c r="E49" s="100">
        <v>8514.074074074073</v>
      </c>
      <c r="F49" s="100">
        <v>13.043478260869565</v>
      </c>
      <c r="G49" s="100">
        <v>12850.434782608694</v>
      </c>
      <c r="H49" s="100">
        <v>6.962025316455696</v>
      </c>
      <c r="I49" s="100">
        <v>6858.987341772151</v>
      </c>
      <c r="J49" s="100">
        <v>9.9415204678362574</v>
      </c>
      <c r="K49" s="100">
        <v>9794.3859649122805</v>
      </c>
      <c r="L49" s="100">
        <v>8.7272727272727266</v>
      </c>
      <c r="M49" s="100">
        <v>8598.109090909089</v>
      </c>
      <c r="N49" s="100">
        <v>16</v>
      </c>
      <c r="O49" s="100">
        <v>15763.199999999999</v>
      </c>
      <c r="P49" s="100">
        <v>10.549707602339181</v>
      </c>
      <c r="Q49" s="100">
        <v>10393.57192982456</v>
      </c>
      <c r="R49" s="100">
        <v>13.559322033898304</v>
      </c>
      <c r="S49" s="100">
        <v>13358.644067796609</v>
      </c>
      <c r="T49" s="100">
        <v>12.972972972972974</v>
      </c>
      <c r="U49" s="100">
        <v>12780.972972972973</v>
      </c>
      <c r="V49" s="100">
        <v>14</v>
      </c>
      <c r="W49" s="100">
        <v>13792.8</v>
      </c>
      <c r="X49" s="100">
        <v>10</v>
      </c>
      <c r="Y49" s="100">
        <v>9852</v>
      </c>
      <c r="Z49" s="100">
        <v>12</v>
      </c>
      <c r="AA49" s="100">
        <v>11822.4</v>
      </c>
      <c r="AB49" s="100">
        <v>9</v>
      </c>
      <c r="AC49" s="100">
        <v>8866.7999999999993</v>
      </c>
      <c r="AD49" s="100">
        <v>15</v>
      </c>
      <c r="AE49" s="100">
        <v>14777.999999999998</v>
      </c>
      <c r="AF49" s="100">
        <v>13</v>
      </c>
      <c r="AG49" s="100">
        <v>12807.599999999999</v>
      </c>
      <c r="AH49" s="100">
        <v>9</v>
      </c>
      <c r="AI49" s="100">
        <v>8866.7999999999993</v>
      </c>
      <c r="AJ49" s="100">
        <v>8</v>
      </c>
      <c r="AK49" s="100">
        <v>7881.5999999999995</v>
      </c>
      <c r="AL49" s="100">
        <v>15</v>
      </c>
      <c r="AM49" s="100">
        <v>14777.999999999998</v>
      </c>
      <c r="AN49" s="100">
        <v>11</v>
      </c>
      <c r="AO49" s="100">
        <v>10837.199999999999</v>
      </c>
      <c r="AP49" s="100">
        <v>12</v>
      </c>
      <c r="AQ49" s="100">
        <v>11822.4</v>
      </c>
      <c r="AR49" s="100">
        <v>10</v>
      </c>
      <c r="AS49" s="100">
        <v>9852</v>
      </c>
      <c r="AT49" s="100">
        <v>10</v>
      </c>
      <c r="AU49" s="100">
        <v>9852</v>
      </c>
      <c r="AV49" s="100">
        <v>11</v>
      </c>
      <c r="AW49" s="100">
        <v>10837.199999999999</v>
      </c>
      <c r="AX49" s="100">
        <v>10</v>
      </c>
      <c r="AY49" s="100">
        <v>9852</v>
      </c>
      <c r="AZ49" s="100">
        <v>15</v>
      </c>
      <c r="BA49" s="100">
        <v>14777.999999999998</v>
      </c>
      <c r="BB49" s="100">
        <v>14</v>
      </c>
      <c r="BC49" s="100">
        <v>13792.8</v>
      </c>
      <c r="BD49" s="100">
        <v>17</v>
      </c>
      <c r="BE49" s="100">
        <v>16748.399999999998</v>
      </c>
      <c r="BF49" s="100">
        <v>15</v>
      </c>
      <c r="BG49" s="100">
        <v>14777.999999999998</v>
      </c>
      <c r="BH49" s="100">
        <v>14</v>
      </c>
      <c r="BI49" s="100">
        <v>13792.8</v>
      </c>
      <c r="BJ49" s="100">
        <v>9</v>
      </c>
      <c r="BK49" s="100">
        <v>8866.7999999999993</v>
      </c>
      <c r="BL49" s="100">
        <v>16</v>
      </c>
      <c r="BM49" s="100">
        <v>15763.199999999999</v>
      </c>
      <c r="BN49" s="100">
        <v>9</v>
      </c>
      <c r="BO49" s="100">
        <v>8866.7999999999993</v>
      </c>
      <c r="BP49" s="100">
        <v>10</v>
      </c>
      <c r="BQ49" s="100">
        <v>9852</v>
      </c>
      <c r="BR49" s="100">
        <v>12</v>
      </c>
      <c r="BS49" s="100">
        <v>11822.4</v>
      </c>
      <c r="BT49" s="100">
        <v>10.983606557377048</v>
      </c>
      <c r="BU49" s="100">
        <v>10821.049180327867</v>
      </c>
      <c r="BV49" s="100">
        <v>1.1355802806099787E-22</v>
      </c>
      <c r="BW49" s="100">
        <v>1.118773692456951E-19</v>
      </c>
      <c r="BX49" s="100">
        <v>9</v>
      </c>
      <c r="BY49" s="100">
        <v>8866.7999999999993</v>
      </c>
      <c r="BZ49" s="100">
        <v>11</v>
      </c>
      <c r="CA49" s="100">
        <v>10837.199999999999</v>
      </c>
      <c r="CB49" s="100">
        <v>15</v>
      </c>
      <c r="CC49" s="100">
        <v>14777.999999999998</v>
      </c>
      <c r="CD49" s="100">
        <v>13</v>
      </c>
      <c r="CE49" s="100">
        <v>12807.599999999999</v>
      </c>
      <c r="CF49" s="100">
        <v>9</v>
      </c>
      <c r="CG49" s="100">
        <v>8866.7999999999993</v>
      </c>
      <c r="CH49" s="100">
        <v>14</v>
      </c>
      <c r="CI49" s="100">
        <v>13792.8</v>
      </c>
      <c r="CJ49" s="100">
        <v>12</v>
      </c>
      <c r="CK49" s="100">
        <v>11822.4</v>
      </c>
      <c r="CL49" s="100">
        <v>10</v>
      </c>
      <c r="CM49" s="100">
        <v>9852</v>
      </c>
      <c r="CN49" s="100">
        <v>9</v>
      </c>
      <c r="CO49" s="100">
        <v>8866.7999999999993</v>
      </c>
      <c r="CP49" s="100">
        <v>11</v>
      </c>
      <c r="CQ49" s="100">
        <v>10837.199999999999</v>
      </c>
      <c r="CR49" s="100">
        <v>13</v>
      </c>
      <c r="CS49" s="100">
        <v>12807.599999999999</v>
      </c>
      <c r="CT49" s="100">
        <v>16</v>
      </c>
      <c r="CU49" s="100">
        <v>15763.199999999999</v>
      </c>
    </row>
    <row r="50" spans="2:99">
      <c r="C50" s="99" t="s">
        <v>216</v>
      </c>
      <c r="D50" s="100">
        <v>17</v>
      </c>
      <c r="E50" s="100">
        <v>4794</v>
      </c>
      <c r="F50" s="100">
        <v>17</v>
      </c>
      <c r="G50" s="100">
        <v>4794</v>
      </c>
      <c r="H50" s="100">
        <v>10</v>
      </c>
      <c r="I50" s="100">
        <v>2820</v>
      </c>
      <c r="J50" s="100">
        <v>17</v>
      </c>
      <c r="K50" s="100">
        <v>4794</v>
      </c>
      <c r="L50" s="100">
        <v>9</v>
      </c>
      <c r="M50" s="100">
        <v>2538</v>
      </c>
      <c r="N50" s="100">
        <v>18</v>
      </c>
      <c r="O50" s="100">
        <v>5076</v>
      </c>
      <c r="P50" s="100">
        <v>11</v>
      </c>
      <c r="Q50" s="100">
        <v>3102</v>
      </c>
      <c r="R50" s="100">
        <v>17</v>
      </c>
      <c r="S50" s="100">
        <v>4794</v>
      </c>
      <c r="T50" s="100">
        <v>17</v>
      </c>
      <c r="U50" s="100">
        <v>4794</v>
      </c>
      <c r="V50" s="100">
        <v>13</v>
      </c>
      <c r="W50" s="100">
        <v>3666</v>
      </c>
      <c r="X50" s="100">
        <v>10</v>
      </c>
      <c r="Y50" s="100">
        <v>2820</v>
      </c>
      <c r="Z50" s="100">
        <v>12</v>
      </c>
      <c r="AA50" s="100">
        <v>3384</v>
      </c>
      <c r="AB50" s="100">
        <v>9</v>
      </c>
      <c r="AC50" s="100">
        <v>2538</v>
      </c>
      <c r="AD50" s="100">
        <v>17</v>
      </c>
      <c r="AE50" s="100">
        <v>4794</v>
      </c>
      <c r="AF50" s="100">
        <v>14</v>
      </c>
      <c r="AG50" s="100">
        <v>3948</v>
      </c>
      <c r="AH50" s="100">
        <v>9</v>
      </c>
      <c r="AI50" s="100">
        <v>2538</v>
      </c>
      <c r="AJ50" s="100">
        <v>11</v>
      </c>
      <c r="AK50" s="100">
        <v>3102</v>
      </c>
      <c r="AL50" s="100">
        <v>15</v>
      </c>
      <c r="AM50" s="100">
        <v>4230</v>
      </c>
      <c r="AN50" s="100">
        <v>13</v>
      </c>
      <c r="AO50" s="100">
        <v>3666</v>
      </c>
      <c r="AP50" s="100">
        <v>12</v>
      </c>
      <c r="AQ50" s="100">
        <v>3384</v>
      </c>
      <c r="AR50" s="100">
        <v>10</v>
      </c>
      <c r="AS50" s="100">
        <v>2820</v>
      </c>
      <c r="AT50" s="100">
        <v>9</v>
      </c>
      <c r="AU50" s="100">
        <v>2538</v>
      </c>
      <c r="AV50" s="100">
        <v>12</v>
      </c>
      <c r="AW50" s="100">
        <v>3384</v>
      </c>
      <c r="AX50" s="100">
        <v>12</v>
      </c>
      <c r="AY50" s="100">
        <v>3384</v>
      </c>
      <c r="AZ50" s="100">
        <v>14</v>
      </c>
      <c r="BA50" s="100">
        <v>3948</v>
      </c>
      <c r="BB50" s="100">
        <v>16</v>
      </c>
      <c r="BC50" s="100">
        <v>4512</v>
      </c>
      <c r="BD50" s="100">
        <v>16.485287852145444</v>
      </c>
      <c r="BE50" s="100">
        <v>4648.8511743050149</v>
      </c>
      <c r="BF50" s="100">
        <v>15.159570809006288</v>
      </c>
      <c r="BG50" s="100">
        <v>4274.9989681397728</v>
      </c>
      <c r="BH50" s="100">
        <v>15</v>
      </c>
      <c r="BI50" s="100">
        <v>4230</v>
      </c>
      <c r="BJ50" s="100">
        <v>10</v>
      </c>
      <c r="BK50" s="100">
        <v>2820</v>
      </c>
      <c r="BL50" s="100">
        <v>14.202084644898536</v>
      </c>
      <c r="BM50" s="100">
        <v>4004.987869861387</v>
      </c>
      <c r="BN50" s="100">
        <v>9.9658946821949623</v>
      </c>
      <c r="BO50" s="100">
        <v>2810.3823003789794</v>
      </c>
      <c r="BP50" s="100">
        <v>11.529300543070969</v>
      </c>
      <c r="BQ50" s="100">
        <v>3251.262753146013</v>
      </c>
      <c r="BR50" s="100">
        <v>14.019386525156534</v>
      </c>
      <c r="BS50" s="100">
        <v>3953.4670000941428</v>
      </c>
      <c r="BT50" s="100">
        <v>15.553325894954504</v>
      </c>
      <c r="BU50" s="100">
        <v>4386.0379023771702</v>
      </c>
      <c r="BV50" s="100">
        <v>17.039794652676918</v>
      </c>
      <c r="BW50" s="100">
        <v>4805.2220920548907</v>
      </c>
      <c r="BX50" s="100">
        <v>8.4024786666942237</v>
      </c>
      <c r="BY50" s="100">
        <v>2369.498984007771</v>
      </c>
      <c r="BZ50" s="100">
        <v>9.096716248335845</v>
      </c>
      <c r="CA50" s="100">
        <v>2565.2739820307083</v>
      </c>
      <c r="CB50" s="100">
        <v>14.166065343394349</v>
      </c>
      <c r="CC50" s="100">
        <v>3994.8304268372062</v>
      </c>
      <c r="CD50" s="100">
        <v>11.728837738474841</v>
      </c>
      <c r="CE50" s="100">
        <v>3307.5322422499053</v>
      </c>
      <c r="CF50" s="100">
        <v>11</v>
      </c>
      <c r="CG50" s="100">
        <v>3102</v>
      </c>
      <c r="CH50" s="100">
        <v>15</v>
      </c>
      <c r="CI50" s="100">
        <v>4230</v>
      </c>
      <c r="CJ50" s="100">
        <v>12</v>
      </c>
      <c r="CK50" s="100">
        <v>3384</v>
      </c>
      <c r="CL50" s="100">
        <v>11</v>
      </c>
      <c r="CM50" s="100">
        <v>3102</v>
      </c>
      <c r="CN50" s="100">
        <v>9.2783758421217701</v>
      </c>
      <c r="CO50" s="100">
        <v>2616.5019874783393</v>
      </c>
      <c r="CP50" s="100">
        <v>13</v>
      </c>
      <c r="CQ50" s="100">
        <v>3666</v>
      </c>
      <c r="CR50" s="100">
        <v>15</v>
      </c>
      <c r="CS50" s="100">
        <v>4230</v>
      </c>
      <c r="CT50" s="100">
        <v>16</v>
      </c>
      <c r="CU50" s="100">
        <v>4512</v>
      </c>
    </row>
    <row r="51" spans="2:99">
      <c r="C51" s="99" t="s">
        <v>217</v>
      </c>
      <c r="D51" s="100">
        <v>16</v>
      </c>
      <c r="E51" s="100">
        <v>13670.4</v>
      </c>
      <c r="F51" s="100">
        <v>16</v>
      </c>
      <c r="G51" s="100">
        <v>13670.4</v>
      </c>
      <c r="H51" s="100">
        <v>10</v>
      </c>
      <c r="I51" s="100">
        <v>8544</v>
      </c>
      <c r="J51" s="100">
        <v>15</v>
      </c>
      <c r="K51" s="100">
        <v>12816</v>
      </c>
      <c r="L51" s="100">
        <v>10</v>
      </c>
      <c r="M51" s="100">
        <v>8544</v>
      </c>
      <c r="N51" s="100">
        <v>17</v>
      </c>
      <c r="O51" s="100">
        <v>14524.8</v>
      </c>
      <c r="P51" s="100">
        <v>11</v>
      </c>
      <c r="Q51" s="100">
        <v>9398.4</v>
      </c>
      <c r="R51" s="100">
        <v>15</v>
      </c>
      <c r="S51" s="100">
        <v>12816</v>
      </c>
      <c r="T51" s="100">
        <v>17</v>
      </c>
      <c r="U51" s="100">
        <v>14524.8</v>
      </c>
      <c r="V51" s="100">
        <v>13</v>
      </c>
      <c r="W51" s="100">
        <v>11107.199999999999</v>
      </c>
      <c r="X51" s="100">
        <v>10</v>
      </c>
      <c r="Y51" s="100">
        <v>8544</v>
      </c>
      <c r="Z51" s="100">
        <v>11</v>
      </c>
      <c r="AA51" s="100">
        <v>9398.4</v>
      </c>
      <c r="AB51" s="100">
        <v>9</v>
      </c>
      <c r="AC51" s="100">
        <v>7689.5999999999995</v>
      </c>
      <c r="AD51" s="100">
        <v>16</v>
      </c>
      <c r="AE51" s="100">
        <v>13670.4</v>
      </c>
      <c r="AF51" s="100">
        <v>12</v>
      </c>
      <c r="AG51" s="100">
        <v>10252.799999999999</v>
      </c>
      <c r="AH51" s="100">
        <v>9</v>
      </c>
      <c r="AI51" s="100">
        <v>7689.5999999999995</v>
      </c>
      <c r="AJ51" s="100">
        <v>9</v>
      </c>
      <c r="AK51" s="100">
        <v>7689.5999999999995</v>
      </c>
      <c r="AL51" s="100">
        <v>15</v>
      </c>
      <c r="AM51" s="100">
        <v>12816</v>
      </c>
      <c r="AN51" s="100">
        <v>11</v>
      </c>
      <c r="AO51" s="100">
        <v>9398.4</v>
      </c>
      <c r="AP51" s="100">
        <v>13</v>
      </c>
      <c r="AQ51" s="100">
        <v>11107.199999999999</v>
      </c>
      <c r="AR51" s="100">
        <v>10</v>
      </c>
      <c r="AS51" s="100">
        <v>8544</v>
      </c>
      <c r="AT51" s="100">
        <v>10</v>
      </c>
      <c r="AU51" s="100">
        <v>8544</v>
      </c>
      <c r="AV51" s="100">
        <v>11</v>
      </c>
      <c r="AW51" s="100">
        <v>9398.4</v>
      </c>
      <c r="AX51" s="100">
        <v>12</v>
      </c>
      <c r="AY51" s="100">
        <v>10252.799999999999</v>
      </c>
      <c r="AZ51" s="100">
        <v>13</v>
      </c>
      <c r="BA51" s="100">
        <v>11107.199999999999</v>
      </c>
      <c r="BB51" s="100">
        <v>16</v>
      </c>
      <c r="BC51" s="100">
        <v>13670.4</v>
      </c>
      <c r="BD51" s="100">
        <v>14.545842222481276</v>
      </c>
      <c r="BE51" s="100">
        <v>12427.967594888003</v>
      </c>
      <c r="BF51" s="100">
        <v>13.475174052450035</v>
      </c>
      <c r="BG51" s="100">
        <v>11513.188710413309</v>
      </c>
      <c r="BH51" s="100">
        <v>14</v>
      </c>
      <c r="BI51" s="100">
        <v>11961.6</v>
      </c>
      <c r="BJ51" s="100">
        <v>10</v>
      </c>
      <c r="BK51" s="100">
        <v>8544</v>
      </c>
      <c r="BL51" s="100">
        <v>13.314454354592378</v>
      </c>
      <c r="BM51" s="100">
        <v>11375.869800563727</v>
      </c>
      <c r="BN51" s="100">
        <v>9.0599042565408752</v>
      </c>
      <c r="BO51" s="100">
        <v>7740.7821967885238</v>
      </c>
      <c r="BP51" s="100">
        <v>9.6077504525591397</v>
      </c>
      <c r="BQ51" s="100">
        <v>8208.8619866665285</v>
      </c>
      <c r="BR51" s="100">
        <v>11.215509220125226</v>
      </c>
      <c r="BS51" s="100">
        <v>9582.531077674992</v>
      </c>
      <c r="BT51" s="100">
        <v>14.689252234123698</v>
      </c>
      <c r="BU51" s="100">
        <v>12550.497108835287</v>
      </c>
      <c r="BV51" s="100">
        <v>15.246132057658295</v>
      </c>
      <c r="BW51" s="100">
        <v>13026.295230063248</v>
      </c>
      <c r="BX51" s="100">
        <v>7.5622308000248015</v>
      </c>
      <c r="BY51" s="100">
        <v>6461.1699955411905</v>
      </c>
      <c r="BZ51" s="100">
        <v>7.6972214408995612</v>
      </c>
      <c r="CA51" s="100">
        <v>6576.5059991045846</v>
      </c>
      <c r="CB51" s="100">
        <v>11.929318183911031</v>
      </c>
      <c r="CC51" s="100">
        <v>10192.409456333584</v>
      </c>
      <c r="CD51" s="100">
        <v>10.891063614298067</v>
      </c>
      <c r="CE51" s="100">
        <v>9305.3247520562691</v>
      </c>
      <c r="CF51" s="100">
        <v>9</v>
      </c>
      <c r="CG51" s="100">
        <v>7689.5999999999995</v>
      </c>
      <c r="CH51" s="100">
        <v>13</v>
      </c>
      <c r="CI51" s="100">
        <v>11107.199999999999</v>
      </c>
      <c r="CJ51" s="100">
        <v>12</v>
      </c>
      <c r="CK51" s="100">
        <v>10252.799999999999</v>
      </c>
      <c r="CL51" s="100">
        <v>10</v>
      </c>
      <c r="CM51" s="100">
        <v>8544</v>
      </c>
      <c r="CN51" s="100">
        <v>7.4227006736974168</v>
      </c>
      <c r="CO51" s="100">
        <v>6341.9554556070725</v>
      </c>
      <c r="CP51" s="100">
        <v>12</v>
      </c>
      <c r="CQ51" s="100">
        <v>10252.799999999999</v>
      </c>
      <c r="CR51" s="100">
        <v>14</v>
      </c>
      <c r="CS51" s="100">
        <v>11961.6</v>
      </c>
      <c r="CT51" s="100">
        <v>16</v>
      </c>
      <c r="CU51" s="100">
        <v>13670.4</v>
      </c>
    </row>
    <row r="52" spans="2:99">
      <c r="C52" s="99" t="s">
        <v>218</v>
      </c>
      <c r="D52" s="100">
        <v>15</v>
      </c>
      <c r="E52" s="100">
        <v>8100</v>
      </c>
      <c r="F52" s="100">
        <v>15</v>
      </c>
      <c r="G52" s="100">
        <v>8100</v>
      </c>
      <c r="H52" s="100">
        <v>10</v>
      </c>
      <c r="I52" s="100">
        <v>5400</v>
      </c>
      <c r="J52" s="100">
        <v>16</v>
      </c>
      <c r="K52" s="100">
        <v>8640</v>
      </c>
      <c r="L52" s="100">
        <v>10</v>
      </c>
      <c r="M52" s="100">
        <v>5400</v>
      </c>
      <c r="N52" s="100">
        <v>17</v>
      </c>
      <c r="O52" s="100">
        <v>9180</v>
      </c>
      <c r="P52" s="100">
        <v>12</v>
      </c>
      <c r="Q52" s="100">
        <v>6480</v>
      </c>
      <c r="R52" s="100">
        <v>17</v>
      </c>
      <c r="S52" s="100">
        <v>9180</v>
      </c>
      <c r="T52" s="100">
        <v>17</v>
      </c>
      <c r="U52" s="100">
        <v>9180</v>
      </c>
      <c r="V52" s="100">
        <v>13</v>
      </c>
      <c r="W52" s="100">
        <v>7020</v>
      </c>
      <c r="X52" s="100">
        <v>10</v>
      </c>
      <c r="Y52" s="100">
        <v>5400</v>
      </c>
      <c r="Z52" s="100">
        <v>12</v>
      </c>
      <c r="AA52" s="100">
        <v>6480</v>
      </c>
      <c r="AB52" s="100">
        <v>10</v>
      </c>
      <c r="AC52" s="100">
        <v>5400</v>
      </c>
      <c r="AD52" s="100">
        <v>15</v>
      </c>
      <c r="AE52" s="100">
        <v>8100</v>
      </c>
      <c r="AF52" s="100">
        <v>14</v>
      </c>
      <c r="AG52" s="100">
        <v>7560</v>
      </c>
      <c r="AH52" s="100">
        <v>9</v>
      </c>
      <c r="AI52" s="100">
        <v>4860</v>
      </c>
      <c r="AJ52" s="100">
        <v>9</v>
      </c>
      <c r="AK52" s="100">
        <v>4860</v>
      </c>
      <c r="AL52" s="100">
        <v>14</v>
      </c>
      <c r="AM52" s="100">
        <v>7560</v>
      </c>
      <c r="AN52" s="100">
        <v>13</v>
      </c>
      <c r="AO52" s="100">
        <v>7020</v>
      </c>
      <c r="AP52" s="100">
        <v>13</v>
      </c>
      <c r="AQ52" s="100">
        <v>7020</v>
      </c>
      <c r="AR52" s="100">
        <v>10</v>
      </c>
      <c r="AS52" s="100">
        <v>5400</v>
      </c>
      <c r="AT52" s="100">
        <v>11</v>
      </c>
      <c r="AU52" s="100">
        <v>5940</v>
      </c>
      <c r="AV52" s="100">
        <v>13</v>
      </c>
      <c r="AW52" s="100">
        <v>7020</v>
      </c>
      <c r="AX52" s="100">
        <v>11</v>
      </c>
      <c r="AY52" s="100">
        <v>5940</v>
      </c>
      <c r="AZ52" s="100">
        <v>13</v>
      </c>
      <c r="BA52" s="100">
        <v>7020</v>
      </c>
      <c r="BB52" s="100">
        <v>14</v>
      </c>
      <c r="BC52" s="100">
        <v>7560</v>
      </c>
      <c r="BD52" s="100">
        <v>15.515565037313362</v>
      </c>
      <c r="BE52" s="100">
        <v>8378.4051201492148</v>
      </c>
      <c r="BF52" s="100">
        <v>13.475174052450035</v>
      </c>
      <c r="BG52" s="100">
        <v>7276.5939883230185</v>
      </c>
      <c r="BH52" s="100">
        <v>12</v>
      </c>
      <c r="BI52" s="100">
        <v>6480</v>
      </c>
      <c r="BJ52" s="100">
        <v>9</v>
      </c>
      <c r="BK52" s="100">
        <v>4860</v>
      </c>
      <c r="BL52" s="100">
        <v>14.202084644898536</v>
      </c>
      <c r="BM52" s="100">
        <v>7669.1257082452094</v>
      </c>
      <c r="BN52" s="100">
        <v>9.0599042565408752</v>
      </c>
      <c r="BO52" s="100">
        <v>4892.3482985320725</v>
      </c>
      <c r="BP52" s="100">
        <v>11.529300543070969</v>
      </c>
      <c r="BQ52" s="100">
        <v>6225.822293258323</v>
      </c>
      <c r="BR52" s="100">
        <v>13.084760756812765</v>
      </c>
      <c r="BS52" s="100">
        <v>7065.7708086788925</v>
      </c>
      <c r="BT52" s="100">
        <v>13.825178573292893</v>
      </c>
      <c r="BU52" s="100">
        <v>7465.5964295781623</v>
      </c>
      <c r="BV52" s="100">
        <v>15.246132057658295</v>
      </c>
      <c r="BW52" s="100">
        <v>8232.91131113548</v>
      </c>
      <c r="BX52" s="100">
        <v>7.5622308000248015</v>
      </c>
      <c r="BY52" s="100">
        <v>4083.6046320133928</v>
      </c>
      <c r="BZ52" s="100">
        <v>8.3969688446177031</v>
      </c>
      <c r="CA52" s="100">
        <v>4534.3631760935596</v>
      </c>
      <c r="CB52" s="100">
        <v>12.67490057040547</v>
      </c>
      <c r="CC52" s="100">
        <v>6844.4463080189535</v>
      </c>
      <c r="CD52" s="100">
        <v>10.053289490121292</v>
      </c>
      <c r="CE52" s="100">
        <v>5428.7763246654977</v>
      </c>
      <c r="CF52" s="100">
        <v>9</v>
      </c>
      <c r="CG52" s="100">
        <v>4860</v>
      </c>
      <c r="CH52" s="100">
        <v>14</v>
      </c>
      <c r="CI52" s="100">
        <v>7560</v>
      </c>
      <c r="CJ52" s="100">
        <v>11</v>
      </c>
      <c r="CK52" s="100">
        <v>5940</v>
      </c>
      <c r="CL52" s="100">
        <v>10</v>
      </c>
      <c r="CM52" s="100">
        <v>5400</v>
      </c>
      <c r="CN52" s="100">
        <v>8.3505382579095944</v>
      </c>
      <c r="CO52" s="100">
        <v>4509.2906592711806</v>
      </c>
      <c r="CP52" s="100">
        <v>12</v>
      </c>
      <c r="CQ52" s="100">
        <v>6480</v>
      </c>
      <c r="CR52" s="100">
        <v>14</v>
      </c>
      <c r="CS52" s="100">
        <v>7560</v>
      </c>
      <c r="CT52" s="100">
        <v>16</v>
      </c>
      <c r="CU52" s="100">
        <v>8640</v>
      </c>
    </row>
    <row r="53" spans="2:99">
      <c r="C53" s="99" t="s">
        <v>219</v>
      </c>
      <c r="D53" s="100">
        <v>17</v>
      </c>
      <c r="E53" s="100">
        <v>6915.6</v>
      </c>
      <c r="F53" s="100">
        <v>17</v>
      </c>
      <c r="G53" s="100">
        <v>6915.6</v>
      </c>
      <c r="H53" s="100">
        <v>12</v>
      </c>
      <c r="I53" s="100">
        <v>4881.6000000000004</v>
      </c>
      <c r="J53" s="100">
        <v>19</v>
      </c>
      <c r="K53" s="100">
        <v>7729.2</v>
      </c>
      <c r="L53" s="100">
        <v>10</v>
      </c>
      <c r="M53" s="100">
        <v>4068</v>
      </c>
      <c r="N53" s="100">
        <v>15</v>
      </c>
      <c r="O53" s="100">
        <v>6102</v>
      </c>
      <c r="P53" s="100">
        <v>11</v>
      </c>
      <c r="Q53" s="100">
        <v>4474.8</v>
      </c>
      <c r="R53" s="100">
        <v>16</v>
      </c>
      <c r="S53" s="100">
        <v>6508.8</v>
      </c>
      <c r="T53" s="100">
        <v>16</v>
      </c>
      <c r="U53" s="100">
        <v>6508.8</v>
      </c>
      <c r="V53" s="100">
        <v>14</v>
      </c>
      <c r="W53" s="100">
        <v>5695.2</v>
      </c>
      <c r="X53" s="100">
        <v>10</v>
      </c>
      <c r="Y53" s="100">
        <v>4068</v>
      </c>
      <c r="Z53" s="100">
        <v>13</v>
      </c>
      <c r="AA53" s="100">
        <v>5288.4000000000005</v>
      </c>
      <c r="AB53" s="100">
        <v>10</v>
      </c>
      <c r="AC53" s="100">
        <v>4068</v>
      </c>
      <c r="AD53" s="100">
        <v>18</v>
      </c>
      <c r="AE53" s="100">
        <v>7322.4000000000005</v>
      </c>
      <c r="AF53" s="100">
        <v>13</v>
      </c>
      <c r="AG53" s="100">
        <v>5288.4000000000005</v>
      </c>
      <c r="AH53" s="100">
        <v>9</v>
      </c>
      <c r="AI53" s="100">
        <v>3661.2000000000003</v>
      </c>
      <c r="AJ53" s="100">
        <v>10</v>
      </c>
      <c r="AK53" s="100">
        <v>4068</v>
      </c>
      <c r="AL53" s="100">
        <v>15</v>
      </c>
      <c r="AM53" s="100">
        <v>6102</v>
      </c>
      <c r="AN53" s="100">
        <v>13</v>
      </c>
      <c r="AO53" s="100">
        <v>5288.4000000000005</v>
      </c>
      <c r="AP53" s="100">
        <v>13</v>
      </c>
      <c r="AQ53" s="100">
        <v>5288.4000000000005</v>
      </c>
      <c r="AR53" s="100">
        <v>10</v>
      </c>
      <c r="AS53" s="100">
        <v>4068</v>
      </c>
      <c r="AT53" s="100">
        <v>11</v>
      </c>
      <c r="AU53" s="100">
        <v>4474.8</v>
      </c>
      <c r="AV53" s="100">
        <v>13</v>
      </c>
      <c r="AW53" s="100">
        <v>5288.4000000000005</v>
      </c>
      <c r="AX53" s="100">
        <v>12</v>
      </c>
      <c r="AY53" s="100">
        <v>4881.6000000000004</v>
      </c>
      <c r="AZ53" s="100">
        <v>15</v>
      </c>
      <c r="BA53" s="100">
        <v>6102</v>
      </c>
      <c r="BB53" s="100">
        <v>16</v>
      </c>
      <c r="BC53" s="100">
        <v>6508.8</v>
      </c>
      <c r="BD53" s="100">
        <v>17.455010666977529</v>
      </c>
      <c r="BE53" s="100">
        <v>7100.6983393264591</v>
      </c>
      <c r="BF53" s="100">
        <v>14.317372430728163</v>
      </c>
      <c r="BG53" s="100">
        <v>5824.3071048202173</v>
      </c>
      <c r="BH53" s="100">
        <v>14</v>
      </c>
      <c r="BI53" s="100">
        <v>5695.2</v>
      </c>
      <c r="BJ53" s="100">
        <v>10</v>
      </c>
      <c r="BK53" s="100">
        <v>4068</v>
      </c>
      <c r="BL53" s="100">
        <v>13.314454354592378</v>
      </c>
      <c r="BM53" s="100">
        <v>5416.3200314481792</v>
      </c>
      <c r="BN53" s="100">
        <v>8.1539138308867862</v>
      </c>
      <c r="BO53" s="100">
        <v>3317.0121464047447</v>
      </c>
      <c r="BP53" s="100">
        <v>11.529300543070969</v>
      </c>
      <c r="BQ53" s="100">
        <v>4690.1194609212698</v>
      </c>
      <c r="BR53" s="100">
        <v>11.215509220125226</v>
      </c>
      <c r="BS53" s="100">
        <v>4562.4691507469415</v>
      </c>
      <c r="BT53" s="100">
        <v>16.417399555785309</v>
      </c>
      <c r="BU53" s="100">
        <v>6678.5981392934636</v>
      </c>
      <c r="BV53" s="100">
        <v>17.039794652676918</v>
      </c>
      <c r="BW53" s="100">
        <v>6931.7884647089704</v>
      </c>
      <c r="BX53" s="100">
        <v>7.5622308000248015</v>
      </c>
      <c r="BY53" s="100">
        <v>3076.3154894500894</v>
      </c>
      <c r="BZ53" s="100">
        <v>8.3969688446177031</v>
      </c>
      <c r="CA53" s="100">
        <v>3415.8869259904818</v>
      </c>
      <c r="CB53" s="100">
        <v>13.42048295689991</v>
      </c>
      <c r="CC53" s="100">
        <v>5459.4524668668837</v>
      </c>
      <c r="CD53" s="100">
        <v>10.891063614298067</v>
      </c>
      <c r="CE53" s="100">
        <v>4430.4846782964541</v>
      </c>
      <c r="CF53" s="100">
        <v>10</v>
      </c>
      <c r="CG53" s="100">
        <v>4068</v>
      </c>
      <c r="CH53" s="100">
        <v>14</v>
      </c>
      <c r="CI53" s="100">
        <v>5695.2</v>
      </c>
      <c r="CJ53" s="100">
        <v>11</v>
      </c>
      <c r="CK53" s="100">
        <v>4474.8</v>
      </c>
      <c r="CL53" s="100">
        <v>11</v>
      </c>
      <c r="CM53" s="100">
        <v>4474.8</v>
      </c>
      <c r="CN53" s="100">
        <v>9.2783758421217701</v>
      </c>
      <c r="CO53" s="100">
        <v>3774.4432925751362</v>
      </c>
      <c r="CP53" s="100">
        <v>13</v>
      </c>
      <c r="CQ53" s="100">
        <v>5288.4000000000005</v>
      </c>
      <c r="CR53" s="100">
        <v>13</v>
      </c>
      <c r="CS53" s="100">
        <v>5288.4000000000005</v>
      </c>
      <c r="CT53" s="100">
        <v>15</v>
      </c>
      <c r="CU53" s="100">
        <v>6102</v>
      </c>
    </row>
    <row r="54" spans="2:99">
      <c r="C54" s="99" t="s">
        <v>220</v>
      </c>
      <c r="D54" s="100">
        <v>14</v>
      </c>
      <c r="E54" s="100">
        <v>4687.2</v>
      </c>
      <c r="F54" s="100">
        <v>17</v>
      </c>
      <c r="G54" s="100">
        <v>5691.6</v>
      </c>
      <c r="H54" s="100">
        <v>12</v>
      </c>
      <c r="I54" s="100">
        <v>4017.6000000000004</v>
      </c>
      <c r="J54" s="100">
        <v>17</v>
      </c>
      <c r="K54" s="100">
        <v>5691.6</v>
      </c>
      <c r="L54" s="100">
        <v>10</v>
      </c>
      <c r="M54" s="100">
        <v>3348</v>
      </c>
      <c r="N54" s="100">
        <v>18</v>
      </c>
      <c r="O54" s="100">
        <v>6026.4000000000005</v>
      </c>
      <c r="P54" s="100">
        <v>12</v>
      </c>
      <c r="Q54" s="100">
        <v>4017.6000000000004</v>
      </c>
      <c r="R54" s="100">
        <v>16</v>
      </c>
      <c r="S54" s="100">
        <v>5356.8</v>
      </c>
      <c r="T54" s="100">
        <v>16</v>
      </c>
      <c r="U54" s="100">
        <v>5356.8</v>
      </c>
      <c r="V54" s="100">
        <v>14</v>
      </c>
      <c r="W54" s="100">
        <v>4687.2</v>
      </c>
      <c r="X54" s="100">
        <v>10</v>
      </c>
      <c r="Y54" s="100">
        <v>3348</v>
      </c>
      <c r="Z54" s="100">
        <v>14</v>
      </c>
      <c r="AA54" s="100">
        <v>4687.2</v>
      </c>
      <c r="AB54" s="100">
        <v>9</v>
      </c>
      <c r="AC54" s="100">
        <v>3013.2000000000003</v>
      </c>
      <c r="AD54" s="100">
        <v>18</v>
      </c>
      <c r="AE54" s="100">
        <v>6026.4000000000005</v>
      </c>
      <c r="AF54" s="100">
        <v>13</v>
      </c>
      <c r="AG54" s="100">
        <v>4352.4000000000005</v>
      </c>
      <c r="AH54" s="100">
        <v>10</v>
      </c>
      <c r="AI54" s="100">
        <v>3348</v>
      </c>
      <c r="AJ54" s="100">
        <v>11</v>
      </c>
      <c r="AK54" s="100">
        <v>3682.8</v>
      </c>
      <c r="AL54" s="100">
        <v>14</v>
      </c>
      <c r="AM54" s="100">
        <v>4687.2</v>
      </c>
      <c r="AN54" s="100">
        <v>14</v>
      </c>
      <c r="AO54" s="100">
        <v>4687.2</v>
      </c>
      <c r="AP54" s="100">
        <v>14</v>
      </c>
      <c r="AQ54" s="100">
        <v>4687.2</v>
      </c>
      <c r="AR54" s="100">
        <v>10</v>
      </c>
      <c r="AS54" s="100">
        <v>3348</v>
      </c>
      <c r="AT54" s="100">
        <v>11</v>
      </c>
      <c r="AU54" s="100">
        <v>3682.8</v>
      </c>
      <c r="AV54" s="100">
        <v>12</v>
      </c>
      <c r="AW54" s="100">
        <v>4017.6000000000004</v>
      </c>
      <c r="AX54" s="100">
        <v>13</v>
      </c>
      <c r="AY54" s="100">
        <v>4352.4000000000005</v>
      </c>
      <c r="AZ54" s="100">
        <v>15</v>
      </c>
      <c r="BA54" s="100">
        <v>5022</v>
      </c>
      <c r="BB54" s="100">
        <v>16</v>
      </c>
      <c r="BC54" s="100">
        <v>5356.8</v>
      </c>
      <c r="BD54" s="100">
        <v>15.515565037313362</v>
      </c>
      <c r="BE54" s="100">
        <v>5194.6111744925138</v>
      </c>
      <c r="BF54" s="100">
        <v>12.632975674171909</v>
      </c>
      <c r="BG54" s="100">
        <v>4229.520255712755</v>
      </c>
      <c r="BH54" s="100">
        <v>12</v>
      </c>
      <c r="BI54" s="100">
        <v>4017.6000000000004</v>
      </c>
      <c r="BJ54" s="100">
        <v>10</v>
      </c>
      <c r="BK54" s="100">
        <v>3348</v>
      </c>
      <c r="BL54" s="100">
        <v>14.202084644898536</v>
      </c>
      <c r="BM54" s="100">
        <v>4754.8579391120302</v>
      </c>
      <c r="BN54" s="100">
        <v>9.0599042565408752</v>
      </c>
      <c r="BO54" s="100">
        <v>3033.2559450898852</v>
      </c>
      <c r="BP54" s="100">
        <v>10.568525497815054</v>
      </c>
      <c r="BQ54" s="100">
        <v>3538.3423366684801</v>
      </c>
      <c r="BR54" s="100">
        <v>14.019386525156534</v>
      </c>
      <c r="BS54" s="100">
        <v>4693.690608622408</v>
      </c>
      <c r="BT54" s="100">
        <v>14.689252234123698</v>
      </c>
      <c r="BU54" s="100">
        <v>4917.9616479846145</v>
      </c>
      <c r="BV54" s="100">
        <v>16.142963355167605</v>
      </c>
      <c r="BW54" s="100">
        <v>5404.6641313101145</v>
      </c>
      <c r="BX54" s="100">
        <v>8.4024786666942237</v>
      </c>
      <c r="BY54" s="100">
        <v>2813.1498576092263</v>
      </c>
      <c r="BZ54" s="100">
        <v>8.3969688446177031</v>
      </c>
      <c r="CA54" s="100">
        <v>2811.305169178007</v>
      </c>
      <c r="CB54" s="100">
        <v>13.42048295689991</v>
      </c>
      <c r="CC54" s="100">
        <v>4493.1776939700903</v>
      </c>
      <c r="CD54" s="100">
        <v>11.728837738474841</v>
      </c>
      <c r="CE54" s="100">
        <v>3926.8148748413769</v>
      </c>
      <c r="CF54" s="100">
        <v>11</v>
      </c>
      <c r="CG54" s="100">
        <v>3682.8</v>
      </c>
      <c r="CH54" s="100">
        <v>14</v>
      </c>
      <c r="CI54" s="100">
        <v>4687.2</v>
      </c>
      <c r="CJ54" s="100">
        <v>11</v>
      </c>
      <c r="CK54" s="100">
        <v>3682.8</v>
      </c>
      <c r="CL54" s="100">
        <v>10</v>
      </c>
      <c r="CM54" s="100">
        <v>3348</v>
      </c>
      <c r="CN54" s="100">
        <v>8.3505382579095944</v>
      </c>
      <c r="CO54" s="100">
        <v>2795.7602087481323</v>
      </c>
      <c r="CP54" s="100">
        <v>14</v>
      </c>
      <c r="CQ54" s="100">
        <v>4687.2</v>
      </c>
      <c r="CR54" s="100">
        <v>15</v>
      </c>
      <c r="CS54" s="100">
        <v>5022</v>
      </c>
      <c r="CT54" s="100">
        <v>15</v>
      </c>
      <c r="CU54" s="100">
        <v>5022</v>
      </c>
    </row>
    <row r="55" spans="2:99">
      <c r="C55" s="99" t="s">
        <v>221</v>
      </c>
      <c r="D55" s="100">
        <v>15</v>
      </c>
      <c r="E55" s="100">
        <v>9954</v>
      </c>
      <c r="F55" s="100">
        <v>15</v>
      </c>
      <c r="G55" s="100">
        <v>9954</v>
      </c>
      <c r="H55" s="100">
        <v>10</v>
      </c>
      <c r="I55" s="100">
        <v>6636</v>
      </c>
      <c r="J55" s="100">
        <v>16</v>
      </c>
      <c r="K55" s="100">
        <v>10617.6</v>
      </c>
      <c r="L55" s="100">
        <v>10</v>
      </c>
      <c r="M55" s="100">
        <v>6636</v>
      </c>
      <c r="N55" s="100">
        <v>15</v>
      </c>
      <c r="O55" s="100">
        <v>9954</v>
      </c>
      <c r="P55" s="100">
        <v>10</v>
      </c>
      <c r="Q55" s="100">
        <v>6636</v>
      </c>
      <c r="R55" s="100">
        <v>15</v>
      </c>
      <c r="S55" s="100">
        <v>9954</v>
      </c>
      <c r="T55" s="100">
        <v>16</v>
      </c>
      <c r="U55" s="100">
        <v>10617.6</v>
      </c>
      <c r="V55" s="100">
        <v>15</v>
      </c>
      <c r="W55" s="100">
        <v>9954</v>
      </c>
      <c r="X55" s="100">
        <v>9</v>
      </c>
      <c r="Y55" s="100">
        <v>5972.4000000000005</v>
      </c>
      <c r="Z55" s="100">
        <v>14</v>
      </c>
      <c r="AA55" s="100">
        <v>9290.4</v>
      </c>
      <c r="AB55" s="100">
        <v>10</v>
      </c>
      <c r="AC55" s="100">
        <v>6636</v>
      </c>
      <c r="AD55" s="100">
        <v>16</v>
      </c>
      <c r="AE55" s="100">
        <v>10617.6</v>
      </c>
      <c r="AF55" s="100">
        <v>14</v>
      </c>
      <c r="AG55" s="100">
        <v>9290.4</v>
      </c>
      <c r="AH55" s="100">
        <v>9</v>
      </c>
      <c r="AI55" s="100">
        <v>5972.4000000000005</v>
      </c>
      <c r="AJ55" s="100">
        <v>10</v>
      </c>
      <c r="AK55" s="100">
        <v>6636</v>
      </c>
      <c r="AL55" s="100">
        <v>13</v>
      </c>
      <c r="AM55" s="100">
        <v>8626.8000000000011</v>
      </c>
      <c r="AN55" s="100">
        <v>13</v>
      </c>
      <c r="AO55" s="100">
        <v>8626.8000000000011</v>
      </c>
      <c r="AP55" s="100">
        <v>12</v>
      </c>
      <c r="AQ55" s="100">
        <v>7963.2000000000007</v>
      </c>
      <c r="AR55" s="100">
        <v>9</v>
      </c>
      <c r="AS55" s="100">
        <v>5972.4000000000005</v>
      </c>
      <c r="AT55" s="100">
        <v>10</v>
      </c>
      <c r="AU55" s="100">
        <v>6636</v>
      </c>
      <c r="AV55" s="100">
        <v>13</v>
      </c>
      <c r="AW55" s="100">
        <v>8626.8000000000011</v>
      </c>
      <c r="AX55" s="100">
        <v>11</v>
      </c>
      <c r="AY55" s="100">
        <v>7299.6</v>
      </c>
      <c r="AZ55" s="100">
        <v>14</v>
      </c>
      <c r="BA55" s="100">
        <v>9290.4</v>
      </c>
      <c r="BB55" s="100">
        <v>15</v>
      </c>
      <c r="BC55" s="100">
        <v>9954</v>
      </c>
      <c r="BD55" s="100">
        <v>16.485287852145444</v>
      </c>
      <c r="BE55" s="100">
        <v>10939.637018683718</v>
      </c>
      <c r="BF55" s="100">
        <v>14.317372430728163</v>
      </c>
      <c r="BG55" s="100">
        <v>9501.0083450312086</v>
      </c>
      <c r="BH55" s="100">
        <v>13</v>
      </c>
      <c r="BI55" s="100">
        <v>8626.8000000000011</v>
      </c>
      <c r="BJ55" s="100">
        <v>9</v>
      </c>
      <c r="BK55" s="100">
        <v>5972.4000000000005</v>
      </c>
      <c r="BL55" s="100">
        <v>14.202084644898536</v>
      </c>
      <c r="BM55" s="100">
        <v>9424.5033703546687</v>
      </c>
      <c r="BN55" s="100">
        <v>9.0599042565408752</v>
      </c>
      <c r="BO55" s="100">
        <v>6012.1524646405251</v>
      </c>
      <c r="BP55" s="100">
        <v>10.568525497815054</v>
      </c>
      <c r="BQ55" s="100">
        <v>7013.2735203500706</v>
      </c>
      <c r="BR55" s="100">
        <v>13.084760756812765</v>
      </c>
      <c r="BS55" s="100">
        <v>8683.04723822095</v>
      </c>
      <c r="BT55" s="100">
        <v>15.553325894954504</v>
      </c>
      <c r="BU55" s="100">
        <v>10321.18706389181</v>
      </c>
      <c r="BV55" s="100">
        <v>15.246132057658295</v>
      </c>
      <c r="BW55" s="100">
        <v>10117.333233462045</v>
      </c>
      <c r="BX55" s="100">
        <v>8.4024786666942237</v>
      </c>
      <c r="BY55" s="100">
        <v>5575.8848432182867</v>
      </c>
      <c r="BZ55" s="100">
        <v>6.9974740371814192</v>
      </c>
      <c r="CA55" s="100">
        <v>4643.5237710735901</v>
      </c>
      <c r="CB55" s="100">
        <v>12.67490057040547</v>
      </c>
      <c r="CC55" s="100">
        <v>8411.0640185210705</v>
      </c>
      <c r="CD55" s="100">
        <v>10.053289490121292</v>
      </c>
      <c r="CE55" s="100">
        <v>6671.3629056444897</v>
      </c>
      <c r="CF55" s="100">
        <v>9</v>
      </c>
      <c r="CG55" s="100">
        <v>5972.4000000000005</v>
      </c>
      <c r="CH55" s="100">
        <v>13</v>
      </c>
      <c r="CI55" s="100">
        <v>8626.8000000000011</v>
      </c>
      <c r="CJ55" s="100">
        <v>11</v>
      </c>
      <c r="CK55" s="100">
        <v>7299.6</v>
      </c>
      <c r="CL55" s="100">
        <v>10</v>
      </c>
      <c r="CM55" s="100">
        <v>6636</v>
      </c>
      <c r="CN55" s="100">
        <v>9.2783758421217701</v>
      </c>
      <c r="CO55" s="100">
        <v>6157.1302088320072</v>
      </c>
      <c r="CP55" s="100">
        <v>14</v>
      </c>
      <c r="CQ55" s="100">
        <v>9290.4</v>
      </c>
      <c r="CR55" s="100">
        <v>14</v>
      </c>
      <c r="CS55" s="100">
        <v>9290.4</v>
      </c>
      <c r="CT55" s="100">
        <v>15</v>
      </c>
      <c r="CU55" s="100">
        <v>9954</v>
      </c>
    </row>
    <row r="56" spans="2:99">
      <c r="C56" s="99" t="s">
        <v>222</v>
      </c>
      <c r="D56" s="100">
        <v>14</v>
      </c>
      <c r="E56" s="100">
        <v>13742.399999999998</v>
      </c>
      <c r="F56" s="100">
        <v>14</v>
      </c>
      <c r="G56" s="100">
        <v>13742.399999999998</v>
      </c>
      <c r="H56" s="100">
        <v>11</v>
      </c>
      <c r="I56" s="100">
        <v>10797.599999999999</v>
      </c>
      <c r="J56" s="100">
        <v>17</v>
      </c>
      <c r="K56" s="100">
        <v>16687.199999999997</v>
      </c>
      <c r="L56" s="100">
        <v>10</v>
      </c>
      <c r="M56" s="100">
        <v>9816</v>
      </c>
      <c r="N56" s="100">
        <v>15</v>
      </c>
      <c r="O56" s="100">
        <v>14723.999999999998</v>
      </c>
      <c r="P56" s="100">
        <v>11</v>
      </c>
      <c r="Q56" s="100">
        <v>10797.599999999999</v>
      </c>
      <c r="R56" s="100">
        <v>15</v>
      </c>
      <c r="S56" s="100">
        <v>14723.999999999998</v>
      </c>
      <c r="T56" s="100">
        <v>18</v>
      </c>
      <c r="U56" s="100">
        <v>17668.8</v>
      </c>
      <c r="V56" s="100">
        <v>14</v>
      </c>
      <c r="W56" s="100">
        <v>13742.399999999998</v>
      </c>
      <c r="X56" s="100">
        <v>10</v>
      </c>
      <c r="Y56" s="100">
        <v>9816</v>
      </c>
      <c r="Z56" s="100">
        <v>13</v>
      </c>
      <c r="AA56" s="100">
        <v>12760.8</v>
      </c>
      <c r="AB56" s="100">
        <v>9</v>
      </c>
      <c r="AC56" s="100">
        <v>8834.4</v>
      </c>
      <c r="AD56" s="100">
        <v>16</v>
      </c>
      <c r="AE56" s="100">
        <v>15705.599999999999</v>
      </c>
      <c r="AF56" s="100">
        <v>14</v>
      </c>
      <c r="AG56" s="100">
        <v>13742.399999999998</v>
      </c>
      <c r="AH56" s="100">
        <v>9</v>
      </c>
      <c r="AI56" s="100">
        <v>8834.4</v>
      </c>
      <c r="AJ56" s="100">
        <v>9</v>
      </c>
      <c r="AK56" s="100">
        <v>8834.4</v>
      </c>
      <c r="AL56" s="100">
        <v>15</v>
      </c>
      <c r="AM56" s="100">
        <v>14723.999999999998</v>
      </c>
      <c r="AN56" s="100">
        <v>11</v>
      </c>
      <c r="AO56" s="100">
        <v>10797.599999999999</v>
      </c>
      <c r="AP56" s="100">
        <v>12</v>
      </c>
      <c r="AQ56" s="100">
        <v>11779.199999999999</v>
      </c>
      <c r="AR56" s="100">
        <v>9</v>
      </c>
      <c r="AS56" s="100">
        <v>8834.4</v>
      </c>
      <c r="AT56" s="100">
        <v>10</v>
      </c>
      <c r="AU56" s="100">
        <v>9816</v>
      </c>
      <c r="AV56" s="100">
        <v>13</v>
      </c>
      <c r="AW56" s="100">
        <v>12760.8</v>
      </c>
      <c r="AX56" s="100">
        <v>11</v>
      </c>
      <c r="AY56" s="100">
        <v>10797.599999999999</v>
      </c>
      <c r="AZ56" s="100">
        <v>13</v>
      </c>
      <c r="BA56" s="100">
        <v>12760.8</v>
      </c>
      <c r="BB56" s="100">
        <v>16</v>
      </c>
      <c r="BC56" s="100">
        <v>15705.599999999999</v>
      </c>
      <c r="BD56" s="100">
        <v>16</v>
      </c>
      <c r="BE56" s="100">
        <v>15705.599999999999</v>
      </c>
      <c r="BF56" s="100">
        <v>16</v>
      </c>
      <c r="BG56" s="100">
        <v>15705.599999999999</v>
      </c>
      <c r="BH56" s="100">
        <v>13</v>
      </c>
      <c r="BI56" s="100">
        <v>12760.8</v>
      </c>
      <c r="BJ56" s="100">
        <v>9</v>
      </c>
      <c r="BK56" s="100">
        <v>8834.4</v>
      </c>
      <c r="BL56" s="100">
        <v>15</v>
      </c>
      <c r="BM56" s="100">
        <v>14723.999999999998</v>
      </c>
      <c r="BN56" s="100">
        <v>10</v>
      </c>
      <c r="BO56" s="100">
        <v>9816</v>
      </c>
      <c r="BP56" s="100">
        <v>12</v>
      </c>
      <c r="BQ56" s="100">
        <v>11779.199999999999</v>
      </c>
      <c r="BR56" s="100">
        <v>12</v>
      </c>
      <c r="BS56" s="100">
        <v>11779.199999999999</v>
      </c>
      <c r="BT56" s="100">
        <v>16</v>
      </c>
      <c r="BU56" s="100">
        <v>15705.599999999999</v>
      </c>
      <c r="BV56" s="100">
        <v>18</v>
      </c>
      <c r="BW56" s="100">
        <v>17668.8</v>
      </c>
      <c r="BX56" s="100">
        <v>10</v>
      </c>
      <c r="BY56" s="100">
        <v>9816</v>
      </c>
      <c r="BZ56" s="100">
        <v>10</v>
      </c>
      <c r="CA56" s="100">
        <v>9816</v>
      </c>
      <c r="CB56" s="100">
        <v>16</v>
      </c>
      <c r="CC56" s="100">
        <v>15705.599999999999</v>
      </c>
      <c r="CD56" s="100">
        <v>11</v>
      </c>
      <c r="CE56" s="100">
        <v>10797.599999999999</v>
      </c>
      <c r="CF56" s="100">
        <v>10</v>
      </c>
      <c r="CG56" s="100">
        <v>9816</v>
      </c>
      <c r="CH56" s="100">
        <v>13</v>
      </c>
      <c r="CI56" s="100">
        <v>12760.8</v>
      </c>
      <c r="CJ56" s="100">
        <v>11</v>
      </c>
      <c r="CK56" s="100">
        <v>10797.599999999999</v>
      </c>
      <c r="CL56" s="100">
        <v>9</v>
      </c>
      <c r="CM56" s="100">
        <v>8834.4</v>
      </c>
      <c r="CN56" s="100">
        <v>9</v>
      </c>
      <c r="CO56" s="100">
        <v>8834.4</v>
      </c>
      <c r="CP56" s="100">
        <v>11</v>
      </c>
      <c r="CQ56" s="100">
        <v>10797.599999999999</v>
      </c>
      <c r="CR56" s="100">
        <v>13</v>
      </c>
      <c r="CS56" s="100">
        <v>12760.8</v>
      </c>
      <c r="CT56" s="100">
        <v>15</v>
      </c>
      <c r="CU56" s="100">
        <v>14723.999999999998</v>
      </c>
    </row>
    <row r="57" spans="2:99">
      <c r="C57" s="99" t="s">
        <v>223</v>
      </c>
      <c r="D57" s="100">
        <v>14</v>
      </c>
      <c r="E57" s="100">
        <v>19756.8</v>
      </c>
      <c r="F57" s="100">
        <v>13</v>
      </c>
      <c r="G57" s="100">
        <v>18345.600000000002</v>
      </c>
      <c r="H57" s="100">
        <v>10</v>
      </c>
      <c r="I57" s="100">
        <v>14112</v>
      </c>
      <c r="J57" s="100">
        <v>15</v>
      </c>
      <c r="K57" s="100">
        <v>21168</v>
      </c>
      <c r="L57" s="100">
        <v>9</v>
      </c>
      <c r="M57" s="100">
        <v>12700.800000000001</v>
      </c>
      <c r="N57" s="100">
        <v>15</v>
      </c>
      <c r="O57" s="100">
        <v>21168</v>
      </c>
      <c r="P57" s="100">
        <v>11</v>
      </c>
      <c r="Q57" s="100">
        <v>15523.2</v>
      </c>
      <c r="R57" s="100">
        <v>13</v>
      </c>
      <c r="S57" s="100">
        <v>18345.600000000002</v>
      </c>
      <c r="T57" s="100">
        <v>17</v>
      </c>
      <c r="U57" s="100">
        <v>23990.400000000001</v>
      </c>
      <c r="V57" s="100">
        <v>14</v>
      </c>
      <c r="W57" s="100">
        <v>19756.8</v>
      </c>
      <c r="X57" s="100">
        <v>9</v>
      </c>
      <c r="Y57" s="100">
        <v>12700.800000000001</v>
      </c>
      <c r="Z57" s="100">
        <v>12</v>
      </c>
      <c r="AA57" s="100">
        <v>16934.400000000001</v>
      </c>
      <c r="AB57" s="100">
        <v>8</v>
      </c>
      <c r="AC57" s="100">
        <v>11289.6</v>
      </c>
      <c r="AD57" s="100">
        <v>14</v>
      </c>
      <c r="AE57" s="100">
        <v>19756.8</v>
      </c>
      <c r="AF57" s="100">
        <v>11</v>
      </c>
      <c r="AG57" s="100">
        <v>15523.2</v>
      </c>
      <c r="AH57" s="100">
        <v>8</v>
      </c>
      <c r="AI57" s="100">
        <v>11289.6</v>
      </c>
      <c r="AJ57" s="100">
        <v>8</v>
      </c>
      <c r="AK57" s="100">
        <v>11289.6</v>
      </c>
      <c r="AL57" s="100">
        <v>14</v>
      </c>
      <c r="AM57" s="100">
        <v>19756.8</v>
      </c>
      <c r="AN57" s="100">
        <v>10</v>
      </c>
      <c r="AO57" s="100">
        <v>14112</v>
      </c>
      <c r="AP57" s="100">
        <v>10</v>
      </c>
      <c r="AQ57" s="100">
        <v>14112</v>
      </c>
      <c r="AR57" s="100">
        <v>10</v>
      </c>
      <c r="AS57" s="100">
        <v>14112</v>
      </c>
      <c r="AT57" s="100">
        <v>9</v>
      </c>
      <c r="AU57" s="100">
        <v>12700.800000000001</v>
      </c>
      <c r="AV57" s="100">
        <v>11</v>
      </c>
      <c r="AW57" s="100">
        <v>15523.2</v>
      </c>
      <c r="AX57" s="100">
        <v>12</v>
      </c>
      <c r="AY57" s="100">
        <v>16934.400000000001</v>
      </c>
      <c r="AZ57" s="100">
        <v>13</v>
      </c>
      <c r="BA57" s="100">
        <v>18345.600000000002</v>
      </c>
      <c r="BB57" s="100">
        <v>12</v>
      </c>
      <c r="BC57" s="100">
        <v>16934.400000000001</v>
      </c>
      <c r="BD57" s="100">
        <v>16.485287852145444</v>
      </c>
      <c r="BE57" s="100">
        <v>23264.038216947651</v>
      </c>
      <c r="BF57" s="100">
        <v>13.475174052450035</v>
      </c>
      <c r="BG57" s="100">
        <v>19016.165622817491</v>
      </c>
      <c r="BH57" s="100">
        <v>11</v>
      </c>
      <c r="BI57" s="100">
        <v>15523.2</v>
      </c>
      <c r="BJ57" s="100">
        <v>9</v>
      </c>
      <c r="BK57" s="100">
        <v>12700.800000000001</v>
      </c>
      <c r="BL57" s="100">
        <v>12.426824064286219</v>
      </c>
      <c r="BM57" s="100">
        <v>17536.734119520712</v>
      </c>
      <c r="BN57" s="100">
        <v>8.1539138308867862</v>
      </c>
      <c r="BO57" s="100">
        <v>11506.803198147432</v>
      </c>
      <c r="BP57" s="100">
        <v>9.6077504525591397</v>
      </c>
      <c r="BQ57" s="100">
        <v>13558.457438651458</v>
      </c>
      <c r="BR57" s="100">
        <v>12.150134988468995</v>
      </c>
      <c r="BS57" s="100">
        <v>17146.270495727447</v>
      </c>
      <c r="BT57" s="100">
        <v>13.825178573292893</v>
      </c>
      <c r="BU57" s="100">
        <v>19510.092002630932</v>
      </c>
      <c r="BV57" s="100">
        <v>15.246132057658295</v>
      </c>
      <c r="BW57" s="100">
        <v>21515.341559767388</v>
      </c>
      <c r="BX57" s="100">
        <v>7.5622308000248015</v>
      </c>
      <c r="BY57" s="100">
        <v>10671.820104995</v>
      </c>
      <c r="BZ57" s="100">
        <v>6.9974740371814192</v>
      </c>
      <c r="CA57" s="100">
        <v>9874.8353612704195</v>
      </c>
      <c r="CB57" s="100">
        <v>10.438153410922151</v>
      </c>
      <c r="CC57" s="100">
        <v>14730.32209349334</v>
      </c>
      <c r="CD57" s="100">
        <v>10.891063614298067</v>
      </c>
      <c r="CE57" s="100">
        <v>15369.468972497434</v>
      </c>
      <c r="CF57" s="100">
        <v>9</v>
      </c>
      <c r="CG57" s="100">
        <v>12700.800000000001</v>
      </c>
      <c r="CH57" s="100">
        <v>13</v>
      </c>
      <c r="CI57" s="100">
        <v>18345.600000000002</v>
      </c>
      <c r="CJ57" s="100">
        <v>11</v>
      </c>
      <c r="CK57" s="100">
        <v>15523.2</v>
      </c>
      <c r="CL57" s="100">
        <v>10</v>
      </c>
      <c r="CM57" s="100">
        <v>14112</v>
      </c>
      <c r="CN57" s="100">
        <v>7.4227006736974168</v>
      </c>
      <c r="CO57" s="100">
        <v>10474.915190721795</v>
      </c>
      <c r="CP57" s="100">
        <v>11</v>
      </c>
      <c r="CQ57" s="100">
        <v>15523.2</v>
      </c>
      <c r="CR57" s="100">
        <v>14</v>
      </c>
      <c r="CS57" s="100">
        <v>19756.8</v>
      </c>
      <c r="CT57" s="100">
        <v>15</v>
      </c>
      <c r="CU57" s="100">
        <v>21168</v>
      </c>
    </row>
    <row r="58" spans="2:99">
      <c r="C58" s="99" t="s">
        <v>224</v>
      </c>
      <c r="D58" s="100">
        <v>8.6419753086419746</v>
      </c>
      <c r="E58" s="100">
        <v>10173.333333333332</v>
      </c>
      <c r="F58" s="100">
        <v>13.043478260869565</v>
      </c>
      <c r="G58" s="100">
        <v>15354.782608695652</v>
      </c>
      <c r="H58" s="100">
        <v>6.3291139240506329</v>
      </c>
      <c r="I58" s="100">
        <v>7450.6329113924057</v>
      </c>
      <c r="J58" s="100">
        <v>9.9415204678362574</v>
      </c>
      <c r="K58" s="100">
        <v>11703.157894736843</v>
      </c>
      <c r="L58" s="100">
        <v>9.6969696969696972</v>
      </c>
      <c r="M58" s="100">
        <v>11415.272727272728</v>
      </c>
      <c r="N58" s="100">
        <v>16</v>
      </c>
      <c r="O58" s="100">
        <v>18835.2</v>
      </c>
      <c r="P58" s="100">
        <v>10.549707602339181</v>
      </c>
      <c r="Q58" s="100">
        <v>12419.115789473684</v>
      </c>
      <c r="R58" s="100">
        <v>12.655367231638419</v>
      </c>
      <c r="S58" s="100">
        <v>14897.898305084747</v>
      </c>
      <c r="T58" s="100">
        <v>12.972972972972974</v>
      </c>
      <c r="U58" s="100">
        <v>15271.783783783785</v>
      </c>
      <c r="V58" s="100">
        <v>12</v>
      </c>
      <c r="W58" s="100">
        <v>14126.400000000001</v>
      </c>
      <c r="X58" s="100">
        <v>9</v>
      </c>
      <c r="Y58" s="100">
        <v>10594.800000000001</v>
      </c>
      <c r="Z58" s="100">
        <v>11</v>
      </c>
      <c r="AA58" s="100">
        <v>12949.2</v>
      </c>
      <c r="AB58" s="100">
        <v>10</v>
      </c>
      <c r="AC58" s="100">
        <v>11772</v>
      </c>
      <c r="AD58" s="100">
        <v>15</v>
      </c>
      <c r="AE58" s="100">
        <v>17658</v>
      </c>
      <c r="AF58" s="100">
        <v>14</v>
      </c>
      <c r="AG58" s="100">
        <v>16480.8</v>
      </c>
      <c r="AH58" s="100">
        <v>8</v>
      </c>
      <c r="AI58" s="100">
        <v>9417.6</v>
      </c>
      <c r="AJ58" s="100">
        <v>9</v>
      </c>
      <c r="AK58" s="100">
        <v>10594.800000000001</v>
      </c>
      <c r="AL58" s="100">
        <v>13</v>
      </c>
      <c r="AM58" s="100">
        <v>15303.6</v>
      </c>
      <c r="AN58" s="100">
        <v>12</v>
      </c>
      <c r="AO58" s="100">
        <v>14126.400000000001</v>
      </c>
      <c r="AP58" s="100">
        <v>10</v>
      </c>
      <c r="AQ58" s="100">
        <v>11772</v>
      </c>
      <c r="AR58" s="100">
        <v>9</v>
      </c>
      <c r="AS58" s="100">
        <v>10594.800000000001</v>
      </c>
      <c r="AT58" s="100">
        <v>10</v>
      </c>
      <c r="AU58" s="100">
        <v>11772</v>
      </c>
      <c r="AV58" s="100">
        <v>11</v>
      </c>
      <c r="AW58" s="100">
        <v>12949.2</v>
      </c>
      <c r="AX58" s="100">
        <v>10</v>
      </c>
      <c r="AY58" s="100">
        <v>11772</v>
      </c>
      <c r="AZ58" s="100">
        <v>12</v>
      </c>
      <c r="BA58" s="100">
        <v>14126.400000000001</v>
      </c>
      <c r="BB58" s="100">
        <v>14</v>
      </c>
      <c r="BC58" s="100">
        <v>16480.8</v>
      </c>
      <c r="BD58" s="100">
        <v>16</v>
      </c>
      <c r="BE58" s="100">
        <v>18835.2</v>
      </c>
      <c r="BF58" s="100">
        <v>15</v>
      </c>
      <c r="BG58" s="100">
        <v>17658</v>
      </c>
      <c r="BH58" s="100">
        <v>13</v>
      </c>
      <c r="BI58" s="100">
        <v>15303.6</v>
      </c>
      <c r="BJ58" s="100">
        <v>10</v>
      </c>
      <c r="BK58" s="100">
        <v>11772</v>
      </c>
      <c r="BL58" s="100">
        <v>15</v>
      </c>
      <c r="BM58" s="100">
        <v>17658</v>
      </c>
      <c r="BN58" s="100">
        <v>9</v>
      </c>
      <c r="BO58" s="100">
        <v>10594.800000000001</v>
      </c>
      <c r="BP58" s="100">
        <v>10</v>
      </c>
      <c r="BQ58" s="100">
        <v>11772</v>
      </c>
      <c r="BR58" s="100">
        <v>12</v>
      </c>
      <c r="BS58" s="100">
        <v>14126.400000000001</v>
      </c>
      <c r="BT58" s="100">
        <v>11.71584699453552</v>
      </c>
      <c r="BU58" s="100">
        <v>13791.895081967214</v>
      </c>
      <c r="BV58" s="100">
        <v>9.4631690050831552E-23</v>
      </c>
      <c r="BW58" s="100">
        <v>1.1140042552783891E-19</v>
      </c>
      <c r="BX58" s="100">
        <v>10</v>
      </c>
      <c r="BY58" s="100">
        <v>11772</v>
      </c>
      <c r="BZ58" s="100">
        <v>12</v>
      </c>
      <c r="CA58" s="100">
        <v>14126.400000000001</v>
      </c>
      <c r="CB58" s="100">
        <v>17</v>
      </c>
      <c r="CC58" s="100">
        <v>20012.400000000001</v>
      </c>
      <c r="CD58" s="100">
        <v>12</v>
      </c>
      <c r="CE58" s="100">
        <v>14126.400000000001</v>
      </c>
      <c r="CF58" s="100">
        <v>9</v>
      </c>
      <c r="CG58" s="100">
        <v>10594.800000000001</v>
      </c>
      <c r="CH58" s="100">
        <v>14</v>
      </c>
      <c r="CI58" s="100">
        <v>16480.8</v>
      </c>
      <c r="CJ58" s="100">
        <v>12</v>
      </c>
      <c r="CK58" s="100">
        <v>14126.400000000001</v>
      </c>
      <c r="CL58" s="100">
        <v>10</v>
      </c>
      <c r="CM58" s="100">
        <v>11772</v>
      </c>
      <c r="CN58" s="100">
        <v>9</v>
      </c>
      <c r="CO58" s="100">
        <v>10594.800000000001</v>
      </c>
      <c r="CP58" s="100">
        <v>12</v>
      </c>
      <c r="CQ58" s="100">
        <v>14126.400000000001</v>
      </c>
      <c r="CR58" s="100">
        <v>13</v>
      </c>
      <c r="CS58" s="100">
        <v>15303.6</v>
      </c>
      <c r="CT58" s="100">
        <v>13</v>
      </c>
      <c r="CU58" s="100">
        <v>15303.6</v>
      </c>
    </row>
    <row r="59" spans="2:99">
      <c r="C59" s="99" t="s">
        <v>225</v>
      </c>
      <c r="D59" s="100">
        <v>17</v>
      </c>
      <c r="E59" s="100">
        <v>5161.2</v>
      </c>
      <c r="F59" s="100">
        <v>16</v>
      </c>
      <c r="G59" s="100">
        <v>4857.5999999999995</v>
      </c>
      <c r="H59" s="100">
        <v>10</v>
      </c>
      <c r="I59" s="100">
        <v>3035.9999999999995</v>
      </c>
      <c r="J59" s="100">
        <v>17</v>
      </c>
      <c r="K59" s="100">
        <v>5161.2</v>
      </c>
      <c r="L59" s="100">
        <v>11</v>
      </c>
      <c r="M59" s="100">
        <v>3339.5999999999995</v>
      </c>
      <c r="N59" s="100">
        <v>16</v>
      </c>
      <c r="O59" s="100">
        <v>4857.5999999999995</v>
      </c>
      <c r="P59" s="100">
        <v>12</v>
      </c>
      <c r="Q59" s="100">
        <v>3643.2</v>
      </c>
      <c r="R59" s="100">
        <v>16</v>
      </c>
      <c r="S59" s="100">
        <v>4857.5999999999995</v>
      </c>
      <c r="T59" s="100">
        <v>17</v>
      </c>
      <c r="U59" s="100">
        <v>5161.2</v>
      </c>
      <c r="V59" s="100">
        <v>14</v>
      </c>
      <c r="W59" s="100">
        <v>4250.3999999999996</v>
      </c>
      <c r="X59" s="100">
        <v>10</v>
      </c>
      <c r="Y59" s="100">
        <v>3035.9999999999995</v>
      </c>
      <c r="Z59" s="100">
        <v>12</v>
      </c>
      <c r="AA59" s="100">
        <v>3643.2</v>
      </c>
      <c r="AB59" s="100">
        <v>9</v>
      </c>
      <c r="AC59" s="100">
        <v>2732.3999999999996</v>
      </c>
      <c r="AD59" s="100">
        <v>16</v>
      </c>
      <c r="AE59" s="100">
        <v>4857.5999999999995</v>
      </c>
      <c r="AF59" s="100">
        <v>14</v>
      </c>
      <c r="AG59" s="100">
        <v>4250.3999999999996</v>
      </c>
      <c r="AH59" s="100">
        <v>9</v>
      </c>
      <c r="AI59" s="100">
        <v>2732.3999999999996</v>
      </c>
      <c r="AJ59" s="100">
        <v>11</v>
      </c>
      <c r="AK59" s="100">
        <v>3339.5999999999995</v>
      </c>
      <c r="AL59" s="100">
        <v>15</v>
      </c>
      <c r="AM59" s="100">
        <v>4553.9999999999991</v>
      </c>
      <c r="AN59" s="100">
        <v>14</v>
      </c>
      <c r="AO59" s="100">
        <v>4250.3999999999996</v>
      </c>
      <c r="AP59" s="100">
        <v>12</v>
      </c>
      <c r="AQ59" s="100">
        <v>3643.2</v>
      </c>
      <c r="AR59" s="100">
        <v>10</v>
      </c>
      <c r="AS59" s="100">
        <v>3035.9999999999995</v>
      </c>
      <c r="AT59" s="100">
        <v>10</v>
      </c>
      <c r="AU59" s="100">
        <v>3035.9999999999995</v>
      </c>
      <c r="AV59" s="100">
        <v>12</v>
      </c>
      <c r="AW59" s="100">
        <v>3643.2</v>
      </c>
      <c r="AX59" s="100">
        <v>12</v>
      </c>
      <c r="AY59" s="100">
        <v>3643.2</v>
      </c>
      <c r="AZ59" s="100">
        <v>14</v>
      </c>
      <c r="BA59" s="100">
        <v>4250.3999999999996</v>
      </c>
      <c r="BB59" s="100">
        <v>14</v>
      </c>
      <c r="BC59" s="100">
        <v>4250.3999999999996</v>
      </c>
      <c r="BD59" s="100">
        <v>18.424733481809618</v>
      </c>
      <c r="BE59" s="100">
        <v>5593.7490850773993</v>
      </c>
      <c r="BF59" s="100">
        <v>13.475174052450035</v>
      </c>
      <c r="BG59" s="100">
        <v>4091.06284232383</v>
      </c>
      <c r="BH59" s="100">
        <v>13</v>
      </c>
      <c r="BI59" s="100">
        <v>3946.7999999999997</v>
      </c>
      <c r="BJ59" s="100">
        <v>10</v>
      </c>
      <c r="BK59" s="100">
        <v>3035.9999999999995</v>
      </c>
      <c r="BL59" s="100">
        <v>14.202084644898536</v>
      </c>
      <c r="BM59" s="100">
        <v>4311.7528981911946</v>
      </c>
      <c r="BN59" s="100">
        <v>9.9658946821949623</v>
      </c>
      <c r="BO59" s="100">
        <v>3025.6456255143903</v>
      </c>
      <c r="BP59" s="100">
        <v>11.529300543070969</v>
      </c>
      <c r="BQ59" s="100">
        <v>3500.2956448763457</v>
      </c>
      <c r="BR59" s="100">
        <v>12.150134988468995</v>
      </c>
      <c r="BS59" s="100">
        <v>3688.7809824991864</v>
      </c>
      <c r="BT59" s="100">
        <v>14.689252234123698</v>
      </c>
      <c r="BU59" s="100">
        <v>4459.6569782799543</v>
      </c>
      <c r="BV59" s="100">
        <v>16.142963355167605</v>
      </c>
      <c r="BW59" s="100">
        <v>4901.0036746288843</v>
      </c>
      <c r="BX59" s="100">
        <v>7.5622308000248015</v>
      </c>
      <c r="BY59" s="100">
        <v>2295.8932708875295</v>
      </c>
      <c r="BZ59" s="100">
        <v>7.6972214408995612</v>
      </c>
      <c r="CA59" s="100">
        <v>2336.8764294571065</v>
      </c>
      <c r="CB59" s="100">
        <v>14.166065343394349</v>
      </c>
      <c r="CC59" s="100">
        <v>4300.8174382545239</v>
      </c>
      <c r="CD59" s="100">
        <v>11.728837738474841</v>
      </c>
      <c r="CE59" s="100">
        <v>3560.8751374009612</v>
      </c>
      <c r="CF59" s="100">
        <v>10</v>
      </c>
      <c r="CG59" s="100">
        <v>3035.9999999999995</v>
      </c>
      <c r="CH59" s="100">
        <v>14</v>
      </c>
      <c r="CI59" s="100">
        <v>4250.3999999999996</v>
      </c>
      <c r="CJ59" s="100">
        <v>11</v>
      </c>
      <c r="CK59" s="100">
        <v>3339.5999999999995</v>
      </c>
      <c r="CL59" s="100">
        <v>11</v>
      </c>
      <c r="CM59" s="100">
        <v>3339.5999999999995</v>
      </c>
      <c r="CN59" s="100">
        <v>9.2783758421217701</v>
      </c>
      <c r="CO59" s="100">
        <v>2816.914905668169</v>
      </c>
      <c r="CP59" s="100">
        <v>13</v>
      </c>
      <c r="CQ59" s="100">
        <v>3946.7999999999997</v>
      </c>
      <c r="CR59" s="100">
        <v>13</v>
      </c>
      <c r="CS59" s="100">
        <v>3946.7999999999997</v>
      </c>
      <c r="CT59" s="100">
        <v>15</v>
      </c>
      <c r="CU59" s="100">
        <v>4553.9999999999991</v>
      </c>
    </row>
    <row r="60" spans="2:99">
      <c r="C60" s="99" t="s">
        <v>226</v>
      </c>
      <c r="D60" s="100">
        <v>16</v>
      </c>
      <c r="E60" s="100">
        <v>10425.6</v>
      </c>
      <c r="F60" s="100">
        <v>14</v>
      </c>
      <c r="G60" s="100">
        <v>9122.4</v>
      </c>
      <c r="H60" s="100">
        <v>10</v>
      </c>
      <c r="I60" s="100">
        <v>6516</v>
      </c>
      <c r="J60" s="100">
        <v>18</v>
      </c>
      <c r="K60" s="100">
        <v>11728.800000000001</v>
      </c>
      <c r="L60" s="100">
        <v>9</v>
      </c>
      <c r="M60" s="100">
        <v>5864.4000000000005</v>
      </c>
      <c r="N60" s="100">
        <v>17</v>
      </c>
      <c r="O60" s="100">
        <v>11077.2</v>
      </c>
      <c r="P60" s="100">
        <v>11</v>
      </c>
      <c r="Q60" s="100">
        <v>7167.6</v>
      </c>
      <c r="R60" s="100">
        <v>17</v>
      </c>
      <c r="S60" s="100">
        <v>11077.2</v>
      </c>
      <c r="T60" s="100">
        <v>18</v>
      </c>
      <c r="U60" s="100">
        <v>11728.800000000001</v>
      </c>
      <c r="V60" s="100">
        <v>14</v>
      </c>
      <c r="W60" s="100">
        <v>9122.4</v>
      </c>
      <c r="X60" s="100">
        <v>10</v>
      </c>
      <c r="Y60" s="100">
        <v>6516</v>
      </c>
      <c r="Z60" s="100">
        <v>13</v>
      </c>
      <c r="AA60" s="100">
        <v>8470.8000000000011</v>
      </c>
      <c r="AB60" s="100">
        <v>9</v>
      </c>
      <c r="AC60" s="100">
        <v>5864.4000000000005</v>
      </c>
      <c r="AD60" s="100">
        <v>18</v>
      </c>
      <c r="AE60" s="100">
        <v>11728.800000000001</v>
      </c>
      <c r="AF60" s="100">
        <v>13</v>
      </c>
      <c r="AG60" s="100">
        <v>8470.8000000000011</v>
      </c>
      <c r="AH60" s="100">
        <v>9</v>
      </c>
      <c r="AI60" s="100">
        <v>5864.4000000000005</v>
      </c>
      <c r="AJ60" s="100">
        <v>10</v>
      </c>
      <c r="AK60" s="100">
        <v>6516</v>
      </c>
      <c r="AL60" s="100">
        <v>14</v>
      </c>
      <c r="AM60" s="100">
        <v>9122.4</v>
      </c>
      <c r="AN60" s="100">
        <v>12</v>
      </c>
      <c r="AO60" s="100">
        <v>7819.2000000000007</v>
      </c>
      <c r="AP60" s="100">
        <v>12</v>
      </c>
      <c r="AQ60" s="100">
        <v>7819.2000000000007</v>
      </c>
      <c r="AR60" s="100">
        <v>10</v>
      </c>
      <c r="AS60" s="100">
        <v>6516</v>
      </c>
      <c r="AT60" s="100">
        <v>11</v>
      </c>
      <c r="AU60" s="100">
        <v>7167.6</v>
      </c>
      <c r="AV60" s="100">
        <v>13</v>
      </c>
      <c r="AW60" s="100">
        <v>8470.8000000000011</v>
      </c>
      <c r="AX60" s="100">
        <v>11</v>
      </c>
      <c r="AY60" s="100">
        <v>7167.6</v>
      </c>
      <c r="AZ60" s="100">
        <v>14</v>
      </c>
      <c r="BA60" s="100">
        <v>9122.4</v>
      </c>
      <c r="BB60" s="100">
        <v>16</v>
      </c>
      <c r="BC60" s="100">
        <v>10425.6</v>
      </c>
      <c r="BD60" s="100">
        <v>15.515565037313362</v>
      </c>
      <c r="BE60" s="100">
        <v>10109.942178313388</v>
      </c>
      <c r="BF60" s="100">
        <v>12.632975674171909</v>
      </c>
      <c r="BG60" s="100">
        <v>8231.6469492904162</v>
      </c>
      <c r="BH60" s="100">
        <v>12</v>
      </c>
      <c r="BI60" s="100">
        <v>7819.2000000000007</v>
      </c>
      <c r="BJ60" s="100">
        <v>9</v>
      </c>
      <c r="BK60" s="100">
        <v>5864.4000000000005</v>
      </c>
      <c r="BL60" s="100">
        <v>13.314454354592378</v>
      </c>
      <c r="BM60" s="100">
        <v>8675.698457452394</v>
      </c>
      <c r="BN60" s="100">
        <v>8.1539138308867862</v>
      </c>
      <c r="BO60" s="100">
        <v>5313.0902522058304</v>
      </c>
      <c r="BP60" s="100">
        <v>9.6077504525591397</v>
      </c>
      <c r="BQ60" s="100">
        <v>6260.4101948875359</v>
      </c>
      <c r="BR60" s="100">
        <v>12.150134988468995</v>
      </c>
      <c r="BS60" s="100">
        <v>7917.0279584863974</v>
      </c>
      <c r="BT60" s="100">
        <v>15.553325894954504</v>
      </c>
      <c r="BU60" s="100">
        <v>10134.547153152356</v>
      </c>
      <c r="BV60" s="100">
        <v>16.142963355167605</v>
      </c>
      <c r="BW60" s="100">
        <v>10518.754922227212</v>
      </c>
      <c r="BX60" s="100">
        <v>8.4024786666942237</v>
      </c>
      <c r="BY60" s="100">
        <v>5475.055099217956</v>
      </c>
      <c r="BZ60" s="100">
        <v>7.6972214408995612</v>
      </c>
      <c r="CA60" s="100">
        <v>5015.5094908901547</v>
      </c>
      <c r="CB60" s="100">
        <v>13.42048295689991</v>
      </c>
      <c r="CC60" s="100">
        <v>8744.7866947159819</v>
      </c>
      <c r="CD60" s="100">
        <v>10.053289490121292</v>
      </c>
      <c r="CE60" s="100">
        <v>6550.7234317630346</v>
      </c>
      <c r="CF60" s="100">
        <v>9</v>
      </c>
      <c r="CG60" s="100">
        <v>5864.4000000000005</v>
      </c>
      <c r="CH60" s="100">
        <v>13</v>
      </c>
      <c r="CI60" s="100">
        <v>8470.8000000000011</v>
      </c>
      <c r="CJ60" s="100">
        <v>13</v>
      </c>
      <c r="CK60" s="100">
        <v>8470.8000000000011</v>
      </c>
      <c r="CL60" s="100">
        <v>10</v>
      </c>
      <c r="CM60" s="100">
        <v>6516</v>
      </c>
      <c r="CN60" s="100">
        <v>8.3505382579095944</v>
      </c>
      <c r="CO60" s="100">
        <v>5441.2107288538919</v>
      </c>
      <c r="CP60" s="100">
        <v>13</v>
      </c>
      <c r="CQ60" s="100">
        <v>8470.8000000000011</v>
      </c>
      <c r="CR60" s="100">
        <v>15</v>
      </c>
      <c r="CS60" s="100">
        <v>9774</v>
      </c>
      <c r="CT60" s="100">
        <v>15</v>
      </c>
      <c r="CU60" s="100">
        <v>9774</v>
      </c>
    </row>
    <row r="61" spans="2:99">
      <c r="C61" s="99" t="s">
        <v>227</v>
      </c>
      <c r="D61" s="100">
        <v>14</v>
      </c>
      <c r="E61" s="100">
        <v>13322.399999999998</v>
      </c>
      <c r="F61" s="100">
        <v>14</v>
      </c>
      <c r="G61" s="100">
        <v>13322.399999999998</v>
      </c>
      <c r="H61" s="100">
        <v>11</v>
      </c>
      <c r="I61" s="100">
        <v>10467.599999999999</v>
      </c>
      <c r="J61" s="100">
        <v>18</v>
      </c>
      <c r="K61" s="100">
        <v>17128.8</v>
      </c>
      <c r="L61" s="100">
        <v>10</v>
      </c>
      <c r="M61" s="100">
        <v>9516</v>
      </c>
      <c r="N61" s="100">
        <v>16</v>
      </c>
      <c r="O61" s="100">
        <v>15225.599999999999</v>
      </c>
      <c r="P61" s="100">
        <v>12</v>
      </c>
      <c r="Q61" s="100">
        <v>11419.199999999999</v>
      </c>
      <c r="R61" s="100">
        <v>14</v>
      </c>
      <c r="S61" s="100">
        <v>13322.399999999998</v>
      </c>
      <c r="T61" s="100">
        <v>18</v>
      </c>
      <c r="U61" s="100">
        <v>17128.8</v>
      </c>
      <c r="V61" s="100">
        <v>13</v>
      </c>
      <c r="W61" s="100">
        <v>12370.8</v>
      </c>
      <c r="X61" s="100">
        <v>9</v>
      </c>
      <c r="Y61" s="100">
        <v>8564.4</v>
      </c>
      <c r="Z61" s="100">
        <v>13</v>
      </c>
      <c r="AA61" s="100">
        <v>12370.8</v>
      </c>
      <c r="AB61" s="100">
        <v>10</v>
      </c>
      <c r="AC61" s="100">
        <v>9516</v>
      </c>
      <c r="AD61" s="100">
        <v>17</v>
      </c>
      <c r="AE61" s="100">
        <v>16177.199999999999</v>
      </c>
      <c r="AF61" s="100">
        <v>13</v>
      </c>
      <c r="AG61" s="100">
        <v>12370.8</v>
      </c>
      <c r="AH61" s="100">
        <v>9</v>
      </c>
      <c r="AI61" s="100">
        <v>8564.4</v>
      </c>
      <c r="AJ61" s="100">
        <v>8</v>
      </c>
      <c r="AK61" s="100">
        <v>7612.7999999999993</v>
      </c>
      <c r="AL61" s="100">
        <v>13</v>
      </c>
      <c r="AM61" s="100">
        <v>12370.8</v>
      </c>
      <c r="AN61" s="100">
        <v>13</v>
      </c>
      <c r="AO61" s="100">
        <v>12370.8</v>
      </c>
      <c r="AP61" s="100">
        <v>11</v>
      </c>
      <c r="AQ61" s="100">
        <v>10467.599999999999</v>
      </c>
      <c r="AR61" s="100">
        <v>9</v>
      </c>
      <c r="AS61" s="100">
        <v>8564.4</v>
      </c>
      <c r="AT61" s="100">
        <v>10</v>
      </c>
      <c r="AU61" s="100">
        <v>9516</v>
      </c>
      <c r="AV61" s="100">
        <v>11</v>
      </c>
      <c r="AW61" s="100">
        <v>10467.599999999999</v>
      </c>
      <c r="AX61" s="100">
        <v>12</v>
      </c>
      <c r="AY61" s="100">
        <v>11419.199999999999</v>
      </c>
      <c r="AZ61" s="100">
        <v>13</v>
      </c>
      <c r="BA61" s="100">
        <v>12370.8</v>
      </c>
      <c r="BB61" s="100">
        <v>15</v>
      </c>
      <c r="BC61" s="100">
        <v>14273.999999999998</v>
      </c>
      <c r="BD61" s="100">
        <v>16.485287852145444</v>
      </c>
      <c r="BE61" s="100">
        <v>15687.399920101603</v>
      </c>
      <c r="BF61" s="100">
        <v>14.317372430728163</v>
      </c>
      <c r="BG61" s="100">
        <v>13624.411605080919</v>
      </c>
      <c r="BH61" s="100">
        <v>14</v>
      </c>
      <c r="BI61" s="100">
        <v>13322.399999999998</v>
      </c>
      <c r="BJ61" s="100">
        <v>10</v>
      </c>
      <c r="BK61" s="100">
        <v>9516</v>
      </c>
      <c r="BL61" s="100">
        <v>12.426824064286219</v>
      </c>
      <c r="BM61" s="100">
        <v>11825.365779574764</v>
      </c>
      <c r="BN61" s="100">
        <v>8.1539138308867862</v>
      </c>
      <c r="BO61" s="100">
        <v>7759.2644014718653</v>
      </c>
      <c r="BP61" s="100">
        <v>10.568525497815054</v>
      </c>
      <c r="BQ61" s="100">
        <v>10057.008863720805</v>
      </c>
      <c r="BR61" s="100">
        <v>12.150134988468995</v>
      </c>
      <c r="BS61" s="100">
        <v>11562.068455027094</v>
      </c>
      <c r="BT61" s="100">
        <v>14.689252234123698</v>
      </c>
      <c r="BU61" s="100">
        <v>13978.292425992109</v>
      </c>
      <c r="BV61" s="100">
        <v>14.349300760148983</v>
      </c>
      <c r="BW61" s="100">
        <v>13654.794603357772</v>
      </c>
      <c r="BX61" s="100">
        <v>7.5622308000248015</v>
      </c>
      <c r="BY61" s="100">
        <v>7196.2188293036006</v>
      </c>
      <c r="BZ61" s="100">
        <v>8.3969688446177031</v>
      </c>
      <c r="CA61" s="100">
        <v>7990.5555525382051</v>
      </c>
      <c r="CB61" s="100">
        <v>11.929318183911031</v>
      </c>
      <c r="CC61" s="100">
        <v>11351.939183809736</v>
      </c>
      <c r="CD61" s="100">
        <v>10.053289490121292</v>
      </c>
      <c r="CE61" s="100">
        <v>9566.7102787994208</v>
      </c>
      <c r="CF61" s="100">
        <v>10</v>
      </c>
      <c r="CG61" s="100">
        <v>9516</v>
      </c>
      <c r="CH61" s="100">
        <v>13</v>
      </c>
      <c r="CI61" s="100">
        <v>12370.8</v>
      </c>
      <c r="CJ61" s="100">
        <v>12</v>
      </c>
      <c r="CK61" s="100">
        <v>11419.199999999999</v>
      </c>
      <c r="CL61" s="100">
        <v>10</v>
      </c>
      <c r="CM61" s="100">
        <v>9516</v>
      </c>
      <c r="CN61" s="100">
        <v>9.2783758421217701</v>
      </c>
      <c r="CO61" s="100">
        <v>8829.3024513630753</v>
      </c>
      <c r="CP61" s="100">
        <v>13</v>
      </c>
      <c r="CQ61" s="100">
        <v>12370.8</v>
      </c>
      <c r="CR61" s="100">
        <v>14</v>
      </c>
      <c r="CS61" s="100">
        <v>13322.399999999998</v>
      </c>
      <c r="CT61" s="100">
        <v>15</v>
      </c>
      <c r="CU61" s="100">
        <v>14273.999999999998</v>
      </c>
    </row>
    <row r="62" spans="2:99">
      <c r="C62" s="99" t="s">
        <v>228</v>
      </c>
      <c r="D62" s="100">
        <v>14</v>
      </c>
      <c r="E62" s="100">
        <v>23368.799999999999</v>
      </c>
      <c r="F62" s="100">
        <v>15</v>
      </c>
      <c r="G62" s="100">
        <v>25038</v>
      </c>
      <c r="H62" s="100">
        <v>10</v>
      </c>
      <c r="I62" s="100">
        <v>16692</v>
      </c>
      <c r="J62" s="100">
        <v>16</v>
      </c>
      <c r="K62" s="100">
        <v>26707.200000000001</v>
      </c>
      <c r="L62" s="100">
        <v>9</v>
      </c>
      <c r="M62" s="100">
        <v>15022.800000000001</v>
      </c>
      <c r="N62" s="100">
        <v>14</v>
      </c>
      <c r="O62" s="100">
        <v>23368.799999999999</v>
      </c>
      <c r="P62" s="100">
        <v>11</v>
      </c>
      <c r="Q62" s="100">
        <v>18361.2</v>
      </c>
      <c r="R62" s="100">
        <v>13</v>
      </c>
      <c r="S62" s="100">
        <v>21699.600000000002</v>
      </c>
      <c r="T62" s="100">
        <v>16</v>
      </c>
      <c r="U62" s="100">
        <v>26707.200000000001</v>
      </c>
      <c r="V62" s="100">
        <v>13</v>
      </c>
      <c r="W62" s="100">
        <v>21699.600000000002</v>
      </c>
      <c r="X62" s="100">
        <v>9</v>
      </c>
      <c r="Y62" s="100">
        <v>15022.800000000001</v>
      </c>
      <c r="Z62" s="100">
        <v>12</v>
      </c>
      <c r="AA62" s="100">
        <v>20030.400000000001</v>
      </c>
      <c r="AB62" s="100">
        <v>8</v>
      </c>
      <c r="AC62" s="100">
        <v>13353.6</v>
      </c>
      <c r="AD62" s="100">
        <v>16</v>
      </c>
      <c r="AE62" s="100">
        <v>26707.200000000001</v>
      </c>
      <c r="AF62" s="100">
        <v>12</v>
      </c>
      <c r="AG62" s="100">
        <v>20030.400000000001</v>
      </c>
      <c r="AH62" s="100">
        <v>8</v>
      </c>
      <c r="AI62" s="100">
        <v>13353.6</v>
      </c>
      <c r="AJ62" s="100">
        <v>8</v>
      </c>
      <c r="AK62" s="100">
        <v>13353.6</v>
      </c>
      <c r="AL62" s="100">
        <v>14</v>
      </c>
      <c r="AM62" s="100">
        <v>23368.799999999999</v>
      </c>
      <c r="AN62" s="100">
        <v>12</v>
      </c>
      <c r="AO62" s="100">
        <v>20030.400000000001</v>
      </c>
      <c r="AP62" s="100">
        <v>11</v>
      </c>
      <c r="AQ62" s="100">
        <v>18361.2</v>
      </c>
      <c r="AR62" s="100">
        <v>8</v>
      </c>
      <c r="AS62" s="100">
        <v>13353.6</v>
      </c>
      <c r="AT62" s="100">
        <v>9</v>
      </c>
      <c r="AU62" s="100">
        <v>15022.800000000001</v>
      </c>
      <c r="AV62" s="100">
        <v>12</v>
      </c>
      <c r="AW62" s="100">
        <v>20030.400000000001</v>
      </c>
      <c r="AX62" s="100">
        <v>10</v>
      </c>
      <c r="AY62" s="100">
        <v>16692</v>
      </c>
      <c r="AZ62" s="100">
        <v>14</v>
      </c>
      <c r="BA62" s="100">
        <v>23368.799999999999</v>
      </c>
      <c r="BB62" s="100">
        <v>14</v>
      </c>
      <c r="BC62" s="100">
        <v>23368.799999999999</v>
      </c>
      <c r="BD62" s="100">
        <v>14</v>
      </c>
      <c r="BE62" s="100">
        <v>23368.799999999999</v>
      </c>
      <c r="BF62" s="100">
        <v>16</v>
      </c>
      <c r="BG62" s="100">
        <v>26707.200000000001</v>
      </c>
      <c r="BH62" s="100">
        <v>13</v>
      </c>
      <c r="BI62" s="100">
        <v>21699.600000000002</v>
      </c>
      <c r="BJ62" s="100">
        <v>9</v>
      </c>
      <c r="BK62" s="100">
        <v>15022.800000000001</v>
      </c>
      <c r="BL62" s="100">
        <v>14</v>
      </c>
      <c r="BM62" s="100">
        <v>23368.799999999999</v>
      </c>
      <c r="BN62" s="100">
        <v>9</v>
      </c>
      <c r="BO62" s="100">
        <v>15022.800000000001</v>
      </c>
      <c r="BP62" s="100">
        <v>10</v>
      </c>
      <c r="BQ62" s="100">
        <v>16692</v>
      </c>
      <c r="BR62" s="100">
        <v>11</v>
      </c>
      <c r="BS62" s="100">
        <v>18361.2</v>
      </c>
      <c r="BT62" s="100">
        <v>15</v>
      </c>
      <c r="BU62" s="100">
        <v>25038</v>
      </c>
      <c r="BV62" s="100">
        <v>15</v>
      </c>
      <c r="BW62" s="100">
        <v>25038</v>
      </c>
      <c r="BX62" s="100">
        <v>9</v>
      </c>
      <c r="BY62" s="100">
        <v>15022.800000000001</v>
      </c>
      <c r="BZ62" s="100">
        <v>10</v>
      </c>
      <c r="CA62" s="100">
        <v>16692</v>
      </c>
      <c r="CB62" s="100">
        <v>15</v>
      </c>
      <c r="CC62" s="100">
        <v>25038</v>
      </c>
      <c r="CD62" s="100">
        <v>12</v>
      </c>
      <c r="CE62" s="100">
        <v>20030.400000000001</v>
      </c>
      <c r="CF62" s="100">
        <v>9</v>
      </c>
      <c r="CG62" s="100">
        <v>15022.800000000001</v>
      </c>
      <c r="CH62" s="100">
        <v>13</v>
      </c>
      <c r="CI62" s="100">
        <v>21699.600000000002</v>
      </c>
      <c r="CJ62" s="100">
        <v>11</v>
      </c>
      <c r="CK62" s="100">
        <v>18361.2</v>
      </c>
      <c r="CL62" s="100">
        <v>10</v>
      </c>
      <c r="CM62" s="100">
        <v>16692</v>
      </c>
      <c r="CN62" s="100">
        <v>9</v>
      </c>
      <c r="CO62" s="100">
        <v>15022.800000000001</v>
      </c>
      <c r="CP62" s="100">
        <v>12</v>
      </c>
      <c r="CQ62" s="100">
        <v>20030.400000000001</v>
      </c>
      <c r="CR62" s="100">
        <v>13</v>
      </c>
      <c r="CS62" s="100">
        <v>21699.600000000002</v>
      </c>
      <c r="CT62" s="100">
        <v>13</v>
      </c>
      <c r="CU62" s="100">
        <v>21699.600000000002</v>
      </c>
    </row>
    <row r="63" spans="2:99">
      <c r="C63" s="99" t="s">
        <v>229</v>
      </c>
      <c r="D63" s="100">
        <v>14</v>
      </c>
      <c r="E63" s="100">
        <v>11138.4</v>
      </c>
      <c r="F63" s="100">
        <v>16</v>
      </c>
      <c r="G63" s="100">
        <v>12729.6</v>
      </c>
      <c r="H63" s="100">
        <v>10</v>
      </c>
      <c r="I63" s="100">
        <v>7956</v>
      </c>
      <c r="J63" s="100">
        <v>17</v>
      </c>
      <c r="K63" s="100">
        <v>13525.2</v>
      </c>
      <c r="L63" s="100">
        <v>9</v>
      </c>
      <c r="M63" s="100">
        <v>7160.4000000000005</v>
      </c>
      <c r="N63" s="100">
        <v>18</v>
      </c>
      <c r="O63" s="100">
        <v>14320.800000000001</v>
      </c>
      <c r="P63" s="100">
        <v>11</v>
      </c>
      <c r="Q63" s="100">
        <v>8751.6</v>
      </c>
      <c r="R63" s="100">
        <v>14</v>
      </c>
      <c r="S63" s="100">
        <v>11138.4</v>
      </c>
      <c r="T63" s="100">
        <v>17</v>
      </c>
      <c r="U63" s="100">
        <v>13525.2</v>
      </c>
      <c r="V63" s="100">
        <v>14</v>
      </c>
      <c r="W63" s="100">
        <v>11138.4</v>
      </c>
      <c r="X63" s="100">
        <v>10</v>
      </c>
      <c r="Y63" s="100">
        <v>7956</v>
      </c>
      <c r="Z63" s="100">
        <v>12</v>
      </c>
      <c r="AA63" s="100">
        <v>9547.2000000000007</v>
      </c>
      <c r="AB63" s="100">
        <v>9</v>
      </c>
      <c r="AC63" s="100">
        <v>7160.4000000000005</v>
      </c>
      <c r="AD63" s="100">
        <v>17</v>
      </c>
      <c r="AE63" s="100">
        <v>13525.2</v>
      </c>
      <c r="AF63" s="100">
        <v>12</v>
      </c>
      <c r="AG63" s="100">
        <v>9547.2000000000007</v>
      </c>
      <c r="AH63" s="100">
        <v>9</v>
      </c>
      <c r="AI63" s="100">
        <v>7160.4000000000005</v>
      </c>
      <c r="AJ63" s="100">
        <v>9</v>
      </c>
      <c r="AK63" s="100">
        <v>7160.4000000000005</v>
      </c>
      <c r="AL63" s="100">
        <v>13</v>
      </c>
      <c r="AM63" s="100">
        <v>10342.800000000001</v>
      </c>
      <c r="AN63" s="100">
        <v>11</v>
      </c>
      <c r="AO63" s="100">
        <v>8751.6</v>
      </c>
      <c r="AP63" s="100">
        <v>11</v>
      </c>
      <c r="AQ63" s="100">
        <v>8751.6</v>
      </c>
      <c r="AR63" s="100">
        <v>9</v>
      </c>
      <c r="AS63" s="100">
        <v>7160.4000000000005</v>
      </c>
      <c r="AT63" s="100">
        <v>9</v>
      </c>
      <c r="AU63" s="100">
        <v>7160.4000000000005</v>
      </c>
      <c r="AV63" s="100">
        <v>12</v>
      </c>
      <c r="AW63" s="100">
        <v>9547.2000000000007</v>
      </c>
      <c r="AX63" s="100">
        <v>11</v>
      </c>
      <c r="AY63" s="100">
        <v>8751.6</v>
      </c>
      <c r="AZ63" s="100">
        <v>15</v>
      </c>
      <c r="BA63" s="100">
        <v>11934</v>
      </c>
      <c r="BB63" s="100">
        <v>14</v>
      </c>
      <c r="BC63" s="100">
        <v>11138.4</v>
      </c>
      <c r="BD63" s="100">
        <v>15.515565037313362</v>
      </c>
      <c r="BE63" s="100">
        <v>12344.183543686511</v>
      </c>
      <c r="BF63" s="100">
        <v>13.475174052450035</v>
      </c>
      <c r="BG63" s="100">
        <v>10720.848476129248</v>
      </c>
      <c r="BH63" s="100">
        <v>14</v>
      </c>
      <c r="BI63" s="100">
        <v>11138.4</v>
      </c>
      <c r="BJ63" s="100">
        <v>10</v>
      </c>
      <c r="BK63" s="100">
        <v>7956</v>
      </c>
      <c r="BL63" s="100">
        <v>14.202084644898536</v>
      </c>
      <c r="BM63" s="100">
        <v>11299.178543481275</v>
      </c>
      <c r="BN63" s="100">
        <v>9.0599042565408752</v>
      </c>
      <c r="BO63" s="100">
        <v>7208.0598265039207</v>
      </c>
      <c r="BP63" s="100">
        <v>9.6077504525591397</v>
      </c>
      <c r="BQ63" s="100">
        <v>7643.9262600560514</v>
      </c>
      <c r="BR63" s="100">
        <v>12.150134988468995</v>
      </c>
      <c r="BS63" s="100">
        <v>9666.6473968259324</v>
      </c>
      <c r="BT63" s="100">
        <v>13.825178573292893</v>
      </c>
      <c r="BU63" s="100">
        <v>10999.312072911825</v>
      </c>
      <c r="BV63" s="100">
        <v>14.349300760148983</v>
      </c>
      <c r="BW63" s="100">
        <v>11416.303684774532</v>
      </c>
      <c r="BX63" s="100">
        <v>8.4024786666942237</v>
      </c>
      <c r="BY63" s="100">
        <v>6685.0120272219247</v>
      </c>
      <c r="BZ63" s="100">
        <v>7.6972214408995612</v>
      </c>
      <c r="CA63" s="100">
        <v>6123.9093783796907</v>
      </c>
      <c r="CB63" s="100">
        <v>12.67490057040547</v>
      </c>
      <c r="CC63" s="100">
        <v>10084.150893814593</v>
      </c>
      <c r="CD63" s="100">
        <v>10.891063614298067</v>
      </c>
      <c r="CE63" s="100">
        <v>8664.9302115355422</v>
      </c>
      <c r="CF63" s="100">
        <v>10</v>
      </c>
      <c r="CG63" s="100">
        <v>7956</v>
      </c>
      <c r="CH63" s="100">
        <v>13</v>
      </c>
      <c r="CI63" s="100">
        <v>10342.800000000001</v>
      </c>
      <c r="CJ63" s="100">
        <v>12</v>
      </c>
      <c r="CK63" s="100">
        <v>9547.2000000000007</v>
      </c>
      <c r="CL63" s="100">
        <v>9</v>
      </c>
      <c r="CM63" s="100">
        <v>7160.4000000000005</v>
      </c>
      <c r="CN63" s="100">
        <v>7.4227006736974168</v>
      </c>
      <c r="CO63" s="100">
        <v>5905.5006559936646</v>
      </c>
      <c r="CP63" s="100">
        <v>12</v>
      </c>
      <c r="CQ63" s="100">
        <v>9547.2000000000007</v>
      </c>
      <c r="CR63" s="100">
        <v>13</v>
      </c>
      <c r="CS63" s="100">
        <v>10342.800000000001</v>
      </c>
      <c r="CT63" s="100">
        <v>16</v>
      </c>
      <c r="CU63" s="100">
        <v>12729.6</v>
      </c>
    </row>
    <row r="64" spans="2:99">
      <c r="C64" s="99" t="s">
        <v>230</v>
      </c>
      <c r="D64" s="100">
        <v>14</v>
      </c>
      <c r="E64" s="100">
        <v>14128.799999999997</v>
      </c>
      <c r="F64" s="100">
        <v>13</v>
      </c>
      <c r="G64" s="100">
        <v>13119.599999999999</v>
      </c>
      <c r="H64" s="100">
        <v>11</v>
      </c>
      <c r="I64" s="100">
        <v>11101.199999999997</v>
      </c>
      <c r="J64" s="100">
        <v>15</v>
      </c>
      <c r="K64" s="100">
        <v>15137.999999999996</v>
      </c>
      <c r="L64" s="100">
        <v>9</v>
      </c>
      <c r="M64" s="100">
        <v>9082.7999999999993</v>
      </c>
      <c r="N64" s="100">
        <v>17</v>
      </c>
      <c r="O64" s="100">
        <v>17156.399999999998</v>
      </c>
      <c r="P64" s="100">
        <v>11</v>
      </c>
      <c r="Q64" s="100">
        <v>11101.199999999997</v>
      </c>
      <c r="R64" s="100">
        <v>14</v>
      </c>
      <c r="S64" s="100">
        <v>14128.799999999997</v>
      </c>
      <c r="T64" s="100">
        <v>16</v>
      </c>
      <c r="U64" s="100">
        <v>16147.199999999997</v>
      </c>
      <c r="V64" s="100">
        <v>14</v>
      </c>
      <c r="W64" s="100">
        <v>14128.799999999997</v>
      </c>
      <c r="X64" s="100">
        <v>9</v>
      </c>
      <c r="Y64" s="100">
        <v>9082.7999999999993</v>
      </c>
      <c r="Z64" s="100">
        <v>12</v>
      </c>
      <c r="AA64" s="100">
        <v>12110.399999999998</v>
      </c>
      <c r="AB64" s="100">
        <v>9</v>
      </c>
      <c r="AC64" s="100">
        <v>9082.7999999999993</v>
      </c>
      <c r="AD64" s="100">
        <v>16</v>
      </c>
      <c r="AE64" s="100">
        <v>16147.199999999997</v>
      </c>
      <c r="AF64" s="100">
        <v>13</v>
      </c>
      <c r="AG64" s="100">
        <v>13119.599999999999</v>
      </c>
      <c r="AH64" s="100">
        <v>9</v>
      </c>
      <c r="AI64" s="100">
        <v>9082.7999999999993</v>
      </c>
      <c r="AJ64" s="100">
        <v>8</v>
      </c>
      <c r="AK64" s="100">
        <v>8073.5999999999985</v>
      </c>
      <c r="AL64" s="100">
        <v>13</v>
      </c>
      <c r="AM64" s="100">
        <v>13119.599999999999</v>
      </c>
      <c r="AN64" s="100">
        <v>11</v>
      </c>
      <c r="AO64" s="100">
        <v>11101.199999999997</v>
      </c>
      <c r="AP64" s="100">
        <v>13</v>
      </c>
      <c r="AQ64" s="100">
        <v>13119.599999999999</v>
      </c>
      <c r="AR64" s="100">
        <v>10</v>
      </c>
      <c r="AS64" s="100">
        <v>10091.999999999998</v>
      </c>
      <c r="AT64" s="100">
        <v>9</v>
      </c>
      <c r="AU64" s="100">
        <v>9082.7999999999993</v>
      </c>
      <c r="AV64" s="100">
        <v>11</v>
      </c>
      <c r="AW64" s="100">
        <v>11101.199999999997</v>
      </c>
      <c r="AX64" s="100">
        <v>11</v>
      </c>
      <c r="AY64" s="100">
        <v>11101.199999999997</v>
      </c>
      <c r="AZ64" s="100">
        <v>14</v>
      </c>
      <c r="BA64" s="100">
        <v>14128.799999999997</v>
      </c>
      <c r="BB64" s="100">
        <v>15</v>
      </c>
      <c r="BC64" s="100">
        <v>15137.999999999996</v>
      </c>
      <c r="BD64" s="100">
        <v>17.455010666977529</v>
      </c>
      <c r="BE64" s="100">
        <v>17615.596765113718</v>
      </c>
      <c r="BF64" s="100">
        <v>13.475174052450035</v>
      </c>
      <c r="BG64" s="100">
        <v>13599.145653732572</v>
      </c>
      <c r="BH64" s="100">
        <v>12</v>
      </c>
      <c r="BI64" s="100">
        <v>12110.399999999998</v>
      </c>
      <c r="BJ64" s="100">
        <v>9</v>
      </c>
      <c r="BK64" s="100">
        <v>9082.7999999999993</v>
      </c>
      <c r="BL64" s="100">
        <v>13.314454354592378</v>
      </c>
      <c r="BM64" s="100">
        <v>13436.947334654626</v>
      </c>
      <c r="BN64" s="100">
        <v>8.1539138308867862</v>
      </c>
      <c r="BO64" s="100">
        <v>8228.9298381309436</v>
      </c>
      <c r="BP64" s="100">
        <v>10.568525497815054</v>
      </c>
      <c r="BQ64" s="100">
        <v>10665.75593239495</v>
      </c>
      <c r="BR64" s="100">
        <v>12.150134988468995</v>
      </c>
      <c r="BS64" s="100">
        <v>12261.916230362907</v>
      </c>
      <c r="BT64" s="100">
        <v>14.689252234123698</v>
      </c>
      <c r="BU64" s="100">
        <v>14824.393354677633</v>
      </c>
      <c r="BV64" s="100">
        <v>14.349300760148983</v>
      </c>
      <c r="BW64" s="100">
        <v>14481.314327142351</v>
      </c>
      <c r="BX64" s="100">
        <v>7.5622308000248015</v>
      </c>
      <c r="BY64" s="100">
        <v>7631.8033233850283</v>
      </c>
      <c r="BZ64" s="100">
        <v>7.6972214408995612</v>
      </c>
      <c r="CA64" s="100">
        <v>7768.0358781558361</v>
      </c>
      <c r="CB64" s="100">
        <v>13.42048295689991</v>
      </c>
      <c r="CC64" s="100">
        <v>13543.951400103388</v>
      </c>
      <c r="CD64" s="100">
        <v>10.891063614298067</v>
      </c>
      <c r="CE64" s="100">
        <v>10991.261399549609</v>
      </c>
      <c r="CF64" s="100">
        <v>10</v>
      </c>
      <c r="CG64" s="100">
        <v>10091.999999999998</v>
      </c>
      <c r="CH64" s="100">
        <v>13</v>
      </c>
      <c r="CI64" s="100">
        <v>13119.599999999999</v>
      </c>
      <c r="CJ64" s="100">
        <v>11</v>
      </c>
      <c r="CK64" s="100">
        <v>11101.199999999997</v>
      </c>
      <c r="CL64" s="100">
        <v>10</v>
      </c>
      <c r="CM64" s="100">
        <v>10091.999999999998</v>
      </c>
      <c r="CN64" s="100">
        <v>8.3505382579095944</v>
      </c>
      <c r="CO64" s="100">
        <v>8427.3632098823618</v>
      </c>
      <c r="CP64" s="100">
        <v>12</v>
      </c>
      <c r="CQ64" s="100">
        <v>12110.399999999998</v>
      </c>
      <c r="CR64" s="100">
        <v>14</v>
      </c>
      <c r="CS64" s="100">
        <v>14128.799999999997</v>
      </c>
      <c r="CT64" s="100">
        <v>14</v>
      </c>
      <c r="CU64" s="100">
        <v>14128.799999999997</v>
      </c>
    </row>
    <row r="65" spans="2:99">
      <c r="C65" s="99" t="s">
        <v>231</v>
      </c>
      <c r="D65" s="100">
        <v>16</v>
      </c>
      <c r="E65" s="100">
        <v>16416</v>
      </c>
      <c r="F65" s="100">
        <v>15</v>
      </c>
      <c r="G65" s="100">
        <v>15390</v>
      </c>
      <c r="H65" s="100">
        <v>10</v>
      </c>
      <c r="I65" s="100">
        <v>10260</v>
      </c>
      <c r="J65" s="100">
        <v>15</v>
      </c>
      <c r="K65" s="100">
        <v>15390</v>
      </c>
      <c r="L65" s="100">
        <v>9</v>
      </c>
      <c r="M65" s="100">
        <v>9234</v>
      </c>
      <c r="N65" s="100">
        <v>17</v>
      </c>
      <c r="O65" s="100">
        <v>17442</v>
      </c>
      <c r="P65" s="100">
        <v>10</v>
      </c>
      <c r="Q65" s="100">
        <v>10260</v>
      </c>
      <c r="R65" s="100">
        <v>16</v>
      </c>
      <c r="S65" s="100">
        <v>16416</v>
      </c>
      <c r="T65" s="100">
        <v>16</v>
      </c>
      <c r="U65" s="100">
        <v>16416</v>
      </c>
      <c r="V65" s="100">
        <v>12</v>
      </c>
      <c r="W65" s="100">
        <v>12312</v>
      </c>
      <c r="X65" s="100">
        <v>9</v>
      </c>
      <c r="Y65" s="100">
        <v>9234</v>
      </c>
      <c r="Z65" s="100">
        <v>11</v>
      </c>
      <c r="AA65" s="100">
        <v>11286</v>
      </c>
      <c r="AB65" s="100">
        <v>9</v>
      </c>
      <c r="AC65" s="100">
        <v>9234</v>
      </c>
      <c r="AD65" s="100">
        <v>17</v>
      </c>
      <c r="AE65" s="100">
        <v>17442</v>
      </c>
      <c r="AF65" s="100">
        <v>14</v>
      </c>
      <c r="AG65" s="100">
        <v>14364</v>
      </c>
      <c r="AH65" s="100">
        <v>9</v>
      </c>
      <c r="AI65" s="100">
        <v>9234</v>
      </c>
      <c r="AJ65" s="100">
        <v>10</v>
      </c>
      <c r="AK65" s="100">
        <v>10260</v>
      </c>
      <c r="AL65" s="100">
        <v>15</v>
      </c>
      <c r="AM65" s="100">
        <v>15390</v>
      </c>
      <c r="AN65" s="100">
        <v>12</v>
      </c>
      <c r="AO65" s="100">
        <v>12312</v>
      </c>
      <c r="AP65" s="100">
        <v>12</v>
      </c>
      <c r="AQ65" s="100">
        <v>12312</v>
      </c>
      <c r="AR65" s="100">
        <v>10</v>
      </c>
      <c r="AS65" s="100">
        <v>10260</v>
      </c>
      <c r="AT65" s="100">
        <v>10</v>
      </c>
      <c r="AU65" s="100">
        <v>10260</v>
      </c>
      <c r="AV65" s="100">
        <v>12</v>
      </c>
      <c r="AW65" s="100">
        <v>12312</v>
      </c>
      <c r="AX65" s="100">
        <v>11</v>
      </c>
      <c r="AY65" s="100">
        <v>11286</v>
      </c>
      <c r="AZ65" s="100">
        <v>14</v>
      </c>
      <c r="BA65" s="100">
        <v>14364</v>
      </c>
      <c r="BB65" s="100">
        <v>13</v>
      </c>
      <c r="BC65" s="100">
        <v>13338</v>
      </c>
      <c r="BD65" s="100">
        <v>17.455010666977529</v>
      </c>
      <c r="BE65" s="100">
        <v>17908.840944318945</v>
      </c>
      <c r="BF65" s="100">
        <v>13.475174052450035</v>
      </c>
      <c r="BG65" s="100">
        <v>13825.528577813735</v>
      </c>
      <c r="BH65" s="100">
        <v>14</v>
      </c>
      <c r="BI65" s="100">
        <v>14364</v>
      </c>
      <c r="BJ65" s="100">
        <v>10</v>
      </c>
      <c r="BK65" s="100">
        <v>10260</v>
      </c>
      <c r="BL65" s="100">
        <v>12.426824064286219</v>
      </c>
      <c r="BM65" s="100">
        <v>12749.92148995766</v>
      </c>
      <c r="BN65" s="100">
        <v>9.0599042565408752</v>
      </c>
      <c r="BO65" s="100">
        <v>9295.461767210938</v>
      </c>
      <c r="BP65" s="100">
        <v>11.529300543070969</v>
      </c>
      <c r="BQ65" s="100">
        <v>11829.062357190815</v>
      </c>
      <c r="BR65" s="100">
        <v>11.215509220125226</v>
      </c>
      <c r="BS65" s="100">
        <v>11507.112459848482</v>
      </c>
      <c r="BT65" s="100">
        <v>12.961104912462087</v>
      </c>
      <c r="BU65" s="100">
        <v>13298.093640186102</v>
      </c>
      <c r="BV65" s="100">
        <v>15.246132057658295</v>
      </c>
      <c r="BW65" s="100">
        <v>15642.531491157411</v>
      </c>
      <c r="BX65" s="100">
        <v>7.5622308000248015</v>
      </c>
      <c r="BY65" s="100">
        <v>7758.8488008254462</v>
      </c>
      <c r="BZ65" s="100">
        <v>7.6972214408995612</v>
      </c>
      <c r="CA65" s="100">
        <v>7897.3491983629501</v>
      </c>
      <c r="CB65" s="100">
        <v>11.929318183911031</v>
      </c>
      <c r="CC65" s="100">
        <v>12239.480456692718</v>
      </c>
      <c r="CD65" s="100">
        <v>10.053289490121292</v>
      </c>
      <c r="CE65" s="100">
        <v>10314.675016864447</v>
      </c>
      <c r="CF65" s="100">
        <v>10</v>
      </c>
      <c r="CG65" s="100">
        <v>10260</v>
      </c>
      <c r="CH65" s="100">
        <v>13</v>
      </c>
      <c r="CI65" s="100">
        <v>13338</v>
      </c>
      <c r="CJ65" s="100">
        <v>12</v>
      </c>
      <c r="CK65" s="100">
        <v>12312</v>
      </c>
      <c r="CL65" s="100">
        <v>11</v>
      </c>
      <c r="CM65" s="100">
        <v>11286</v>
      </c>
      <c r="CN65" s="100">
        <v>8.3505382579095944</v>
      </c>
      <c r="CO65" s="100">
        <v>8567.6522526152439</v>
      </c>
      <c r="CP65" s="100">
        <v>13</v>
      </c>
      <c r="CQ65" s="100">
        <v>13338</v>
      </c>
      <c r="CR65" s="100">
        <v>13</v>
      </c>
      <c r="CS65" s="100">
        <v>13338</v>
      </c>
      <c r="CT65" s="100">
        <v>15</v>
      </c>
      <c r="CU65" s="100">
        <v>15390</v>
      </c>
    </row>
    <row r="66" spans="2:99">
      <c r="C66" s="99" t="s">
        <v>232</v>
      </c>
      <c r="D66" s="100">
        <v>16</v>
      </c>
      <c r="E66" s="100">
        <v>19046.399999999998</v>
      </c>
      <c r="F66" s="100">
        <v>14</v>
      </c>
      <c r="G66" s="100">
        <v>16665.599999999999</v>
      </c>
      <c r="H66" s="100">
        <v>9</v>
      </c>
      <c r="I66" s="100">
        <v>10713.599999999999</v>
      </c>
      <c r="J66" s="100">
        <v>16</v>
      </c>
      <c r="K66" s="100">
        <v>19046.399999999998</v>
      </c>
      <c r="L66" s="100">
        <v>10</v>
      </c>
      <c r="M66" s="100">
        <v>11903.999999999998</v>
      </c>
      <c r="N66" s="100">
        <v>14</v>
      </c>
      <c r="O66" s="100">
        <v>16665.599999999999</v>
      </c>
      <c r="P66" s="100">
        <v>11</v>
      </c>
      <c r="Q66" s="100">
        <v>13094.399999999998</v>
      </c>
      <c r="R66" s="100">
        <v>15</v>
      </c>
      <c r="S66" s="100">
        <v>17855.999999999996</v>
      </c>
      <c r="T66" s="100">
        <v>15</v>
      </c>
      <c r="U66" s="100">
        <v>17855.999999999996</v>
      </c>
      <c r="V66" s="100">
        <v>14</v>
      </c>
      <c r="W66" s="100">
        <v>16665.599999999999</v>
      </c>
      <c r="X66" s="100">
        <v>9</v>
      </c>
      <c r="Y66" s="100">
        <v>10713.599999999999</v>
      </c>
      <c r="Z66" s="100">
        <v>12</v>
      </c>
      <c r="AA66" s="100">
        <v>14284.8</v>
      </c>
      <c r="AB66" s="100">
        <v>9</v>
      </c>
      <c r="AC66" s="100">
        <v>10713.599999999999</v>
      </c>
      <c r="AD66" s="100">
        <v>14</v>
      </c>
      <c r="AE66" s="100">
        <v>16665.599999999999</v>
      </c>
      <c r="AF66" s="100">
        <v>13</v>
      </c>
      <c r="AG66" s="100">
        <v>15475.199999999999</v>
      </c>
      <c r="AH66" s="100">
        <v>9</v>
      </c>
      <c r="AI66" s="100">
        <v>10713.599999999999</v>
      </c>
      <c r="AJ66" s="100">
        <v>10</v>
      </c>
      <c r="AK66" s="100">
        <v>11903.999999999998</v>
      </c>
      <c r="AL66" s="100">
        <v>15</v>
      </c>
      <c r="AM66" s="100">
        <v>17855.999999999996</v>
      </c>
      <c r="AN66" s="100">
        <v>12</v>
      </c>
      <c r="AO66" s="100">
        <v>14284.8</v>
      </c>
      <c r="AP66" s="100">
        <v>12</v>
      </c>
      <c r="AQ66" s="100">
        <v>14284.8</v>
      </c>
      <c r="AR66" s="100">
        <v>9</v>
      </c>
      <c r="AS66" s="100">
        <v>10713.599999999999</v>
      </c>
      <c r="AT66" s="100">
        <v>9</v>
      </c>
      <c r="AU66" s="100">
        <v>10713.599999999999</v>
      </c>
      <c r="AV66" s="100">
        <v>12</v>
      </c>
      <c r="AW66" s="100">
        <v>14284.8</v>
      </c>
      <c r="AX66" s="100">
        <v>11</v>
      </c>
      <c r="AY66" s="100">
        <v>13094.399999999998</v>
      </c>
      <c r="AZ66" s="100">
        <v>14</v>
      </c>
      <c r="BA66" s="100">
        <v>16665.599999999999</v>
      </c>
      <c r="BB66" s="100">
        <v>13</v>
      </c>
      <c r="BC66" s="100">
        <v>15475.199999999999</v>
      </c>
      <c r="BD66" s="100">
        <v>14.545842222481276</v>
      </c>
      <c r="BE66" s="100">
        <v>17315.37058164171</v>
      </c>
      <c r="BF66" s="100">
        <v>13.475174052450035</v>
      </c>
      <c r="BG66" s="100">
        <v>16040.847192036519</v>
      </c>
      <c r="BH66" s="100">
        <v>13</v>
      </c>
      <c r="BI66" s="100">
        <v>15475.199999999999</v>
      </c>
      <c r="BJ66" s="100">
        <v>10</v>
      </c>
      <c r="BK66" s="100">
        <v>11903.999999999998</v>
      </c>
      <c r="BL66" s="100">
        <v>14.202084644898536</v>
      </c>
      <c r="BM66" s="100">
        <v>16906.161561287216</v>
      </c>
      <c r="BN66" s="100">
        <v>9.0599042565408752</v>
      </c>
      <c r="BO66" s="100">
        <v>10784.910026986257</v>
      </c>
      <c r="BP66" s="100">
        <v>10.568525497815054</v>
      </c>
      <c r="BQ66" s="100">
        <v>12580.772752599039</v>
      </c>
      <c r="BR66" s="100">
        <v>12.150134988468995</v>
      </c>
      <c r="BS66" s="100">
        <v>14463.52069027349</v>
      </c>
      <c r="BT66" s="100">
        <v>14.689252234123698</v>
      </c>
      <c r="BU66" s="100">
        <v>17486.085859500847</v>
      </c>
      <c r="BV66" s="100">
        <v>14.349300760148983</v>
      </c>
      <c r="BW66" s="100">
        <v>17081.407624881347</v>
      </c>
      <c r="BX66" s="100">
        <v>7.5622308000248015</v>
      </c>
      <c r="BY66" s="100">
        <v>9002.0795443495226</v>
      </c>
      <c r="BZ66" s="100">
        <v>6.9974740371814192</v>
      </c>
      <c r="CA66" s="100">
        <v>8329.7930938607606</v>
      </c>
      <c r="CB66" s="100">
        <v>11.18373579741659</v>
      </c>
      <c r="CC66" s="100">
        <v>13313.119093244708</v>
      </c>
      <c r="CD66" s="100">
        <v>10.053289490121292</v>
      </c>
      <c r="CE66" s="100">
        <v>11967.435809040386</v>
      </c>
      <c r="CF66" s="100">
        <v>9</v>
      </c>
      <c r="CG66" s="100">
        <v>10713.599999999999</v>
      </c>
      <c r="CH66" s="100">
        <v>13</v>
      </c>
      <c r="CI66" s="100">
        <v>15475.199999999999</v>
      </c>
      <c r="CJ66" s="100">
        <v>12</v>
      </c>
      <c r="CK66" s="100">
        <v>14284.8</v>
      </c>
      <c r="CL66" s="100">
        <v>10</v>
      </c>
      <c r="CM66" s="100">
        <v>11903.999999999998</v>
      </c>
      <c r="CN66" s="100">
        <v>8.3505382579095944</v>
      </c>
      <c r="CO66" s="100">
        <v>9940.4807422155791</v>
      </c>
      <c r="CP66" s="100">
        <v>11</v>
      </c>
      <c r="CQ66" s="100">
        <v>13094.399999999998</v>
      </c>
      <c r="CR66" s="100">
        <v>12</v>
      </c>
      <c r="CS66" s="100">
        <v>14284.8</v>
      </c>
      <c r="CT66" s="100">
        <v>15</v>
      </c>
      <c r="CU66" s="100">
        <v>17855.999999999996</v>
      </c>
    </row>
    <row r="67" spans="2:99">
      <c r="C67" s="99" t="s">
        <v>233</v>
      </c>
      <c r="D67" s="100">
        <v>13</v>
      </c>
      <c r="E67" s="100">
        <v>14601.6</v>
      </c>
      <c r="F67" s="100">
        <v>15</v>
      </c>
      <c r="G67" s="100">
        <v>16848</v>
      </c>
      <c r="H67" s="100">
        <v>10</v>
      </c>
      <c r="I67" s="100">
        <v>11232</v>
      </c>
      <c r="J67" s="100">
        <v>15</v>
      </c>
      <c r="K67" s="100">
        <v>16848</v>
      </c>
      <c r="L67" s="100">
        <v>10</v>
      </c>
      <c r="M67" s="100">
        <v>11232</v>
      </c>
      <c r="N67" s="100">
        <v>15</v>
      </c>
      <c r="O67" s="100">
        <v>16848</v>
      </c>
      <c r="P67" s="100">
        <v>11</v>
      </c>
      <c r="Q67" s="100">
        <v>12355.2</v>
      </c>
      <c r="R67" s="100">
        <v>16</v>
      </c>
      <c r="S67" s="100">
        <v>17971.2</v>
      </c>
      <c r="T67" s="100">
        <v>18</v>
      </c>
      <c r="U67" s="100">
        <v>20217.600000000002</v>
      </c>
      <c r="V67" s="100">
        <v>14</v>
      </c>
      <c r="W67" s="100">
        <v>15724.800000000001</v>
      </c>
      <c r="X67" s="100">
        <v>8</v>
      </c>
      <c r="Y67" s="100">
        <v>8985.6</v>
      </c>
      <c r="Z67" s="100">
        <v>11</v>
      </c>
      <c r="AA67" s="100">
        <v>12355.2</v>
      </c>
      <c r="AB67" s="100">
        <v>9</v>
      </c>
      <c r="AC67" s="100">
        <v>10108.800000000001</v>
      </c>
      <c r="AD67" s="100">
        <v>16</v>
      </c>
      <c r="AE67" s="100">
        <v>17971.2</v>
      </c>
      <c r="AF67" s="100">
        <v>14</v>
      </c>
      <c r="AG67" s="100">
        <v>15724.800000000001</v>
      </c>
      <c r="AH67" s="100">
        <v>8</v>
      </c>
      <c r="AI67" s="100">
        <v>8985.6</v>
      </c>
      <c r="AJ67" s="100">
        <v>9</v>
      </c>
      <c r="AK67" s="100">
        <v>10108.800000000001</v>
      </c>
      <c r="AL67" s="100">
        <v>14</v>
      </c>
      <c r="AM67" s="100">
        <v>15724.800000000001</v>
      </c>
      <c r="AN67" s="100">
        <v>11</v>
      </c>
      <c r="AO67" s="100">
        <v>12355.2</v>
      </c>
      <c r="AP67" s="100">
        <v>11</v>
      </c>
      <c r="AQ67" s="100">
        <v>12355.2</v>
      </c>
      <c r="AR67" s="100">
        <v>10</v>
      </c>
      <c r="AS67" s="100">
        <v>11232</v>
      </c>
      <c r="AT67" s="100">
        <v>9</v>
      </c>
      <c r="AU67" s="100">
        <v>10108.800000000001</v>
      </c>
      <c r="AV67" s="100">
        <v>12</v>
      </c>
      <c r="AW67" s="100">
        <v>13478.400000000001</v>
      </c>
      <c r="AX67" s="100">
        <v>11</v>
      </c>
      <c r="AY67" s="100">
        <v>12355.2</v>
      </c>
      <c r="AZ67" s="100">
        <v>14</v>
      </c>
      <c r="BA67" s="100">
        <v>15724.800000000001</v>
      </c>
      <c r="BB67" s="100">
        <v>14</v>
      </c>
      <c r="BC67" s="100">
        <v>15724.800000000001</v>
      </c>
      <c r="BD67" s="100">
        <v>17.455010666977529</v>
      </c>
      <c r="BE67" s="100">
        <v>19605.467981149162</v>
      </c>
      <c r="BF67" s="100">
        <v>12.632975674171909</v>
      </c>
      <c r="BG67" s="100">
        <v>14189.358277229889</v>
      </c>
      <c r="BH67" s="100">
        <v>13</v>
      </c>
      <c r="BI67" s="100">
        <v>14601.6</v>
      </c>
      <c r="BJ67" s="100">
        <v>9</v>
      </c>
      <c r="BK67" s="100">
        <v>10108.800000000001</v>
      </c>
      <c r="BL67" s="100">
        <v>12.426824064286219</v>
      </c>
      <c r="BM67" s="100">
        <v>13957.808789006282</v>
      </c>
      <c r="BN67" s="100">
        <v>8.1539138308867862</v>
      </c>
      <c r="BO67" s="100">
        <v>9158.4760148520381</v>
      </c>
      <c r="BP67" s="100">
        <v>9.6077504525591397</v>
      </c>
      <c r="BQ67" s="100">
        <v>10791.425308314427</v>
      </c>
      <c r="BR67" s="100">
        <v>11.215509220125226</v>
      </c>
      <c r="BS67" s="100">
        <v>12597.259956044654</v>
      </c>
      <c r="BT67" s="100">
        <v>13.825178573292893</v>
      </c>
      <c r="BU67" s="100">
        <v>15528.440573522579</v>
      </c>
      <c r="BV67" s="100">
        <v>15.246132057658295</v>
      </c>
      <c r="BW67" s="100">
        <v>17124.455527161797</v>
      </c>
      <c r="BX67" s="100">
        <v>7.5622308000248015</v>
      </c>
      <c r="BY67" s="100">
        <v>8493.8976345878582</v>
      </c>
      <c r="BZ67" s="100">
        <v>6.9974740371814192</v>
      </c>
      <c r="CA67" s="100">
        <v>7859.5628385621703</v>
      </c>
      <c r="CB67" s="100">
        <v>11.18373579741659</v>
      </c>
      <c r="CC67" s="100">
        <v>12561.572047658314</v>
      </c>
      <c r="CD67" s="100">
        <v>9.215515365944519</v>
      </c>
      <c r="CE67" s="100">
        <v>10350.866859028883</v>
      </c>
      <c r="CF67" s="100">
        <v>9</v>
      </c>
      <c r="CG67" s="100">
        <v>10108.800000000001</v>
      </c>
      <c r="CH67" s="100">
        <v>12</v>
      </c>
      <c r="CI67" s="100">
        <v>13478.400000000001</v>
      </c>
      <c r="CJ67" s="100">
        <v>11</v>
      </c>
      <c r="CK67" s="100">
        <v>12355.2</v>
      </c>
      <c r="CL67" s="100">
        <v>11</v>
      </c>
      <c r="CM67" s="100">
        <v>12355.2</v>
      </c>
      <c r="CN67" s="100">
        <v>8.3505382579095944</v>
      </c>
      <c r="CO67" s="100">
        <v>9379.3245712840562</v>
      </c>
      <c r="CP67" s="100">
        <v>11</v>
      </c>
      <c r="CQ67" s="100">
        <v>12355.2</v>
      </c>
      <c r="CR67" s="100">
        <v>14</v>
      </c>
      <c r="CS67" s="100">
        <v>15724.800000000001</v>
      </c>
      <c r="CT67" s="100">
        <v>14</v>
      </c>
      <c r="CU67" s="100">
        <v>15724.800000000001</v>
      </c>
    </row>
    <row r="68" spans="2:99">
      <c r="C68" s="99" t="s">
        <v>234</v>
      </c>
      <c r="D68" s="100">
        <v>14</v>
      </c>
      <c r="E68" s="100">
        <v>14464.800000000001</v>
      </c>
      <c r="F68" s="100">
        <v>16</v>
      </c>
      <c r="G68" s="100">
        <v>16531.2</v>
      </c>
      <c r="H68" s="100">
        <v>11</v>
      </c>
      <c r="I68" s="100">
        <v>11365.2</v>
      </c>
      <c r="J68" s="100">
        <v>18</v>
      </c>
      <c r="K68" s="100">
        <v>18597.600000000002</v>
      </c>
      <c r="L68" s="100">
        <v>10</v>
      </c>
      <c r="M68" s="100">
        <v>10332</v>
      </c>
      <c r="N68" s="100">
        <v>14</v>
      </c>
      <c r="O68" s="100">
        <v>14464.800000000001</v>
      </c>
      <c r="P68" s="100">
        <v>11</v>
      </c>
      <c r="Q68" s="100">
        <v>11365.2</v>
      </c>
      <c r="R68" s="100">
        <v>14</v>
      </c>
      <c r="S68" s="100">
        <v>14464.800000000001</v>
      </c>
      <c r="T68" s="100">
        <v>15</v>
      </c>
      <c r="U68" s="100">
        <v>15498</v>
      </c>
      <c r="V68" s="100">
        <v>15</v>
      </c>
      <c r="W68" s="100">
        <v>15498</v>
      </c>
      <c r="X68" s="100">
        <v>8</v>
      </c>
      <c r="Y68" s="100">
        <v>8265.6</v>
      </c>
      <c r="Z68" s="100">
        <v>13</v>
      </c>
      <c r="AA68" s="100">
        <v>13431.6</v>
      </c>
      <c r="AB68" s="100">
        <v>10</v>
      </c>
      <c r="AC68" s="100">
        <v>10332</v>
      </c>
      <c r="AD68" s="100">
        <v>16</v>
      </c>
      <c r="AE68" s="100">
        <v>16531.2</v>
      </c>
      <c r="AF68" s="100">
        <v>13</v>
      </c>
      <c r="AG68" s="100">
        <v>13431.6</v>
      </c>
      <c r="AH68" s="100">
        <v>9</v>
      </c>
      <c r="AI68" s="100">
        <v>9298.8000000000011</v>
      </c>
      <c r="AJ68" s="100">
        <v>9</v>
      </c>
      <c r="AK68" s="100">
        <v>9298.8000000000011</v>
      </c>
      <c r="AL68" s="100">
        <v>13</v>
      </c>
      <c r="AM68" s="100">
        <v>13431.6</v>
      </c>
      <c r="AN68" s="100">
        <v>11</v>
      </c>
      <c r="AO68" s="100">
        <v>11365.2</v>
      </c>
      <c r="AP68" s="100">
        <v>12</v>
      </c>
      <c r="AQ68" s="100">
        <v>12398.400000000001</v>
      </c>
      <c r="AR68" s="100">
        <v>10</v>
      </c>
      <c r="AS68" s="100">
        <v>10332</v>
      </c>
      <c r="AT68" s="100">
        <v>10</v>
      </c>
      <c r="AU68" s="100">
        <v>10332</v>
      </c>
      <c r="AV68" s="100">
        <v>11</v>
      </c>
      <c r="AW68" s="100">
        <v>11365.2</v>
      </c>
      <c r="AX68" s="100">
        <v>12</v>
      </c>
      <c r="AY68" s="100">
        <v>12398.400000000001</v>
      </c>
      <c r="AZ68" s="100">
        <v>13</v>
      </c>
      <c r="BA68" s="100">
        <v>13431.6</v>
      </c>
      <c r="BB68" s="100">
        <v>14</v>
      </c>
      <c r="BC68" s="100">
        <v>14464.800000000001</v>
      </c>
      <c r="BD68" s="100">
        <v>14.545842222481276</v>
      </c>
      <c r="BE68" s="100">
        <v>15028.764184267655</v>
      </c>
      <c r="BF68" s="100">
        <v>14.317372430728163</v>
      </c>
      <c r="BG68" s="100">
        <v>14792.709195428339</v>
      </c>
      <c r="BH68" s="100">
        <v>13</v>
      </c>
      <c r="BI68" s="100">
        <v>13431.6</v>
      </c>
      <c r="BJ68" s="100">
        <v>10</v>
      </c>
      <c r="BK68" s="100">
        <v>10332</v>
      </c>
      <c r="BL68" s="100">
        <v>14.202084644898536</v>
      </c>
      <c r="BM68" s="100">
        <v>14673.593855109168</v>
      </c>
      <c r="BN68" s="100">
        <v>7.2479234052327</v>
      </c>
      <c r="BO68" s="100">
        <v>7488.5544622864263</v>
      </c>
      <c r="BP68" s="100">
        <v>10.568525497815054</v>
      </c>
      <c r="BQ68" s="100">
        <v>10919.400544342514</v>
      </c>
      <c r="BR68" s="100">
        <v>13.084760756812765</v>
      </c>
      <c r="BS68" s="100">
        <v>13519.174813938949</v>
      </c>
      <c r="BT68" s="100">
        <v>13.825178573292893</v>
      </c>
      <c r="BU68" s="100">
        <v>14284.174501926218</v>
      </c>
      <c r="BV68" s="100">
        <v>16.142963355167605</v>
      </c>
      <c r="BW68" s="100">
        <v>16678.90973855917</v>
      </c>
      <c r="BX68" s="100">
        <v>8.4024786666942237</v>
      </c>
      <c r="BY68" s="100">
        <v>8681.4409584284731</v>
      </c>
      <c r="BZ68" s="100">
        <v>8.3969688446177031</v>
      </c>
      <c r="CA68" s="100">
        <v>8675.7482102590111</v>
      </c>
      <c r="CB68" s="100">
        <v>13.42048295689991</v>
      </c>
      <c r="CC68" s="100">
        <v>13866.042991068987</v>
      </c>
      <c r="CD68" s="100">
        <v>10.891063614298067</v>
      </c>
      <c r="CE68" s="100">
        <v>11252.646926292764</v>
      </c>
      <c r="CF68" s="100">
        <v>10</v>
      </c>
      <c r="CG68" s="100">
        <v>10332</v>
      </c>
      <c r="CH68" s="100">
        <v>12</v>
      </c>
      <c r="CI68" s="100">
        <v>12398.400000000001</v>
      </c>
      <c r="CJ68" s="100">
        <v>12</v>
      </c>
      <c r="CK68" s="100">
        <v>12398.400000000001</v>
      </c>
      <c r="CL68" s="100">
        <v>11</v>
      </c>
      <c r="CM68" s="100">
        <v>11365.2</v>
      </c>
      <c r="CN68" s="100">
        <v>8.3505382579095944</v>
      </c>
      <c r="CO68" s="100">
        <v>8627.7761280721934</v>
      </c>
      <c r="CP68" s="100">
        <v>11</v>
      </c>
      <c r="CQ68" s="100">
        <v>11365.2</v>
      </c>
      <c r="CR68" s="100">
        <v>12</v>
      </c>
      <c r="CS68" s="100">
        <v>12398.400000000001</v>
      </c>
      <c r="CT68" s="100">
        <v>15</v>
      </c>
      <c r="CU68" s="100">
        <v>15498</v>
      </c>
    </row>
    <row r="69" spans="2:99">
      <c r="C69" s="99" t="s">
        <v>235</v>
      </c>
      <c r="D69" s="100">
        <v>15</v>
      </c>
      <c r="E69" s="100">
        <v>11376</v>
      </c>
      <c r="F69" s="100">
        <v>14</v>
      </c>
      <c r="G69" s="100">
        <v>10617.6</v>
      </c>
      <c r="H69" s="100">
        <v>11</v>
      </c>
      <c r="I69" s="100">
        <v>8342.4</v>
      </c>
      <c r="J69" s="100">
        <v>17</v>
      </c>
      <c r="K69" s="100">
        <v>12892.8</v>
      </c>
      <c r="L69" s="100">
        <v>10</v>
      </c>
      <c r="M69" s="100">
        <v>7584</v>
      </c>
      <c r="N69" s="100">
        <v>16</v>
      </c>
      <c r="O69" s="100">
        <v>12134.4</v>
      </c>
      <c r="P69" s="100">
        <v>12</v>
      </c>
      <c r="Q69" s="100">
        <v>9100.7999999999993</v>
      </c>
      <c r="R69" s="100">
        <v>16</v>
      </c>
      <c r="S69" s="100">
        <v>12134.4</v>
      </c>
      <c r="T69" s="100">
        <v>17</v>
      </c>
      <c r="U69" s="100">
        <v>12892.8</v>
      </c>
      <c r="V69" s="100">
        <v>14</v>
      </c>
      <c r="W69" s="100">
        <v>10617.6</v>
      </c>
      <c r="X69" s="100">
        <v>10</v>
      </c>
      <c r="Y69" s="100">
        <v>7584</v>
      </c>
      <c r="Z69" s="100">
        <v>13</v>
      </c>
      <c r="AA69" s="100">
        <v>9859.1999999999989</v>
      </c>
      <c r="AB69" s="100">
        <v>9</v>
      </c>
      <c r="AC69" s="100">
        <v>6825.5999999999995</v>
      </c>
      <c r="AD69" s="100">
        <v>16</v>
      </c>
      <c r="AE69" s="100">
        <v>12134.4</v>
      </c>
      <c r="AF69" s="100">
        <v>13</v>
      </c>
      <c r="AG69" s="100">
        <v>9859.1999999999989</v>
      </c>
      <c r="AH69" s="100">
        <v>9</v>
      </c>
      <c r="AI69" s="100">
        <v>6825.5999999999995</v>
      </c>
      <c r="AJ69" s="100">
        <v>10</v>
      </c>
      <c r="AK69" s="100">
        <v>7584</v>
      </c>
      <c r="AL69" s="100">
        <v>15</v>
      </c>
      <c r="AM69" s="100">
        <v>11376</v>
      </c>
      <c r="AN69" s="100">
        <v>11</v>
      </c>
      <c r="AO69" s="100">
        <v>8342.4</v>
      </c>
      <c r="AP69" s="100">
        <v>11</v>
      </c>
      <c r="AQ69" s="100">
        <v>8342.4</v>
      </c>
      <c r="AR69" s="100">
        <v>10</v>
      </c>
      <c r="AS69" s="100">
        <v>7584</v>
      </c>
      <c r="AT69" s="100">
        <v>11</v>
      </c>
      <c r="AU69" s="100">
        <v>8342.4</v>
      </c>
      <c r="AV69" s="100">
        <v>13</v>
      </c>
      <c r="AW69" s="100">
        <v>9859.1999999999989</v>
      </c>
      <c r="AX69" s="100">
        <v>12</v>
      </c>
      <c r="AY69" s="100">
        <v>9100.7999999999993</v>
      </c>
      <c r="AZ69" s="100">
        <v>14</v>
      </c>
      <c r="BA69" s="100">
        <v>10617.6</v>
      </c>
      <c r="BB69" s="100">
        <v>16</v>
      </c>
      <c r="BC69" s="100">
        <v>12134.4</v>
      </c>
      <c r="BD69" s="100">
        <v>16.485287852145444</v>
      </c>
      <c r="BE69" s="100">
        <v>12502.442307067104</v>
      </c>
      <c r="BF69" s="100">
        <v>13.475174052450035</v>
      </c>
      <c r="BG69" s="100">
        <v>10219.572001378107</v>
      </c>
      <c r="BH69" s="100">
        <v>12</v>
      </c>
      <c r="BI69" s="100">
        <v>9100.7999999999993</v>
      </c>
      <c r="BJ69" s="100">
        <v>9</v>
      </c>
      <c r="BK69" s="100">
        <v>6825.5999999999995</v>
      </c>
      <c r="BL69" s="100">
        <v>12.426824064286219</v>
      </c>
      <c r="BM69" s="100">
        <v>9424.5033703546687</v>
      </c>
      <c r="BN69" s="100">
        <v>8.1539138308867862</v>
      </c>
      <c r="BO69" s="100">
        <v>6183.9282493445389</v>
      </c>
      <c r="BP69" s="100">
        <v>10.568525497815054</v>
      </c>
      <c r="BQ69" s="100">
        <v>8015.1697375429367</v>
      </c>
      <c r="BR69" s="100">
        <v>11.215509220125226</v>
      </c>
      <c r="BS69" s="100">
        <v>8505.8421925429702</v>
      </c>
      <c r="BT69" s="100">
        <v>13.825178573292893</v>
      </c>
      <c r="BU69" s="100">
        <v>10485.015429985329</v>
      </c>
      <c r="BV69" s="100">
        <v>16.142963355167605</v>
      </c>
      <c r="BW69" s="100">
        <v>12242.823408559112</v>
      </c>
      <c r="BX69" s="100">
        <v>8.4024786666942237</v>
      </c>
      <c r="BY69" s="100">
        <v>6372.4398208208995</v>
      </c>
      <c r="BZ69" s="100">
        <v>8.3969688446177031</v>
      </c>
      <c r="CA69" s="100">
        <v>6368.2611717580658</v>
      </c>
      <c r="CB69" s="100">
        <v>13.42048295689991</v>
      </c>
      <c r="CC69" s="100">
        <v>10178.094274512892</v>
      </c>
      <c r="CD69" s="100">
        <v>10.053289490121292</v>
      </c>
      <c r="CE69" s="100">
        <v>7624.4147493079881</v>
      </c>
      <c r="CF69" s="100">
        <v>10</v>
      </c>
      <c r="CG69" s="100">
        <v>7584</v>
      </c>
      <c r="CH69" s="100">
        <v>14</v>
      </c>
      <c r="CI69" s="100">
        <v>10617.6</v>
      </c>
      <c r="CJ69" s="100">
        <v>12</v>
      </c>
      <c r="CK69" s="100">
        <v>9100.7999999999993</v>
      </c>
      <c r="CL69" s="100">
        <v>9</v>
      </c>
      <c r="CM69" s="100">
        <v>6825.5999999999995</v>
      </c>
      <c r="CN69" s="100">
        <v>9.2783758421217701</v>
      </c>
      <c r="CO69" s="100">
        <v>7036.7202386651506</v>
      </c>
      <c r="CP69" s="100">
        <v>13</v>
      </c>
      <c r="CQ69" s="100">
        <v>9859.1999999999989</v>
      </c>
      <c r="CR69" s="100">
        <v>15</v>
      </c>
      <c r="CS69" s="100">
        <v>11376</v>
      </c>
      <c r="CT69" s="100">
        <v>16</v>
      </c>
      <c r="CU69" s="100">
        <v>12134.4</v>
      </c>
    </row>
    <row r="70" spans="2:99">
      <c r="C70" s="99" t="s">
        <v>236</v>
      </c>
      <c r="D70" s="100">
        <v>16</v>
      </c>
      <c r="E70" s="100">
        <v>8563.1999999999989</v>
      </c>
      <c r="F70" s="100">
        <v>16</v>
      </c>
      <c r="G70" s="100">
        <v>8563.1999999999989</v>
      </c>
      <c r="H70" s="100">
        <v>11</v>
      </c>
      <c r="I70" s="100">
        <v>5887.1999999999989</v>
      </c>
      <c r="J70" s="100">
        <v>18</v>
      </c>
      <c r="K70" s="100">
        <v>9633.5999999999985</v>
      </c>
      <c r="L70" s="100">
        <v>10</v>
      </c>
      <c r="M70" s="100">
        <v>5351.9999999999991</v>
      </c>
      <c r="N70" s="100">
        <v>17</v>
      </c>
      <c r="O70" s="100">
        <v>9098.4</v>
      </c>
      <c r="P70" s="100">
        <v>11</v>
      </c>
      <c r="Q70" s="100">
        <v>5887.1999999999989</v>
      </c>
      <c r="R70" s="100">
        <v>15</v>
      </c>
      <c r="S70" s="100">
        <v>8027.9999999999991</v>
      </c>
      <c r="T70" s="100">
        <v>17</v>
      </c>
      <c r="U70" s="100">
        <v>9098.4</v>
      </c>
      <c r="V70" s="100">
        <v>15</v>
      </c>
      <c r="W70" s="100">
        <v>8027.9999999999991</v>
      </c>
      <c r="X70" s="100">
        <v>9</v>
      </c>
      <c r="Y70" s="100">
        <v>4816.7999999999993</v>
      </c>
      <c r="Z70" s="100">
        <v>12</v>
      </c>
      <c r="AA70" s="100">
        <v>6422.4</v>
      </c>
      <c r="AB70" s="100">
        <v>9</v>
      </c>
      <c r="AC70" s="100">
        <v>4816.7999999999993</v>
      </c>
      <c r="AD70" s="100">
        <v>17</v>
      </c>
      <c r="AE70" s="100">
        <v>9098.4</v>
      </c>
      <c r="AF70" s="100">
        <v>14</v>
      </c>
      <c r="AG70" s="100">
        <v>7492.7999999999993</v>
      </c>
      <c r="AH70" s="100">
        <v>9</v>
      </c>
      <c r="AI70" s="100">
        <v>4816.7999999999993</v>
      </c>
      <c r="AJ70" s="100">
        <v>11</v>
      </c>
      <c r="AK70" s="100">
        <v>5887.1999999999989</v>
      </c>
      <c r="AL70" s="100">
        <v>14</v>
      </c>
      <c r="AM70" s="100">
        <v>7492.7999999999993</v>
      </c>
      <c r="AN70" s="100">
        <v>13</v>
      </c>
      <c r="AO70" s="100">
        <v>6957.5999999999995</v>
      </c>
      <c r="AP70" s="100">
        <v>12</v>
      </c>
      <c r="AQ70" s="100">
        <v>6422.4</v>
      </c>
      <c r="AR70" s="100">
        <v>9</v>
      </c>
      <c r="AS70" s="100">
        <v>4816.7999999999993</v>
      </c>
      <c r="AT70" s="100">
        <v>10</v>
      </c>
      <c r="AU70" s="100">
        <v>5351.9999999999991</v>
      </c>
      <c r="AV70" s="100">
        <v>13</v>
      </c>
      <c r="AW70" s="100">
        <v>6957.5999999999995</v>
      </c>
      <c r="AX70" s="100">
        <v>12</v>
      </c>
      <c r="AY70" s="100">
        <v>6422.4</v>
      </c>
      <c r="AZ70" s="100">
        <v>14</v>
      </c>
      <c r="BA70" s="100">
        <v>7492.7999999999993</v>
      </c>
      <c r="BB70" s="100">
        <v>16</v>
      </c>
      <c r="BC70" s="100">
        <v>8563.1999999999989</v>
      </c>
      <c r="BD70" s="100">
        <v>15.515565037313362</v>
      </c>
      <c r="BE70" s="100">
        <v>8303.9304079701105</v>
      </c>
      <c r="BF70" s="100">
        <v>15.159570809006288</v>
      </c>
      <c r="BG70" s="100">
        <v>8113.4022969801645</v>
      </c>
      <c r="BH70" s="100">
        <v>13</v>
      </c>
      <c r="BI70" s="100">
        <v>6957.5999999999995</v>
      </c>
      <c r="BJ70" s="100">
        <v>11</v>
      </c>
      <c r="BK70" s="100">
        <v>5887.1999999999989</v>
      </c>
      <c r="BL70" s="100">
        <v>14.202084644898536</v>
      </c>
      <c r="BM70" s="100">
        <v>7600.9557019496951</v>
      </c>
      <c r="BN70" s="100">
        <v>8.1539138308867862</v>
      </c>
      <c r="BO70" s="100">
        <v>4363.9746822906072</v>
      </c>
      <c r="BP70" s="100">
        <v>10.568525497815054</v>
      </c>
      <c r="BQ70" s="100">
        <v>5656.274846430616</v>
      </c>
      <c r="BR70" s="100">
        <v>13.084760756812765</v>
      </c>
      <c r="BS70" s="100">
        <v>7002.9639570461904</v>
      </c>
      <c r="BT70" s="100">
        <v>15.553325894954504</v>
      </c>
      <c r="BU70" s="100">
        <v>8324.1400189796495</v>
      </c>
      <c r="BV70" s="100">
        <v>14.349300760148983</v>
      </c>
      <c r="BW70" s="100">
        <v>7679.7457668317347</v>
      </c>
      <c r="BX70" s="100">
        <v>7.5622308000248015</v>
      </c>
      <c r="BY70" s="100">
        <v>4047.3059241732731</v>
      </c>
      <c r="BZ70" s="100">
        <v>8.3969688446177031</v>
      </c>
      <c r="CA70" s="100">
        <v>4494.0577256393944</v>
      </c>
      <c r="CB70" s="100">
        <v>12.67490057040547</v>
      </c>
      <c r="CC70" s="100">
        <v>6783.6067852810065</v>
      </c>
      <c r="CD70" s="100">
        <v>11.728837738474841</v>
      </c>
      <c r="CE70" s="100">
        <v>6277.2739576317335</v>
      </c>
      <c r="CF70" s="100">
        <v>11</v>
      </c>
      <c r="CG70" s="100">
        <v>5887.1999999999989</v>
      </c>
      <c r="CH70" s="100">
        <v>15</v>
      </c>
      <c r="CI70" s="100">
        <v>8027.9999999999991</v>
      </c>
      <c r="CJ70" s="100">
        <v>12</v>
      </c>
      <c r="CK70" s="100">
        <v>6422.4</v>
      </c>
      <c r="CL70" s="100">
        <v>11</v>
      </c>
      <c r="CM70" s="100">
        <v>5887.1999999999989</v>
      </c>
      <c r="CN70" s="100">
        <v>9.2783758421217701</v>
      </c>
      <c r="CO70" s="100">
        <v>4965.7867507035708</v>
      </c>
      <c r="CP70" s="100">
        <v>13</v>
      </c>
      <c r="CQ70" s="100">
        <v>6957.5999999999995</v>
      </c>
      <c r="CR70" s="100">
        <v>13</v>
      </c>
      <c r="CS70" s="100">
        <v>6957.5999999999995</v>
      </c>
      <c r="CT70" s="100">
        <v>16</v>
      </c>
      <c r="CU70" s="100">
        <v>8563.1999999999989</v>
      </c>
    </row>
    <row r="71" spans="2:99">
      <c r="B71" s="99" t="s">
        <v>130</v>
      </c>
      <c r="C71" s="99" t="s">
        <v>237</v>
      </c>
      <c r="D71" s="100">
        <v>4.9382716049382713</v>
      </c>
      <c r="E71" s="100">
        <v>2785.1851851851852</v>
      </c>
      <c r="F71" s="100">
        <v>4.3478260869565215</v>
      </c>
      <c r="G71" s="100">
        <v>2452.173913043478</v>
      </c>
      <c r="H71" s="100">
        <v>5.0632911392405067</v>
      </c>
      <c r="I71" s="100">
        <v>2855.6962025316457</v>
      </c>
      <c r="J71" s="100">
        <v>4.6783625730994149</v>
      </c>
      <c r="K71" s="100">
        <v>2638.5964912280701</v>
      </c>
      <c r="L71" s="100">
        <v>9.6969696969696972</v>
      </c>
      <c r="M71" s="100">
        <v>5469.090909090909</v>
      </c>
      <c r="N71" s="100">
        <v>7</v>
      </c>
      <c r="O71" s="100">
        <v>3948</v>
      </c>
      <c r="P71" s="100">
        <v>8.6315789473684212</v>
      </c>
      <c r="Q71" s="100">
        <v>4868.2105263157891</v>
      </c>
      <c r="R71" s="100">
        <v>9.0395480225988702</v>
      </c>
      <c r="S71" s="100">
        <v>5098.3050847457625</v>
      </c>
      <c r="T71" s="100">
        <v>8.6486486486486491</v>
      </c>
      <c r="U71" s="100">
        <v>4877.8378378378384</v>
      </c>
      <c r="V71" s="100">
        <v>8</v>
      </c>
      <c r="W71" s="100">
        <v>4512</v>
      </c>
      <c r="X71" s="100">
        <v>7</v>
      </c>
      <c r="Y71" s="100">
        <v>3948</v>
      </c>
      <c r="Z71" s="100">
        <v>9</v>
      </c>
      <c r="AA71" s="100">
        <v>5076</v>
      </c>
      <c r="AB71" s="100">
        <v>9</v>
      </c>
      <c r="AC71" s="100">
        <v>5076</v>
      </c>
      <c r="AD71" s="100">
        <v>6</v>
      </c>
      <c r="AE71" s="100">
        <v>3384</v>
      </c>
      <c r="AF71" s="100">
        <v>7</v>
      </c>
      <c r="AG71" s="100">
        <v>3948</v>
      </c>
      <c r="AH71" s="100">
        <v>6</v>
      </c>
      <c r="AI71" s="100">
        <v>3384</v>
      </c>
      <c r="AJ71" s="100">
        <v>7</v>
      </c>
      <c r="AK71" s="100">
        <v>3948</v>
      </c>
      <c r="AL71" s="100">
        <v>7</v>
      </c>
      <c r="AM71" s="100">
        <v>3948</v>
      </c>
      <c r="AN71" s="100">
        <v>6</v>
      </c>
      <c r="AO71" s="100">
        <v>3384</v>
      </c>
      <c r="AP71" s="100">
        <v>7</v>
      </c>
      <c r="AQ71" s="100">
        <v>3948</v>
      </c>
      <c r="AR71" s="100">
        <v>7</v>
      </c>
      <c r="AS71" s="100">
        <v>3948</v>
      </c>
      <c r="AT71" s="100">
        <v>9</v>
      </c>
      <c r="AU71" s="100">
        <v>5076</v>
      </c>
      <c r="AV71" s="100">
        <v>8</v>
      </c>
      <c r="AW71" s="100">
        <v>4512</v>
      </c>
      <c r="AX71" s="100">
        <v>7</v>
      </c>
      <c r="AY71" s="100">
        <v>3948</v>
      </c>
      <c r="AZ71" s="100">
        <v>6</v>
      </c>
      <c r="BA71" s="100">
        <v>3384</v>
      </c>
      <c r="BB71" s="100">
        <v>7</v>
      </c>
      <c r="BC71" s="100">
        <v>3948</v>
      </c>
      <c r="BD71" s="100">
        <v>8</v>
      </c>
      <c r="BE71" s="100">
        <v>4512</v>
      </c>
      <c r="BF71" s="100">
        <v>9</v>
      </c>
      <c r="BG71" s="100">
        <v>5076</v>
      </c>
      <c r="BH71" s="100">
        <v>6</v>
      </c>
      <c r="BI71" s="100">
        <v>3384</v>
      </c>
      <c r="BJ71" s="100">
        <v>8</v>
      </c>
      <c r="BK71" s="100">
        <v>4512</v>
      </c>
      <c r="BL71" s="100">
        <v>9</v>
      </c>
      <c r="BM71" s="100">
        <v>5076</v>
      </c>
      <c r="BN71" s="100">
        <v>7</v>
      </c>
      <c r="BO71" s="100">
        <v>3948</v>
      </c>
      <c r="BP71" s="100">
        <v>8</v>
      </c>
      <c r="BQ71" s="100">
        <v>4512</v>
      </c>
      <c r="BR71" s="100">
        <v>7</v>
      </c>
      <c r="BS71" s="100">
        <v>3948</v>
      </c>
      <c r="BT71" s="100">
        <v>7.3224043715846996</v>
      </c>
      <c r="BU71" s="100">
        <v>4129.8360655737706</v>
      </c>
      <c r="BV71" s="100">
        <v>6.3087793367221035E-23</v>
      </c>
      <c r="BW71" s="100">
        <v>3.5581515459112665E-20</v>
      </c>
      <c r="BX71" s="100">
        <v>9</v>
      </c>
      <c r="BY71" s="100">
        <v>5076</v>
      </c>
      <c r="BZ71" s="100">
        <v>8</v>
      </c>
      <c r="CA71" s="100">
        <v>4512</v>
      </c>
      <c r="CB71" s="100">
        <v>6</v>
      </c>
      <c r="CC71" s="100">
        <v>3384</v>
      </c>
      <c r="CD71" s="100">
        <v>7</v>
      </c>
      <c r="CE71" s="100">
        <v>3948</v>
      </c>
      <c r="CF71" s="100">
        <v>10</v>
      </c>
      <c r="CG71" s="100">
        <v>5640</v>
      </c>
      <c r="CH71" s="100">
        <v>7</v>
      </c>
      <c r="CI71" s="100">
        <v>3948</v>
      </c>
      <c r="CJ71" s="100">
        <v>8</v>
      </c>
      <c r="CK71" s="100">
        <v>4512</v>
      </c>
      <c r="CL71" s="100">
        <v>6</v>
      </c>
      <c r="CM71" s="100">
        <v>3384</v>
      </c>
      <c r="CN71" s="100">
        <v>6</v>
      </c>
      <c r="CO71" s="100">
        <v>3384</v>
      </c>
      <c r="CP71" s="100">
        <v>8</v>
      </c>
      <c r="CQ71" s="100">
        <v>4512</v>
      </c>
      <c r="CR71" s="100">
        <v>8</v>
      </c>
      <c r="CS71" s="100">
        <v>4512</v>
      </c>
      <c r="CT71" s="100">
        <v>7</v>
      </c>
      <c r="CU71" s="100">
        <v>3948</v>
      </c>
    </row>
    <row r="72" spans="2:99">
      <c r="C72" s="99" t="s">
        <v>238</v>
      </c>
      <c r="D72" s="100">
        <v>5.5555555555555554</v>
      </c>
      <c r="E72" s="100">
        <v>413.33333333333326</v>
      </c>
      <c r="F72" s="100">
        <v>4.3478260869565215</v>
      </c>
      <c r="G72" s="100">
        <v>323.47826086956519</v>
      </c>
      <c r="H72" s="100">
        <v>5.6962025316455698</v>
      </c>
      <c r="I72" s="100">
        <v>423.79746835443035</v>
      </c>
      <c r="J72" s="100">
        <v>4.6783625730994149</v>
      </c>
      <c r="K72" s="100">
        <v>348.07017543859644</v>
      </c>
      <c r="L72" s="100">
        <v>8.7272727272727266</v>
      </c>
      <c r="M72" s="100">
        <v>649.30909090909074</v>
      </c>
      <c r="N72" s="100">
        <v>9</v>
      </c>
      <c r="O72" s="100">
        <v>669.59999999999991</v>
      </c>
      <c r="P72" s="100">
        <v>9.5906432748538002</v>
      </c>
      <c r="Q72" s="100">
        <v>713.54385964912262</v>
      </c>
      <c r="R72" s="100">
        <v>9.0395480225988702</v>
      </c>
      <c r="S72" s="100">
        <v>672.54237288135585</v>
      </c>
      <c r="T72" s="100">
        <v>8.6486486486486491</v>
      </c>
      <c r="U72" s="100">
        <v>643.45945945945937</v>
      </c>
      <c r="V72" s="100">
        <v>9</v>
      </c>
      <c r="W72" s="100">
        <v>669.59999999999991</v>
      </c>
      <c r="X72" s="100">
        <v>7</v>
      </c>
      <c r="Y72" s="100">
        <v>520.79999999999995</v>
      </c>
      <c r="Z72" s="100">
        <v>8</v>
      </c>
      <c r="AA72" s="100">
        <v>595.19999999999993</v>
      </c>
      <c r="AB72" s="100">
        <v>11</v>
      </c>
      <c r="AC72" s="100">
        <v>818.39999999999986</v>
      </c>
      <c r="AD72" s="100">
        <v>7</v>
      </c>
      <c r="AE72" s="100">
        <v>520.79999999999995</v>
      </c>
      <c r="AF72" s="100">
        <v>9</v>
      </c>
      <c r="AG72" s="100">
        <v>669.59999999999991</v>
      </c>
      <c r="AH72" s="100">
        <v>7</v>
      </c>
      <c r="AI72" s="100">
        <v>520.79999999999995</v>
      </c>
      <c r="AJ72" s="100">
        <v>6</v>
      </c>
      <c r="AK72" s="100">
        <v>446.4</v>
      </c>
      <c r="AL72" s="100">
        <v>7</v>
      </c>
      <c r="AM72" s="100">
        <v>520.79999999999995</v>
      </c>
      <c r="AN72" s="100">
        <v>5</v>
      </c>
      <c r="AO72" s="100">
        <v>371.99999999999994</v>
      </c>
      <c r="AP72" s="100">
        <v>7</v>
      </c>
      <c r="AQ72" s="100">
        <v>520.79999999999995</v>
      </c>
      <c r="AR72" s="100">
        <v>7</v>
      </c>
      <c r="AS72" s="100">
        <v>520.79999999999995</v>
      </c>
      <c r="AT72" s="100">
        <v>9</v>
      </c>
      <c r="AU72" s="100">
        <v>669.59999999999991</v>
      </c>
      <c r="AV72" s="100">
        <v>9</v>
      </c>
      <c r="AW72" s="100">
        <v>669.59999999999991</v>
      </c>
      <c r="AX72" s="100">
        <v>7</v>
      </c>
      <c r="AY72" s="100">
        <v>520.79999999999995</v>
      </c>
      <c r="AZ72" s="100">
        <v>7</v>
      </c>
      <c r="BA72" s="100">
        <v>520.79999999999995</v>
      </c>
      <c r="BB72" s="100">
        <v>7</v>
      </c>
      <c r="BC72" s="100">
        <v>520.79999999999995</v>
      </c>
      <c r="BD72" s="100">
        <v>8</v>
      </c>
      <c r="BE72" s="100">
        <v>595.19999999999993</v>
      </c>
      <c r="BF72" s="100">
        <v>9</v>
      </c>
      <c r="BG72" s="100">
        <v>669.59999999999991</v>
      </c>
      <c r="BH72" s="100">
        <v>7</v>
      </c>
      <c r="BI72" s="100">
        <v>520.79999999999995</v>
      </c>
      <c r="BJ72" s="100">
        <v>9</v>
      </c>
      <c r="BK72" s="100">
        <v>669.59999999999991</v>
      </c>
      <c r="BL72" s="100">
        <v>11</v>
      </c>
      <c r="BM72" s="100">
        <v>818.39999999999986</v>
      </c>
      <c r="BN72" s="100">
        <v>8</v>
      </c>
      <c r="BO72" s="100">
        <v>595.19999999999993</v>
      </c>
      <c r="BP72" s="100">
        <v>8</v>
      </c>
      <c r="BQ72" s="100">
        <v>595.19999999999993</v>
      </c>
      <c r="BR72" s="100">
        <v>6</v>
      </c>
      <c r="BS72" s="100">
        <v>446.4</v>
      </c>
      <c r="BT72" s="100">
        <v>8.0546448087431699</v>
      </c>
      <c r="BU72" s="100">
        <v>599.26557377049176</v>
      </c>
      <c r="BV72" s="100">
        <v>6.3087793367221035E-23</v>
      </c>
      <c r="BW72" s="100">
        <v>4.6937318265212443E-21</v>
      </c>
      <c r="BX72" s="100">
        <v>9</v>
      </c>
      <c r="BY72" s="100">
        <v>669.59999999999991</v>
      </c>
      <c r="BZ72" s="100">
        <v>9</v>
      </c>
      <c r="CA72" s="100">
        <v>669.59999999999991</v>
      </c>
      <c r="CB72" s="100">
        <v>5</v>
      </c>
      <c r="CC72" s="100">
        <v>371.99999999999994</v>
      </c>
      <c r="CD72" s="100">
        <v>7</v>
      </c>
      <c r="CE72" s="100">
        <v>520.79999999999995</v>
      </c>
      <c r="CF72" s="100">
        <v>10</v>
      </c>
      <c r="CG72" s="100">
        <v>743.99999999999989</v>
      </c>
      <c r="CH72" s="100">
        <v>7</v>
      </c>
      <c r="CI72" s="100">
        <v>520.79999999999995</v>
      </c>
      <c r="CJ72" s="100">
        <v>8</v>
      </c>
      <c r="CK72" s="100">
        <v>595.19999999999993</v>
      </c>
      <c r="CL72" s="100">
        <v>6</v>
      </c>
      <c r="CM72" s="100">
        <v>446.4</v>
      </c>
      <c r="CN72" s="100">
        <v>6</v>
      </c>
      <c r="CO72" s="100">
        <v>446.4</v>
      </c>
      <c r="CP72" s="100">
        <v>8</v>
      </c>
      <c r="CQ72" s="100">
        <v>595.19999999999993</v>
      </c>
      <c r="CR72" s="100">
        <v>8</v>
      </c>
      <c r="CS72" s="100">
        <v>595.19999999999993</v>
      </c>
      <c r="CT72" s="100">
        <v>7</v>
      </c>
      <c r="CU72" s="100">
        <v>520.79999999999995</v>
      </c>
    </row>
    <row r="73" spans="2:99">
      <c r="C73" s="99" t="s">
        <v>239</v>
      </c>
      <c r="D73" s="100">
        <v>5.5555555555555554</v>
      </c>
      <c r="E73" s="100">
        <v>3106.6666666666661</v>
      </c>
      <c r="F73" s="100">
        <v>4.3478260869565215</v>
      </c>
      <c r="G73" s="100">
        <v>2431.3043478260865</v>
      </c>
      <c r="H73" s="100">
        <v>5.6962025316455698</v>
      </c>
      <c r="I73" s="100">
        <v>3185.3164556962024</v>
      </c>
      <c r="J73" s="100">
        <v>5.2631578947368416</v>
      </c>
      <c r="K73" s="100">
        <v>2943.1578947368416</v>
      </c>
      <c r="L73" s="100">
        <v>9.6969696969696972</v>
      </c>
      <c r="M73" s="100">
        <v>5422.545454545454</v>
      </c>
      <c r="N73" s="100">
        <v>8</v>
      </c>
      <c r="O73" s="100">
        <v>4473.5999999999995</v>
      </c>
      <c r="P73" s="100">
        <v>9.5906432748538002</v>
      </c>
      <c r="Q73" s="100">
        <v>5363.0877192982443</v>
      </c>
      <c r="R73" s="100">
        <v>8.1355932203389827</v>
      </c>
      <c r="S73" s="100">
        <v>4549.4237288135582</v>
      </c>
      <c r="T73" s="100">
        <v>7.7837837837837842</v>
      </c>
      <c r="U73" s="100">
        <v>4352.6918918918918</v>
      </c>
      <c r="V73" s="100">
        <v>8</v>
      </c>
      <c r="W73" s="100">
        <v>4473.5999999999995</v>
      </c>
      <c r="X73" s="100">
        <v>7</v>
      </c>
      <c r="Y73" s="100">
        <v>3914.3999999999996</v>
      </c>
      <c r="Z73" s="100">
        <v>9</v>
      </c>
      <c r="AA73" s="100">
        <v>5032.7999999999993</v>
      </c>
      <c r="AB73" s="100">
        <v>9</v>
      </c>
      <c r="AC73" s="100">
        <v>5032.7999999999993</v>
      </c>
      <c r="AD73" s="100">
        <v>7</v>
      </c>
      <c r="AE73" s="100">
        <v>3914.3999999999996</v>
      </c>
      <c r="AF73" s="100">
        <v>8</v>
      </c>
      <c r="AG73" s="100">
        <v>4473.5999999999995</v>
      </c>
      <c r="AH73" s="100">
        <v>6</v>
      </c>
      <c r="AI73" s="100">
        <v>3355.2</v>
      </c>
      <c r="AJ73" s="100">
        <v>6</v>
      </c>
      <c r="AK73" s="100">
        <v>3355.2</v>
      </c>
      <c r="AL73" s="100">
        <v>7</v>
      </c>
      <c r="AM73" s="100">
        <v>3914.3999999999996</v>
      </c>
      <c r="AN73" s="100">
        <v>5</v>
      </c>
      <c r="AO73" s="100">
        <v>2795.9999999999995</v>
      </c>
      <c r="AP73" s="100">
        <v>6</v>
      </c>
      <c r="AQ73" s="100">
        <v>3355.2</v>
      </c>
      <c r="AR73" s="100">
        <v>6</v>
      </c>
      <c r="AS73" s="100">
        <v>3355.2</v>
      </c>
      <c r="AT73" s="100">
        <v>9</v>
      </c>
      <c r="AU73" s="100">
        <v>5032.7999999999993</v>
      </c>
      <c r="AV73" s="100">
        <v>9</v>
      </c>
      <c r="AW73" s="100">
        <v>5032.7999999999993</v>
      </c>
      <c r="AX73" s="100">
        <v>6</v>
      </c>
      <c r="AY73" s="100">
        <v>3355.2</v>
      </c>
      <c r="AZ73" s="100">
        <v>7</v>
      </c>
      <c r="BA73" s="100">
        <v>3914.3999999999996</v>
      </c>
      <c r="BB73" s="100">
        <v>7</v>
      </c>
      <c r="BC73" s="100">
        <v>3914.3999999999996</v>
      </c>
      <c r="BD73" s="100">
        <v>8</v>
      </c>
      <c r="BE73" s="100">
        <v>4473.5999999999995</v>
      </c>
      <c r="BF73" s="100">
        <v>10</v>
      </c>
      <c r="BG73" s="100">
        <v>5591.9999999999991</v>
      </c>
      <c r="BH73" s="100">
        <v>7</v>
      </c>
      <c r="BI73" s="100">
        <v>3914.3999999999996</v>
      </c>
      <c r="BJ73" s="100">
        <v>9</v>
      </c>
      <c r="BK73" s="100">
        <v>5032.7999999999993</v>
      </c>
      <c r="BL73" s="100">
        <v>10</v>
      </c>
      <c r="BM73" s="100">
        <v>5591.9999999999991</v>
      </c>
      <c r="BN73" s="100">
        <v>7</v>
      </c>
      <c r="BO73" s="100">
        <v>3914.3999999999996</v>
      </c>
      <c r="BP73" s="100">
        <v>9</v>
      </c>
      <c r="BQ73" s="100">
        <v>5032.7999999999993</v>
      </c>
      <c r="BR73" s="100">
        <v>6</v>
      </c>
      <c r="BS73" s="100">
        <v>3355.2</v>
      </c>
      <c r="BT73" s="100">
        <v>6.5901639344262293</v>
      </c>
      <c r="BU73" s="100">
        <v>3685.219672131147</v>
      </c>
      <c r="BV73" s="100">
        <v>5.6779014030498936E-23</v>
      </c>
      <c r="BW73" s="100">
        <v>3.1750824645854999E-20</v>
      </c>
      <c r="BX73" s="100">
        <v>8</v>
      </c>
      <c r="BY73" s="100">
        <v>4473.5999999999995</v>
      </c>
      <c r="BZ73" s="100">
        <v>8</v>
      </c>
      <c r="CA73" s="100">
        <v>4473.5999999999995</v>
      </c>
      <c r="CB73" s="100">
        <v>5</v>
      </c>
      <c r="CC73" s="100">
        <v>2795.9999999999995</v>
      </c>
      <c r="CD73" s="100">
        <v>8</v>
      </c>
      <c r="CE73" s="100">
        <v>4473.5999999999995</v>
      </c>
      <c r="CF73" s="100">
        <v>9</v>
      </c>
      <c r="CG73" s="100">
        <v>5032.7999999999993</v>
      </c>
      <c r="CH73" s="100">
        <v>7</v>
      </c>
      <c r="CI73" s="100">
        <v>3914.3999999999996</v>
      </c>
      <c r="CJ73" s="100">
        <v>8</v>
      </c>
      <c r="CK73" s="100">
        <v>4473.5999999999995</v>
      </c>
      <c r="CL73" s="100">
        <v>7</v>
      </c>
      <c r="CM73" s="100">
        <v>3914.3999999999996</v>
      </c>
      <c r="CN73" s="100">
        <v>6</v>
      </c>
      <c r="CO73" s="100">
        <v>3355.2</v>
      </c>
      <c r="CP73" s="100">
        <v>9</v>
      </c>
      <c r="CQ73" s="100">
        <v>5032.7999999999993</v>
      </c>
      <c r="CR73" s="100">
        <v>8</v>
      </c>
      <c r="CS73" s="100">
        <v>4473.5999999999995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5.5555555555555554</v>
      </c>
      <c r="E74" s="100">
        <v>2240</v>
      </c>
      <c r="F74" s="100">
        <v>5.2173913043478262</v>
      </c>
      <c r="G74" s="100">
        <v>2103.6521739130435</v>
      </c>
      <c r="H74" s="100">
        <v>5.6962025316455698</v>
      </c>
      <c r="I74" s="100">
        <v>2296.7088607594937</v>
      </c>
      <c r="J74" s="100">
        <v>5.2631578947368416</v>
      </c>
      <c r="K74" s="100">
        <v>2122.1052631578946</v>
      </c>
      <c r="L74" s="100">
        <v>9.6969696969696972</v>
      </c>
      <c r="M74" s="100">
        <v>3909.818181818182</v>
      </c>
      <c r="N74" s="100">
        <v>7</v>
      </c>
      <c r="O74" s="100">
        <v>2822.4</v>
      </c>
      <c r="P74" s="100">
        <v>8.6315789473684212</v>
      </c>
      <c r="Q74" s="100">
        <v>3480.2526315789473</v>
      </c>
      <c r="R74" s="100">
        <v>9.0395480225988702</v>
      </c>
      <c r="S74" s="100">
        <v>3644.7457627118642</v>
      </c>
      <c r="T74" s="100">
        <v>8.6486486486486491</v>
      </c>
      <c r="U74" s="100">
        <v>3487.1351351351354</v>
      </c>
      <c r="V74" s="100">
        <v>7</v>
      </c>
      <c r="W74" s="100">
        <v>2822.4</v>
      </c>
      <c r="X74" s="100">
        <v>7</v>
      </c>
      <c r="Y74" s="100">
        <v>2822.4</v>
      </c>
      <c r="Z74" s="100">
        <v>9</v>
      </c>
      <c r="AA74" s="100">
        <v>3628.7999999999997</v>
      </c>
      <c r="AB74" s="100">
        <v>11</v>
      </c>
      <c r="AC74" s="100">
        <v>4435.2</v>
      </c>
      <c r="AD74" s="100">
        <v>7</v>
      </c>
      <c r="AE74" s="100">
        <v>2822.4</v>
      </c>
      <c r="AF74" s="100">
        <v>8</v>
      </c>
      <c r="AG74" s="100">
        <v>3225.6</v>
      </c>
      <c r="AH74" s="100">
        <v>6</v>
      </c>
      <c r="AI74" s="100">
        <v>2419.1999999999998</v>
      </c>
      <c r="AJ74" s="100">
        <v>7</v>
      </c>
      <c r="AK74" s="100">
        <v>2822.4</v>
      </c>
      <c r="AL74" s="100">
        <v>7</v>
      </c>
      <c r="AM74" s="100">
        <v>2822.4</v>
      </c>
      <c r="AN74" s="100">
        <v>6</v>
      </c>
      <c r="AO74" s="100">
        <v>2419.1999999999998</v>
      </c>
      <c r="AP74" s="100">
        <v>6</v>
      </c>
      <c r="AQ74" s="100">
        <v>2419.1999999999998</v>
      </c>
      <c r="AR74" s="100">
        <v>7</v>
      </c>
      <c r="AS74" s="100">
        <v>2822.4</v>
      </c>
      <c r="AT74" s="100">
        <v>7</v>
      </c>
      <c r="AU74" s="100">
        <v>2822.4</v>
      </c>
      <c r="AV74" s="100">
        <v>8</v>
      </c>
      <c r="AW74" s="100">
        <v>3225.6</v>
      </c>
      <c r="AX74" s="100">
        <v>7</v>
      </c>
      <c r="AY74" s="100">
        <v>2822.4</v>
      </c>
      <c r="AZ74" s="100">
        <v>7</v>
      </c>
      <c r="BA74" s="100">
        <v>2822.4</v>
      </c>
      <c r="BB74" s="100">
        <v>8</v>
      </c>
      <c r="BC74" s="100">
        <v>3225.6</v>
      </c>
      <c r="BD74" s="100">
        <v>7</v>
      </c>
      <c r="BE74" s="100">
        <v>2822.4</v>
      </c>
      <c r="BF74" s="100">
        <v>9</v>
      </c>
      <c r="BG74" s="100">
        <v>3628.7999999999997</v>
      </c>
      <c r="BH74" s="100">
        <v>6</v>
      </c>
      <c r="BI74" s="100">
        <v>2419.1999999999998</v>
      </c>
      <c r="BJ74" s="100">
        <v>8</v>
      </c>
      <c r="BK74" s="100">
        <v>3225.6</v>
      </c>
      <c r="BL74" s="100">
        <v>9</v>
      </c>
      <c r="BM74" s="100">
        <v>3628.7999999999997</v>
      </c>
      <c r="BN74" s="100">
        <v>7</v>
      </c>
      <c r="BO74" s="100">
        <v>2822.4</v>
      </c>
      <c r="BP74" s="100">
        <v>9</v>
      </c>
      <c r="BQ74" s="100">
        <v>3628.7999999999997</v>
      </c>
      <c r="BR74" s="100">
        <v>7</v>
      </c>
      <c r="BS74" s="100">
        <v>2822.4</v>
      </c>
      <c r="BT74" s="100">
        <v>7.3224043715846996</v>
      </c>
      <c r="BU74" s="100">
        <v>2952.3934426229507</v>
      </c>
      <c r="BV74" s="100">
        <v>6.3087793367221035E-23</v>
      </c>
      <c r="BW74" s="100">
        <v>2.5436998285663522E-20</v>
      </c>
      <c r="BX74" s="100">
        <v>8</v>
      </c>
      <c r="BY74" s="100">
        <v>3225.6</v>
      </c>
      <c r="BZ74" s="100">
        <v>8</v>
      </c>
      <c r="CA74" s="100">
        <v>3225.6</v>
      </c>
      <c r="CB74" s="100">
        <v>6</v>
      </c>
      <c r="CC74" s="100">
        <v>2419.1999999999998</v>
      </c>
      <c r="CD74" s="100">
        <v>8</v>
      </c>
      <c r="CE74" s="100">
        <v>3225.6</v>
      </c>
      <c r="CF74" s="100">
        <v>9</v>
      </c>
      <c r="CG74" s="100">
        <v>3628.7999999999997</v>
      </c>
      <c r="CH74" s="100">
        <v>7</v>
      </c>
      <c r="CI74" s="100">
        <v>2822.4</v>
      </c>
      <c r="CJ74" s="100">
        <v>7</v>
      </c>
      <c r="CK74" s="100">
        <v>2822.4</v>
      </c>
      <c r="CL74" s="100">
        <v>6</v>
      </c>
      <c r="CM74" s="100">
        <v>2419.1999999999998</v>
      </c>
      <c r="CN74" s="100">
        <v>7</v>
      </c>
      <c r="CO74" s="100">
        <v>2822.4</v>
      </c>
      <c r="CP74" s="100">
        <v>8</v>
      </c>
      <c r="CQ74" s="100">
        <v>3225.6</v>
      </c>
      <c r="CR74" s="100">
        <v>9</v>
      </c>
      <c r="CS74" s="100">
        <v>3628.7999999999997</v>
      </c>
      <c r="CT74" s="100">
        <v>8</v>
      </c>
      <c r="CU74" s="100">
        <v>3225.6</v>
      </c>
    </row>
    <row r="75" spans="2:99">
      <c r="C75" s="99" t="s">
        <v>241</v>
      </c>
      <c r="D75" s="100">
        <v>4.9382716049382713</v>
      </c>
      <c r="E75" s="100">
        <v>3176.2962962962956</v>
      </c>
      <c r="F75" s="100">
        <v>4.3478260869565215</v>
      </c>
      <c r="G75" s="100">
        <v>2796.5217391304345</v>
      </c>
      <c r="H75" s="100">
        <v>5.0632911392405067</v>
      </c>
      <c r="I75" s="100">
        <v>3256.7088607594937</v>
      </c>
      <c r="J75" s="100">
        <v>4.6783625730994149</v>
      </c>
      <c r="K75" s="100">
        <v>3009.1228070175434</v>
      </c>
      <c r="L75" s="100">
        <v>7.7575757575757578</v>
      </c>
      <c r="M75" s="100">
        <v>4989.6727272727267</v>
      </c>
      <c r="N75" s="100">
        <v>7</v>
      </c>
      <c r="O75" s="100">
        <v>4502.3999999999996</v>
      </c>
      <c r="P75" s="100">
        <v>8.6315789473684212</v>
      </c>
      <c r="Q75" s="100">
        <v>5551.8315789473681</v>
      </c>
      <c r="R75" s="100">
        <v>8.1355932203389827</v>
      </c>
      <c r="S75" s="100">
        <v>5232.8135593220331</v>
      </c>
      <c r="T75" s="100">
        <v>8.6486486486486491</v>
      </c>
      <c r="U75" s="100">
        <v>5562.8108108108108</v>
      </c>
      <c r="V75" s="100">
        <v>8</v>
      </c>
      <c r="W75" s="100">
        <v>5145.5999999999995</v>
      </c>
      <c r="X75" s="100">
        <v>6</v>
      </c>
      <c r="Y75" s="100">
        <v>3859.2</v>
      </c>
      <c r="Z75" s="100">
        <v>9</v>
      </c>
      <c r="AA75" s="100">
        <v>5788.7999999999993</v>
      </c>
      <c r="AB75" s="100">
        <v>10</v>
      </c>
      <c r="AC75" s="100">
        <v>6431.9999999999991</v>
      </c>
      <c r="AD75" s="100">
        <v>6</v>
      </c>
      <c r="AE75" s="100">
        <v>3859.2</v>
      </c>
      <c r="AF75" s="100">
        <v>8</v>
      </c>
      <c r="AG75" s="100">
        <v>5145.5999999999995</v>
      </c>
      <c r="AH75" s="100">
        <v>6</v>
      </c>
      <c r="AI75" s="100">
        <v>3859.2</v>
      </c>
      <c r="AJ75" s="100">
        <v>7</v>
      </c>
      <c r="AK75" s="100">
        <v>4502.3999999999996</v>
      </c>
      <c r="AL75" s="100">
        <v>6</v>
      </c>
      <c r="AM75" s="100">
        <v>3859.2</v>
      </c>
      <c r="AN75" s="100">
        <v>5</v>
      </c>
      <c r="AO75" s="100">
        <v>3215.9999999999995</v>
      </c>
      <c r="AP75" s="100">
        <v>6</v>
      </c>
      <c r="AQ75" s="100">
        <v>3859.2</v>
      </c>
      <c r="AR75" s="100">
        <v>8</v>
      </c>
      <c r="AS75" s="100">
        <v>5145.5999999999995</v>
      </c>
      <c r="AT75" s="100">
        <v>7</v>
      </c>
      <c r="AU75" s="100">
        <v>4502.3999999999996</v>
      </c>
      <c r="AV75" s="100">
        <v>8</v>
      </c>
      <c r="AW75" s="100">
        <v>5145.5999999999995</v>
      </c>
      <c r="AX75" s="100">
        <v>7</v>
      </c>
      <c r="AY75" s="100">
        <v>4502.3999999999996</v>
      </c>
      <c r="AZ75" s="100">
        <v>6</v>
      </c>
      <c r="BA75" s="100">
        <v>3859.2</v>
      </c>
      <c r="BB75" s="100">
        <v>7</v>
      </c>
      <c r="BC75" s="100">
        <v>4502.3999999999996</v>
      </c>
      <c r="BD75" s="100">
        <v>8</v>
      </c>
      <c r="BE75" s="100">
        <v>5145.5999999999995</v>
      </c>
      <c r="BF75" s="100">
        <v>9</v>
      </c>
      <c r="BG75" s="100">
        <v>5788.7999999999993</v>
      </c>
      <c r="BH75" s="100">
        <v>6</v>
      </c>
      <c r="BI75" s="100">
        <v>3859.2</v>
      </c>
      <c r="BJ75" s="100">
        <v>8</v>
      </c>
      <c r="BK75" s="100">
        <v>5145.5999999999995</v>
      </c>
      <c r="BL75" s="100">
        <v>9</v>
      </c>
      <c r="BM75" s="100">
        <v>5788.7999999999993</v>
      </c>
      <c r="BN75" s="100">
        <v>8</v>
      </c>
      <c r="BO75" s="100">
        <v>5145.5999999999995</v>
      </c>
      <c r="BP75" s="100">
        <v>8</v>
      </c>
      <c r="BQ75" s="100">
        <v>5145.5999999999995</v>
      </c>
      <c r="BR75" s="100">
        <v>7</v>
      </c>
      <c r="BS75" s="100">
        <v>4502.3999999999996</v>
      </c>
      <c r="BT75" s="100">
        <v>7.3224043715846996</v>
      </c>
      <c r="BU75" s="100">
        <v>4709.7704918032787</v>
      </c>
      <c r="BV75" s="100">
        <v>6.3087793367221035E-23</v>
      </c>
      <c r="BW75" s="100">
        <v>4.0578068693796566E-20</v>
      </c>
      <c r="BX75" s="100">
        <v>9</v>
      </c>
      <c r="BY75" s="100">
        <v>5788.7999999999993</v>
      </c>
      <c r="BZ75" s="100">
        <v>7</v>
      </c>
      <c r="CA75" s="100">
        <v>4502.3999999999996</v>
      </c>
      <c r="CB75" s="100">
        <v>6</v>
      </c>
      <c r="CC75" s="100">
        <v>3859.2</v>
      </c>
      <c r="CD75" s="100">
        <v>8</v>
      </c>
      <c r="CE75" s="100">
        <v>5145.5999999999995</v>
      </c>
      <c r="CF75" s="100">
        <v>9</v>
      </c>
      <c r="CG75" s="100">
        <v>5788.7999999999993</v>
      </c>
      <c r="CH75" s="100">
        <v>7</v>
      </c>
      <c r="CI75" s="100">
        <v>4502.3999999999996</v>
      </c>
      <c r="CJ75" s="100">
        <v>7</v>
      </c>
      <c r="CK75" s="100">
        <v>4502.3999999999996</v>
      </c>
      <c r="CL75" s="100">
        <v>6</v>
      </c>
      <c r="CM75" s="100">
        <v>3859.2</v>
      </c>
      <c r="CN75" s="100">
        <v>7</v>
      </c>
      <c r="CO75" s="100">
        <v>4502.3999999999996</v>
      </c>
      <c r="CP75" s="100">
        <v>7</v>
      </c>
      <c r="CQ75" s="100">
        <v>4502.3999999999996</v>
      </c>
      <c r="CR75" s="100">
        <v>9</v>
      </c>
      <c r="CS75" s="100">
        <v>5788.7999999999993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4.9382716049382713</v>
      </c>
      <c r="E76" s="100">
        <v>3845.9259259259256</v>
      </c>
      <c r="F76" s="100">
        <v>4.3478260869565215</v>
      </c>
      <c r="G76" s="100">
        <v>3386.0869565217386</v>
      </c>
      <c r="H76" s="100">
        <v>5.0632911392405067</v>
      </c>
      <c r="I76" s="100">
        <v>3943.2911392405063</v>
      </c>
      <c r="J76" s="100">
        <v>5.2631578947368416</v>
      </c>
      <c r="K76" s="100">
        <v>4098.9473684210516</v>
      </c>
      <c r="L76" s="100">
        <v>8.7272727272727266</v>
      </c>
      <c r="M76" s="100">
        <v>6796.7999999999993</v>
      </c>
      <c r="N76" s="100">
        <v>7</v>
      </c>
      <c r="O76" s="100">
        <v>5451.5999999999995</v>
      </c>
      <c r="P76" s="100">
        <v>8.6315789473684212</v>
      </c>
      <c r="Q76" s="100">
        <v>6722.273684210526</v>
      </c>
      <c r="R76" s="100">
        <v>8.1355932203389827</v>
      </c>
      <c r="S76" s="100">
        <v>6335.9999999999991</v>
      </c>
      <c r="T76" s="100">
        <v>8.6486486486486491</v>
      </c>
      <c r="U76" s="100">
        <v>6735.5675675675675</v>
      </c>
      <c r="V76" s="100">
        <v>8</v>
      </c>
      <c r="W76" s="100">
        <v>6230.4</v>
      </c>
      <c r="X76" s="100">
        <v>6</v>
      </c>
      <c r="Y76" s="100">
        <v>4672.7999999999993</v>
      </c>
      <c r="Z76" s="100">
        <v>8</v>
      </c>
      <c r="AA76" s="100">
        <v>6230.4</v>
      </c>
      <c r="AB76" s="100">
        <v>10</v>
      </c>
      <c r="AC76" s="100">
        <v>7788</v>
      </c>
      <c r="AD76" s="100">
        <v>6</v>
      </c>
      <c r="AE76" s="100">
        <v>4672.7999999999993</v>
      </c>
      <c r="AF76" s="100">
        <v>9</v>
      </c>
      <c r="AG76" s="100">
        <v>7009.2</v>
      </c>
      <c r="AH76" s="100">
        <v>6</v>
      </c>
      <c r="AI76" s="100">
        <v>4672.7999999999993</v>
      </c>
      <c r="AJ76" s="100">
        <v>6</v>
      </c>
      <c r="AK76" s="100">
        <v>4672.7999999999993</v>
      </c>
      <c r="AL76" s="100">
        <v>6</v>
      </c>
      <c r="AM76" s="100">
        <v>4672.7999999999993</v>
      </c>
      <c r="AN76" s="100">
        <v>5</v>
      </c>
      <c r="AO76" s="100">
        <v>3894</v>
      </c>
      <c r="AP76" s="100">
        <v>7</v>
      </c>
      <c r="AQ76" s="100">
        <v>5451.5999999999995</v>
      </c>
      <c r="AR76" s="100">
        <v>7</v>
      </c>
      <c r="AS76" s="100">
        <v>5451.5999999999995</v>
      </c>
      <c r="AT76" s="100">
        <v>7</v>
      </c>
      <c r="AU76" s="100">
        <v>5451.5999999999995</v>
      </c>
      <c r="AV76" s="100">
        <v>8</v>
      </c>
      <c r="AW76" s="100">
        <v>6230.4</v>
      </c>
      <c r="AX76" s="100">
        <v>7</v>
      </c>
      <c r="AY76" s="100">
        <v>5451.5999999999995</v>
      </c>
      <c r="AZ76" s="100">
        <v>6</v>
      </c>
      <c r="BA76" s="100">
        <v>4672.7999999999993</v>
      </c>
      <c r="BB76" s="100">
        <v>7</v>
      </c>
      <c r="BC76" s="100">
        <v>5451.5999999999995</v>
      </c>
      <c r="BD76" s="100">
        <v>7</v>
      </c>
      <c r="BE76" s="100">
        <v>5451.5999999999995</v>
      </c>
      <c r="BF76" s="100">
        <v>10</v>
      </c>
      <c r="BG76" s="100">
        <v>7788</v>
      </c>
      <c r="BH76" s="100">
        <v>5</v>
      </c>
      <c r="BI76" s="100">
        <v>3894</v>
      </c>
      <c r="BJ76" s="100">
        <v>8</v>
      </c>
      <c r="BK76" s="100">
        <v>6230.4</v>
      </c>
      <c r="BL76" s="100">
        <v>10</v>
      </c>
      <c r="BM76" s="100">
        <v>7788</v>
      </c>
      <c r="BN76" s="100">
        <v>7</v>
      </c>
      <c r="BO76" s="100">
        <v>5451.5999999999995</v>
      </c>
      <c r="BP76" s="100">
        <v>8</v>
      </c>
      <c r="BQ76" s="100">
        <v>6230.4</v>
      </c>
      <c r="BR76" s="100">
        <v>6</v>
      </c>
      <c r="BS76" s="100">
        <v>4672.7999999999993</v>
      </c>
      <c r="BT76" s="100">
        <v>6.5901639344262293</v>
      </c>
      <c r="BU76" s="100">
        <v>5132.4196721311473</v>
      </c>
      <c r="BV76" s="100">
        <v>6.3087793367221035E-23</v>
      </c>
      <c r="BW76" s="100">
        <v>4.9132773474391738E-20</v>
      </c>
      <c r="BX76" s="100">
        <v>8</v>
      </c>
      <c r="BY76" s="100">
        <v>6230.4</v>
      </c>
      <c r="BZ76" s="100">
        <v>7</v>
      </c>
      <c r="CA76" s="100">
        <v>5451.5999999999995</v>
      </c>
      <c r="CB76" s="100">
        <v>6</v>
      </c>
      <c r="CC76" s="100">
        <v>4672.7999999999993</v>
      </c>
      <c r="CD76" s="100">
        <v>8</v>
      </c>
      <c r="CE76" s="100">
        <v>6230.4</v>
      </c>
      <c r="CF76" s="100">
        <v>9</v>
      </c>
      <c r="CG76" s="100">
        <v>7009.2</v>
      </c>
      <c r="CH76" s="100">
        <v>7</v>
      </c>
      <c r="CI76" s="100">
        <v>5451.5999999999995</v>
      </c>
      <c r="CJ76" s="100">
        <v>7</v>
      </c>
      <c r="CK76" s="100">
        <v>5451.5999999999995</v>
      </c>
      <c r="CL76" s="100">
        <v>7</v>
      </c>
      <c r="CM76" s="100">
        <v>5451.5999999999995</v>
      </c>
      <c r="CN76" s="100">
        <v>5</v>
      </c>
      <c r="CO76" s="100">
        <v>3894</v>
      </c>
      <c r="CP76" s="100">
        <v>7</v>
      </c>
      <c r="CQ76" s="100">
        <v>5451.5999999999995</v>
      </c>
      <c r="CR76" s="100">
        <v>8</v>
      </c>
      <c r="CS76" s="100">
        <v>6230.4</v>
      </c>
      <c r="CT76" s="100">
        <v>7</v>
      </c>
      <c r="CU76" s="100">
        <v>5451.5999999999995</v>
      </c>
    </row>
    <row r="77" spans="2:99">
      <c r="C77" s="99" t="s">
        <v>243</v>
      </c>
      <c r="D77" s="100">
        <v>4.9382716049382713</v>
      </c>
      <c r="E77" s="100">
        <v>1374.8148148148146</v>
      </c>
      <c r="F77" s="100">
        <v>4.3478260869565215</v>
      </c>
      <c r="G77" s="100">
        <v>1210.4347826086955</v>
      </c>
      <c r="H77" s="100">
        <v>5.6962025316455698</v>
      </c>
      <c r="I77" s="100">
        <v>1585.8227848101264</v>
      </c>
      <c r="J77" s="100">
        <v>5.2631578947368416</v>
      </c>
      <c r="K77" s="100">
        <v>1465.2631578947367</v>
      </c>
      <c r="L77" s="100">
        <v>8.7272727272727266</v>
      </c>
      <c r="M77" s="100">
        <v>2429.6727272727271</v>
      </c>
      <c r="N77" s="100">
        <v>8</v>
      </c>
      <c r="O77" s="100">
        <v>2227.1999999999998</v>
      </c>
      <c r="P77" s="100">
        <v>8.6315789473684212</v>
      </c>
      <c r="Q77" s="100">
        <v>2403.0315789473684</v>
      </c>
      <c r="R77" s="100">
        <v>9.0395480225988702</v>
      </c>
      <c r="S77" s="100">
        <v>2516.6101694915251</v>
      </c>
      <c r="T77" s="100">
        <v>8.6486486486486491</v>
      </c>
      <c r="U77" s="100">
        <v>2407.7837837837837</v>
      </c>
      <c r="V77" s="100">
        <v>8</v>
      </c>
      <c r="W77" s="100">
        <v>2227.1999999999998</v>
      </c>
      <c r="X77" s="100">
        <v>6</v>
      </c>
      <c r="Y77" s="100">
        <v>1670.3999999999999</v>
      </c>
      <c r="Z77" s="100">
        <v>8</v>
      </c>
      <c r="AA77" s="100">
        <v>2227.1999999999998</v>
      </c>
      <c r="AB77" s="100">
        <v>10</v>
      </c>
      <c r="AC77" s="100">
        <v>2784</v>
      </c>
      <c r="AD77" s="100">
        <v>6</v>
      </c>
      <c r="AE77" s="100">
        <v>1670.3999999999999</v>
      </c>
      <c r="AF77" s="100">
        <v>9</v>
      </c>
      <c r="AG77" s="100">
        <v>2505.6</v>
      </c>
      <c r="AH77" s="100">
        <v>6</v>
      </c>
      <c r="AI77" s="100">
        <v>1670.3999999999999</v>
      </c>
      <c r="AJ77" s="100">
        <v>6</v>
      </c>
      <c r="AK77" s="100">
        <v>1670.3999999999999</v>
      </c>
      <c r="AL77" s="100">
        <v>7</v>
      </c>
      <c r="AM77" s="100">
        <v>1948.7999999999997</v>
      </c>
      <c r="AN77" s="100">
        <v>5</v>
      </c>
      <c r="AO77" s="100">
        <v>1392</v>
      </c>
      <c r="AP77" s="100">
        <v>6</v>
      </c>
      <c r="AQ77" s="100">
        <v>1670.3999999999999</v>
      </c>
      <c r="AR77" s="100">
        <v>8</v>
      </c>
      <c r="AS77" s="100">
        <v>2227.1999999999998</v>
      </c>
      <c r="AT77" s="100">
        <v>8</v>
      </c>
      <c r="AU77" s="100">
        <v>2227.1999999999998</v>
      </c>
      <c r="AV77" s="100">
        <v>9</v>
      </c>
      <c r="AW77" s="100">
        <v>2505.6</v>
      </c>
      <c r="AX77" s="100">
        <v>7</v>
      </c>
      <c r="AY77" s="100">
        <v>1948.7999999999997</v>
      </c>
      <c r="AZ77" s="100">
        <v>8</v>
      </c>
      <c r="BA77" s="100">
        <v>2227.1999999999998</v>
      </c>
      <c r="BB77" s="100">
        <v>7</v>
      </c>
      <c r="BC77" s="100">
        <v>1948.7999999999997</v>
      </c>
      <c r="BD77" s="100">
        <v>8</v>
      </c>
      <c r="BE77" s="100">
        <v>2227.1999999999998</v>
      </c>
      <c r="BF77" s="100">
        <v>10</v>
      </c>
      <c r="BG77" s="100">
        <v>2784</v>
      </c>
      <c r="BH77" s="100">
        <v>6</v>
      </c>
      <c r="BI77" s="100">
        <v>1670.3999999999999</v>
      </c>
      <c r="BJ77" s="100">
        <v>9</v>
      </c>
      <c r="BK77" s="100">
        <v>2505.6</v>
      </c>
      <c r="BL77" s="100">
        <v>9</v>
      </c>
      <c r="BM77" s="100">
        <v>2505.6</v>
      </c>
      <c r="BN77" s="100">
        <v>7</v>
      </c>
      <c r="BO77" s="100">
        <v>1948.7999999999997</v>
      </c>
      <c r="BP77" s="100">
        <v>8</v>
      </c>
      <c r="BQ77" s="100">
        <v>2227.1999999999998</v>
      </c>
      <c r="BR77" s="100">
        <v>7</v>
      </c>
      <c r="BS77" s="100">
        <v>1948.7999999999997</v>
      </c>
      <c r="BT77" s="100">
        <v>6.5901639344262293</v>
      </c>
      <c r="BU77" s="100">
        <v>1834.701639344262</v>
      </c>
      <c r="BV77" s="100">
        <v>6.3087793367221035E-23</v>
      </c>
      <c r="BW77" s="100">
        <v>1.7563641673434336E-20</v>
      </c>
      <c r="BX77" s="100">
        <v>8</v>
      </c>
      <c r="BY77" s="100">
        <v>2227.1999999999998</v>
      </c>
      <c r="BZ77" s="100">
        <v>7</v>
      </c>
      <c r="CA77" s="100">
        <v>1948.7999999999997</v>
      </c>
      <c r="CB77" s="100">
        <v>6</v>
      </c>
      <c r="CC77" s="100">
        <v>1670.3999999999999</v>
      </c>
      <c r="CD77" s="100">
        <v>7</v>
      </c>
      <c r="CE77" s="100">
        <v>1948.7999999999997</v>
      </c>
      <c r="CF77" s="100">
        <v>10</v>
      </c>
      <c r="CG77" s="100">
        <v>2784</v>
      </c>
      <c r="CH77" s="100">
        <v>6</v>
      </c>
      <c r="CI77" s="100">
        <v>1670.3999999999999</v>
      </c>
      <c r="CJ77" s="100">
        <v>7</v>
      </c>
      <c r="CK77" s="100">
        <v>1948.7999999999997</v>
      </c>
      <c r="CL77" s="100">
        <v>6</v>
      </c>
      <c r="CM77" s="100">
        <v>1670.3999999999999</v>
      </c>
      <c r="CN77" s="100">
        <v>6</v>
      </c>
      <c r="CO77" s="100">
        <v>1670.3999999999999</v>
      </c>
      <c r="CP77" s="100">
        <v>9</v>
      </c>
      <c r="CQ77" s="100">
        <v>2505.6</v>
      </c>
      <c r="CR77" s="100">
        <v>9</v>
      </c>
      <c r="CS77" s="100">
        <v>2505.6</v>
      </c>
      <c r="CT77" s="100">
        <v>8</v>
      </c>
      <c r="CU77" s="100">
        <v>2227.1999999999998</v>
      </c>
    </row>
    <row r="78" spans="2:99">
      <c r="C78" s="99" t="s">
        <v>244</v>
      </c>
      <c r="D78" s="100">
        <v>4.9382716049382713</v>
      </c>
      <c r="E78" s="100">
        <v>2725.9259259259256</v>
      </c>
      <c r="F78" s="100">
        <v>5.2173913043478262</v>
      </c>
      <c r="G78" s="100">
        <v>2880</v>
      </c>
      <c r="H78" s="100">
        <v>5.0632911392405067</v>
      </c>
      <c r="I78" s="100">
        <v>2794.9367088607596</v>
      </c>
      <c r="J78" s="100">
        <v>4.6783625730994149</v>
      </c>
      <c r="K78" s="100">
        <v>2582.4561403508769</v>
      </c>
      <c r="L78" s="100">
        <v>8.7272727272727266</v>
      </c>
      <c r="M78" s="100">
        <v>4817.454545454545</v>
      </c>
      <c r="N78" s="100">
        <v>8</v>
      </c>
      <c r="O78" s="100">
        <v>4416</v>
      </c>
      <c r="P78" s="100">
        <v>8.6315789473684212</v>
      </c>
      <c r="Q78" s="100">
        <v>4764.6315789473683</v>
      </c>
      <c r="R78" s="100">
        <v>8.1355932203389827</v>
      </c>
      <c r="S78" s="100">
        <v>4490.8474576271183</v>
      </c>
      <c r="T78" s="100">
        <v>8.6486486486486491</v>
      </c>
      <c r="U78" s="100">
        <v>4774.0540540540542</v>
      </c>
      <c r="V78" s="100">
        <v>7</v>
      </c>
      <c r="W78" s="100">
        <v>3864</v>
      </c>
      <c r="X78" s="100">
        <v>6</v>
      </c>
      <c r="Y78" s="100">
        <v>3312</v>
      </c>
      <c r="Z78" s="100">
        <v>9</v>
      </c>
      <c r="AA78" s="100">
        <v>4968</v>
      </c>
      <c r="AB78" s="100">
        <v>9</v>
      </c>
      <c r="AC78" s="100">
        <v>4968</v>
      </c>
      <c r="AD78" s="100">
        <v>7</v>
      </c>
      <c r="AE78" s="100">
        <v>3864</v>
      </c>
      <c r="AF78" s="100">
        <v>7</v>
      </c>
      <c r="AG78" s="100">
        <v>3864</v>
      </c>
      <c r="AH78" s="100">
        <v>6</v>
      </c>
      <c r="AI78" s="100">
        <v>3312</v>
      </c>
      <c r="AJ78" s="100">
        <v>6</v>
      </c>
      <c r="AK78" s="100">
        <v>3312</v>
      </c>
      <c r="AL78" s="100">
        <v>7</v>
      </c>
      <c r="AM78" s="100">
        <v>3864</v>
      </c>
      <c r="AN78" s="100">
        <v>5</v>
      </c>
      <c r="AO78" s="100">
        <v>2760</v>
      </c>
      <c r="AP78" s="100">
        <v>6</v>
      </c>
      <c r="AQ78" s="100">
        <v>3312</v>
      </c>
      <c r="AR78" s="100">
        <v>8</v>
      </c>
      <c r="AS78" s="100">
        <v>4416</v>
      </c>
      <c r="AT78" s="100">
        <v>8</v>
      </c>
      <c r="AU78" s="100">
        <v>4416</v>
      </c>
      <c r="AV78" s="100">
        <v>9</v>
      </c>
      <c r="AW78" s="100">
        <v>4968</v>
      </c>
      <c r="AX78" s="100">
        <v>7</v>
      </c>
      <c r="AY78" s="100">
        <v>3864</v>
      </c>
      <c r="AZ78" s="100">
        <v>7</v>
      </c>
      <c r="BA78" s="100">
        <v>3864</v>
      </c>
      <c r="BB78" s="100">
        <v>8</v>
      </c>
      <c r="BC78" s="100">
        <v>4416</v>
      </c>
      <c r="BD78" s="100">
        <v>7</v>
      </c>
      <c r="BE78" s="100">
        <v>3864</v>
      </c>
      <c r="BF78" s="100">
        <v>10</v>
      </c>
      <c r="BG78" s="100">
        <v>5520</v>
      </c>
      <c r="BH78" s="100">
        <v>6</v>
      </c>
      <c r="BI78" s="100">
        <v>3312</v>
      </c>
      <c r="BJ78" s="100">
        <v>9</v>
      </c>
      <c r="BK78" s="100">
        <v>4968</v>
      </c>
      <c r="BL78" s="100">
        <v>10</v>
      </c>
      <c r="BM78" s="100">
        <v>5520</v>
      </c>
      <c r="BN78" s="100">
        <v>8</v>
      </c>
      <c r="BO78" s="100">
        <v>4416</v>
      </c>
      <c r="BP78" s="100">
        <v>8</v>
      </c>
      <c r="BQ78" s="100">
        <v>4416</v>
      </c>
      <c r="BR78" s="100">
        <v>7</v>
      </c>
      <c r="BS78" s="100">
        <v>3864</v>
      </c>
      <c r="BT78" s="100">
        <v>6.5901639344262293</v>
      </c>
      <c r="BU78" s="100">
        <v>3637.7704918032787</v>
      </c>
      <c r="BV78" s="100">
        <v>6.3087793367221035E-23</v>
      </c>
      <c r="BW78" s="100">
        <v>3.4824461938706013E-20</v>
      </c>
      <c r="BX78" s="100">
        <v>8</v>
      </c>
      <c r="BY78" s="100">
        <v>4416</v>
      </c>
      <c r="BZ78" s="100">
        <v>8</v>
      </c>
      <c r="CA78" s="100">
        <v>4416</v>
      </c>
      <c r="CB78" s="100">
        <v>6</v>
      </c>
      <c r="CC78" s="100">
        <v>3312</v>
      </c>
      <c r="CD78" s="100">
        <v>7</v>
      </c>
      <c r="CE78" s="100">
        <v>3864</v>
      </c>
      <c r="CF78" s="100">
        <v>8</v>
      </c>
      <c r="CG78" s="100">
        <v>4416</v>
      </c>
      <c r="CH78" s="100">
        <v>7</v>
      </c>
      <c r="CI78" s="100">
        <v>3864</v>
      </c>
      <c r="CJ78" s="100">
        <v>7</v>
      </c>
      <c r="CK78" s="100">
        <v>3864</v>
      </c>
      <c r="CL78" s="100">
        <v>6</v>
      </c>
      <c r="CM78" s="100">
        <v>3312</v>
      </c>
      <c r="CN78" s="100">
        <v>7</v>
      </c>
      <c r="CO78" s="100">
        <v>3864</v>
      </c>
      <c r="CP78" s="100">
        <v>8</v>
      </c>
      <c r="CQ78" s="100">
        <v>4416</v>
      </c>
      <c r="CR78" s="100">
        <v>8</v>
      </c>
      <c r="CS78" s="100">
        <v>4416</v>
      </c>
      <c r="CT78" s="100">
        <v>8</v>
      </c>
      <c r="CU78" s="100">
        <v>4416</v>
      </c>
    </row>
    <row r="79" spans="2:99">
      <c r="C79" s="99" t="s">
        <v>245</v>
      </c>
      <c r="D79" s="100">
        <v>4.9382716049382713</v>
      </c>
      <c r="E79" s="100">
        <v>3739.2592592592587</v>
      </c>
      <c r="F79" s="100">
        <v>4.3478260869565215</v>
      </c>
      <c r="G79" s="100">
        <v>3292.1739130434776</v>
      </c>
      <c r="H79" s="100">
        <v>5.6962025316455698</v>
      </c>
      <c r="I79" s="100">
        <v>4313.164556962025</v>
      </c>
      <c r="J79" s="100">
        <v>4.6783625730994149</v>
      </c>
      <c r="K79" s="100">
        <v>3542.4561403508765</v>
      </c>
      <c r="L79" s="100">
        <v>8.7272727272727266</v>
      </c>
      <c r="M79" s="100">
        <v>6608.2909090909079</v>
      </c>
      <c r="N79" s="100">
        <v>8</v>
      </c>
      <c r="O79" s="100">
        <v>6057.5999999999995</v>
      </c>
      <c r="P79" s="100">
        <v>8.6315789473684212</v>
      </c>
      <c r="Q79" s="100">
        <v>6535.8315789473681</v>
      </c>
      <c r="R79" s="100">
        <v>7.231638418079096</v>
      </c>
      <c r="S79" s="100">
        <v>5475.796610169491</v>
      </c>
      <c r="T79" s="100">
        <v>8.6486486486486491</v>
      </c>
      <c r="U79" s="100">
        <v>6548.7567567567567</v>
      </c>
      <c r="V79" s="100">
        <v>8</v>
      </c>
      <c r="W79" s="100">
        <v>6057.5999999999995</v>
      </c>
      <c r="X79" s="100">
        <v>6</v>
      </c>
      <c r="Y79" s="100">
        <v>4543.2</v>
      </c>
      <c r="Z79" s="100">
        <v>8</v>
      </c>
      <c r="AA79" s="100">
        <v>6057.5999999999995</v>
      </c>
      <c r="AB79" s="100">
        <v>9</v>
      </c>
      <c r="AC79" s="100">
        <v>6814.7999999999993</v>
      </c>
      <c r="AD79" s="100">
        <v>7</v>
      </c>
      <c r="AE79" s="100">
        <v>5300.4</v>
      </c>
      <c r="AF79" s="100">
        <v>7</v>
      </c>
      <c r="AG79" s="100">
        <v>5300.4</v>
      </c>
      <c r="AH79" s="100">
        <v>6</v>
      </c>
      <c r="AI79" s="100">
        <v>4543.2</v>
      </c>
      <c r="AJ79" s="100">
        <v>7</v>
      </c>
      <c r="AK79" s="100">
        <v>5300.4</v>
      </c>
      <c r="AL79" s="100">
        <v>6</v>
      </c>
      <c r="AM79" s="100">
        <v>4543.2</v>
      </c>
      <c r="AN79" s="100">
        <v>5</v>
      </c>
      <c r="AO79" s="100">
        <v>3785.9999999999995</v>
      </c>
      <c r="AP79" s="100">
        <v>6</v>
      </c>
      <c r="AQ79" s="100">
        <v>4543.2</v>
      </c>
      <c r="AR79" s="100">
        <v>6</v>
      </c>
      <c r="AS79" s="100">
        <v>4543.2</v>
      </c>
      <c r="AT79" s="100">
        <v>8</v>
      </c>
      <c r="AU79" s="100">
        <v>6057.5999999999995</v>
      </c>
      <c r="AV79" s="100">
        <v>8</v>
      </c>
      <c r="AW79" s="100">
        <v>6057.5999999999995</v>
      </c>
      <c r="AX79" s="100">
        <v>7</v>
      </c>
      <c r="AY79" s="100">
        <v>5300.4</v>
      </c>
      <c r="AZ79" s="100">
        <v>7</v>
      </c>
      <c r="BA79" s="100">
        <v>5300.4</v>
      </c>
      <c r="BB79" s="100">
        <v>8</v>
      </c>
      <c r="BC79" s="100">
        <v>6057.5999999999995</v>
      </c>
      <c r="BD79" s="100">
        <v>7</v>
      </c>
      <c r="BE79" s="100">
        <v>5300.4</v>
      </c>
      <c r="BF79" s="100">
        <v>10</v>
      </c>
      <c r="BG79" s="100">
        <v>7571.9999999999991</v>
      </c>
      <c r="BH79" s="100">
        <v>6</v>
      </c>
      <c r="BI79" s="100">
        <v>4543.2</v>
      </c>
      <c r="BJ79" s="100">
        <v>9</v>
      </c>
      <c r="BK79" s="100">
        <v>6814.7999999999993</v>
      </c>
      <c r="BL79" s="100">
        <v>10</v>
      </c>
      <c r="BM79" s="100">
        <v>7571.9999999999991</v>
      </c>
      <c r="BN79" s="100">
        <v>8</v>
      </c>
      <c r="BO79" s="100">
        <v>6057.5999999999995</v>
      </c>
      <c r="BP79" s="100">
        <v>7</v>
      </c>
      <c r="BQ79" s="100">
        <v>5300.4</v>
      </c>
      <c r="BR79" s="100">
        <v>6</v>
      </c>
      <c r="BS79" s="100">
        <v>4543.2</v>
      </c>
      <c r="BT79" s="100">
        <v>6.5901639344262293</v>
      </c>
      <c r="BU79" s="100">
        <v>4990.0721311475399</v>
      </c>
      <c r="BV79" s="100">
        <v>6.3087793367221035E-23</v>
      </c>
      <c r="BW79" s="100">
        <v>4.7770077137659765E-20</v>
      </c>
      <c r="BX79" s="100">
        <v>8</v>
      </c>
      <c r="BY79" s="100">
        <v>6057.5999999999995</v>
      </c>
      <c r="BZ79" s="100">
        <v>7</v>
      </c>
      <c r="CA79" s="100">
        <v>5300.4</v>
      </c>
      <c r="CB79" s="100">
        <v>6</v>
      </c>
      <c r="CC79" s="100">
        <v>4543.2</v>
      </c>
      <c r="CD79" s="100">
        <v>8</v>
      </c>
      <c r="CE79" s="100">
        <v>6057.5999999999995</v>
      </c>
      <c r="CF79" s="100">
        <v>8</v>
      </c>
      <c r="CG79" s="100">
        <v>6057.5999999999995</v>
      </c>
      <c r="CH79" s="100">
        <v>7</v>
      </c>
      <c r="CI79" s="100">
        <v>5300.4</v>
      </c>
      <c r="CJ79" s="100">
        <v>7</v>
      </c>
      <c r="CK79" s="100">
        <v>5300.4</v>
      </c>
      <c r="CL79" s="100">
        <v>6</v>
      </c>
      <c r="CM79" s="100">
        <v>4543.2</v>
      </c>
      <c r="CN79" s="100">
        <v>6</v>
      </c>
      <c r="CO79" s="100">
        <v>4543.2</v>
      </c>
      <c r="CP79" s="100">
        <v>9</v>
      </c>
      <c r="CQ79" s="100">
        <v>6814.7999999999993</v>
      </c>
      <c r="CR79" s="100">
        <v>8</v>
      </c>
      <c r="CS79" s="100">
        <v>6057.5999999999995</v>
      </c>
      <c r="CT79" s="100">
        <v>8</v>
      </c>
      <c r="CU79" s="100">
        <v>6057.5999999999995</v>
      </c>
    </row>
    <row r="80" spans="2:99">
      <c r="C80" s="99" t="s">
        <v>246</v>
      </c>
      <c r="D80" s="100">
        <v>5.5555555555555554</v>
      </c>
      <c r="E80" s="100">
        <v>4473.333333333333</v>
      </c>
      <c r="F80" s="100">
        <v>4.3478260869565215</v>
      </c>
      <c r="G80" s="100">
        <v>3500.869565217391</v>
      </c>
      <c r="H80" s="100">
        <v>5.6962025316455698</v>
      </c>
      <c r="I80" s="100">
        <v>4586.5822784810125</v>
      </c>
      <c r="J80" s="100">
        <v>4.6783625730994149</v>
      </c>
      <c r="K80" s="100">
        <v>3767.0175438596484</v>
      </c>
      <c r="L80" s="100">
        <v>8.7272727272727266</v>
      </c>
      <c r="M80" s="100">
        <v>7027.1999999999989</v>
      </c>
      <c r="N80" s="100">
        <v>8</v>
      </c>
      <c r="O80" s="100">
        <v>6441.5999999999995</v>
      </c>
      <c r="P80" s="100">
        <v>8.6315789473684212</v>
      </c>
      <c r="Q80" s="100">
        <v>6950.1473684210523</v>
      </c>
      <c r="R80" s="100">
        <v>8.1355932203389827</v>
      </c>
      <c r="S80" s="100">
        <v>6550.779661016948</v>
      </c>
      <c r="T80" s="100">
        <v>7.7837837837837842</v>
      </c>
      <c r="U80" s="100">
        <v>6267.5027027027027</v>
      </c>
      <c r="V80" s="100">
        <v>7</v>
      </c>
      <c r="W80" s="100">
        <v>5636.4</v>
      </c>
      <c r="X80" s="100">
        <v>5</v>
      </c>
      <c r="Y80" s="100">
        <v>4025.9999999999995</v>
      </c>
      <c r="Z80" s="100">
        <v>8</v>
      </c>
      <c r="AA80" s="100">
        <v>6441.5999999999995</v>
      </c>
      <c r="AB80" s="100">
        <v>9</v>
      </c>
      <c r="AC80" s="100">
        <v>7246.7999999999993</v>
      </c>
      <c r="AD80" s="100">
        <v>6</v>
      </c>
      <c r="AE80" s="100">
        <v>4831.2</v>
      </c>
      <c r="AF80" s="100">
        <v>8</v>
      </c>
      <c r="AG80" s="100">
        <v>6441.5999999999995</v>
      </c>
      <c r="AH80" s="100">
        <v>5</v>
      </c>
      <c r="AI80" s="100">
        <v>4025.9999999999995</v>
      </c>
      <c r="AJ80" s="100">
        <v>6</v>
      </c>
      <c r="AK80" s="100">
        <v>4831.2</v>
      </c>
      <c r="AL80" s="100">
        <v>6</v>
      </c>
      <c r="AM80" s="100">
        <v>4831.2</v>
      </c>
      <c r="AN80" s="100">
        <v>5</v>
      </c>
      <c r="AO80" s="100">
        <v>4025.9999999999995</v>
      </c>
      <c r="AP80" s="100">
        <v>6</v>
      </c>
      <c r="AQ80" s="100">
        <v>4831.2</v>
      </c>
      <c r="AR80" s="100">
        <v>7</v>
      </c>
      <c r="AS80" s="100">
        <v>5636.4</v>
      </c>
      <c r="AT80" s="100">
        <v>8</v>
      </c>
      <c r="AU80" s="100">
        <v>6441.5999999999995</v>
      </c>
      <c r="AV80" s="100">
        <v>9</v>
      </c>
      <c r="AW80" s="100">
        <v>7246.7999999999993</v>
      </c>
      <c r="AX80" s="100">
        <v>6</v>
      </c>
      <c r="AY80" s="100">
        <v>4831.2</v>
      </c>
      <c r="AZ80" s="100">
        <v>7</v>
      </c>
      <c r="BA80" s="100">
        <v>5636.4</v>
      </c>
      <c r="BB80" s="100">
        <v>7</v>
      </c>
      <c r="BC80" s="100">
        <v>5636.4</v>
      </c>
      <c r="BD80" s="100">
        <v>8</v>
      </c>
      <c r="BE80" s="100">
        <v>6441.5999999999995</v>
      </c>
      <c r="BF80" s="100">
        <v>9</v>
      </c>
      <c r="BG80" s="100">
        <v>7246.7999999999993</v>
      </c>
      <c r="BH80" s="100">
        <v>6</v>
      </c>
      <c r="BI80" s="100">
        <v>4831.2</v>
      </c>
      <c r="BJ80" s="100">
        <v>9</v>
      </c>
      <c r="BK80" s="100">
        <v>7246.7999999999993</v>
      </c>
      <c r="BL80" s="100">
        <v>10</v>
      </c>
      <c r="BM80" s="100">
        <v>8051.9999999999991</v>
      </c>
      <c r="BN80" s="100">
        <v>7</v>
      </c>
      <c r="BO80" s="100">
        <v>5636.4</v>
      </c>
      <c r="BP80" s="100">
        <v>7</v>
      </c>
      <c r="BQ80" s="100">
        <v>5636.4</v>
      </c>
      <c r="BR80" s="100">
        <v>6</v>
      </c>
      <c r="BS80" s="100">
        <v>4831.2</v>
      </c>
      <c r="BT80" s="100">
        <v>7.3224043715846996</v>
      </c>
      <c r="BU80" s="100">
        <v>5896</v>
      </c>
      <c r="BV80" s="100">
        <v>5.6779014030498936E-23</v>
      </c>
      <c r="BW80" s="100">
        <v>4.5718462097357741E-20</v>
      </c>
      <c r="BX80" s="100">
        <v>8</v>
      </c>
      <c r="BY80" s="100">
        <v>6441.5999999999995</v>
      </c>
      <c r="BZ80" s="100">
        <v>8</v>
      </c>
      <c r="CA80" s="100">
        <v>6441.5999999999995</v>
      </c>
      <c r="CB80" s="100">
        <v>6</v>
      </c>
      <c r="CC80" s="100">
        <v>4831.2</v>
      </c>
      <c r="CD80" s="100">
        <v>7</v>
      </c>
      <c r="CE80" s="100">
        <v>5636.4</v>
      </c>
      <c r="CF80" s="100">
        <v>8</v>
      </c>
      <c r="CG80" s="100">
        <v>6441.5999999999995</v>
      </c>
      <c r="CH80" s="100">
        <v>7</v>
      </c>
      <c r="CI80" s="100">
        <v>5636.4</v>
      </c>
      <c r="CJ80" s="100">
        <v>7</v>
      </c>
      <c r="CK80" s="100">
        <v>5636.4</v>
      </c>
      <c r="CL80" s="100">
        <v>6</v>
      </c>
      <c r="CM80" s="100">
        <v>4831.2</v>
      </c>
      <c r="CN80" s="100">
        <v>6</v>
      </c>
      <c r="CO80" s="100">
        <v>4831.2</v>
      </c>
      <c r="CP80" s="100">
        <v>7</v>
      </c>
      <c r="CQ80" s="100">
        <v>5636.4</v>
      </c>
      <c r="CR80" s="100">
        <v>8</v>
      </c>
      <c r="CS80" s="100">
        <v>6441.5999999999995</v>
      </c>
      <c r="CT80" s="100">
        <v>7</v>
      </c>
      <c r="CU80" s="100">
        <v>5636.4</v>
      </c>
    </row>
    <row r="81" spans="2:99">
      <c r="C81" s="99" t="s">
        <v>247</v>
      </c>
      <c r="D81" s="100">
        <v>4.9382716049382713</v>
      </c>
      <c r="E81" s="100">
        <v>3721.4814814814813</v>
      </c>
      <c r="F81" s="100">
        <v>4.3478260869565215</v>
      </c>
      <c r="G81" s="100">
        <v>3276.5217391304345</v>
      </c>
      <c r="H81" s="100">
        <v>5.0632911392405067</v>
      </c>
      <c r="I81" s="100">
        <v>3815.6962025316461</v>
      </c>
      <c r="J81" s="100">
        <v>5.2631578947368416</v>
      </c>
      <c r="K81" s="100">
        <v>3966.3157894736842</v>
      </c>
      <c r="L81" s="100">
        <v>8.7272727272727266</v>
      </c>
      <c r="M81" s="100">
        <v>6576.8727272727274</v>
      </c>
      <c r="N81" s="100">
        <v>7</v>
      </c>
      <c r="O81" s="100">
        <v>5275.2</v>
      </c>
      <c r="P81" s="100">
        <v>8.6315789473684212</v>
      </c>
      <c r="Q81" s="100">
        <v>6504.757894736842</v>
      </c>
      <c r="R81" s="100">
        <v>9.0395480225988702</v>
      </c>
      <c r="S81" s="100">
        <v>6812.203389830509</v>
      </c>
      <c r="T81" s="100">
        <v>7.7837837837837842</v>
      </c>
      <c r="U81" s="100">
        <v>5865.8594594594597</v>
      </c>
      <c r="V81" s="100">
        <v>7</v>
      </c>
      <c r="W81" s="100">
        <v>5275.2</v>
      </c>
      <c r="X81" s="100">
        <v>6</v>
      </c>
      <c r="Y81" s="100">
        <v>4521.6000000000004</v>
      </c>
      <c r="Z81" s="100">
        <v>9</v>
      </c>
      <c r="AA81" s="100">
        <v>6782.4000000000005</v>
      </c>
      <c r="AB81" s="100">
        <v>10</v>
      </c>
      <c r="AC81" s="100">
        <v>7536</v>
      </c>
      <c r="AD81" s="100">
        <v>6</v>
      </c>
      <c r="AE81" s="100">
        <v>4521.6000000000004</v>
      </c>
      <c r="AF81" s="100">
        <v>9</v>
      </c>
      <c r="AG81" s="100">
        <v>6782.4000000000005</v>
      </c>
      <c r="AH81" s="100">
        <v>6</v>
      </c>
      <c r="AI81" s="100">
        <v>4521.6000000000004</v>
      </c>
      <c r="AJ81" s="100">
        <v>6</v>
      </c>
      <c r="AK81" s="100">
        <v>4521.6000000000004</v>
      </c>
      <c r="AL81" s="100">
        <v>7</v>
      </c>
      <c r="AM81" s="100">
        <v>5275.2</v>
      </c>
      <c r="AN81" s="100">
        <v>5</v>
      </c>
      <c r="AO81" s="100">
        <v>3768</v>
      </c>
      <c r="AP81" s="100">
        <v>6</v>
      </c>
      <c r="AQ81" s="100">
        <v>4521.6000000000004</v>
      </c>
      <c r="AR81" s="100">
        <v>7</v>
      </c>
      <c r="AS81" s="100">
        <v>5275.2</v>
      </c>
      <c r="AT81" s="100">
        <v>9</v>
      </c>
      <c r="AU81" s="100">
        <v>6782.4000000000005</v>
      </c>
      <c r="AV81" s="100">
        <v>7</v>
      </c>
      <c r="AW81" s="100">
        <v>5275.2</v>
      </c>
      <c r="AX81" s="100">
        <v>7</v>
      </c>
      <c r="AY81" s="100">
        <v>5275.2</v>
      </c>
      <c r="AZ81" s="100">
        <v>7</v>
      </c>
      <c r="BA81" s="100">
        <v>5275.2</v>
      </c>
      <c r="BB81" s="100">
        <v>8</v>
      </c>
      <c r="BC81" s="100">
        <v>6028.8</v>
      </c>
      <c r="BD81" s="100">
        <v>8</v>
      </c>
      <c r="BE81" s="100">
        <v>6028.8</v>
      </c>
      <c r="BF81" s="100">
        <v>9</v>
      </c>
      <c r="BG81" s="100">
        <v>6782.4000000000005</v>
      </c>
      <c r="BH81" s="100">
        <v>6</v>
      </c>
      <c r="BI81" s="100">
        <v>4521.6000000000004</v>
      </c>
      <c r="BJ81" s="100">
        <v>8</v>
      </c>
      <c r="BK81" s="100">
        <v>6028.8</v>
      </c>
      <c r="BL81" s="100">
        <v>10</v>
      </c>
      <c r="BM81" s="100">
        <v>7536</v>
      </c>
      <c r="BN81" s="100">
        <v>7</v>
      </c>
      <c r="BO81" s="100">
        <v>5275.2</v>
      </c>
      <c r="BP81" s="100">
        <v>9</v>
      </c>
      <c r="BQ81" s="100">
        <v>6782.4000000000005</v>
      </c>
      <c r="BR81" s="100">
        <v>6</v>
      </c>
      <c r="BS81" s="100">
        <v>4521.6000000000004</v>
      </c>
      <c r="BT81" s="100">
        <v>7.3224043715846996</v>
      </c>
      <c r="BU81" s="100">
        <v>5518.1639344262294</v>
      </c>
      <c r="BV81" s="100">
        <v>5.6779014030498936E-23</v>
      </c>
      <c r="BW81" s="100">
        <v>4.2788664973384002E-20</v>
      </c>
      <c r="BX81" s="100">
        <v>8</v>
      </c>
      <c r="BY81" s="100">
        <v>6028.8</v>
      </c>
      <c r="BZ81" s="100">
        <v>8</v>
      </c>
      <c r="CA81" s="100">
        <v>6028.8</v>
      </c>
      <c r="CB81" s="100">
        <v>5</v>
      </c>
      <c r="CC81" s="100">
        <v>3768</v>
      </c>
      <c r="CD81" s="100">
        <v>8</v>
      </c>
      <c r="CE81" s="100">
        <v>6028.8</v>
      </c>
      <c r="CF81" s="100">
        <v>9</v>
      </c>
      <c r="CG81" s="100">
        <v>6782.4000000000005</v>
      </c>
      <c r="CH81" s="100">
        <v>7</v>
      </c>
      <c r="CI81" s="100">
        <v>5275.2</v>
      </c>
      <c r="CJ81" s="100">
        <v>6</v>
      </c>
      <c r="CK81" s="100">
        <v>4521.6000000000004</v>
      </c>
      <c r="CL81" s="100">
        <v>6</v>
      </c>
      <c r="CM81" s="100">
        <v>4521.6000000000004</v>
      </c>
      <c r="CN81" s="100">
        <v>7</v>
      </c>
      <c r="CO81" s="100">
        <v>5275.2</v>
      </c>
      <c r="CP81" s="100">
        <v>7</v>
      </c>
      <c r="CQ81" s="100">
        <v>5275.2</v>
      </c>
      <c r="CR81" s="100">
        <v>8</v>
      </c>
      <c r="CS81" s="100">
        <v>6028.8</v>
      </c>
      <c r="CT81" s="100">
        <v>7</v>
      </c>
      <c r="CU81" s="100">
        <v>5275.2</v>
      </c>
    </row>
    <row r="82" spans="2:99">
      <c r="C82" s="99" t="s">
        <v>248</v>
      </c>
      <c r="D82" s="100">
        <v>5.5555555555555554</v>
      </c>
      <c r="E82" s="100">
        <v>2826.6666666666661</v>
      </c>
      <c r="F82" s="100">
        <v>5.2173913043478262</v>
      </c>
      <c r="G82" s="100">
        <v>2654.6086956521735</v>
      </c>
      <c r="H82" s="100">
        <v>5.6962025316455698</v>
      </c>
      <c r="I82" s="100">
        <v>2898.2278481012654</v>
      </c>
      <c r="J82" s="100">
        <v>5.2631578947368416</v>
      </c>
      <c r="K82" s="100">
        <v>2677.8947368421045</v>
      </c>
      <c r="L82" s="100">
        <v>8.7272727272727266</v>
      </c>
      <c r="M82" s="100">
        <v>4440.4363636363623</v>
      </c>
      <c r="N82" s="100">
        <v>8</v>
      </c>
      <c r="O82" s="100">
        <v>4070.3999999999992</v>
      </c>
      <c r="P82" s="100">
        <v>9.5906432748538002</v>
      </c>
      <c r="Q82" s="100">
        <v>4879.7192982456127</v>
      </c>
      <c r="R82" s="100">
        <v>8.1355932203389827</v>
      </c>
      <c r="S82" s="100">
        <v>4139.389830508474</v>
      </c>
      <c r="T82" s="100">
        <v>8.6486486486486491</v>
      </c>
      <c r="U82" s="100">
        <v>4400.4324324324316</v>
      </c>
      <c r="V82" s="100">
        <v>7</v>
      </c>
      <c r="W82" s="100">
        <v>3561.5999999999995</v>
      </c>
      <c r="X82" s="100">
        <v>6</v>
      </c>
      <c r="Y82" s="100">
        <v>3052.7999999999993</v>
      </c>
      <c r="Z82" s="100">
        <v>9</v>
      </c>
      <c r="AA82" s="100">
        <v>4579.1999999999989</v>
      </c>
      <c r="AB82" s="100">
        <v>9</v>
      </c>
      <c r="AC82" s="100">
        <v>4579.1999999999989</v>
      </c>
      <c r="AD82" s="100">
        <v>6</v>
      </c>
      <c r="AE82" s="100">
        <v>3052.7999999999993</v>
      </c>
      <c r="AF82" s="100">
        <v>8</v>
      </c>
      <c r="AG82" s="100">
        <v>4070.3999999999992</v>
      </c>
      <c r="AH82" s="100">
        <v>5</v>
      </c>
      <c r="AI82" s="100">
        <v>2543.9999999999995</v>
      </c>
      <c r="AJ82" s="100">
        <v>6</v>
      </c>
      <c r="AK82" s="100">
        <v>3052.7999999999993</v>
      </c>
      <c r="AL82" s="100">
        <v>6</v>
      </c>
      <c r="AM82" s="100">
        <v>3052.7999999999993</v>
      </c>
      <c r="AN82" s="100">
        <v>5</v>
      </c>
      <c r="AO82" s="100">
        <v>2543.9999999999995</v>
      </c>
      <c r="AP82" s="100">
        <v>6</v>
      </c>
      <c r="AQ82" s="100">
        <v>3052.7999999999993</v>
      </c>
      <c r="AR82" s="100">
        <v>8</v>
      </c>
      <c r="AS82" s="100">
        <v>4070.3999999999992</v>
      </c>
      <c r="AT82" s="100">
        <v>8</v>
      </c>
      <c r="AU82" s="100">
        <v>4070.3999999999992</v>
      </c>
      <c r="AV82" s="100">
        <v>8</v>
      </c>
      <c r="AW82" s="100">
        <v>4070.3999999999992</v>
      </c>
      <c r="AX82" s="100">
        <v>8</v>
      </c>
      <c r="AY82" s="100">
        <v>4070.3999999999992</v>
      </c>
      <c r="AZ82" s="100">
        <v>6</v>
      </c>
      <c r="BA82" s="100">
        <v>3052.7999999999993</v>
      </c>
      <c r="BB82" s="100">
        <v>8</v>
      </c>
      <c r="BC82" s="100">
        <v>4070.3999999999992</v>
      </c>
      <c r="BD82" s="100">
        <v>8</v>
      </c>
      <c r="BE82" s="100">
        <v>4070.3999999999992</v>
      </c>
      <c r="BF82" s="100">
        <v>10</v>
      </c>
      <c r="BG82" s="100">
        <v>5087.9999999999991</v>
      </c>
      <c r="BH82" s="100">
        <v>6</v>
      </c>
      <c r="BI82" s="100">
        <v>3052.7999999999993</v>
      </c>
      <c r="BJ82" s="100">
        <v>9</v>
      </c>
      <c r="BK82" s="100">
        <v>4579.1999999999989</v>
      </c>
      <c r="BL82" s="100">
        <v>9</v>
      </c>
      <c r="BM82" s="100">
        <v>4579.1999999999989</v>
      </c>
      <c r="BN82" s="100">
        <v>7</v>
      </c>
      <c r="BO82" s="100">
        <v>3561.5999999999995</v>
      </c>
      <c r="BP82" s="100">
        <v>8</v>
      </c>
      <c r="BQ82" s="100">
        <v>4070.3999999999992</v>
      </c>
      <c r="BR82" s="100">
        <v>6</v>
      </c>
      <c r="BS82" s="100">
        <v>3052.7999999999993</v>
      </c>
      <c r="BT82" s="100">
        <v>6.5901639344262293</v>
      </c>
      <c r="BU82" s="100">
        <v>3353.0754098360649</v>
      </c>
      <c r="BV82" s="100">
        <v>5.6779014030498936E-23</v>
      </c>
      <c r="BW82" s="100">
        <v>2.8889162338717855E-20</v>
      </c>
      <c r="BX82" s="100">
        <v>9</v>
      </c>
      <c r="BY82" s="100">
        <v>4579.1999999999989</v>
      </c>
      <c r="BZ82" s="100">
        <v>8</v>
      </c>
      <c r="CA82" s="100">
        <v>4070.3999999999992</v>
      </c>
      <c r="CB82" s="100">
        <v>6</v>
      </c>
      <c r="CC82" s="100">
        <v>3052.7999999999993</v>
      </c>
      <c r="CD82" s="100">
        <v>8</v>
      </c>
      <c r="CE82" s="100">
        <v>4070.3999999999992</v>
      </c>
      <c r="CF82" s="100">
        <v>10</v>
      </c>
      <c r="CG82" s="100">
        <v>5087.9999999999991</v>
      </c>
      <c r="CH82" s="100">
        <v>7</v>
      </c>
      <c r="CI82" s="100">
        <v>3561.5999999999995</v>
      </c>
      <c r="CJ82" s="100">
        <v>7</v>
      </c>
      <c r="CK82" s="100">
        <v>3561.5999999999995</v>
      </c>
      <c r="CL82" s="100">
        <v>6</v>
      </c>
      <c r="CM82" s="100">
        <v>3052.7999999999993</v>
      </c>
      <c r="CN82" s="100">
        <v>6</v>
      </c>
      <c r="CO82" s="100">
        <v>3052.7999999999993</v>
      </c>
      <c r="CP82" s="100">
        <v>7</v>
      </c>
      <c r="CQ82" s="100">
        <v>3561.5999999999995</v>
      </c>
      <c r="CR82" s="100">
        <v>9</v>
      </c>
      <c r="CS82" s="100">
        <v>4579.1999999999989</v>
      </c>
      <c r="CT82" s="100">
        <v>7</v>
      </c>
      <c r="CU82" s="100">
        <v>3561.5999999999995</v>
      </c>
    </row>
    <row r="83" spans="2:99">
      <c r="C83" s="99" t="s">
        <v>249</v>
      </c>
      <c r="D83" s="100">
        <v>4.9382716049382713</v>
      </c>
      <c r="E83" s="100">
        <v>4248.8888888888887</v>
      </c>
      <c r="F83" s="100">
        <v>4.3478260869565215</v>
      </c>
      <c r="G83" s="100">
        <v>3740.869565217391</v>
      </c>
      <c r="H83" s="100">
        <v>5.6962025316455698</v>
      </c>
      <c r="I83" s="100">
        <v>4901.0126582278481</v>
      </c>
      <c r="J83" s="100">
        <v>5.2631578947368416</v>
      </c>
      <c r="K83" s="100">
        <v>4528.4210526315783</v>
      </c>
      <c r="L83" s="100">
        <v>7.7575757575757578</v>
      </c>
      <c r="M83" s="100">
        <v>6674.6181818181822</v>
      </c>
      <c r="N83" s="100">
        <v>8</v>
      </c>
      <c r="O83" s="100">
        <v>6883.2</v>
      </c>
      <c r="P83" s="100">
        <v>8.6315789473684212</v>
      </c>
      <c r="Q83" s="100">
        <v>7426.6105263157897</v>
      </c>
      <c r="R83" s="100">
        <v>7.231638418079096</v>
      </c>
      <c r="S83" s="100">
        <v>6222.1016949152545</v>
      </c>
      <c r="T83" s="100">
        <v>8.6486486486486491</v>
      </c>
      <c r="U83" s="100">
        <v>7441.2972972972975</v>
      </c>
      <c r="V83" s="100">
        <v>7</v>
      </c>
      <c r="W83" s="100">
        <v>6022.8</v>
      </c>
      <c r="X83" s="100">
        <v>6</v>
      </c>
      <c r="Y83" s="100">
        <v>5162.3999999999996</v>
      </c>
      <c r="Z83" s="100">
        <v>8</v>
      </c>
      <c r="AA83" s="100">
        <v>6883.2</v>
      </c>
      <c r="AB83" s="100">
        <v>8</v>
      </c>
      <c r="AC83" s="100">
        <v>6883.2</v>
      </c>
      <c r="AD83" s="100">
        <v>6</v>
      </c>
      <c r="AE83" s="100">
        <v>5162.3999999999996</v>
      </c>
      <c r="AF83" s="100">
        <v>8</v>
      </c>
      <c r="AG83" s="100">
        <v>6883.2</v>
      </c>
      <c r="AH83" s="100">
        <v>6</v>
      </c>
      <c r="AI83" s="100">
        <v>5162.3999999999996</v>
      </c>
      <c r="AJ83" s="100">
        <v>6</v>
      </c>
      <c r="AK83" s="100">
        <v>5162.3999999999996</v>
      </c>
      <c r="AL83" s="100">
        <v>7</v>
      </c>
      <c r="AM83" s="100">
        <v>6022.8</v>
      </c>
      <c r="AN83" s="100">
        <v>5</v>
      </c>
      <c r="AO83" s="100">
        <v>4302</v>
      </c>
      <c r="AP83" s="100">
        <v>6</v>
      </c>
      <c r="AQ83" s="100">
        <v>5162.3999999999996</v>
      </c>
      <c r="AR83" s="100">
        <v>8</v>
      </c>
      <c r="AS83" s="100">
        <v>6883.2</v>
      </c>
      <c r="AT83" s="100">
        <v>8</v>
      </c>
      <c r="AU83" s="100">
        <v>6883.2</v>
      </c>
      <c r="AV83" s="100">
        <v>8</v>
      </c>
      <c r="AW83" s="100">
        <v>6883.2</v>
      </c>
      <c r="AX83" s="100">
        <v>6</v>
      </c>
      <c r="AY83" s="100">
        <v>5162.3999999999996</v>
      </c>
      <c r="AZ83" s="100">
        <v>7</v>
      </c>
      <c r="BA83" s="100">
        <v>6022.8</v>
      </c>
      <c r="BB83" s="100">
        <v>7</v>
      </c>
      <c r="BC83" s="100">
        <v>6022.8</v>
      </c>
      <c r="BD83" s="100">
        <v>8</v>
      </c>
      <c r="BE83" s="100">
        <v>6883.2</v>
      </c>
      <c r="BF83" s="100">
        <v>9</v>
      </c>
      <c r="BG83" s="100">
        <v>7743.5999999999995</v>
      </c>
      <c r="BH83" s="100">
        <v>6</v>
      </c>
      <c r="BI83" s="100">
        <v>5162.3999999999996</v>
      </c>
      <c r="BJ83" s="100">
        <v>8</v>
      </c>
      <c r="BK83" s="100">
        <v>6883.2</v>
      </c>
      <c r="BL83" s="100">
        <v>10</v>
      </c>
      <c r="BM83" s="100">
        <v>8604</v>
      </c>
      <c r="BN83" s="100">
        <v>7</v>
      </c>
      <c r="BO83" s="100">
        <v>6022.8</v>
      </c>
      <c r="BP83" s="100">
        <v>8</v>
      </c>
      <c r="BQ83" s="100">
        <v>6883.2</v>
      </c>
      <c r="BR83" s="100">
        <v>6</v>
      </c>
      <c r="BS83" s="100">
        <v>5162.3999999999996</v>
      </c>
      <c r="BT83" s="100">
        <v>6.5901639344262293</v>
      </c>
      <c r="BU83" s="100">
        <v>5670.1770491803272</v>
      </c>
      <c r="BV83" s="100">
        <v>5.6779014030498936E-23</v>
      </c>
      <c r="BW83" s="100">
        <v>4.8852663671841285E-20</v>
      </c>
      <c r="BX83" s="100">
        <v>8</v>
      </c>
      <c r="BY83" s="100">
        <v>6883.2</v>
      </c>
      <c r="BZ83" s="100">
        <v>7</v>
      </c>
      <c r="CA83" s="100">
        <v>6022.8</v>
      </c>
      <c r="CB83" s="100">
        <v>5</v>
      </c>
      <c r="CC83" s="100">
        <v>4302</v>
      </c>
      <c r="CD83" s="100">
        <v>8</v>
      </c>
      <c r="CE83" s="100">
        <v>6883.2</v>
      </c>
      <c r="CF83" s="100">
        <v>8</v>
      </c>
      <c r="CG83" s="100">
        <v>6883.2</v>
      </c>
      <c r="CH83" s="100">
        <v>7</v>
      </c>
      <c r="CI83" s="100">
        <v>6022.8</v>
      </c>
      <c r="CJ83" s="100">
        <v>7</v>
      </c>
      <c r="CK83" s="100">
        <v>6022.8</v>
      </c>
      <c r="CL83" s="100">
        <v>6</v>
      </c>
      <c r="CM83" s="100">
        <v>5162.3999999999996</v>
      </c>
      <c r="CN83" s="100">
        <v>6</v>
      </c>
      <c r="CO83" s="100">
        <v>5162.3999999999996</v>
      </c>
      <c r="CP83" s="100">
        <v>8</v>
      </c>
      <c r="CQ83" s="100">
        <v>6883.2</v>
      </c>
      <c r="CR83" s="100">
        <v>8</v>
      </c>
      <c r="CS83" s="100">
        <v>6883.2</v>
      </c>
      <c r="CT83" s="100">
        <v>7</v>
      </c>
      <c r="CU83" s="100">
        <v>6022.8</v>
      </c>
    </row>
    <row r="84" spans="2:99">
      <c r="C84" s="99" t="s">
        <v>250</v>
      </c>
      <c r="D84" s="100">
        <v>5.5555555555555554</v>
      </c>
      <c r="E84" s="100">
        <v>4339.9999999999991</v>
      </c>
      <c r="F84" s="100">
        <v>5.2173913043478262</v>
      </c>
      <c r="G84" s="100">
        <v>4075.8260869565215</v>
      </c>
      <c r="H84" s="100">
        <v>5.0632911392405067</v>
      </c>
      <c r="I84" s="100">
        <v>3955.4430379746836</v>
      </c>
      <c r="J84" s="100">
        <v>5.2631578947368416</v>
      </c>
      <c r="K84" s="100">
        <v>4111.5789473684199</v>
      </c>
      <c r="L84" s="100">
        <v>8.7272727272727266</v>
      </c>
      <c r="M84" s="100">
        <v>6817.7454545454539</v>
      </c>
      <c r="N84" s="100">
        <v>8</v>
      </c>
      <c r="O84" s="100">
        <v>6249.5999999999995</v>
      </c>
      <c r="P84" s="100">
        <v>9.5906432748538002</v>
      </c>
      <c r="Q84" s="100">
        <v>7492.2105263157882</v>
      </c>
      <c r="R84" s="100">
        <v>8.1355932203389827</v>
      </c>
      <c r="S84" s="100">
        <v>6355.5254237288127</v>
      </c>
      <c r="T84" s="100">
        <v>7.7837837837837842</v>
      </c>
      <c r="U84" s="100">
        <v>6080.6918918918918</v>
      </c>
      <c r="V84" s="100">
        <v>8</v>
      </c>
      <c r="W84" s="100">
        <v>6249.5999999999995</v>
      </c>
      <c r="X84" s="100">
        <v>6</v>
      </c>
      <c r="Y84" s="100">
        <v>4687.2</v>
      </c>
      <c r="Z84" s="100">
        <v>9</v>
      </c>
      <c r="AA84" s="100">
        <v>7030.7999999999993</v>
      </c>
      <c r="AB84" s="100">
        <v>9</v>
      </c>
      <c r="AC84" s="100">
        <v>7030.7999999999993</v>
      </c>
      <c r="AD84" s="100">
        <v>6</v>
      </c>
      <c r="AE84" s="100">
        <v>4687.2</v>
      </c>
      <c r="AF84" s="100">
        <v>8</v>
      </c>
      <c r="AG84" s="100">
        <v>6249.5999999999995</v>
      </c>
      <c r="AH84" s="100">
        <v>6</v>
      </c>
      <c r="AI84" s="100">
        <v>4687.2</v>
      </c>
      <c r="AJ84" s="100">
        <v>6</v>
      </c>
      <c r="AK84" s="100">
        <v>4687.2</v>
      </c>
      <c r="AL84" s="100">
        <v>6</v>
      </c>
      <c r="AM84" s="100">
        <v>4687.2</v>
      </c>
      <c r="AN84" s="100">
        <v>5</v>
      </c>
      <c r="AO84" s="100">
        <v>3905.9999999999995</v>
      </c>
      <c r="AP84" s="100">
        <v>6</v>
      </c>
      <c r="AQ84" s="100">
        <v>4687.2</v>
      </c>
      <c r="AR84" s="100">
        <v>8</v>
      </c>
      <c r="AS84" s="100">
        <v>6249.5999999999995</v>
      </c>
      <c r="AT84" s="100">
        <v>7</v>
      </c>
      <c r="AU84" s="100">
        <v>5468.4</v>
      </c>
      <c r="AV84" s="100">
        <v>9</v>
      </c>
      <c r="AW84" s="100">
        <v>7030.7999999999993</v>
      </c>
      <c r="AX84" s="100">
        <v>7</v>
      </c>
      <c r="AY84" s="100">
        <v>5468.4</v>
      </c>
      <c r="AZ84" s="100">
        <v>6</v>
      </c>
      <c r="BA84" s="100">
        <v>4687.2</v>
      </c>
      <c r="BB84" s="100">
        <v>7</v>
      </c>
      <c r="BC84" s="100">
        <v>5468.4</v>
      </c>
      <c r="BD84" s="100">
        <v>7</v>
      </c>
      <c r="BE84" s="100">
        <v>5468.4</v>
      </c>
      <c r="BF84" s="100">
        <v>10</v>
      </c>
      <c r="BG84" s="100">
        <v>7811.9999999999991</v>
      </c>
      <c r="BH84" s="100">
        <v>6</v>
      </c>
      <c r="BI84" s="100">
        <v>4687.2</v>
      </c>
      <c r="BJ84" s="100">
        <v>8</v>
      </c>
      <c r="BK84" s="100">
        <v>6249.5999999999995</v>
      </c>
      <c r="BL84" s="100">
        <v>10</v>
      </c>
      <c r="BM84" s="100">
        <v>7811.9999999999991</v>
      </c>
      <c r="BN84" s="100">
        <v>7</v>
      </c>
      <c r="BO84" s="100">
        <v>5468.4</v>
      </c>
      <c r="BP84" s="100">
        <v>8</v>
      </c>
      <c r="BQ84" s="100">
        <v>6249.5999999999995</v>
      </c>
      <c r="BR84" s="100">
        <v>7</v>
      </c>
      <c r="BS84" s="100">
        <v>5468.4</v>
      </c>
      <c r="BT84" s="100">
        <v>6.5901639344262293</v>
      </c>
      <c r="BU84" s="100">
        <v>5148.2360655737702</v>
      </c>
      <c r="BV84" s="100">
        <v>5.0470234693776831E-23</v>
      </c>
      <c r="BW84" s="100">
        <v>3.9427347342778456E-20</v>
      </c>
      <c r="BX84" s="100">
        <v>8</v>
      </c>
      <c r="BY84" s="100">
        <v>6249.5999999999995</v>
      </c>
      <c r="BZ84" s="100">
        <v>8</v>
      </c>
      <c r="CA84" s="100">
        <v>6249.5999999999995</v>
      </c>
      <c r="CB84" s="100">
        <v>5</v>
      </c>
      <c r="CC84" s="100">
        <v>3905.9999999999995</v>
      </c>
      <c r="CD84" s="100">
        <v>7</v>
      </c>
      <c r="CE84" s="100">
        <v>5468.4</v>
      </c>
      <c r="CF84" s="100">
        <v>10</v>
      </c>
      <c r="CG84" s="100">
        <v>7811.9999999999991</v>
      </c>
      <c r="CH84" s="100">
        <v>7</v>
      </c>
      <c r="CI84" s="100">
        <v>5468.4</v>
      </c>
      <c r="CJ84" s="100">
        <v>7</v>
      </c>
      <c r="CK84" s="100">
        <v>5468.4</v>
      </c>
      <c r="CL84" s="100">
        <v>6</v>
      </c>
      <c r="CM84" s="100">
        <v>4687.2</v>
      </c>
      <c r="CN84" s="100">
        <v>6</v>
      </c>
      <c r="CO84" s="100">
        <v>4687.2</v>
      </c>
      <c r="CP84" s="100">
        <v>8</v>
      </c>
      <c r="CQ84" s="100">
        <v>6249.5999999999995</v>
      </c>
      <c r="CR84" s="100">
        <v>8</v>
      </c>
      <c r="CS84" s="100">
        <v>6249.5999999999995</v>
      </c>
      <c r="CT84" s="100">
        <v>8</v>
      </c>
      <c r="CU84" s="100">
        <v>6249.5999999999995</v>
      </c>
    </row>
    <row r="85" spans="2:99">
      <c r="C85" s="99" t="s">
        <v>251</v>
      </c>
      <c r="D85" s="100">
        <v>4.9382716049382713</v>
      </c>
      <c r="E85" s="100">
        <v>740.74074074074065</v>
      </c>
      <c r="F85" s="100">
        <v>5.2173913043478262</v>
      </c>
      <c r="G85" s="100">
        <v>782.60869565217388</v>
      </c>
      <c r="H85" s="100">
        <v>5.6962025316455698</v>
      </c>
      <c r="I85" s="100">
        <v>854.43037974683546</v>
      </c>
      <c r="J85" s="100">
        <v>5.2631578947368416</v>
      </c>
      <c r="K85" s="100">
        <v>789.47368421052624</v>
      </c>
      <c r="L85" s="100">
        <v>9.6969696969696972</v>
      </c>
      <c r="M85" s="100">
        <v>1454.5454545454545</v>
      </c>
      <c r="N85" s="100">
        <v>8</v>
      </c>
      <c r="O85" s="100">
        <v>1200</v>
      </c>
      <c r="P85" s="100">
        <v>9.5906432748538002</v>
      </c>
      <c r="Q85" s="100">
        <v>1438.5964912280701</v>
      </c>
      <c r="R85" s="100">
        <v>9.0395480225988702</v>
      </c>
      <c r="S85" s="100">
        <v>1355.9322033898306</v>
      </c>
      <c r="T85" s="100">
        <v>7.7837837837837842</v>
      </c>
      <c r="U85" s="100">
        <v>1167.5675675675677</v>
      </c>
      <c r="V85" s="100">
        <v>8</v>
      </c>
      <c r="W85" s="100">
        <v>1200</v>
      </c>
      <c r="X85" s="100">
        <v>7</v>
      </c>
      <c r="Y85" s="100">
        <v>1050</v>
      </c>
      <c r="Z85" s="100">
        <v>9</v>
      </c>
      <c r="AA85" s="100">
        <v>1350</v>
      </c>
      <c r="AB85" s="100">
        <v>10</v>
      </c>
      <c r="AC85" s="100">
        <v>1500</v>
      </c>
      <c r="AD85" s="100">
        <v>7</v>
      </c>
      <c r="AE85" s="100">
        <v>1050</v>
      </c>
      <c r="AF85" s="100">
        <v>9</v>
      </c>
      <c r="AG85" s="100">
        <v>1350</v>
      </c>
      <c r="AH85" s="100">
        <v>6</v>
      </c>
      <c r="AI85" s="100">
        <v>900</v>
      </c>
      <c r="AJ85" s="100">
        <v>6</v>
      </c>
      <c r="AK85" s="100">
        <v>900</v>
      </c>
      <c r="AL85" s="100">
        <v>7</v>
      </c>
      <c r="AM85" s="100">
        <v>1050</v>
      </c>
      <c r="AN85" s="100">
        <v>5</v>
      </c>
      <c r="AO85" s="100">
        <v>750</v>
      </c>
      <c r="AP85" s="100">
        <v>6</v>
      </c>
      <c r="AQ85" s="100">
        <v>900</v>
      </c>
      <c r="AR85" s="100">
        <v>7</v>
      </c>
      <c r="AS85" s="100">
        <v>1050</v>
      </c>
      <c r="AT85" s="100">
        <v>7</v>
      </c>
      <c r="AU85" s="100">
        <v>1050</v>
      </c>
      <c r="AV85" s="100">
        <v>9</v>
      </c>
      <c r="AW85" s="100">
        <v>1350</v>
      </c>
      <c r="AX85" s="100">
        <v>8</v>
      </c>
      <c r="AY85" s="100">
        <v>1200</v>
      </c>
      <c r="AZ85" s="100">
        <v>8</v>
      </c>
      <c r="BA85" s="100">
        <v>1200</v>
      </c>
      <c r="BB85" s="100">
        <v>9</v>
      </c>
      <c r="BC85" s="100">
        <v>1350</v>
      </c>
      <c r="BD85" s="100">
        <v>8</v>
      </c>
      <c r="BE85" s="100">
        <v>1200</v>
      </c>
      <c r="BF85" s="100">
        <v>11</v>
      </c>
      <c r="BG85" s="100">
        <v>1650</v>
      </c>
      <c r="BH85" s="100">
        <v>6</v>
      </c>
      <c r="BI85" s="100">
        <v>900</v>
      </c>
      <c r="BJ85" s="100">
        <v>8</v>
      </c>
      <c r="BK85" s="100">
        <v>1200</v>
      </c>
      <c r="BL85" s="100">
        <v>10</v>
      </c>
      <c r="BM85" s="100">
        <v>1500</v>
      </c>
      <c r="BN85" s="100">
        <v>8</v>
      </c>
      <c r="BO85" s="100">
        <v>1200</v>
      </c>
      <c r="BP85" s="100">
        <v>8</v>
      </c>
      <c r="BQ85" s="100">
        <v>1200</v>
      </c>
      <c r="BR85" s="100">
        <v>7</v>
      </c>
      <c r="BS85" s="100">
        <v>1050</v>
      </c>
      <c r="BT85" s="100">
        <v>7.3224043715846996</v>
      </c>
      <c r="BU85" s="100">
        <v>1098.360655737705</v>
      </c>
      <c r="BV85" s="100">
        <v>6.3087793367221035E-23</v>
      </c>
      <c r="BW85" s="100">
        <v>9.4631690050831546E-21</v>
      </c>
      <c r="BX85" s="100">
        <v>8</v>
      </c>
      <c r="BY85" s="100">
        <v>1200</v>
      </c>
      <c r="BZ85" s="100">
        <v>7</v>
      </c>
      <c r="CA85" s="100">
        <v>1050</v>
      </c>
      <c r="CB85" s="100">
        <v>6</v>
      </c>
      <c r="CC85" s="100">
        <v>900</v>
      </c>
      <c r="CD85" s="100">
        <v>8</v>
      </c>
      <c r="CE85" s="100">
        <v>1200</v>
      </c>
      <c r="CF85" s="100">
        <v>9</v>
      </c>
      <c r="CG85" s="100">
        <v>1350</v>
      </c>
      <c r="CH85" s="100">
        <v>7</v>
      </c>
      <c r="CI85" s="100">
        <v>1050</v>
      </c>
      <c r="CJ85" s="100">
        <v>7</v>
      </c>
      <c r="CK85" s="100">
        <v>1050</v>
      </c>
      <c r="CL85" s="100">
        <v>6</v>
      </c>
      <c r="CM85" s="100">
        <v>900</v>
      </c>
      <c r="CN85" s="100">
        <v>6</v>
      </c>
      <c r="CO85" s="100">
        <v>900</v>
      </c>
      <c r="CP85" s="100">
        <v>9</v>
      </c>
      <c r="CQ85" s="100">
        <v>1350</v>
      </c>
      <c r="CR85" s="100">
        <v>9</v>
      </c>
      <c r="CS85" s="100">
        <v>1350</v>
      </c>
      <c r="CT85" s="100">
        <v>8</v>
      </c>
      <c r="CU85" s="100">
        <v>1200</v>
      </c>
    </row>
    <row r="86" spans="2:99">
      <c r="C86" s="99" t="s">
        <v>252</v>
      </c>
      <c r="D86" s="100">
        <v>4.9382716049382713</v>
      </c>
      <c r="E86" s="100">
        <v>2666.6666666666665</v>
      </c>
      <c r="F86" s="100">
        <v>4.3478260869565215</v>
      </c>
      <c r="G86" s="100">
        <v>2347.8260869565215</v>
      </c>
      <c r="H86" s="100">
        <v>5.0632911392405067</v>
      </c>
      <c r="I86" s="100">
        <v>2734.1772151898736</v>
      </c>
      <c r="J86" s="100">
        <v>4.6783625730994149</v>
      </c>
      <c r="K86" s="100">
        <v>2526.3157894736842</v>
      </c>
      <c r="L86" s="100">
        <v>8.7272727272727266</v>
      </c>
      <c r="M86" s="100">
        <v>4712.7272727272721</v>
      </c>
      <c r="N86" s="100">
        <v>8</v>
      </c>
      <c r="O86" s="100">
        <v>4320</v>
      </c>
      <c r="P86" s="100">
        <v>8.6315789473684212</v>
      </c>
      <c r="Q86" s="100">
        <v>4661.0526315789475</v>
      </c>
      <c r="R86" s="100">
        <v>8.1355932203389827</v>
      </c>
      <c r="S86" s="100">
        <v>4393.2203389830511</v>
      </c>
      <c r="T86" s="100">
        <v>8.6486486486486491</v>
      </c>
      <c r="U86" s="100">
        <v>4670.2702702702709</v>
      </c>
      <c r="V86" s="100">
        <v>7</v>
      </c>
      <c r="W86" s="100">
        <v>3780</v>
      </c>
      <c r="X86" s="100">
        <v>6</v>
      </c>
      <c r="Y86" s="100">
        <v>3240</v>
      </c>
      <c r="Z86" s="100">
        <v>8</v>
      </c>
      <c r="AA86" s="100">
        <v>4320</v>
      </c>
      <c r="AB86" s="100">
        <v>9</v>
      </c>
      <c r="AC86" s="100">
        <v>4860</v>
      </c>
      <c r="AD86" s="100">
        <v>6</v>
      </c>
      <c r="AE86" s="100">
        <v>3240</v>
      </c>
      <c r="AF86" s="100">
        <v>7</v>
      </c>
      <c r="AG86" s="100">
        <v>3780</v>
      </c>
      <c r="AH86" s="100">
        <v>6</v>
      </c>
      <c r="AI86" s="100">
        <v>3240</v>
      </c>
      <c r="AJ86" s="100">
        <v>6</v>
      </c>
      <c r="AK86" s="100">
        <v>3240</v>
      </c>
      <c r="AL86" s="100">
        <v>7</v>
      </c>
      <c r="AM86" s="100">
        <v>3780</v>
      </c>
      <c r="AN86" s="100">
        <v>5</v>
      </c>
      <c r="AO86" s="100">
        <v>2700</v>
      </c>
      <c r="AP86" s="100">
        <v>6</v>
      </c>
      <c r="AQ86" s="100">
        <v>3240</v>
      </c>
      <c r="AR86" s="100">
        <v>7</v>
      </c>
      <c r="AS86" s="100">
        <v>3780</v>
      </c>
      <c r="AT86" s="100">
        <v>8</v>
      </c>
      <c r="AU86" s="100">
        <v>4320</v>
      </c>
      <c r="AV86" s="100">
        <v>8</v>
      </c>
      <c r="AW86" s="100">
        <v>4320</v>
      </c>
      <c r="AX86" s="100">
        <v>7</v>
      </c>
      <c r="AY86" s="100">
        <v>3780</v>
      </c>
      <c r="AZ86" s="100">
        <v>7</v>
      </c>
      <c r="BA86" s="100">
        <v>3780</v>
      </c>
      <c r="BB86" s="100">
        <v>7</v>
      </c>
      <c r="BC86" s="100">
        <v>3780</v>
      </c>
      <c r="BD86" s="100">
        <v>8</v>
      </c>
      <c r="BE86" s="100">
        <v>4320</v>
      </c>
      <c r="BF86" s="100">
        <v>11</v>
      </c>
      <c r="BG86" s="100">
        <v>5940</v>
      </c>
      <c r="BH86" s="100">
        <v>6</v>
      </c>
      <c r="BI86" s="100">
        <v>3240</v>
      </c>
      <c r="BJ86" s="100">
        <v>9</v>
      </c>
      <c r="BK86" s="100">
        <v>4860</v>
      </c>
      <c r="BL86" s="100">
        <v>11</v>
      </c>
      <c r="BM86" s="100">
        <v>5940</v>
      </c>
      <c r="BN86" s="100">
        <v>7</v>
      </c>
      <c r="BO86" s="100">
        <v>3780</v>
      </c>
      <c r="BP86" s="100">
        <v>8</v>
      </c>
      <c r="BQ86" s="100">
        <v>4320</v>
      </c>
      <c r="BR86" s="100">
        <v>6</v>
      </c>
      <c r="BS86" s="100">
        <v>3240</v>
      </c>
      <c r="BT86" s="100">
        <v>6.5901639344262293</v>
      </c>
      <c r="BU86" s="100">
        <v>3558.688524590164</v>
      </c>
      <c r="BV86" s="100">
        <v>6.3087793367221035E-23</v>
      </c>
      <c r="BW86" s="100">
        <v>3.4067408418299356E-20</v>
      </c>
      <c r="BX86" s="100">
        <v>9</v>
      </c>
      <c r="BY86" s="100">
        <v>4860</v>
      </c>
      <c r="BZ86" s="100">
        <v>8</v>
      </c>
      <c r="CA86" s="100">
        <v>4320</v>
      </c>
      <c r="CB86" s="100">
        <v>6</v>
      </c>
      <c r="CC86" s="100">
        <v>3240</v>
      </c>
      <c r="CD86" s="100">
        <v>7</v>
      </c>
      <c r="CE86" s="100">
        <v>3780</v>
      </c>
      <c r="CF86" s="100">
        <v>9</v>
      </c>
      <c r="CG86" s="100">
        <v>4860</v>
      </c>
      <c r="CH86" s="100">
        <v>7</v>
      </c>
      <c r="CI86" s="100">
        <v>3780</v>
      </c>
      <c r="CJ86" s="100">
        <v>7</v>
      </c>
      <c r="CK86" s="100">
        <v>3780</v>
      </c>
      <c r="CL86" s="100">
        <v>6</v>
      </c>
      <c r="CM86" s="100">
        <v>3240</v>
      </c>
      <c r="CN86" s="100">
        <v>6</v>
      </c>
      <c r="CO86" s="100">
        <v>3240</v>
      </c>
      <c r="CP86" s="100">
        <v>8</v>
      </c>
      <c r="CQ86" s="100">
        <v>4320</v>
      </c>
      <c r="CR86" s="100">
        <v>8</v>
      </c>
      <c r="CS86" s="100">
        <v>4320</v>
      </c>
      <c r="CT86" s="100">
        <v>7</v>
      </c>
      <c r="CU86" s="100">
        <v>3780</v>
      </c>
    </row>
    <row r="87" spans="2:99">
      <c r="B87" s="99" t="s">
        <v>131</v>
      </c>
      <c r="C87" s="99" t="s">
        <v>253</v>
      </c>
      <c r="D87" s="100">
        <v>7</v>
      </c>
      <c r="E87" s="100">
        <v>7518</v>
      </c>
      <c r="F87" s="100">
        <v>10</v>
      </c>
      <c r="G87" s="100">
        <v>10740</v>
      </c>
      <c r="H87" s="100">
        <v>8</v>
      </c>
      <c r="I87" s="100">
        <v>8592</v>
      </c>
      <c r="J87" s="100">
        <v>9</v>
      </c>
      <c r="K87" s="100">
        <v>9666</v>
      </c>
      <c r="L87" s="100">
        <v>11</v>
      </c>
      <c r="M87" s="100">
        <v>11814</v>
      </c>
      <c r="N87" s="100">
        <v>10</v>
      </c>
      <c r="O87" s="100">
        <v>10740</v>
      </c>
      <c r="P87" s="100">
        <v>7</v>
      </c>
      <c r="Q87" s="100">
        <v>7518</v>
      </c>
      <c r="R87" s="100">
        <v>7</v>
      </c>
      <c r="S87" s="100">
        <v>7518</v>
      </c>
      <c r="T87" s="100">
        <v>6</v>
      </c>
      <c r="U87" s="100">
        <v>6444</v>
      </c>
      <c r="V87" s="100">
        <v>11</v>
      </c>
      <c r="W87" s="100">
        <v>11814</v>
      </c>
      <c r="X87" s="100">
        <v>9</v>
      </c>
      <c r="Y87" s="100">
        <v>9666</v>
      </c>
      <c r="Z87" s="100">
        <v>10</v>
      </c>
      <c r="AA87" s="100">
        <v>10740</v>
      </c>
      <c r="AB87" s="100">
        <v>7</v>
      </c>
      <c r="AC87" s="100">
        <v>7518</v>
      </c>
      <c r="AD87" s="100">
        <v>10</v>
      </c>
      <c r="AE87" s="100">
        <v>10740</v>
      </c>
      <c r="AF87" s="100">
        <v>10</v>
      </c>
      <c r="AG87" s="100">
        <v>10740</v>
      </c>
      <c r="AH87" s="100">
        <v>7</v>
      </c>
      <c r="AI87" s="100">
        <v>7518</v>
      </c>
      <c r="AJ87" s="100">
        <v>8</v>
      </c>
      <c r="AK87" s="100">
        <v>8592</v>
      </c>
      <c r="AL87" s="100">
        <v>10</v>
      </c>
      <c r="AM87" s="100">
        <v>10740</v>
      </c>
      <c r="AN87" s="100">
        <v>10</v>
      </c>
      <c r="AO87" s="100">
        <v>10740</v>
      </c>
      <c r="AP87" s="100">
        <v>6</v>
      </c>
      <c r="AQ87" s="100">
        <v>6444</v>
      </c>
      <c r="AR87" s="100">
        <v>10</v>
      </c>
      <c r="AS87" s="100">
        <v>10740</v>
      </c>
      <c r="AT87" s="100">
        <v>8</v>
      </c>
      <c r="AU87" s="100">
        <v>8592</v>
      </c>
      <c r="AV87" s="100">
        <v>8</v>
      </c>
      <c r="AW87" s="100">
        <v>8592</v>
      </c>
      <c r="AX87" s="100">
        <v>6</v>
      </c>
      <c r="AY87" s="100">
        <v>6444</v>
      </c>
      <c r="AZ87" s="100">
        <v>11</v>
      </c>
      <c r="BA87" s="100">
        <v>11814</v>
      </c>
      <c r="BB87" s="100">
        <v>10</v>
      </c>
      <c r="BC87" s="100">
        <v>10740</v>
      </c>
      <c r="BD87" s="100">
        <v>6</v>
      </c>
      <c r="BE87" s="100">
        <v>6444</v>
      </c>
      <c r="BF87" s="100">
        <v>11</v>
      </c>
      <c r="BG87" s="100">
        <v>11814</v>
      </c>
      <c r="BH87" s="100">
        <v>8</v>
      </c>
      <c r="BI87" s="100">
        <v>8592</v>
      </c>
      <c r="BJ87" s="100">
        <v>9</v>
      </c>
      <c r="BK87" s="100">
        <v>9666</v>
      </c>
      <c r="BL87" s="100">
        <v>11</v>
      </c>
      <c r="BM87" s="100">
        <v>11814</v>
      </c>
      <c r="BN87" s="100">
        <v>8</v>
      </c>
      <c r="BO87" s="100">
        <v>8592</v>
      </c>
      <c r="BP87" s="100">
        <v>11</v>
      </c>
      <c r="BQ87" s="100">
        <v>11814</v>
      </c>
      <c r="BR87" s="100">
        <v>12</v>
      </c>
      <c r="BS87" s="100">
        <v>12888</v>
      </c>
      <c r="BT87" s="100">
        <v>11</v>
      </c>
      <c r="BU87" s="100">
        <v>11814</v>
      </c>
      <c r="BV87" s="100">
        <v>10</v>
      </c>
      <c r="BW87" s="100">
        <v>10740</v>
      </c>
      <c r="BX87" s="100">
        <v>6</v>
      </c>
      <c r="BY87" s="100">
        <v>6444</v>
      </c>
      <c r="BZ87" s="100">
        <v>9</v>
      </c>
      <c r="CA87" s="100">
        <v>9666</v>
      </c>
      <c r="CB87" s="100">
        <v>7</v>
      </c>
      <c r="CC87" s="100">
        <v>7518</v>
      </c>
      <c r="CD87" s="100">
        <v>11</v>
      </c>
      <c r="CE87" s="100">
        <v>11814</v>
      </c>
      <c r="CF87" s="100">
        <v>13</v>
      </c>
      <c r="CG87" s="100">
        <v>13962</v>
      </c>
      <c r="CH87" s="100">
        <v>7</v>
      </c>
      <c r="CI87" s="100">
        <v>7518</v>
      </c>
      <c r="CJ87" s="100">
        <v>11</v>
      </c>
      <c r="CK87" s="100">
        <v>11814</v>
      </c>
      <c r="CL87" s="100">
        <v>13</v>
      </c>
      <c r="CM87" s="100">
        <v>13962</v>
      </c>
      <c r="CN87" s="100">
        <v>11</v>
      </c>
      <c r="CO87" s="100">
        <v>11814</v>
      </c>
      <c r="CP87" s="100">
        <v>7</v>
      </c>
      <c r="CQ87" s="100">
        <v>7518</v>
      </c>
      <c r="CR87" s="100">
        <v>8</v>
      </c>
      <c r="CS87" s="100">
        <v>8592</v>
      </c>
      <c r="CT87" s="100">
        <v>12</v>
      </c>
      <c r="CU87" s="100">
        <v>12888</v>
      </c>
    </row>
    <row r="88" spans="2:99">
      <c r="C88" s="99" t="s">
        <v>254</v>
      </c>
      <c r="D88" s="100">
        <v>7</v>
      </c>
      <c r="E88" s="100">
        <v>6946.8</v>
      </c>
      <c r="F88" s="100">
        <v>10</v>
      </c>
      <c r="G88" s="100">
        <v>9924</v>
      </c>
      <c r="H88" s="100">
        <v>8</v>
      </c>
      <c r="I88" s="100">
        <v>7939.2</v>
      </c>
      <c r="J88" s="100">
        <v>9</v>
      </c>
      <c r="K88" s="100">
        <v>8931.6</v>
      </c>
      <c r="L88" s="100">
        <v>10</v>
      </c>
      <c r="M88" s="100">
        <v>9924</v>
      </c>
      <c r="N88" s="100">
        <v>9</v>
      </c>
      <c r="O88" s="100">
        <v>8931.6</v>
      </c>
      <c r="P88" s="100">
        <v>8</v>
      </c>
      <c r="Q88" s="100">
        <v>7939.2</v>
      </c>
      <c r="R88" s="100">
        <v>7</v>
      </c>
      <c r="S88" s="100">
        <v>6946.8</v>
      </c>
      <c r="T88" s="100">
        <v>7</v>
      </c>
      <c r="U88" s="100">
        <v>6946.8</v>
      </c>
      <c r="V88" s="100">
        <v>11</v>
      </c>
      <c r="W88" s="100">
        <v>10916.4</v>
      </c>
      <c r="X88" s="100">
        <v>8</v>
      </c>
      <c r="Y88" s="100">
        <v>7939.2</v>
      </c>
      <c r="Z88" s="100">
        <v>11</v>
      </c>
      <c r="AA88" s="100">
        <v>10916.4</v>
      </c>
      <c r="AB88" s="100">
        <v>7</v>
      </c>
      <c r="AC88" s="100">
        <v>6946.8</v>
      </c>
      <c r="AD88" s="100">
        <v>10</v>
      </c>
      <c r="AE88" s="100">
        <v>9924</v>
      </c>
      <c r="AF88" s="100">
        <v>11</v>
      </c>
      <c r="AG88" s="100">
        <v>10916.4</v>
      </c>
      <c r="AH88" s="100">
        <v>7</v>
      </c>
      <c r="AI88" s="100">
        <v>6946.8</v>
      </c>
      <c r="AJ88" s="100">
        <v>9</v>
      </c>
      <c r="AK88" s="100">
        <v>8931.6</v>
      </c>
      <c r="AL88" s="100">
        <v>10</v>
      </c>
      <c r="AM88" s="100">
        <v>9924</v>
      </c>
      <c r="AN88" s="100">
        <v>11</v>
      </c>
      <c r="AO88" s="100">
        <v>10916.4</v>
      </c>
      <c r="AP88" s="100">
        <v>7</v>
      </c>
      <c r="AQ88" s="100">
        <v>6946.8</v>
      </c>
      <c r="AR88" s="100">
        <v>9</v>
      </c>
      <c r="AS88" s="100">
        <v>8931.6</v>
      </c>
      <c r="AT88" s="100">
        <v>9</v>
      </c>
      <c r="AU88" s="100">
        <v>8931.6</v>
      </c>
      <c r="AV88" s="100">
        <v>9</v>
      </c>
      <c r="AW88" s="100">
        <v>8931.6</v>
      </c>
      <c r="AX88" s="100">
        <v>6</v>
      </c>
      <c r="AY88" s="100">
        <v>5954.4</v>
      </c>
      <c r="AZ88" s="100">
        <v>12</v>
      </c>
      <c r="BA88" s="100">
        <v>11908.8</v>
      </c>
      <c r="BB88" s="100">
        <v>11</v>
      </c>
      <c r="BC88" s="100">
        <v>10916.4</v>
      </c>
      <c r="BD88" s="100">
        <v>7</v>
      </c>
      <c r="BE88" s="100">
        <v>6946.8</v>
      </c>
      <c r="BF88" s="100">
        <v>12</v>
      </c>
      <c r="BG88" s="100">
        <v>11908.8</v>
      </c>
      <c r="BH88" s="100">
        <v>9</v>
      </c>
      <c r="BI88" s="100">
        <v>8931.6</v>
      </c>
      <c r="BJ88" s="100">
        <v>9</v>
      </c>
      <c r="BK88" s="100">
        <v>8931.6</v>
      </c>
      <c r="BL88" s="100">
        <v>10</v>
      </c>
      <c r="BM88" s="100">
        <v>9924</v>
      </c>
      <c r="BN88" s="100">
        <v>10</v>
      </c>
      <c r="BO88" s="100">
        <v>9924</v>
      </c>
      <c r="BP88" s="100">
        <v>11</v>
      </c>
      <c r="BQ88" s="100">
        <v>10916.4</v>
      </c>
      <c r="BR88" s="100">
        <v>12</v>
      </c>
      <c r="BS88" s="100">
        <v>11908.8</v>
      </c>
      <c r="BT88" s="100">
        <v>11</v>
      </c>
      <c r="BU88" s="100">
        <v>10916.4</v>
      </c>
      <c r="BV88" s="100">
        <v>11</v>
      </c>
      <c r="BW88" s="100">
        <v>10916.4</v>
      </c>
      <c r="BX88" s="100">
        <v>7</v>
      </c>
      <c r="BY88" s="100">
        <v>6946.8</v>
      </c>
      <c r="BZ88" s="100">
        <v>10</v>
      </c>
      <c r="CA88" s="100">
        <v>9924</v>
      </c>
      <c r="CB88" s="100">
        <v>8</v>
      </c>
      <c r="CC88" s="100">
        <v>7939.2</v>
      </c>
      <c r="CD88" s="100">
        <v>13</v>
      </c>
      <c r="CE88" s="100">
        <v>12901.199999999999</v>
      </c>
      <c r="CF88" s="100">
        <v>13</v>
      </c>
      <c r="CG88" s="100">
        <v>12901.199999999999</v>
      </c>
      <c r="CH88" s="100">
        <v>7</v>
      </c>
      <c r="CI88" s="100">
        <v>6946.8</v>
      </c>
      <c r="CJ88" s="100">
        <v>10</v>
      </c>
      <c r="CK88" s="100">
        <v>9924</v>
      </c>
      <c r="CL88" s="100">
        <v>13</v>
      </c>
      <c r="CM88" s="100">
        <v>12901.199999999999</v>
      </c>
      <c r="CN88" s="100">
        <v>10</v>
      </c>
      <c r="CO88" s="100">
        <v>9924</v>
      </c>
      <c r="CP88" s="100">
        <v>8</v>
      </c>
      <c r="CQ88" s="100">
        <v>7939.2</v>
      </c>
      <c r="CR88" s="100">
        <v>8</v>
      </c>
      <c r="CS88" s="100">
        <v>7939.2</v>
      </c>
      <c r="CT88" s="100">
        <v>11</v>
      </c>
      <c r="CU88" s="100">
        <v>10916.4</v>
      </c>
    </row>
    <row r="89" spans="2:99">
      <c r="C89" s="99" t="s">
        <v>255</v>
      </c>
      <c r="D89" s="100">
        <v>7</v>
      </c>
      <c r="E89" s="100">
        <v>7434</v>
      </c>
      <c r="F89" s="100">
        <v>9</v>
      </c>
      <c r="G89" s="100">
        <v>9558</v>
      </c>
      <c r="H89" s="100">
        <v>8</v>
      </c>
      <c r="I89" s="100">
        <v>8496</v>
      </c>
      <c r="J89" s="100">
        <v>9</v>
      </c>
      <c r="K89" s="100">
        <v>9558</v>
      </c>
      <c r="L89" s="100">
        <v>11</v>
      </c>
      <c r="M89" s="100">
        <v>11682</v>
      </c>
      <c r="N89" s="100">
        <v>10</v>
      </c>
      <c r="O89" s="100">
        <v>10620</v>
      </c>
      <c r="P89" s="100">
        <v>8</v>
      </c>
      <c r="Q89" s="100">
        <v>8496</v>
      </c>
      <c r="R89" s="100">
        <v>8</v>
      </c>
      <c r="S89" s="100">
        <v>8496</v>
      </c>
      <c r="T89" s="100">
        <v>7</v>
      </c>
      <c r="U89" s="100">
        <v>7434</v>
      </c>
      <c r="V89" s="100">
        <v>10</v>
      </c>
      <c r="W89" s="100">
        <v>10620</v>
      </c>
      <c r="X89" s="100">
        <v>9</v>
      </c>
      <c r="Y89" s="100">
        <v>9558</v>
      </c>
      <c r="Z89" s="100">
        <v>10</v>
      </c>
      <c r="AA89" s="100">
        <v>10620</v>
      </c>
      <c r="AB89" s="100">
        <v>7</v>
      </c>
      <c r="AC89" s="100">
        <v>7434</v>
      </c>
      <c r="AD89" s="100">
        <v>10</v>
      </c>
      <c r="AE89" s="100">
        <v>10620</v>
      </c>
      <c r="AF89" s="100">
        <v>10</v>
      </c>
      <c r="AG89" s="100">
        <v>10620</v>
      </c>
      <c r="AH89" s="100">
        <v>7</v>
      </c>
      <c r="AI89" s="100">
        <v>7434</v>
      </c>
      <c r="AJ89" s="100">
        <v>8</v>
      </c>
      <c r="AK89" s="100">
        <v>8496</v>
      </c>
      <c r="AL89" s="100">
        <v>10</v>
      </c>
      <c r="AM89" s="100">
        <v>10620</v>
      </c>
      <c r="AN89" s="100">
        <v>10</v>
      </c>
      <c r="AO89" s="100">
        <v>10620</v>
      </c>
      <c r="AP89" s="100">
        <v>7</v>
      </c>
      <c r="AQ89" s="100">
        <v>7434</v>
      </c>
      <c r="AR89" s="100">
        <v>10</v>
      </c>
      <c r="AS89" s="100">
        <v>10620</v>
      </c>
      <c r="AT89" s="100">
        <v>8</v>
      </c>
      <c r="AU89" s="100">
        <v>8496</v>
      </c>
      <c r="AV89" s="100">
        <v>7</v>
      </c>
      <c r="AW89" s="100">
        <v>7434</v>
      </c>
      <c r="AX89" s="100">
        <v>6</v>
      </c>
      <c r="AY89" s="100">
        <v>6372</v>
      </c>
      <c r="AZ89" s="100">
        <v>11</v>
      </c>
      <c r="BA89" s="100">
        <v>11682</v>
      </c>
      <c r="BB89" s="100">
        <v>10</v>
      </c>
      <c r="BC89" s="100">
        <v>10620</v>
      </c>
      <c r="BD89" s="100">
        <v>7</v>
      </c>
      <c r="BE89" s="100">
        <v>7434</v>
      </c>
      <c r="BF89" s="100">
        <v>12</v>
      </c>
      <c r="BG89" s="100">
        <v>12744</v>
      </c>
      <c r="BH89" s="100">
        <v>8</v>
      </c>
      <c r="BI89" s="100">
        <v>8496</v>
      </c>
      <c r="BJ89" s="100">
        <v>9</v>
      </c>
      <c r="BK89" s="100">
        <v>9558</v>
      </c>
      <c r="BL89" s="100">
        <v>10</v>
      </c>
      <c r="BM89" s="100">
        <v>10620</v>
      </c>
      <c r="BN89" s="100">
        <v>9</v>
      </c>
      <c r="BO89" s="100">
        <v>9558</v>
      </c>
      <c r="BP89" s="100">
        <v>11</v>
      </c>
      <c r="BQ89" s="100">
        <v>11682</v>
      </c>
      <c r="BR89" s="100">
        <v>11</v>
      </c>
      <c r="BS89" s="100">
        <v>11682</v>
      </c>
      <c r="BT89" s="100">
        <v>10</v>
      </c>
      <c r="BU89" s="100">
        <v>10620</v>
      </c>
      <c r="BV89" s="100">
        <v>11</v>
      </c>
      <c r="BW89" s="100">
        <v>11682</v>
      </c>
      <c r="BX89" s="100">
        <v>6</v>
      </c>
      <c r="BY89" s="100">
        <v>6372</v>
      </c>
      <c r="BZ89" s="100">
        <v>9</v>
      </c>
      <c r="CA89" s="100">
        <v>9558</v>
      </c>
      <c r="CB89" s="100">
        <v>7</v>
      </c>
      <c r="CC89" s="100">
        <v>7434</v>
      </c>
      <c r="CD89" s="100">
        <v>12</v>
      </c>
      <c r="CE89" s="100">
        <v>12744</v>
      </c>
      <c r="CF89" s="100">
        <v>13</v>
      </c>
      <c r="CG89" s="100">
        <v>13806</v>
      </c>
      <c r="CH89" s="100">
        <v>8</v>
      </c>
      <c r="CI89" s="100">
        <v>8496</v>
      </c>
      <c r="CJ89" s="100">
        <v>11</v>
      </c>
      <c r="CK89" s="100">
        <v>11682</v>
      </c>
      <c r="CL89" s="100">
        <v>12</v>
      </c>
      <c r="CM89" s="100">
        <v>12744</v>
      </c>
      <c r="CN89" s="100">
        <v>10</v>
      </c>
      <c r="CO89" s="100">
        <v>10620</v>
      </c>
      <c r="CP89" s="100">
        <v>8</v>
      </c>
      <c r="CQ89" s="100">
        <v>8496</v>
      </c>
      <c r="CR89" s="100">
        <v>8</v>
      </c>
      <c r="CS89" s="100">
        <v>8496</v>
      </c>
      <c r="CT89" s="100">
        <v>13</v>
      </c>
      <c r="CU89" s="100">
        <v>13806</v>
      </c>
    </row>
    <row r="90" spans="2:99">
      <c r="C90" s="99" t="s">
        <v>256</v>
      </c>
      <c r="D90" s="100">
        <v>7</v>
      </c>
      <c r="E90" s="100">
        <v>7761.5999999999995</v>
      </c>
      <c r="F90" s="100">
        <v>9</v>
      </c>
      <c r="G90" s="100">
        <v>9979.1999999999989</v>
      </c>
      <c r="H90" s="100">
        <v>7</v>
      </c>
      <c r="I90" s="100">
        <v>7761.5999999999995</v>
      </c>
      <c r="J90" s="100">
        <v>8</v>
      </c>
      <c r="K90" s="100">
        <v>8870.4</v>
      </c>
      <c r="L90" s="100">
        <v>12</v>
      </c>
      <c r="M90" s="100">
        <v>13305.599999999999</v>
      </c>
      <c r="N90" s="100">
        <v>10</v>
      </c>
      <c r="O90" s="100">
        <v>11088</v>
      </c>
      <c r="P90" s="100">
        <v>7</v>
      </c>
      <c r="Q90" s="100">
        <v>7761.5999999999995</v>
      </c>
      <c r="R90" s="100">
        <v>8</v>
      </c>
      <c r="S90" s="100">
        <v>8870.4</v>
      </c>
      <c r="T90" s="100">
        <v>7</v>
      </c>
      <c r="U90" s="100">
        <v>7761.5999999999995</v>
      </c>
      <c r="V90" s="100">
        <v>10</v>
      </c>
      <c r="W90" s="100">
        <v>11088</v>
      </c>
      <c r="X90" s="100">
        <v>9</v>
      </c>
      <c r="Y90" s="100">
        <v>9979.1999999999989</v>
      </c>
      <c r="Z90" s="100">
        <v>11</v>
      </c>
      <c r="AA90" s="100">
        <v>12196.8</v>
      </c>
      <c r="AB90" s="100">
        <v>6</v>
      </c>
      <c r="AC90" s="100">
        <v>6652.7999999999993</v>
      </c>
      <c r="AD90" s="100">
        <v>10</v>
      </c>
      <c r="AE90" s="100">
        <v>11088</v>
      </c>
      <c r="AF90" s="100">
        <v>10</v>
      </c>
      <c r="AG90" s="100">
        <v>11088</v>
      </c>
      <c r="AH90" s="100">
        <v>6</v>
      </c>
      <c r="AI90" s="100">
        <v>6652.7999999999993</v>
      </c>
      <c r="AJ90" s="100">
        <v>7</v>
      </c>
      <c r="AK90" s="100">
        <v>7761.5999999999995</v>
      </c>
      <c r="AL90" s="100">
        <v>10</v>
      </c>
      <c r="AM90" s="100">
        <v>11088</v>
      </c>
      <c r="AN90" s="100">
        <v>10</v>
      </c>
      <c r="AO90" s="100">
        <v>11088</v>
      </c>
      <c r="AP90" s="100">
        <v>7</v>
      </c>
      <c r="AQ90" s="100">
        <v>7761.5999999999995</v>
      </c>
      <c r="AR90" s="100">
        <v>10</v>
      </c>
      <c r="AS90" s="100">
        <v>11088</v>
      </c>
      <c r="AT90" s="100">
        <v>8</v>
      </c>
      <c r="AU90" s="100">
        <v>8870.4</v>
      </c>
      <c r="AV90" s="100">
        <v>8</v>
      </c>
      <c r="AW90" s="100">
        <v>8870.4</v>
      </c>
      <c r="AX90" s="100">
        <v>7</v>
      </c>
      <c r="AY90" s="100">
        <v>7761.5999999999995</v>
      </c>
      <c r="AZ90" s="100">
        <v>13</v>
      </c>
      <c r="BA90" s="100">
        <v>14414.4</v>
      </c>
      <c r="BB90" s="100">
        <v>10</v>
      </c>
      <c r="BC90" s="100">
        <v>11088</v>
      </c>
      <c r="BD90" s="100">
        <v>6</v>
      </c>
      <c r="BE90" s="100">
        <v>6652.7999999999993</v>
      </c>
      <c r="BF90" s="100">
        <v>10</v>
      </c>
      <c r="BG90" s="100">
        <v>11088</v>
      </c>
      <c r="BH90" s="100">
        <v>9</v>
      </c>
      <c r="BI90" s="100">
        <v>9979.1999999999989</v>
      </c>
      <c r="BJ90" s="100">
        <v>8</v>
      </c>
      <c r="BK90" s="100">
        <v>8870.4</v>
      </c>
      <c r="BL90" s="100">
        <v>10</v>
      </c>
      <c r="BM90" s="100">
        <v>11088</v>
      </c>
      <c r="BN90" s="100">
        <v>9</v>
      </c>
      <c r="BO90" s="100">
        <v>9979.1999999999989</v>
      </c>
      <c r="BP90" s="100">
        <v>11</v>
      </c>
      <c r="BQ90" s="100">
        <v>12196.8</v>
      </c>
      <c r="BR90" s="100">
        <v>12</v>
      </c>
      <c r="BS90" s="100">
        <v>13305.599999999999</v>
      </c>
      <c r="BT90" s="100">
        <v>9</v>
      </c>
      <c r="BU90" s="100">
        <v>9979.1999999999989</v>
      </c>
      <c r="BV90" s="100">
        <v>11</v>
      </c>
      <c r="BW90" s="100">
        <v>12196.8</v>
      </c>
      <c r="BX90" s="100">
        <v>7</v>
      </c>
      <c r="BY90" s="100">
        <v>7761.5999999999995</v>
      </c>
      <c r="BZ90" s="100">
        <v>9</v>
      </c>
      <c r="CA90" s="100">
        <v>9979.1999999999989</v>
      </c>
      <c r="CB90" s="100">
        <v>7</v>
      </c>
      <c r="CC90" s="100">
        <v>7761.5999999999995</v>
      </c>
      <c r="CD90" s="100">
        <v>12</v>
      </c>
      <c r="CE90" s="100">
        <v>13305.599999999999</v>
      </c>
      <c r="CF90" s="100">
        <v>13</v>
      </c>
      <c r="CG90" s="100">
        <v>14414.4</v>
      </c>
      <c r="CH90" s="100">
        <v>7</v>
      </c>
      <c r="CI90" s="100">
        <v>7761.5999999999995</v>
      </c>
      <c r="CJ90" s="100">
        <v>11</v>
      </c>
      <c r="CK90" s="100">
        <v>12196.8</v>
      </c>
      <c r="CL90" s="100">
        <v>11</v>
      </c>
      <c r="CM90" s="100">
        <v>12196.8</v>
      </c>
      <c r="CN90" s="100">
        <v>11</v>
      </c>
      <c r="CO90" s="100">
        <v>12196.8</v>
      </c>
      <c r="CP90" s="100">
        <v>7</v>
      </c>
      <c r="CQ90" s="100">
        <v>7761.5999999999995</v>
      </c>
      <c r="CR90" s="100">
        <v>8</v>
      </c>
      <c r="CS90" s="100">
        <v>8870.4</v>
      </c>
      <c r="CT90" s="100">
        <v>11</v>
      </c>
      <c r="CU90" s="100">
        <v>12196.8</v>
      </c>
    </row>
    <row r="91" spans="2:99">
      <c r="C91" s="99" t="s">
        <v>257</v>
      </c>
      <c r="D91" s="100">
        <v>8</v>
      </c>
      <c r="E91" s="100">
        <v>9091.1999999999989</v>
      </c>
      <c r="F91" s="100">
        <v>10</v>
      </c>
      <c r="G91" s="100">
        <v>11363.999999999998</v>
      </c>
      <c r="H91" s="100">
        <v>8</v>
      </c>
      <c r="I91" s="100">
        <v>9091.1999999999989</v>
      </c>
      <c r="J91" s="100">
        <v>9</v>
      </c>
      <c r="K91" s="100">
        <v>10227.599999999999</v>
      </c>
      <c r="L91" s="100">
        <v>10</v>
      </c>
      <c r="M91" s="100">
        <v>11363.999999999998</v>
      </c>
      <c r="N91" s="100">
        <v>9</v>
      </c>
      <c r="O91" s="100">
        <v>10227.599999999999</v>
      </c>
      <c r="P91" s="100">
        <v>8</v>
      </c>
      <c r="Q91" s="100">
        <v>9091.1999999999989</v>
      </c>
      <c r="R91" s="100">
        <v>7</v>
      </c>
      <c r="S91" s="100">
        <v>7954.7999999999993</v>
      </c>
      <c r="T91" s="100">
        <v>7</v>
      </c>
      <c r="U91" s="100">
        <v>7954.7999999999993</v>
      </c>
      <c r="V91" s="100">
        <v>9</v>
      </c>
      <c r="W91" s="100">
        <v>10227.599999999999</v>
      </c>
      <c r="X91" s="100">
        <v>8</v>
      </c>
      <c r="Y91" s="100">
        <v>9091.1999999999989</v>
      </c>
      <c r="Z91" s="100">
        <v>12</v>
      </c>
      <c r="AA91" s="100">
        <v>13636.8</v>
      </c>
      <c r="AB91" s="100">
        <v>7</v>
      </c>
      <c r="AC91" s="100">
        <v>7954.7999999999993</v>
      </c>
      <c r="AD91" s="100">
        <v>9</v>
      </c>
      <c r="AE91" s="100">
        <v>10227.599999999999</v>
      </c>
      <c r="AF91" s="100">
        <v>9</v>
      </c>
      <c r="AG91" s="100">
        <v>10227.599999999999</v>
      </c>
      <c r="AH91" s="100">
        <v>7</v>
      </c>
      <c r="AI91" s="100">
        <v>7954.7999999999993</v>
      </c>
      <c r="AJ91" s="100">
        <v>8</v>
      </c>
      <c r="AK91" s="100">
        <v>9091.1999999999989</v>
      </c>
      <c r="AL91" s="100">
        <v>9</v>
      </c>
      <c r="AM91" s="100">
        <v>10227.599999999999</v>
      </c>
      <c r="AN91" s="100">
        <v>10</v>
      </c>
      <c r="AO91" s="100">
        <v>11363.999999999998</v>
      </c>
      <c r="AP91" s="100">
        <v>7</v>
      </c>
      <c r="AQ91" s="100">
        <v>7954.7999999999993</v>
      </c>
      <c r="AR91" s="100">
        <v>10</v>
      </c>
      <c r="AS91" s="100">
        <v>11363.999999999998</v>
      </c>
      <c r="AT91" s="100">
        <v>8</v>
      </c>
      <c r="AU91" s="100">
        <v>9091.1999999999989</v>
      </c>
      <c r="AV91" s="100">
        <v>7</v>
      </c>
      <c r="AW91" s="100">
        <v>7954.7999999999993</v>
      </c>
      <c r="AX91" s="100">
        <v>7</v>
      </c>
      <c r="AY91" s="100">
        <v>7954.7999999999993</v>
      </c>
      <c r="AZ91" s="100">
        <v>12</v>
      </c>
      <c r="BA91" s="100">
        <v>13636.8</v>
      </c>
      <c r="BB91" s="100">
        <v>10</v>
      </c>
      <c r="BC91" s="100">
        <v>11363.999999999998</v>
      </c>
      <c r="BD91" s="100">
        <v>7</v>
      </c>
      <c r="BE91" s="100">
        <v>7954.7999999999993</v>
      </c>
      <c r="BF91" s="100">
        <v>11</v>
      </c>
      <c r="BG91" s="100">
        <v>12500.399999999998</v>
      </c>
      <c r="BH91" s="100">
        <v>8</v>
      </c>
      <c r="BI91" s="100">
        <v>9091.1999999999989</v>
      </c>
      <c r="BJ91" s="100">
        <v>8</v>
      </c>
      <c r="BK91" s="100">
        <v>9091.1999999999989</v>
      </c>
      <c r="BL91" s="100">
        <v>11</v>
      </c>
      <c r="BM91" s="100">
        <v>12500.399999999998</v>
      </c>
      <c r="BN91" s="100">
        <v>8</v>
      </c>
      <c r="BO91" s="100">
        <v>9091.1999999999989</v>
      </c>
      <c r="BP91" s="100">
        <v>12</v>
      </c>
      <c r="BQ91" s="100">
        <v>13636.8</v>
      </c>
      <c r="BR91" s="100">
        <v>12</v>
      </c>
      <c r="BS91" s="100">
        <v>13636.8</v>
      </c>
      <c r="BT91" s="100">
        <v>10</v>
      </c>
      <c r="BU91" s="100">
        <v>11363.999999999998</v>
      </c>
      <c r="BV91" s="100">
        <v>10</v>
      </c>
      <c r="BW91" s="100">
        <v>11363.999999999998</v>
      </c>
      <c r="BX91" s="100">
        <v>6</v>
      </c>
      <c r="BY91" s="100">
        <v>6818.4</v>
      </c>
      <c r="BZ91" s="100">
        <v>9</v>
      </c>
      <c r="CA91" s="100">
        <v>10227.599999999999</v>
      </c>
      <c r="CB91" s="100">
        <v>8</v>
      </c>
      <c r="CC91" s="100">
        <v>9091.1999999999989</v>
      </c>
      <c r="CD91" s="100">
        <v>13</v>
      </c>
      <c r="CE91" s="100">
        <v>14773.199999999999</v>
      </c>
      <c r="CF91" s="100">
        <v>13</v>
      </c>
      <c r="CG91" s="100">
        <v>14773.199999999999</v>
      </c>
      <c r="CH91" s="100">
        <v>8</v>
      </c>
      <c r="CI91" s="100">
        <v>9091.1999999999989</v>
      </c>
      <c r="CJ91" s="100">
        <v>10</v>
      </c>
      <c r="CK91" s="100">
        <v>11363.999999999998</v>
      </c>
      <c r="CL91" s="100">
        <v>13</v>
      </c>
      <c r="CM91" s="100">
        <v>14773.199999999999</v>
      </c>
      <c r="CN91" s="100">
        <v>10</v>
      </c>
      <c r="CO91" s="100">
        <v>11363.999999999998</v>
      </c>
      <c r="CP91" s="100">
        <v>8</v>
      </c>
      <c r="CQ91" s="100">
        <v>9091.1999999999989</v>
      </c>
      <c r="CR91" s="100">
        <v>8</v>
      </c>
      <c r="CS91" s="100">
        <v>9091.1999999999989</v>
      </c>
      <c r="CT91" s="100">
        <v>11</v>
      </c>
      <c r="CU91" s="100">
        <v>12500.399999999998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10</v>
      </c>
      <c r="G92" s="100">
        <v>7848</v>
      </c>
      <c r="H92" s="100">
        <v>7</v>
      </c>
      <c r="I92" s="100">
        <v>5493.5999999999995</v>
      </c>
      <c r="J92" s="100">
        <v>10</v>
      </c>
      <c r="K92" s="100">
        <v>7848</v>
      </c>
      <c r="L92" s="100">
        <v>11</v>
      </c>
      <c r="M92" s="100">
        <v>8632.7999999999993</v>
      </c>
      <c r="N92" s="100">
        <v>10</v>
      </c>
      <c r="O92" s="100">
        <v>7848</v>
      </c>
      <c r="P92" s="100">
        <v>8</v>
      </c>
      <c r="Q92" s="100">
        <v>6278.4</v>
      </c>
      <c r="R92" s="100">
        <v>8</v>
      </c>
      <c r="S92" s="100">
        <v>6278.4</v>
      </c>
      <c r="T92" s="100">
        <v>7</v>
      </c>
      <c r="U92" s="100">
        <v>5493.5999999999995</v>
      </c>
      <c r="V92" s="100">
        <v>10</v>
      </c>
      <c r="W92" s="100">
        <v>7848</v>
      </c>
      <c r="X92" s="100">
        <v>10</v>
      </c>
      <c r="Y92" s="100">
        <v>7848</v>
      </c>
      <c r="Z92" s="100">
        <v>11</v>
      </c>
      <c r="AA92" s="100">
        <v>8632.7999999999993</v>
      </c>
      <c r="AB92" s="100">
        <v>6</v>
      </c>
      <c r="AC92" s="100">
        <v>4708.7999999999993</v>
      </c>
      <c r="AD92" s="100">
        <v>9</v>
      </c>
      <c r="AE92" s="100">
        <v>7063.2</v>
      </c>
      <c r="AF92" s="100">
        <v>10</v>
      </c>
      <c r="AG92" s="100">
        <v>7848</v>
      </c>
      <c r="AH92" s="100">
        <v>8</v>
      </c>
      <c r="AI92" s="100">
        <v>6278.4</v>
      </c>
      <c r="AJ92" s="100">
        <v>8</v>
      </c>
      <c r="AK92" s="100">
        <v>6278.4</v>
      </c>
      <c r="AL92" s="100">
        <v>10</v>
      </c>
      <c r="AM92" s="100">
        <v>7848</v>
      </c>
      <c r="AN92" s="100">
        <v>12</v>
      </c>
      <c r="AO92" s="100">
        <v>9417.5999999999985</v>
      </c>
      <c r="AP92" s="100">
        <v>6</v>
      </c>
      <c r="AQ92" s="100">
        <v>4708.7999999999993</v>
      </c>
      <c r="AR92" s="100">
        <v>9</v>
      </c>
      <c r="AS92" s="100">
        <v>7063.2</v>
      </c>
      <c r="AT92" s="100">
        <v>8</v>
      </c>
      <c r="AU92" s="100">
        <v>6278.4</v>
      </c>
      <c r="AV92" s="100">
        <v>7</v>
      </c>
      <c r="AW92" s="100">
        <v>5493.5999999999995</v>
      </c>
      <c r="AX92" s="100">
        <v>7</v>
      </c>
      <c r="AY92" s="100">
        <v>5493.5999999999995</v>
      </c>
      <c r="AZ92" s="100">
        <v>12</v>
      </c>
      <c r="BA92" s="100">
        <v>9417.5999999999985</v>
      </c>
      <c r="BB92" s="100">
        <v>10</v>
      </c>
      <c r="BC92" s="100">
        <v>7848</v>
      </c>
      <c r="BD92" s="100">
        <v>7</v>
      </c>
      <c r="BE92" s="100">
        <v>5493.5999999999995</v>
      </c>
      <c r="BF92" s="100">
        <v>12</v>
      </c>
      <c r="BG92" s="100">
        <v>9417.5999999999985</v>
      </c>
      <c r="BH92" s="100">
        <v>9</v>
      </c>
      <c r="BI92" s="100">
        <v>7063.2</v>
      </c>
      <c r="BJ92" s="100">
        <v>9</v>
      </c>
      <c r="BK92" s="100">
        <v>7063.2</v>
      </c>
      <c r="BL92" s="100">
        <v>10</v>
      </c>
      <c r="BM92" s="100">
        <v>7848</v>
      </c>
      <c r="BN92" s="100">
        <v>9</v>
      </c>
      <c r="BO92" s="100">
        <v>7063.2</v>
      </c>
      <c r="BP92" s="100">
        <v>12</v>
      </c>
      <c r="BQ92" s="100">
        <v>9417.5999999999985</v>
      </c>
      <c r="BR92" s="100">
        <v>11</v>
      </c>
      <c r="BS92" s="100">
        <v>8632.7999999999993</v>
      </c>
      <c r="BT92" s="100">
        <v>10</v>
      </c>
      <c r="BU92" s="100">
        <v>7848</v>
      </c>
      <c r="BV92" s="100">
        <v>11</v>
      </c>
      <c r="BW92" s="100">
        <v>8632.7999999999993</v>
      </c>
      <c r="BX92" s="100">
        <v>6</v>
      </c>
      <c r="BY92" s="100">
        <v>4708.7999999999993</v>
      </c>
      <c r="BZ92" s="100">
        <v>8</v>
      </c>
      <c r="CA92" s="100">
        <v>6278.4</v>
      </c>
      <c r="CB92" s="100">
        <v>8</v>
      </c>
      <c r="CC92" s="100">
        <v>6278.4</v>
      </c>
      <c r="CD92" s="100">
        <v>13</v>
      </c>
      <c r="CE92" s="100">
        <v>10202.4</v>
      </c>
      <c r="CF92" s="100">
        <v>13</v>
      </c>
      <c r="CG92" s="100">
        <v>10202.4</v>
      </c>
      <c r="CH92" s="100">
        <v>8</v>
      </c>
      <c r="CI92" s="100">
        <v>6278.4</v>
      </c>
      <c r="CJ92" s="100">
        <v>12</v>
      </c>
      <c r="CK92" s="100">
        <v>9417.5999999999985</v>
      </c>
      <c r="CL92" s="100">
        <v>12</v>
      </c>
      <c r="CM92" s="100">
        <v>9417.5999999999985</v>
      </c>
      <c r="CN92" s="100">
        <v>11</v>
      </c>
      <c r="CO92" s="100">
        <v>8632.7999999999993</v>
      </c>
      <c r="CP92" s="100">
        <v>7</v>
      </c>
      <c r="CQ92" s="100">
        <v>5493.5999999999995</v>
      </c>
      <c r="CR92" s="100">
        <v>8</v>
      </c>
      <c r="CS92" s="100">
        <v>6278.4</v>
      </c>
      <c r="CT92" s="100">
        <v>13</v>
      </c>
      <c r="CU92" s="100">
        <v>10202.4</v>
      </c>
    </row>
    <row r="93" spans="2:99">
      <c r="C93" s="99" t="s">
        <v>259</v>
      </c>
      <c r="D93" s="100">
        <v>7</v>
      </c>
      <c r="E93" s="100">
        <v>4855.2</v>
      </c>
      <c r="F93" s="100">
        <v>9</v>
      </c>
      <c r="G93" s="100">
        <v>6242.4000000000005</v>
      </c>
      <c r="H93" s="100">
        <v>7</v>
      </c>
      <c r="I93" s="100">
        <v>4855.2</v>
      </c>
      <c r="J93" s="100">
        <v>9</v>
      </c>
      <c r="K93" s="100">
        <v>6242.4000000000005</v>
      </c>
      <c r="L93" s="100">
        <v>10</v>
      </c>
      <c r="M93" s="100">
        <v>6936</v>
      </c>
      <c r="N93" s="100">
        <v>9</v>
      </c>
      <c r="O93" s="100">
        <v>6242.4000000000005</v>
      </c>
      <c r="P93" s="100">
        <v>8</v>
      </c>
      <c r="Q93" s="100">
        <v>5548.8</v>
      </c>
      <c r="R93" s="100">
        <v>8</v>
      </c>
      <c r="S93" s="100">
        <v>5548.8</v>
      </c>
      <c r="T93" s="100">
        <v>7</v>
      </c>
      <c r="U93" s="100">
        <v>4855.2</v>
      </c>
      <c r="V93" s="100">
        <v>11</v>
      </c>
      <c r="W93" s="100">
        <v>7629.6</v>
      </c>
      <c r="X93" s="100">
        <v>10</v>
      </c>
      <c r="Y93" s="100">
        <v>6936</v>
      </c>
      <c r="Z93" s="100">
        <v>12</v>
      </c>
      <c r="AA93" s="100">
        <v>8323.2000000000007</v>
      </c>
      <c r="AB93" s="100">
        <v>7</v>
      </c>
      <c r="AC93" s="100">
        <v>4855.2</v>
      </c>
      <c r="AD93" s="100">
        <v>10</v>
      </c>
      <c r="AE93" s="100">
        <v>6936</v>
      </c>
      <c r="AF93" s="100">
        <v>9</v>
      </c>
      <c r="AG93" s="100">
        <v>6242.4000000000005</v>
      </c>
      <c r="AH93" s="100">
        <v>7</v>
      </c>
      <c r="AI93" s="100">
        <v>4855.2</v>
      </c>
      <c r="AJ93" s="100">
        <v>9</v>
      </c>
      <c r="AK93" s="100">
        <v>6242.4000000000005</v>
      </c>
      <c r="AL93" s="100">
        <v>10</v>
      </c>
      <c r="AM93" s="100">
        <v>6936</v>
      </c>
      <c r="AN93" s="100">
        <v>10</v>
      </c>
      <c r="AO93" s="100">
        <v>6936</v>
      </c>
      <c r="AP93" s="100">
        <v>7</v>
      </c>
      <c r="AQ93" s="100">
        <v>4855.2</v>
      </c>
      <c r="AR93" s="100">
        <v>10</v>
      </c>
      <c r="AS93" s="100">
        <v>6936</v>
      </c>
      <c r="AT93" s="100">
        <v>8</v>
      </c>
      <c r="AU93" s="100">
        <v>5548.8</v>
      </c>
      <c r="AV93" s="100">
        <v>8</v>
      </c>
      <c r="AW93" s="100">
        <v>5548.8</v>
      </c>
      <c r="AX93" s="100">
        <v>7</v>
      </c>
      <c r="AY93" s="100">
        <v>4855.2</v>
      </c>
      <c r="AZ93" s="100">
        <v>13</v>
      </c>
      <c r="BA93" s="100">
        <v>9016.8000000000011</v>
      </c>
      <c r="BB93" s="100">
        <v>11</v>
      </c>
      <c r="BC93" s="100">
        <v>7629.6</v>
      </c>
      <c r="BD93" s="100">
        <v>8</v>
      </c>
      <c r="BE93" s="100">
        <v>5548.8</v>
      </c>
      <c r="BF93" s="100">
        <v>12</v>
      </c>
      <c r="BG93" s="100">
        <v>8323.2000000000007</v>
      </c>
      <c r="BH93" s="100">
        <v>8</v>
      </c>
      <c r="BI93" s="100">
        <v>5548.8</v>
      </c>
      <c r="BJ93" s="100">
        <v>8</v>
      </c>
      <c r="BK93" s="100">
        <v>5548.8</v>
      </c>
      <c r="BL93" s="100">
        <v>12</v>
      </c>
      <c r="BM93" s="100">
        <v>8323.2000000000007</v>
      </c>
      <c r="BN93" s="100">
        <v>8</v>
      </c>
      <c r="BO93" s="100">
        <v>5548.8</v>
      </c>
      <c r="BP93" s="100">
        <v>13</v>
      </c>
      <c r="BQ93" s="100">
        <v>9016.8000000000011</v>
      </c>
      <c r="BR93" s="100">
        <v>12</v>
      </c>
      <c r="BS93" s="100">
        <v>8323.2000000000007</v>
      </c>
      <c r="BT93" s="100">
        <v>11</v>
      </c>
      <c r="BU93" s="100">
        <v>7629.6</v>
      </c>
      <c r="BV93" s="100">
        <v>10</v>
      </c>
      <c r="BW93" s="100">
        <v>6936</v>
      </c>
      <c r="BX93" s="100">
        <v>7</v>
      </c>
      <c r="BY93" s="100">
        <v>4855.2</v>
      </c>
      <c r="BZ93" s="100">
        <v>8</v>
      </c>
      <c r="CA93" s="100">
        <v>5548.8</v>
      </c>
      <c r="CB93" s="100">
        <v>8</v>
      </c>
      <c r="CC93" s="100">
        <v>5548.8</v>
      </c>
      <c r="CD93" s="100">
        <v>12</v>
      </c>
      <c r="CE93" s="100">
        <v>8323.2000000000007</v>
      </c>
      <c r="CF93" s="100">
        <v>13</v>
      </c>
      <c r="CG93" s="100">
        <v>9016.8000000000011</v>
      </c>
      <c r="CH93" s="100">
        <v>7</v>
      </c>
      <c r="CI93" s="100">
        <v>4855.2</v>
      </c>
      <c r="CJ93" s="100">
        <v>11</v>
      </c>
      <c r="CK93" s="100">
        <v>7629.6</v>
      </c>
      <c r="CL93" s="100">
        <v>13</v>
      </c>
      <c r="CM93" s="100">
        <v>9016.8000000000011</v>
      </c>
      <c r="CN93" s="100">
        <v>10</v>
      </c>
      <c r="CO93" s="100">
        <v>6936</v>
      </c>
      <c r="CP93" s="100">
        <v>8</v>
      </c>
      <c r="CQ93" s="100">
        <v>5548.8</v>
      </c>
      <c r="CR93" s="100">
        <v>7</v>
      </c>
      <c r="CS93" s="100">
        <v>4855.2</v>
      </c>
      <c r="CT93" s="100">
        <v>11</v>
      </c>
      <c r="CU93" s="100">
        <v>7629.6</v>
      </c>
    </row>
    <row r="94" spans="2:99">
      <c r="C94" s="99" t="s">
        <v>260</v>
      </c>
      <c r="D94" s="100">
        <v>7</v>
      </c>
      <c r="E94" s="100">
        <v>8349.6</v>
      </c>
      <c r="F94" s="100">
        <v>9</v>
      </c>
      <c r="G94" s="100">
        <v>10735.199999999999</v>
      </c>
      <c r="H94" s="100">
        <v>7</v>
      </c>
      <c r="I94" s="100">
        <v>8349.6</v>
      </c>
      <c r="J94" s="100">
        <v>9</v>
      </c>
      <c r="K94" s="100">
        <v>10735.199999999999</v>
      </c>
      <c r="L94" s="100">
        <v>10</v>
      </c>
      <c r="M94" s="100">
        <v>11928</v>
      </c>
      <c r="N94" s="100">
        <v>9</v>
      </c>
      <c r="O94" s="100">
        <v>10735.199999999999</v>
      </c>
      <c r="P94" s="100">
        <v>7</v>
      </c>
      <c r="Q94" s="100">
        <v>8349.6</v>
      </c>
      <c r="R94" s="100">
        <v>7</v>
      </c>
      <c r="S94" s="100">
        <v>8349.6</v>
      </c>
      <c r="T94" s="100">
        <v>7</v>
      </c>
      <c r="U94" s="100">
        <v>8349.6</v>
      </c>
      <c r="V94" s="100">
        <v>10</v>
      </c>
      <c r="W94" s="100">
        <v>11928</v>
      </c>
      <c r="X94" s="100">
        <v>9</v>
      </c>
      <c r="Y94" s="100">
        <v>10735.199999999999</v>
      </c>
      <c r="Z94" s="100">
        <v>11</v>
      </c>
      <c r="AA94" s="100">
        <v>13120.8</v>
      </c>
      <c r="AB94" s="100">
        <v>6</v>
      </c>
      <c r="AC94" s="100">
        <v>7156.7999999999993</v>
      </c>
      <c r="AD94" s="100">
        <v>9</v>
      </c>
      <c r="AE94" s="100">
        <v>10735.199999999999</v>
      </c>
      <c r="AF94" s="100">
        <v>9</v>
      </c>
      <c r="AG94" s="100">
        <v>10735.199999999999</v>
      </c>
      <c r="AH94" s="100">
        <v>6</v>
      </c>
      <c r="AI94" s="100">
        <v>7156.7999999999993</v>
      </c>
      <c r="AJ94" s="100">
        <v>8</v>
      </c>
      <c r="AK94" s="100">
        <v>9542.4</v>
      </c>
      <c r="AL94" s="100">
        <v>11</v>
      </c>
      <c r="AM94" s="100">
        <v>13120.8</v>
      </c>
      <c r="AN94" s="100">
        <v>11</v>
      </c>
      <c r="AO94" s="100">
        <v>13120.8</v>
      </c>
      <c r="AP94" s="100">
        <v>6</v>
      </c>
      <c r="AQ94" s="100">
        <v>7156.7999999999993</v>
      </c>
      <c r="AR94" s="100">
        <v>10</v>
      </c>
      <c r="AS94" s="100">
        <v>11928</v>
      </c>
      <c r="AT94" s="100">
        <v>8</v>
      </c>
      <c r="AU94" s="100">
        <v>9542.4</v>
      </c>
      <c r="AV94" s="100">
        <v>8</v>
      </c>
      <c r="AW94" s="100">
        <v>9542.4</v>
      </c>
      <c r="AX94" s="100">
        <v>6</v>
      </c>
      <c r="AY94" s="100">
        <v>7156.7999999999993</v>
      </c>
      <c r="AZ94" s="100">
        <v>11</v>
      </c>
      <c r="BA94" s="100">
        <v>13120.8</v>
      </c>
      <c r="BB94" s="100">
        <v>10</v>
      </c>
      <c r="BC94" s="100">
        <v>11928</v>
      </c>
      <c r="BD94" s="100">
        <v>7</v>
      </c>
      <c r="BE94" s="100">
        <v>8349.6</v>
      </c>
      <c r="BF94" s="100">
        <v>12</v>
      </c>
      <c r="BG94" s="100">
        <v>14313.599999999999</v>
      </c>
      <c r="BH94" s="100">
        <v>8</v>
      </c>
      <c r="BI94" s="100">
        <v>9542.4</v>
      </c>
      <c r="BJ94" s="100">
        <v>9</v>
      </c>
      <c r="BK94" s="100">
        <v>10735.199999999999</v>
      </c>
      <c r="BL94" s="100">
        <v>10</v>
      </c>
      <c r="BM94" s="100">
        <v>11928</v>
      </c>
      <c r="BN94" s="100">
        <v>9</v>
      </c>
      <c r="BO94" s="100">
        <v>10735.199999999999</v>
      </c>
      <c r="BP94" s="100">
        <v>11</v>
      </c>
      <c r="BQ94" s="100">
        <v>13120.8</v>
      </c>
      <c r="BR94" s="100">
        <v>11</v>
      </c>
      <c r="BS94" s="100">
        <v>13120.8</v>
      </c>
      <c r="BT94" s="100">
        <v>10</v>
      </c>
      <c r="BU94" s="100">
        <v>11928</v>
      </c>
      <c r="BV94" s="100">
        <v>11</v>
      </c>
      <c r="BW94" s="100">
        <v>13120.8</v>
      </c>
      <c r="BX94" s="100">
        <v>6</v>
      </c>
      <c r="BY94" s="100">
        <v>7156.7999999999993</v>
      </c>
      <c r="BZ94" s="100">
        <v>8</v>
      </c>
      <c r="CA94" s="100">
        <v>9542.4</v>
      </c>
      <c r="CB94" s="100">
        <v>7</v>
      </c>
      <c r="CC94" s="100">
        <v>8349.6</v>
      </c>
      <c r="CD94" s="100">
        <v>11</v>
      </c>
      <c r="CE94" s="100">
        <v>13120.8</v>
      </c>
      <c r="CF94" s="100">
        <v>12</v>
      </c>
      <c r="CG94" s="100">
        <v>14313.599999999999</v>
      </c>
      <c r="CH94" s="100">
        <v>7</v>
      </c>
      <c r="CI94" s="100">
        <v>8349.6</v>
      </c>
      <c r="CJ94" s="100">
        <v>10</v>
      </c>
      <c r="CK94" s="100">
        <v>11928</v>
      </c>
      <c r="CL94" s="100">
        <v>11</v>
      </c>
      <c r="CM94" s="100">
        <v>13120.8</v>
      </c>
      <c r="CN94" s="100">
        <v>9</v>
      </c>
      <c r="CO94" s="100">
        <v>10735.199999999999</v>
      </c>
      <c r="CP94" s="100">
        <v>7</v>
      </c>
      <c r="CQ94" s="100">
        <v>8349.6</v>
      </c>
      <c r="CR94" s="100">
        <v>8</v>
      </c>
      <c r="CS94" s="100">
        <v>9542.4</v>
      </c>
      <c r="CT94" s="100">
        <v>12</v>
      </c>
      <c r="CU94" s="100">
        <v>14313.599999999999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6</v>
      </c>
      <c r="G95" s="100">
        <v>1972.8000000000002</v>
      </c>
      <c r="H95" s="100">
        <v>8</v>
      </c>
      <c r="I95" s="100">
        <v>2630.4</v>
      </c>
      <c r="J95" s="100">
        <v>6</v>
      </c>
      <c r="K95" s="100">
        <v>1972.8000000000002</v>
      </c>
      <c r="L95" s="100">
        <v>9</v>
      </c>
      <c r="M95" s="100">
        <v>2959.2000000000003</v>
      </c>
      <c r="N95" s="100">
        <v>11</v>
      </c>
      <c r="O95" s="100">
        <v>3616.8</v>
      </c>
      <c r="P95" s="100">
        <v>8</v>
      </c>
      <c r="Q95" s="100">
        <v>2630.4</v>
      </c>
      <c r="R95" s="100">
        <v>7</v>
      </c>
      <c r="S95" s="100">
        <v>2301.6</v>
      </c>
      <c r="T95" s="100">
        <v>7</v>
      </c>
      <c r="U95" s="100">
        <v>2301.6</v>
      </c>
      <c r="V95" s="100">
        <v>12</v>
      </c>
      <c r="W95" s="100">
        <v>3945.6000000000004</v>
      </c>
      <c r="X95" s="100">
        <v>6</v>
      </c>
      <c r="Y95" s="100">
        <v>1972.8000000000002</v>
      </c>
      <c r="Z95" s="100">
        <v>7</v>
      </c>
      <c r="AA95" s="100">
        <v>2301.6</v>
      </c>
      <c r="AB95" s="100">
        <v>10</v>
      </c>
      <c r="AC95" s="100">
        <v>3288</v>
      </c>
      <c r="AD95" s="100">
        <v>10</v>
      </c>
      <c r="AE95" s="100">
        <v>3288</v>
      </c>
      <c r="AF95" s="100">
        <v>10</v>
      </c>
      <c r="AG95" s="100">
        <v>3288</v>
      </c>
      <c r="AH95" s="100">
        <v>7</v>
      </c>
      <c r="AI95" s="100">
        <v>2301.6</v>
      </c>
      <c r="AJ95" s="100">
        <v>12</v>
      </c>
      <c r="AK95" s="100">
        <v>3945.6000000000004</v>
      </c>
      <c r="AL95" s="100">
        <v>13</v>
      </c>
      <c r="AM95" s="100">
        <v>4274.4000000000005</v>
      </c>
      <c r="AN95" s="100">
        <v>12</v>
      </c>
      <c r="AO95" s="100">
        <v>3945.6000000000004</v>
      </c>
      <c r="AP95" s="100">
        <v>7</v>
      </c>
      <c r="AQ95" s="100">
        <v>2301.6</v>
      </c>
      <c r="AR95" s="100">
        <v>8</v>
      </c>
      <c r="AS95" s="100">
        <v>2630.4</v>
      </c>
      <c r="AT95" s="100">
        <v>7</v>
      </c>
      <c r="AU95" s="100">
        <v>2301.6</v>
      </c>
      <c r="AV95" s="100">
        <v>7</v>
      </c>
      <c r="AW95" s="100">
        <v>2301.6</v>
      </c>
      <c r="AX95" s="100">
        <v>9</v>
      </c>
      <c r="AY95" s="100">
        <v>2959.2000000000003</v>
      </c>
      <c r="AZ95" s="100">
        <v>12</v>
      </c>
      <c r="BA95" s="100">
        <v>3945.6000000000004</v>
      </c>
      <c r="BB95" s="100">
        <v>9</v>
      </c>
      <c r="BC95" s="100">
        <v>2959.2000000000003</v>
      </c>
      <c r="BD95" s="100">
        <v>10</v>
      </c>
      <c r="BE95" s="100">
        <v>3288</v>
      </c>
      <c r="BF95" s="100">
        <v>8</v>
      </c>
      <c r="BG95" s="100">
        <v>2630.4</v>
      </c>
      <c r="BH95" s="100">
        <v>7</v>
      </c>
      <c r="BI95" s="100">
        <v>2301.6</v>
      </c>
      <c r="BJ95" s="100">
        <v>6</v>
      </c>
      <c r="BK95" s="100">
        <v>1972.8000000000002</v>
      </c>
      <c r="BL95" s="100">
        <v>9</v>
      </c>
      <c r="BM95" s="100">
        <v>2959.2000000000003</v>
      </c>
      <c r="BN95" s="100">
        <v>13</v>
      </c>
      <c r="BO95" s="100">
        <v>4274.4000000000005</v>
      </c>
      <c r="BP95" s="100">
        <v>10</v>
      </c>
      <c r="BQ95" s="100">
        <v>3288</v>
      </c>
      <c r="BR95" s="100">
        <v>9</v>
      </c>
      <c r="BS95" s="100">
        <v>2959.2000000000003</v>
      </c>
      <c r="BT95" s="100">
        <v>7</v>
      </c>
      <c r="BU95" s="100">
        <v>2301.6</v>
      </c>
      <c r="BV95" s="100">
        <v>11</v>
      </c>
      <c r="BW95" s="100">
        <v>3616.8</v>
      </c>
      <c r="BX95" s="100">
        <v>11</v>
      </c>
      <c r="BY95" s="100">
        <v>3616.8</v>
      </c>
      <c r="BZ95" s="100">
        <v>8</v>
      </c>
      <c r="CA95" s="100">
        <v>2630.4</v>
      </c>
      <c r="CB95" s="100">
        <v>12</v>
      </c>
      <c r="CC95" s="100">
        <v>3945.6000000000004</v>
      </c>
      <c r="CD95" s="100">
        <v>9</v>
      </c>
      <c r="CE95" s="100">
        <v>2959.2000000000003</v>
      </c>
      <c r="CF95" s="100">
        <v>10</v>
      </c>
      <c r="CG95" s="100">
        <v>3288</v>
      </c>
      <c r="CH95" s="100">
        <v>11</v>
      </c>
      <c r="CI95" s="100">
        <v>3616.8</v>
      </c>
      <c r="CJ95" s="100">
        <v>8</v>
      </c>
      <c r="CK95" s="100">
        <v>2630.4</v>
      </c>
      <c r="CL95" s="100">
        <v>8</v>
      </c>
      <c r="CM95" s="100">
        <v>2630.4</v>
      </c>
      <c r="CN95" s="100">
        <v>7</v>
      </c>
      <c r="CO95" s="100">
        <v>2301.6</v>
      </c>
      <c r="CP95" s="100">
        <v>6</v>
      </c>
      <c r="CQ95" s="100">
        <v>1972.8000000000002</v>
      </c>
      <c r="CR95" s="100">
        <v>8</v>
      </c>
      <c r="CS95" s="100">
        <v>2630.4</v>
      </c>
      <c r="CT95" s="100">
        <v>7</v>
      </c>
      <c r="CU95" s="100">
        <v>2301.6</v>
      </c>
    </row>
    <row r="96" spans="2:99">
      <c r="C96" s="99" t="s">
        <v>262</v>
      </c>
      <c r="D96" s="100">
        <v>8</v>
      </c>
      <c r="E96" s="100">
        <v>5558.4</v>
      </c>
      <c r="F96" s="100">
        <v>6</v>
      </c>
      <c r="G96" s="100">
        <v>4168.7999999999993</v>
      </c>
      <c r="H96" s="100">
        <v>8</v>
      </c>
      <c r="I96" s="100">
        <v>5558.4</v>
      </c>
      <c r="J96" s="100">
        <v>7</v>
      </c>
      <c r="K96" s="100">
        <v>4863.5999999999995</v>
      </c>
      <c r="L96" s="100">
        <v>9</v>
      </c>
      <c r="M96" s="100">
        <v>6253.2</v>
      </c>
      <c r="N96" s="100">
        <v>10</v>
      </c>
      <c r="O96" s="100">
        <v>6948</v>
      </c>
      <c r="P96" s="100">
        <v>8</v>
      </c>
      <c r="Q96" s="100">
        <v>5558.4</v>
      </c>
      <c r="R96" s="100">
        <v>7</v>
      </c>
      <c r="S96" s="100">
        <v>4863.5999999999995</v>
      </c>
      <c r="T96" s="100">
        <v>7</v>
      </c>
      <c r="U96" s="100">
        <v>4863.5999999999995</v>
      </c>
      <c r="V96" s="100">
        <v>12</v>
      </c>
      <c r="W96" s="100">
        <v>8337.5999999999985</v>
      </c>
      <c r="X96" s="100">
        <v>6</v>
      </c>
      <c r="Y96" s="100">
        <v>4168.7999999999993</v>
      </c>
      <c r="Z96" s="100">
        <v>7</v>
      </c>
      <c r="AA96" s="100">
        <v>4863.5999999999995</v>
      </c>
      <c r="AB96" s="100">
        <v>9</v>
      </c>
      <c r="AC96" s="100">
        <v>6253.2</v>
      </c>
      <c r="AD96" s="100">
        <v>10</v>
      </c>
      <c r="AE96" s="100">
        <v>6948</v>
      </c>
      <c r="AF96" s="100">
        <v>12</v>
      </c>
      <c r="AG96" s="100">
        <v>8337.5999999999985</v>
      </c>
      <c r="AH96" s="100">
        <v>6</v>
      </c>
      <c r="AI96" s="100">
        <v>4168.7999999999993</v>
      </c>
      <c r="AJ96" s="100">
        <v>11</v>
      </c>
      <c r="AK96" s="100">
        <v>7642.7999999999993</v>
      </c>
      <c r="AL96" s="100">
        <v>10</v>
      </c>
      <c r="AM96" s="100">
        <v>6948</v>
      </c>
      <c r="AN96" s="100">
        <v>12</v>
      </c>
      <c r="AO96" s="100">
        <v>8337.5999999999985</v>
      </c>
      <c r="AP96" s="100">
        <v>7</v>
      </c>
      <c r="AQ96" s="100">
        <v>4863.5999999999995</v>
      </c>
      <c r="AR96" s="100">
        <v>7</v>
      </c>
      <c r="AS96" s="100">
        <v>4863.5999999999995</v>
      </c>
      <c r="AT96" s="100">
        <v>8</v>
      </c>
      <c r="AU96" s="100">
        <v>5558.4</v>
      </c>
      <c r="AV96" s="100">
        <v>7</v>
      </c>
      <c r="AW96" s="100">
        <v>4863.5999999999995</v>
      </c>
      <c r="AX96" s="100">
        <v>11</v>
      </c>
      <c r="AY96" s="100">
        <v>7642.7999999999993</v>
      </c>
      <c r="AZ96" s="100">
        <v>11</v>
      </c>
      <c r="BA96" s="100">
        <v>7642.7999999999993</v>
      </c>
      <c r="BB96" s="100">
        <v>10</v>
      </c>
      <c r="BC96" s="100">
        <v>6948</v>
      </c>
      <c r="BD96" s="100">
        <v>11</v>
      </c>
      <c r="BE96" s="100">
        <v>7642.7999999999993</v>
      </c>
      <c r="BF96" s="100">
        <v>7</v>
      </c>
      <c r="BG96" s="100">
        <v>4863.5999999999995</v>
      </c>
      <c r="BH96" s="100">
        <v>6</v>
      </c>
      <c r="BI96" s="100">
        <v>4168.7999999999993</v>
      </c>
      <c r="BJ96" s="100">
        <v>6</v>
      </c>
      <c r="BK96" s="100">
        <v>4168.7999999999993</v>
      </c>
      <c r="BL96" s="100">
        <v>9</v>
      </c>
      <c r="BM96" s="100">
        <v>6253.2</v>
      </c>
      <c r="BN96" s="100">
        <v>11</v>
      </c>
      <c r="BO96" s="100">
        <v>7642.7999999999993</v>
      </c>
      <c r="BP96" s="100">
        <v>9</v>
      </c>
      <c r="BQ96" s="100">
        <v>6253.2</v>
      </c>
      <c r="BR96" s="100">
        <v>8</v>
      </c>
      <c r="BS96" s="100">
        <v>5558.4</v>
      </c>
      <c r="BT96" s="100">
        <v>7</v>
      </c>
      <c r="BU96" s="100">
        <v>4863.5999999999995</v>
      </c>
      <c r="BV96" s="100">
        <v>10</v>
      </c>
      <c r="BW96" s="100">
        <v>6948</v>
      </c>
      <c r="BX96" s="100">
        <v>9</v>
      </c>
      <c r="BY96" s="100">
        <v>6253.2</v>
      </c>
      <c r="BZ96" s="100">
        <v>9</v>
      </c>
      <c r="CA96" s="100">
        <v>6253.2</v>
      </c>
      <c r="CB96" s="100">
        <v>12</v>
      </c>
      <c r="CC96" s="100">
        <v>8337.5999999999985</v>
      </c>
      <c r="CD96" s="100">
        <v>9</v>
      </c>
      <c r="CE96" s="100">
        <v>6253.2</v>
      </c>
      <c r="CF96" s="100">
        <v>10</v>
      </c>
      <c r="CG96" s="100">
        <v>6948</v>
      </c>
      <c r="CH96" s="100">
        <v>10</v>
      </c>
      <c r="CI96" s="100">
        <v>6948</v>
      </c>
      <c r="CJ96" s="100">
        <v>8</v>
      </c>
      <c r="CK96" s="100">
        <v>5558.4</v>
      </c>
      <c r="CL96" s="100">
        <v>9</v>
      </c>
      <c r="CM96" s="100">
        <v>6253.2</v>
      </c>
      <c r="CN96" s="100">
        <v>9</v>
      </c>
      <c r="CO96" s="100">
        <v>6253.2</v>
      </c>
      <c r="CP96" s="100">
        <v>5</v>
      </c>
      <c r="CQ96" s="100">
        <v>3474</v>
      </c>
      <c r="CR96" s="100">
        <v>7</v>
      </c>
      <c r="CS96" s="100">
        <v>4863.5999999999995</v>
      </c>
      <c r="CT96" s="100">
        <v>8</v>
      </c>
      <c r="CU96" s="100">
        <v>5558.4</v>
      </c>
    </row>
    <row r="97" spans="2:99">
      <c r="C97" s="99" t="s">
        <v>263</v>
      </c>
      <c r="D97" s="100">
        <v>8</v>
      </c>
      <c r="E97" s="100">
        <v>3139.2</v>
      </c>
      <c r="F97" s="100">
        <v>6</v>
      </c>
      <c r="G97" s="100">
        <v>2354.3999999999996</v>
      </c>
      <c r="H97" s="100">
        <v>8</v>
      </c>
      <c r="I97" s="100">
        <v>3139.2</v>
      </c>
      <c r="J97" s="100">
        <v>7</v>
      </c>
      <c r="K97" s="100">
        <v>2746.7999999999997</v>
      </c>
      <c r="L97" s="100">
        <v>9</v>
      </c>
      <c r="M97" s="100">
        <v>3531.6</v>
      </c>
      <c r="N97" s="100">
        <v>10</v>
      </c>
      <c r="O97" s="100">
        <v>3924</v>
      </c>
      <c r="P97" s="100">
        <v>8</v>
      </c>
      <c r="Q97" s="100">
        <v>3139.2</v>
      </c>
      <c r="R97" s="100">
        <v>8</v>
      </c>
      <c r="S97" s="100">
        <v>3139.2</v>
      </c>
      <c r="T97" s="100">
        <v>8</v>
      </c>
      <c r="U97" s="100">
        <v>3139.2</v>
      </c>
      <c r="V97" s="100">
        <v>12</v>
      </c>
      <c r="W97" s="100">
        <v>4708.7999999999993</v>
      </c>
      <c r="X97" s="100">
        <v>6</v>
      </c>
      <c r="Y97" s="100">
        <v>2354.3999999999996</v>
      </c>
      <c r="Z97" s="100">
        <v>8</v>
      </c>
      <c r="AA97" s="100">
        <v>3139.2</v>
      </c>
      <c r="AB97" s="100">
        <v>9</v>
      </c>
      <c r="AC97" s="100">
        <v>3531.6</v>
      </c>
      <c r="AD97" s="100">
        <v>11</v>
      </c>
      <c r="AE97" s="100">
        <v>4316.3999999999996</v>
      </c>
      <c r="AF97" s="100">
        <v>10</v>
      </c>
      <c r="AG97" s="100">
        <v>3924</v>
      </c>
      <c r="AH97" s="100">
        <v>6</v>
      </c>
      <c r="AI97" s="100">
        <v>2354.3999999999996</v>
      </c>
      <c r="AJ97" s="100">
        <v>12</v>
      </c>
      <c r="AK97" s="100">
        <v>4708.7999999999993</v>
      </c>
      <c r="AL97" s="100">
        <v>12</v>
      </c>
      <c r="AM97" s="100">
        <v>4708.7999999999993</v>
      </c>
      <c r="AN97" s="100">
        <v>12</v>
      </c>
      <c r="AO97" s="100">
        <v>4708.7999999999993</v>
      </c>
      <c r="AP97" s="100">
        <v>7</v>
      </c>
      <c r="AQ97" s="100">
        <v>2746.7999999999997</v>
      </c>
      <c r="AR97" s="100">
        <v>9</v>
      </c>
      <c r="AS97" s="100">
        <v>3531.6</v>
      </c>
      <c r="AT97" s="100">
        <v>7</v>
      </c>
      <c r="AU97" s="100">
        <v>2746.7999999999997</v>
      </c>
      <c r="AV97" s="100">
        <v>7</v>
      </c>
      <c r="AW97" s="100">
        <v>2746.7999999999997</v>
      </c>
      <c r="AX97" s="100">
        <v>10</v>
      </c>
      <c r="AY97" s="100">
        <v>3924</v>
      </c>
      <c r="AZ97" s="100">
        <v>12</v>
      </c>
      <c r="BA97" s="100">
        <v>4708.7999999999993</v>
      </c>
      <c r="BB97" s="100">
        <v>10</v>
      </c>
      <c r="BC97" s="100">
        <v>3924</v>
      </c>
      <c r="BD97" s="100">
        <v>11</v>
      </c>
      <c r="BE97" s="100">
        <v>4316.3999999999996</v>
      </c>
      <c r="BF97" s="100">
        <v>8</v>
      </c>
      <c r="BG97" s="100">
        <v>3139.2</v>
      </c>
      <c r="BH97" s="100">
        <v>7</v>
      </c>
      <c r="BI97" s="100">
        <v>2746.7999999999997</v>
      </c>
      <c r="BJ97" s="100">
        <v>6</v>
      </c>
      <c r="BK97" s="100">
        <v>2354.3999999999996</v>
      </c>
      <c r="BL97" s="100">
        <v>8</v>
      </c>
      <c r="BM97" s="100">
        <v>3139.2</v>
      </c>
      <c r="BN97" s="100">
        <v>13</v>
      </c>
      <c r="BO97" s="100">
        <v>5101.2</v>
      </c>
      <c r="BP97" s="100">
        <v>10</v>
      </c>
      <c r="BQ97" s="100">
        <v>3924</v>
      </c>
      <c r="BR97" s="100">
        <v>9</v>
      </c>
      <c r="BS97" s="100">
        <v>3531.6</v>
      </c>
      <c r="BT97" s="100">
        <v>6</v>
      </c>
      <c r="BU97" s="100">
        <v>2354.3999999999996</v>
      </c>
      <c r="BV97" s="100">
        <v>9</v>
      </c>
      <c r="BW97" s="100">
        <v>3531.6</v>
      </c>
      <c r="BX97" s="100">
        <v>11</v>
      </c>
      <c r="BY97" s="100">
        <v>4316.3999999999996</v>
      </c>
      <c r="BZ97" s="100">
        <v>8</v>
      </c>
      <c r="CA97" s="100">
        <v>3139.2</v>
      </c>
      <c r="CB97" s="100">
        <v>10</v>
      </c>
      <c r="CC97" s="100">
        <v>3924</v>
      </c>
      <c r="CD97" s="100">
        <v>10</v>
      </c>
      <c r="CE97" s="100">
        <v>3924</v>
      </c>
      <c r="CF97" s="100">
        <v>9</v>
      </c>
      <c r="CG97" s="100">
        <v>3531.6</v>
      </c>
      <c r="CH97" s="100">
        <v>11</v>
      </c>
      <c r="CI97" s="100">
        <v>4316.3999999999996</v>
      </c>
      <c r="CJ97" s="100">
        <v>10</v>
      </c>
      <c r="CK97" s="100">
        <v>3924</v>
      </c>
      <c r="CL97" s="100">
        <v>9</v>
      </c>
      <c r="CM97" s="100">
        <v>3531.6</v>
      </c>
      <c r="CN97" s="100">
        <v>8</v>
      </c>
      <c r="CO97" s="100">
        <v>3139.2</v>
      </c>
      <c r="CP97" s="100">
        <v>6</v>
      </c>
      <c r="CQ97" s="100">
        <v>2354.3999999999996</v>
      </c>
      <c r="CR97" s="100">
        <v>8</v>
      </c>
      <c r="CS97" s="100">
        <v>3139.2</v>
      </c>
      <c r="CT97" s="100">
        <v>8</v>
      </c>
      <c r="CU97" s="100">
        <v>3139.2</v>
      </c>
    </row>
    <row r="98" spans="2:99">
      <c r="C98" s="99" t="s">
        <v>264</v>
      </c>
      <c r="D98" s="100">
        <v>8</v>
      </c>
      <c r="E98" s="100">
        <v>4204.8</v>
      </c>
      <c r="F98" s="100">
        <v>6</v>
      </c>
      <c r="G98" s="100">
        <v>3153.6000000000004</v>
      </c>
      <c r="H98" s="100">
        <v>8</v>
      </c>
      <c r="I98" s="100">
        <v>4204.8</v>
      </c>
      <c r="J98" s="100">
        <v>7</v>
      </c>
      <c r="K98" s="100">
        <v>3679.2000000000003</v>
      </c>
      <c r="L98" s="100">
        <v>9</v>
      </c>
      <c r="M98" s="100">
        <v>4730.4000000000005</v>
      </c>
      <c r="N98" s="100">
        <v>10</v>
      </c>
      <c r="O98" s="100">
        <v>5256</v>
      </c>
      <c r="P98" s="100">
        <v>8</v>
      </c>
      <c r="Q98" s="100">
        <v>4204.8</v>
      </c>
      <c r="R98" s="100">
        <v>8</v>
      </c>
      <c r="S98" s="100">
        <v>4204.8</v>
      </c>
      <c r="T98" s="100">
        <v>7</v>
      </c>
      <c r="U98" s="100">
        <v>3679.2000000000003</v>
      </c>
      <c r="V98" s="100">
        <v>12</v>
      </c>
      <c r="W98" s="100">
        <v>6307.2000000000007</v>
      </c>
      <c r="X98" s="100">
        <v>6</v>
      </c>
      <c r="Y98" s="100">
        <v>3153.6000000000004</v>
      </c>
      <c r="Z98" s="100">
        <v>7</v>
      </c>
      <c r="AA98" s="100">
        <v>3679.2000000000003</v>
      </c>
      <c r="AB98" s="100">
        <v>9</v>
      </c>
      <c r="AC98" s="100">
        <v>4730.4000000000005</v>
      </c>
      <c r="AD98" s="100">
        <v>9</v>
      </c>
      <c r="AE98" s="100">
        <v>4730.4000000000005</v>
      </c>
      <c r="AF98" s="100">
        <v>10</v>
      </c>
      <c r="AG98" s="100">
        <v>5256</v>
      </c>
      <c r="AH98" s="100">
        <v>6</v>
      </c>
      <c r="AI98" s="100">
        <v>3153.6000000000004</v>
      </c>
      <c r="AJ98" s="100">
        <v>12</v>
      </c>
      <c r="AK98" s="100">
        <v>6307.2000000000007</v>
      </c>
      <c r="AL98" s="100">
        <v>10</v>
      </c>
      <c r="AM98" s="100">
        <v>5256</v>
      </c>
      <c r="AN98" s="100">
        <v>12</v>
      </c>
      <c r="AO98" s="100">
        <v>6307.2000000000007</v>
      </c>
      <c r="AP98" s="100">
        <v>8</v>
      </c>
      <c r="AQ98" s="100">
        <v>4204.8</v>
      </c>
      <c r="AR98" s="100">
        <v>7</v>
      </c>
      <c r="AS98" s="100">
        <v>3679.2000000000003</v>
      </c>
      <c r="AT98" s="100">
        <v>7</v>
      </c>
      <c r="AU98" s="100">
        <v>3679.2000000000003</v>
      </c>
      <c r="AV98" s="100">
        <v>7</v>
      </c>
      <c r="AW98" s="100">
        <v>3679.2000000000003</v>
      </c>
      <c r="AX98" s="100">
        <v>9</v>
      </c>
      <c r="AY98" s="100">
        <v>4730.4000000000005</v>
      </c>
      <c r="AZ98" s="100">
        <v>11</v>
      </c>
      <c r="BA98" s="100">
        <v>5781.6</v>
      </c>
      <c r="BB98" s="100">
        <v>11</v>
      </c>
      <c r="BC98" s="100">
        <v>5781.6</v>
      </c>
      <c r="BD98" s="100">
        <v>10</v>
      </c>
      <c r="BE98" s="100">
        <v>5256</v>
      </c>
      <c r="BF98" s="100">
        <v>8</v>
      </c>
      <c r="BG98" s="100">
        <v>4204.8</v>
      </c>
      <c r="BH98" s="100">
        <v>6</v>
      </c>
      <c r="BI98" s="100">
        <v>3153.6000000000004</v>
      </c>
      <c r="BJ98" s="100">
        <v>7</v>
      </c>
      <c r="BK98" s="100">
        <v>3679.2000000000003</v>
      </c>
      <c r="BL98" s="100">
        <v>9</v>
      </c>
      <c r="BM98" s="100">
        <v>4730.4000000000005</v>
      </c>
      <c r="BN98" s="100">
        <v>11</v>
      </c>
      <c r="BO98" s="100">
        <v>5781.6</v>
      </c>
      <c r="BP98" s="100">
        <v>9</v>
      </c>
      <c r="BQ98" s="100">
        <v>4730.4000000000005</v>
      </c>
      <c r="BR98" s="100">
        <v>9</v>
      </c>
      <c r="BS98" s="100">
        <v>4730.4000000000005</v>
      </c>
      <c r="BT98" s="100">
        <v>6</v>
      </c>
      <c r="BU98" s="100">
        <v>3153.6000000000004</v>
      </c>
      <c r="BV98" s="100">
        <v>11</v>
      </c>
      <c r="BW98" s="100">
        <v>5781.6</v>
      </c>
      <c r="BX98" s="100">
        <v>11</v>
      </c>
      <c r="BY98" s="100">
        <v>5781.6</v>
      </c>
      <c r="BZ98" s="100">
        <v>8</v>
      </c>
      <c r="CA98" s="100">
        <v>4204.8</v>
      </c>
      <c r="CB98" s="100">
        <v>12</v>
      </c>
      <c r="CC98" s="100">
        <v>6307.2000000000007</v>
      </c>
      <c r="CD98" s="100">
        <v>9</v>
      </c>
      <c r="CE98" s="100">
        <v>4730.4000000000005</v>
      </c>
      <c r="CF98" s="100">
        <v>10</v>
      </c>
      <c r="CG98" s="100">
        <v>5256</v>
      </c>
      <c r="CH98" s="100">
        <v>10</v>
      </c>
      <c r="CI98" s="100">
        <v>5256</v>
      </c>
      <c r="CJ98" s="100">
        <v>9</v>
      </c>
      <c r="CK98" s="100">
        <v>4730.4000000000005</v>
      </c>
      <c r="CL98" s="100">
        <v>8</v>
      </c>
      <c r="CM98" s="100">
        <v>4204.8</v>
      </c>
      <c r="CN98" s="100">
        <v>7</v>
      </c>
      <c r="CO98" s="100">
        <v>3679.2000000000003</v>
      </c>
      <c r="CP98" s="100">
        <v>6</v>
      </c>
      <c r="CQ98" s="100">
        <v>3153.6000000000004</v>
      </c>
      <c r="CR98" s="100">
        <v>8</v>
      </c>
      <c r="CS98" s="100">
        <v>4204.8</v>
      </c>
      <c r="CT98" s="100">
        <v>8</v>
      </c>
      <c r="CU98" s="100">
        <v>4204.8</v>
      </c>
    </row>
    <row r="99" spans="2:99">
      <c r="C99" s="99" t="s">
        <v>265</v>
      </c>
      <c r="D99" s="100">
        <v>6</v>
      </c>
      <c r="E99" s="100">
        <v>25250.399999999998</v>
      </c>
      <c r="F99" s="100">
        <v>4</v>
      </c>
      <c r="G99" s="100">
        <v>16833.599999999999</v>
      </c>
      <c r="H99" s="100">
        <v>6</v>
      </c>
      <c r="I99" s="100">
        <v>25250.399999999998</v>
      </c>
      <c r="J99" s="100">
        <v>5</v>
      </c>
      <c r="K99" s="100">
        <v>21042</v>
      </c>
      <c r="L99" s="100">
        <v>7</v>
      </c>
      <c r="M99" s="100">
        <v>29458.799999999996</v>
      </c>
      <c r="N99" s="100">
        <v>8</v>
      </c>
      <c r="O99" s="100">
        <v>33667.199999999997</v>
      </c>
      <c r="P99" s="100">
        <v>6</v>
      </c>
      <c r="Q99" s="100">
        <v>25250.399999999998</v>
      </c>
      <c r="R99" s="100">
        <v>6</v>
      </c>
      <c r="S99" s="100">
        <v>25250.399999999998</v>
      </c>
      <c r="T99" s="100">
        <v>5</v>
      </c>
      <c r="U99" s="100">
        <v>21042</v>
      </c>
      <c r="V99" s="100">
        <v>9</v>
      </c>
      <c r="W99" s="100">
        <v>37875.599999999999</v>
      </c>
      <c r="X99" s="100">
        <v>4</v>
      </c>
      <c r="Y99" s="100">
        <v>16833.599999999999</v>
      </c>
      <c r="Z99" s="100">
        <v>5</v>
      </c>
      <c r="AA99" s="100">
        <v>21042</v>
      </c>
      <c r="AB99" s="100">
        <v>8</v>
      </c>
      <c r="AC99" s="100">
        <v>33667.199999999997</v>
      </c>
      <c r="AD99" s="100">
        <v>7</v>
      </c>
      <c r="AE99" s="100">
        <v>29458.799999999996</v>
      </c>
      <c r="AF99" s="100">
        <v>8</v>
      </c>
      <c r="AG99" s="100">
        <v>33667.199999999997</v>
      </c>
      <c r="AH99" s="100">
        <v>5</v>
      </c>
      <c r="AI99" s="100">
        <v>21042</v>
      </c>
      <c r="AJ99" s="100">
        <v>9</v>
      </c>
      <c r="AK99" s="100">
        <v>37875.599999999999</v>
      </c>
      <c r="AL99" s="100">
        <v>8</v>
      </c>
      <c r="AM99" s="100">
        <v>33667.199999999997</v>
      </c>
      <c r="AN99" s="100">
        <v>9</v>
      </c>
      <c r="AO99" s="100">
        <v>37875.599999999999</v>
      </c>
      <c r="AP99" s="100">
        <v>6</v>
      </c>
      <c r="AQ99" s="100">
        <v>25250.399999999998</v>
      </c>
      <c r="AR99" s="100">
        <v>6</v>
      </c>
      <c r="AS99" s="100">
        <v>25250.399999999998</v>
      </c>
      <c r="AT99" s="100">
        <v>6</v>
      </c>
      <c r="AU99" s="100">
        <v>25250.399999999998</v>
      </c>
      <c r="AV99" s="100">
        <v>5</v>
      </c>
      <c r="AW99" s="100">
        <v>21042</v>
      </c>
      <c r="AX99" s="100">
        <v>8</v>
      </c>
      <c r="AY99" s="100">
        <v>33667.199999999997</v>
      </c>
      <c r="AZ99" s="100">
        <v>9</v>
      </c>
      <c r="BA99" s="100">
        <v>37875.599999999999</v>
      </c>
      <c r="BB99" s="100">
        <v>7</v>
      </c>
      <c r="BC99" s="100">
        <v>29458.799999999996</v>
      </c>
      <c r="BD99" s="100">
        <v>8</v>
      </c>
      <c r="BE99" s="100">
        <v>33667.199999999997</v>
      </c>
      <c r="BF99" s="100">
        <v>6</v>
      </c>
      <c r="BG99" s="100">
        <v>25250.399999999998</v>
      </c>
      <c r="BH99" s="100">
        <v>5</v>
      </c>
      <c r="BI99" s="100">
        <v>21042</v>
      </c>
      <c r="BJ99" s="100">
        <v>5</v>
      </c>
      <c r="BK99" s="100">
        <v>21042</v>
      </c>
      <c r="BL99" s="100">
        <v>7</v>
      </c>
      <c r="BM99" s="100">
        <v>29458.799999999996</v>
      </c>
      <c r="BN99" s="100">
        <v>9</v>
      </c>
      <c r="BO99" s="100">
        <v>37875.599999999999</v>
      </c>
      <c r="BP99" s="100">
        <v>7</v>
      </c>
      <c r="BQ99" s="100">
        <v>29458.799999999996</v>
      </c>
      <c r="BR99" s="100">
        <v>6</v>
      </c>
      <c r="BS99" s="100">
        <v>25250.399999999998</v>
      </c>
      <c r="BT99" s="100">
        <v>5</v>
      </c>
      <c r="BU99" s="100">
        <v>21042</v>
      </c>
      <c r="BV99" s="100">
        <v>7</v>
      </c>
      <c r="BW99" s="100">
        <v>29458.799999999996</v>
      </c>
      <c r="BX99" s="100">
        <v>7</v>
      </c>
      <c r="BY99" s="100">
        <v>29458.799999999996</v>
      </c>
      <c r="BZ99" s="100">
        <v>7</v>
      </c>
      <c r="CA99" s="100">
        <v>29458.799999999996</v>
      </c>
      <c r="CB99" s="100">
        <v>9</v>
      </c>
      <c r="CC99" s="100">
        <v>37875.599999999999</v>
      </c>
      <c r="CD99" s="100">
        <v>6</v>
      </c>
      <c r="CE99" s="100">
        <v>25250.399999999998</v>
      </c>
      <c r="CF99" s="100">
        <v>8</v>
      </c>
      <c r="CG99" s="100">
        <v>33667.199999999997</v>
      </c>
      <c r="CH99" s="100">
        <v>8</v>
      </c>
      <c r="CI99" s="100">
        <v>33667.199999999997</v>
      </c>
      <c r="CJ99" s="100">
        <v>7</v>
      </c>
      <c r="CK99" s="100">
        <v>29458.799999999996</v>
      </c>
      <c r="CL99" s="100">
        <v>7</v>
      </c>
      <c r="CM99" s="100">
        <v>29458.799999999996</v>
      </c>
      <c r="CN99" s="100">
        <v>5</v>
      </c>
      <c r="CO99" s="100">
        <v>21042</v>
      </c>
      <c r="CP99" s="100">
        <v>5</v>
      </c>
      <c r="CQ99" s="100">
        <v>21042</v>
      </c>
      <c r="CR99" s="100">
        <v>6</v>
      </c>
      <c r="CS99" s="100">
        <v>25250.399999999998</v>
      </c>
      <c r="CT99" s="100">
        <v>6</v>
      </c>
      <c r="CU99" s="100">
        <v>25250.399999999998</v>
      </c>
    </row>
    <row r="100" spans="2:99">
      <c r="C100" s="99" t="s">
        <v>266</v>
      </c>
      <c r="D100" s="100">
        <v>8</v>
      </c>
      <c r="E100" s="100">
        <v>2592</v>
      </c>
      <c r="F100" s="100">
        <v>6</v>
      </c>
      <c r="G100" s="100">
        <v>1944</v>
      </c>
      <c r="H100" s="100">
        <v>8</v>
      </c>
      <c r="I100" s="100">
        <v>2592</v>
      </c>
      <c r="J100" s="100">
        <v>7</v>
      </c>
      <c r="K100" s="100">
        <v>2268</v>
      </c>
      <c r="L100" s="100">
        <v>9</v>
      </c>
      <c r="M100" s="100">
        <v>2916</v>
      </c>
      <c r="N100" s="100">
        <v>11</v>
      </c>
      <c r="O100" s="100">
        <v>3564</v>
      </c>
      <c r="P100" s="100">
        <v>9</v>
      </c>
      <c r="Q100" s="100">
        <v>2916</v>
      </c>
      <c r="R100" s="100">
        <v>7</v>
      </c>
      <c r="S100" s="100">
        <v>2268</v>
      </c>
      <c r="T100" s="100">
        <v>7</v>
      </c>
      <c r="U100" s="100">
        <v>2268</v>
      </c>
      <c r="V100" s="100">
        <v>10</v>
      </c>
      <c r="W100" s="100">
        <v>3240</v>
      </c>
      <c r="X100" s="100">
        <v>6</v>
      </c>
      <c r="Y100" s="100">
        <v>1944</v>
      </c>
      <c r="Z100" s="100">
        <v>7</v>
      </c>
      <c r="AA100" s="100">
        <v>2268</v>
      </c>
      <c r="AB100" s="100">
        <v>10</v>
      </c>
      <c r="AC100" s="100">
        <v>3240</v>
      </c>
      <c r="AD100" s="100">
        <v>10</v>
      </c>
      <c r="AE100" s="100">
        <v>3240</v>
      </c>
      <c r="AF100" s="100">
        <v>11</v>
      </c>
      <c r="AG100" s="100">
        <v>3564</v>
      </c>
      <c r="AH100" s="100">
        <v>7</v>
      </c>
      <c r="AI100" s="100">
        <v>2268</v>
      </c>
      <c r="AJ100" s="100">
        <v>12</v>
      </c>
      <c r="AK100" s="100">
        <v>3888</v>
      </c>
      <c r="AL100" s="100">
        <v>12</v>
      </c>
      <c r="AM100" s="100">
        <v>3888</v>
      </c>
      <c r="AN100" s="100">
        <v>10</v>
      </c>
      <c r="AO100" s="100">
        <v>3240</v>
      </c>
      <c r="AP100" s="100">
        <v>7</v>
      </c>
      <c r="AQ100" s="100">
        <v>2268</v>
      </c>
      <c r="AR100" s="100">
        <v>9</v>
      </c>
      <c r="AS100" s="100">
        <v>2916</v>
      </c>
      <c r="AT100" s="100">
        <v>7</v>
      </c>
      <c r="AU100" s="100">
        <v>2268</v>
      </c>
      <c r="AV100" s="100">
        <v>7</v>
      </c>
      <c r="AW100" s="100">
        <v>2268</v>
      </c>
      <c r="AX100" s="100">
        <v>10</v>
      </c>
      <c r="AY100" s="100">
        <v>3240</v>
      </c>
      <c r="AZ100" s="100">
        <v>12</v>
      </c>
      <c r="BA100" s="100">
        <v>3888</v>
      </c>
      <c r="BB100" s="100">
        <v>11</v>
      </c>
      <c r="BC100" s="100">
        <v>3564</v>
      </c>
      <c r="BD100" s="100">
        <v>10</v>
      </c>
      <c r="BE100" s="100">
        <v>3240</v>
      </c>
      <c r="BF100" s="100">
        <v>8</v>
      </c>
      <c r="BG100" s="100">
        <v>2592</v>
      </c>
      <c r="BH100" s="100">
        <v>7</v>
      </c>
      <c r="BI100" s="100">
        <v>2268</v>
      </c>
      <c r="BJ100" s="100">
        <v>7</v>
      </c>
      <c r="BK100" s="100">
        <v>2268</v>
      </c>
      <c r="BL100" s="100">
        <v>9</v>
      </c>
      <c r="BM100" s="100">
        <v>2916</v>
      </c>
      <c r="BN100" s="100">
        <v>11</v>
      </c>
      <c r="BO100" s="100">
        <v>3564</v>
      </c>
      <c r="BP100" s="100">
        <v>9</v>
      </c>
      <c r="BQ100" s="100">
        <v>2916</v>
      </c>
      <c r="BR100" s="100">
        <v>8</v>
      </c>
      <c r="BS100" s="100">
        <v>2592</v>
      </c>
      <c r="BT100" s="100">
        <v>7</v>
      </c>
      <c r="BU100" s="100">
        <v>2268</v>
      </c>
      <c r="BV100" s="100">
        <v>11</v>
      </c>
      <c r="BW100" s="100">
        <v>3564</v>
      </c>
      <c r="BX100" s="100">
        <v>10</v>
      </c>
      <c r="BY100" s="100">
        <v>3240</v>
      </c>
      <c r="BZ100" s="100">
        <v>9</v>
      </c>
      <c r="CA100" s="100">
        <v>2916</v>
      </c>
      <c r="CB100" s="100">
        <v>12</v>
      </c>
      <c r="CC100" s="100">
        <v>3888</v>
      </c>
      <c r="CD100" s="100">
        <v>8</v>
      </c>
      <c r="CE100" s="100">
        <v>2592</v>
      </c>
      <c r="CF100" s="100">
        <v>10</v>
      </c>
      <c r="CG100" s="100">
        <v>3240</v>
      </c>
      <c r="CH100" s="100">
        <v>11</v>
      </c>
      <c r="CI100" s="100">
        <v>3564</v>
      </c>
      <c r="CJ100" s="100">
        <v>9</v>
      </c>
      <c r="CK100" s="100">
        <v>2916</v>
      </c>
      <c r="CL100" s="100">
        <v>9</v>
      </c>
      <c r="CM100" s="100">
        <v>2916</v>
      </c>
      <c r="CN100" s="100">
        <v>8</v>
      </c>
      <c r="CO100" s="100">
        <v>2592</v>
      </c>
      <c r="CP100" s="100">
        <v>6</v>
      </c>
      <c r="CQ100" s="100">
        <v>1944</v>
      </c>
      <c r="CR100" s="100">
        <v>8</v>
      </c>
      <c r="CS100" s="100">
        <v>2592</v>
      </c>
      <c r="CT100" s="100">
        <v>9</v>
      </c>
      <c r="CU100" s="100">
        <v>2916</v>
      </c>
    </row>
    <row r="101" spans="2:99">
      <c r="C101" s="99" t="s">
        <v>267</v>
      </c>
      <c r="D101" s="100">
        <v>8</v>
      </c>
      <c r="E101" s="100">
        <v>5788.8</v>
      </c>
      <c r="F101" s="100">
        <v>6</v>
      </c>
      <c r="G101" s="100">
        <v>4341.6000000000004</v>
      </c>
      <c r="H101" s="100">
        <v>9</v>
      </c>
      <c r="I101" s="100">
        <v>6512.4000000000005</v>
      </c>
      <c r="J101" s="100">
        <v>6</v>
      </c>
      <c r="K101" s="100">
        <v>4341.6000000000004</v>
      </c>
      <c r="L101" s="100">
        <v>10</v>
      </c>
      <c r="M101" s="100">
        <v>7236</v>
      </c>
      <c r="N101" s="100">
        <v>11</v>
      </c>
      <c r="O101" s="100">
        <v>7959.6</v>
      </c>
      <c r="P101" s="100">
        <v>7</v>
      </c>
      <c r="Q101" s="100">
        <v>5065.2</v>
      </c>
      <c r="R101" s="100">
        <v>6</v>
      </c>
      <c r="S101" s="100">
        <v>4341.6000000000004</v>
      </c>
      <c r="T101" s="100">
        <v>7</v>
      </c>
      <c r="U101" s="100">
        <v>5065.2</v>
      </c>
      <c r="V101" s="100">
        <v>12</v>
      </c>
      <c r="W101" s="100">
        <v>8683.2000000000007</v>
      </c>
      <c r="X101" s="100">
        <v>6</v>
      </c>
      <c r="Y101" s="100">
        <v>4341.6000000000004</v>
      </c>
      <c r="Z101" s="100">
        <v>8</v>
      </c>
      <c r="AA101" s="100">
        <v>5788.8</v>
      </c>
      <c r="AB101" s="100">
        <v>9</v>
      </c>
      <c r="AC101" s="100">
        <v>6512.4000000000005</v>
      </c>
      <c r="AD101" s="100">
        <v>10</v>
      </c>
      <c r="AE101" s="100">
        <v>7236</v>
      </c>
      <c r="AF101" s="100">
        <v>10</v>
      </c>
      <c r="AG101" s="100">
        <v>7236</v>
      </c>
      <c r="AH101" s="100">
        <v>6</v>
      </c>
      <c r="AI101" s="100">
        <v>4341.6000000000004</v>
      </c>
      <c r="AJ101" s="100">
        <v>11</v>
      </c>
      <c r="AK101" s="100">
        <v>7959.6</v>
      </c>
      <c r="AL101" s="100">
        <v>10</v>
      </c>
      <c r="AM101" s="100">
        <v>7236</v>
      </c>
      <c r="AN101" s="100">
        <v>11</v>
      </c>
      <c r="AO101" s="100">
        <v>7959.6</v>
      </c>
      <c r="AP101" s="100">
        <v>8</v>
      </c>
      <c r="AQ101" s="100">
        <v>5788.8</v>
      </c>
      <c r="AR101" s="100">
        <v>9</v>
      </c>
      <c r="AS101" s="100">
        <v>6512.4000000000005</v>
      </c>
      <c r="AT101" s="100">
        <v>7</v>
      </c>
      <c r="AU101" s="100">
        <v>5065.2</v>
      </c>
      <c r="AV101" s="100">
        <v>7</v>
      </c>
      <c r="AW101" s="100">
        <v>5065.2</v>
      </c>
      <c r="AX101" s="100">
        <v>9</v>
      </c>
      <c r="AY101" s="100">
        <v>6512.4000000000005</v>
      </c>
      <c r="AZ101" s="100">
        <v>11</v>
      </c>
      <c r="BA101" s="100">
        <v>7959.6</v>
      </c>
      <c r="BB101" s="100">
        <v>9</v>
      </c>
      <c r="BC101" s="100">
        <v>6512.4000000000005</v>
      </c>
      <c r="BD101" s="100">
        <v>10</v>
      </c>
      <c r="BE101" s="100">
        <v>7236</v>
      </c>
      <c r="BF101" s="100">
        <v>8</v>
      </c>
      <c r="BG101" s="100">
        <v>5788.8</v>
      </c>
      <c r="BH101" s="100">
        <v>7</v>
      </c>
      <c r="BI101" s="100">
        <v>5065.2</v>
      </c>
      <c r="BJ101" s="100">
        <v>6</v>
      </c>
      <c r="BK101" s="100">
        <v>4341.6000000000004</v>
      </c>
      <c r="BL101" s="100">
        <v>10</v>
      </c>
      <c r="BM101" s="100">
        <v>7236</v>
      </c>
      <c r="BN101" s="100">
        <v>11</v>
      </c>
      <c r="BO101" s="100">
        <v>7959.6</v>
      </c>
      <c r="BP101" s="100">
        <v>9</v>
      </c>
      <c r="BQ101" s="100">
        <v>6512.4000000000005</v>
      </c>
      <c r="BR101" s="100">
        <v>8</v>
      </c>
      <c r="BS101" s="100">
        <v>5788.8</v>
      </c>
      <c r="BT101" s="100">
        <v>7</v>
      </c>
      <c r="BU101" s="100">
        <v>5065.2</v>
      </c>
      <c r="BV101" s="100">
        <v>9</v>
      </c>
      <c r="BW101" s="100">
        <v>6512.4000000000005</v>
      </c>
      <c r="BX101" s="100">
        <v>10</v>
      </c>
      <c r="BY101" s="100">
        <v>7236</v>
      </c>
      <c r="BZ101" s="100">
        <v>8</v>
      </c>
      <c r="CA101" s="100">
        <v>5788.8</v>
      </c>
      <c r="CB101" s="100">
        <v>12</v>
      </c>
      <c r="CC101" s="100">
        <v>8683.2000000000007</v>
      </c>
      <c r="CD101" s="100">
        <v>8</v>
      </c>
      <c r="CE101" s="100">
        <v>5788.8</v>
      </c>
      <c r="CF101" s="100">
        <v>10</v>
      </c>
      <c r="CG101" s="100">
        <v>7236</v>
      </c>
      <c r="CH101" s="100">
        <v>10</v>
      </c>
      <c r="CI101" s="100">
        <v>7236</v>
      </c>
      <c r="CJ101" s="100">
        <v>9</v>
      </c>
      <c r="CK101" s="100">
        <v>6512.4000000000005</v>
      </c>
      <c r="CL101" s="100">
        <v>9</v>
      </c>
      <c r="CM101" s="100">
        <v>6512.4000000000005</v>
      </c>
      <c r="CN101" s="100">
        <v>9</v>
      </c>
      <c r="CO101" s="100">
        <v>6512.4000000000005</v>
      </c>
      <c r="CP101" s="100">
        <v>6</v>
      </c>
      <c r="CQ101" s="100">
        <v>4341.6000000000004</v>
      </c>
      <c r="CR101" s="100">
        <v>7</v>
      </c>
      <c r="CS101" s="100">
        <v>5065.2</v>
      </c>
      <c r="CT101" s="100">
        <v>7</v>
      </c>
      <c r="CU101" s="100">
        <v>5065.2</v>
      </c>
    </row>
    <row r="102" spans="2:99">
      <c r="C102" s="99" t="s">
        <v>268</v>
      </c>
      <c r="D102" s="100">
        <v>9</v>
      </c>
      <c r="E102" s="100">
        <v>4784.4000000000005</v>
      </c>
      <c r="F102" s="100">
        <v>6</v>
      </c>
      <c r="G102" s="100">
        <v>3189.6000000000004</v>
      </c>
      <c r="H102" s="100">
        <v>7</v>
      </c>
      <c r="I102" s="100">
        <v>3721.2000000000003</v>
      </c>
      <c r="J102" s="100">
        <v>7</v>
      </c>
      <c r="K102" s="100">
        <v>3721.2000000000003</v>
      </c>
      <c r="L102" s="100">
        <v>10</v>
      </c>
      <c r="M102" s="100">
        <v>5316</v>
      </c>
      <c r="N102" s="100">
        <v>11</v>
      </c>
      <c r="O102" s="100">
        <v>5847.6</v>
      </c>
      <c r="P102" s="100">
        <v>8</v>
      </c>
      <c r="Q102" s="100">
        <v>4252.8</v>
      </c>
      <c r="R102" s="100">
        <v>7</v>
      </c>
      <c r="S102" s="100">
        <v>3721.2000000000003</v>
      </c>
      <c r="T102" s="100">
        <v>6</v>
      </c>
      <c r="U102" s="100">
        <v>3189.6000000000004</v>
      </c>
      <c r="V102" s="100">
        <v>12</v>
      </c>
      <c r="W102" s="100">
        <v>6379.2000000000007</v>
      </c>
      <c r="X102" s="100">
        <v>6</v>
      </c>
      <c r="Y102" s="100">
        <v>3189.6000000000004</v>
      </c>
      <c r="Z102" s="100">
        <v>7</v>
      </c>
      <c r="AA102" s="100">
        <v>3721.2000000000003</v>
      </c>
      <c r="AB102" s="100">
        <v>9</v>
      </c>
      <c r="AC102" s="100">
        <v>4784.4000000000005</v>
      </c>
      <c r="AD102" s="100">
        <v>10</v>
      </c>
      <c r="AE102" s="100">
        <v>5316</v>
      </c>
      <c r="AF102" s="100">
        <v>11</v>
      </c>
      <c r="AG102" s="100">
        <v>5847.6</v>
      </c>
      <c r="AH102" s="100">
        <v>7</v>
      </c>
      <c r="AI102" s="100">
        <v>3721.2000000000003</v>
      </c>
      <c r="AJ102" s="100">
        <v>11</v>
      </c>
      <c r="AK102" s="100">
        <v>5847.6</v>
      </c>
      <c r="AL102" s="100">
        <v>11</v>
      </c>
      <c r="AM102" s="100">
        <v>5847.6</v>
      </c>
      <c r="AN102" s="100">
        <v>12</v>
      </c>
      <c r="AO102" s="100">
        <v>6379.2000000000007</v>
      </c>
      <c r="AP102" s="100">
        <v>8</v>
      </c>
      <c r="AQ102" s="100">
        <v>4252.8</v>
      </c>
      <c r="AR102" s="100">
        <v>7</v>
      </c>
      <c r="AS102" s="100">
        <v>3721.2000000000003</v>
      </c>
      <c r="AT102" s="100">
        <v>7</v>
      </c>
      <c r="AU102" s="100">
        <v>3721.2000000000003</v>
      </c>
      <c r="AV102" s="100">
        <v>7</v>
      </c>
      <c r="AW102" s="100">
        <v>3721.2000000000003</v>
      </c>
      <c r="AX102" s="100">
        <v>10</v>
      </c>
      <c r="AY102" s="100">
        <v>5316</v>
      </c>
      <c r="AZ102" s="100">
        <v>11</v>
      </c>
      <c r="BA102" s="100">
        <v>5847.6</v>
      </c>
      <c r="BB102" s="100">
        <v>9</v>
      </c>
      <c r="BC102" s="100">
        <v>4784.4000000000005</v>
      </c>
      <c r="BD102" s="100">
        <v>10</v>
      </c>
      <c r="BE102" s="100">
        <v>5316</v>
      </c>
      <c r="BF102" s="100">
        <v>7</v>
      </c>
      <c r="BG102" s="100">
        <v>3721.2000000000003</v>
      </c>
      <c r="BH102" s="100">
        <v>6</v>
      </c>
      <c r="BI102" s="100">
        <v>3189.6000000000004</v>
      </c>
      <c r="BJ102" s="100">
        <v>7</v>
      </c>
      <c r="BK102" s="100">
        <v>3721.2000000000003</v>
      </c>
      <c r="BL102" s="100">
        <v>8</v>
      </c>
      <c r="BM102" s="100">
        <v>4252.8</v>
      </c>
      <c r="BN102" s="100">
        <v>12</v>
      </c>
      <c r="BO102" s="100">
        <v>6379.2000000000007</v>
      </c>
      <c r="BP102" s="100">
        <v>9</v>
      </c>
      <c r="BQ102" s="100">
        <v>4784.4000000000005</v>
      </c>
      <c r="BR102" s="100">
        <v>8</v>
      </c>
      <c r="BS102" s="100">
        <v>4252.8</v>
      </c>
      <c r="BT102" s="100">
        <v>7</v>
      </c>
      <c r="BU102" s="100">
        <v>3721.2000000000003</v>
      </c>
      <c r="BV102" s="100">
        <v>10</v>
      </c>
      <c r="BW102" s="100">
        <v>5316</v>
      </c>
      <c r="BX102" s="100">
        <v>11</v>
      </c>
      <c r="BY102" s="100">
        <v>5847.6</v>
      </c>
      <c r="BZ102" s="100">
        <v>9</v>
      </c>
      <c r="CA102" s="100">
        <v>4784.4000000000005</v>
      </c>
      <c r="CB102" s="100">
        <v>11</v>
      </c>
      <c r="CC102" s="100">
        <v>5847.6</v>
      </c>
      <c r="CD102" s="100">
        <v>9</v>
      </c>
      <c r="CE102" s="100">
        <v>4784.4000000000005</v>
      </c>
      <c r="CF102" s="100">
        <v>10</v>
      </c>
      <c r="CG102" s="100">
        <v>5316</v>
      </c>
      <c r="CH102" s="100">
        <v>11</v>
      </c>
      <c r="CI102" s="100">
        <v>5847.6</v>
      </c>
      <c r="CJ102" s="100">
        <v>9</v>
      </c>
      <c r="CK102" s="100">
        <v>4784.4000000000005</v>
      </c>
      <c r="CL102" s="100">
        <v>9</v>
      </c>
      <c r="CM102" s="100">
        <v>4784.4000000000005</v>
      </c>
      <c r="CN102" s="100">
        <v>9</v>
      </c>
      <c r="CO102" s="100">
        <v>4784.4000000000005</v>
      </c>
      <c r="CP102" s="100">
        <v>7</v>
      </c>
      <c r="CQ102" s="100">
        <v>3721.2000000000003</v>
      </c>
      <c r="CR102" s="100">
        <v>8</v>
      </c>
      <c r="CS102" s="100">
        <v>4252.8</v>
      </c>
      <c r="CT102" s="100">
        <v>7</v>
      </c>
      <c r="CU102" s="100">
        <v>3721.2000000000003</v>
      </c>
    </row>
    <row r="103" spans="2:99">
      <c r="C103" s="99" t="s">
        <v>269</v>
      </c>
      <c r="D103" s="100">
        <v>7</v>
      </c>
      <c r="E103" s="100">
        <v>4124.3999999999996</v>
      </c>
      <c r="F103" s="100">
        <v>6</v>
      </c>
      <c r="G103" s="100">
        <v>3535.2</v>
      </c>
      <c r="H103" s="100">
        <v>9</v>
      </c>
      <c r="I103" s="100">
        <v>5302.7999999999993</v>
      </c>
      <c r="J103" s="100">
        <v>7</v>
      </c>
      <c r="K103" s="100">
        <v>4124.3999999999996</v>
      </c>
      <c r="L103" s="100">
        <v>10</v>
      </c>
      <c r="M103" s="100">
        <v>5891.9999999999991</v>
      </c>
      <c r="N103" s="100">
        <v>11</v>
      </c>
      <c r="O103" s="100">
        <v>6481.1999999999989</v>
      </c>
      <c r="P103" s="100">
        <v>8</v>
      </c>
      <c r="Q103" s="100">
        <v>4713.5999999999995</v>
      </c>
      <c r="R103" s="100">
        <v>8</v>
      </c>
      <c r="S103" s="100">
        <v>4713.5999999999995</v>
      </c>
      <c r="T103" s="100">
        <v>7</v>
      </c>
      <c r="U103" s="100">
        <v>4124.3999999999996</v>
      </c>
      <c r="V103" s="100">
        <v>10</v>
      </c>
      <c r="W103" s="100">
        <v>5891.9999999999991</v>
      </c>
      <c r="X103" s="100">
        <v>5</v>
      </c>
      <c r="Y103" s="100">
        <v>2945.9999999999995</v>
      </c>
      <c r="Z103" s="100">
        <v>7</v>
      </c>
      <c r="AA103" s="100">
        <v>4124.3999999999996</v>
      </c>
      <c r="AB103" s="100">
        <v>9</v>
      </c>
      <c r="AC103" s="100">
        <v>5302.7999999999993</v>
      </c>
      <c r="AD103" s="100">
        <v>10</v>
      </c>
      <c r="AE103" s="100">
        <v>5891.9999999999991</v>
      </c>
      <c r="AF103" s="100">
        <v>11</v>
      </c>
      <c r="AG103" s="100">
        <v>6481.1999999999989</v>
      </c>
      <c r="AH103" s="100">
        <v>6</v>
      </c>
      <c r="AI103" s="100">
        <v>3535.2</v>
      </c>
      <c r="AJ103" s="100">
        <v>11</v>
      </c>
      <c r="AK103" s="100">
        <v>6481.1999999999989</v>
      </c>
      <c r="AL103" s="100">
        <v>10</v>
      </c>
      <c r="AM103" s="100">
        <v>5891.9999999999991</v>
      </c>
      <c r="AN103" s="100">
        <v>11</v>
      </c>
      <c r="AO103" s="100">
        <v>6481.1999999999989</v>
      </c>
      <c r="AP103" s="100">
        <v>7</v>
      </c>
      <c r="AQ103" s="100">
        <v>4124.3999999999996</v>
      </c>
      <c r="AR103" s="100">
        <v>8</v>
      </c>
      <c r="AS103" s="100">
        <v>4713.5999999999995</v>
      </c>
      <c r="AT103" s="100">
        <v>7</v>
      </c>
      <c r="AU103" s="100">
        <v>4124.3999999999996</v>
      </c>
      <c r="AV103" s="100">
        <v>7</v>
      </c>
      <c r="AW103" s="100">
        <v>4124.3999999999996</v>
      </c>
      <c r="AX103" s="100">
        <v>10</v>
      </c>
      <c r="AY103" s="100">
        <v>5891.9999999999991</v>
      </c>
      <c r="AZ103" s="100">
        <v>10</v>
      </c>
      <c r="BA103" s="100">
        <v>5891.9999999999991</v>
      </c>
      <c r="BB103" s="100">
        <v>10</v>
      </c>
      <c r="BC103" s="100">
        <v>5891.9999999999991</v>
      </c>
      <c r="BD103" s="100">
        <v>10</v>
      </c>
      <c r="BE103" s="100">
        <v>5891.9999999999991</v>
      </c>
      <c r="BF103" s="100">
        <v>8</v>
      </c>
      <c r="BG103" s="100">
        <v>4713.5999999999995</v>
      </c>
      <c r="BH103" s="100">
        <v>6</v>
      </c>
      <c r="BI103" s="100">
        <v>3535.2</v>
      </c>
      <c r="BJ103" s="100">
        <v>7</v>
      </c>
      <c r="BK103" s="100">
        <v>4124.3999999999996</v>
      </c>
      <c r="BL103" s="100">
        <v>9</v>
      </c>
      <c r="BM103" s="100">
        <v>5302.7999999999993</v>
      </c>
      <c r="BN103" s="100">
        <v>11</v>
      </c>
      <c r="BO103" s="100">
        <v>6481.1999999999989</v>
      </c>
      <c r="BP103" s="100">
        <v>10</v>
      </c>
      <c r="BQ103" s="100">
        <v>5891.9999999999991</v>
      </c>
      <c r="BR103" s="100">
        <v>8</v>
      </c>
      <c r="BS103" s="100">
        <v>4713.5999999999995</v>
      </c>
      <c r="BT103" s="100">
        <v>6</v>
      </c>
      <c r="BU103" s="100">
        <v>3535.2</v>
      </c>
      <c r="BV103" s="100">
        <v>11</v>
      </c>
      <c r="BW103" s="100">
        <v>6481.1999999999989</v>
      </c>
      <c r="BX103" s="100">
        <v>10</v>
      </c>
      <c r="BY103" s="100">
        <v>5891.9999999999991</v>
      </c>
      <c r="BZ103" s="100">
        <v>8</v>
      </c>
      <c r="CA103" s="100">
        <v>4713.5999999999995</v>
      </c>
      <c r="CB103" s="100">
        <v>12</v>
      </c>
      <c r="CC103" s="100">
        <v>7070.4</v>
      </c>
      <c r="CD103" s="100">
        <v>9</v>
      </c>
      <c r="CE103" s="100">
        <v>5302.7999999999993</v>
      </c>
      <c r="CF103" s="100">
        <v>10</v>
      </c>
      <c r="CG103" s="100">
        <v>5891.9999999999991</v>
      </c>
      <c r="CH103" s="100">
        <v>11</v>
      </c>
      <c r="CI103" s="100">
        <v>6481.1999999999989</v>
      </c>
      <c r="CJ103" s="100">
        <v>8</v>
      </c>
      <c r="CK103" s="100">
        <v>4713.5999999999995</v>
      </c>
      <c r="CL103" s="100">
        <v>8</v>
      </c>
      <c r="CM103" s="100">
        <v>4713.5999999999995</v>
      </c>
      <c r="CN103" s="100">
        <v>8</v>
      </c>
      <c r="CO103" s="100">
        <v>4713.5999999999995</v>
      </c>
      <c r="CP103" s="100">
        <v>6</v>
      </c>
      <c r="CQ103" s="100">
        <v>3535.2</v>
      </c>
      <c r="CR103" s="100">
        <v>8</v>
      </c>
      <c r="CS103" s="100">
        <v>4713.5999999999995</v>
      </c>
      <c r="CT103" s="100">
        <v>8</v>
      </c>
      <c r="CU103" s="100">
        <v>4713.5999999999995</v>
      </c>
    </row>
    <row r="104" spans="2:99">
      <c r="C104" s="99" t="s">
        <v>270</v>
      </c>
      <c r="D104" s="100">
        <v>8</v>
      </c>
      <c r="E104" s="100">
        <v>5059.2</v>
      </c>
      <c r="F104" s="100">
        <v>6</v>
      </c>
      <c r="G104" s="100">
        <v>3794.3999999999996</v>
      </c>
      <c r="H104" s="100">
        <v>9</v>
      </c>
      <c r="I104" s="100">
        <v>5691.5999999999995</v>
      </c>
      <c r="J104" s="100">
        <v>6</v>
      </c>
      <c r="K104" s="100">
        <v>3794.3999999999996</v>
      </c>
      <c r="L104" s="100">
        <v>9</v>
      </c>
      <c r="M104" s="100">
        <v>5691.5999999999995</v>
      </c>
      <c r="N104" s="100">
        <v>9</v>
      </c>
      <c r="O104" s="100">
        <v>5691.5999999999995</v>
      </c>
      <c r="P104" s="100">
        <v>8</v>
      </c>
      <c r="Q104" s="100">
        <v>5059.2</v>
      </c>
      <c r="R104" s="100">
        <v>7</v>
      </c>
      <c r="S104" s="100">
        <v>4426.8</v>
      </c>
      <c r="T104" s="100">
        <v>7</v>
      </c>
      <c r="U104" s="100">
        <v>4426.8</v>
      </c>
      <c r="V104" s="100">
        <v>10</v>
      </c>
      <c r="W104" s="100">
        <v>6324</v>
      </c>
      <c r="X104" s="100">
        <v>6</v>
      </c>
      <c r="Y104" s="100">
        <v>3794.3999999999996</v>
      </c>
      <c r="Z104" s="100">
        <v>8</v>
      </c>
      <c r="AA104" s="100">
        <v>5059.2</v>
      </c>
      <c r="AB104" s="100">
        <v>9</v>
      </c>
      <c r="AC104" s="100">
        <v>5691.5999999999995</v>
      </c>
      <c r="AD104" s="100">
        <v>9</v>
      </c>
      <c r="AE104" s="100">
        <v>5691.5999999999995</v>
      </c>
      <c r="AF104" s="100">
        <v>11</v>
      </c>
      <c r="AG104" s="100">
        <v>6956.4</v>
      </c>
      <c r="AH104" s="100">
        <v>6</v>
      </c>
      <c r="AI104" s="100">
        <v>3794.3999999999996</v>
      </c>
      <c r="AJ104" s="100">
        <v>11</v>
      </c>
      <c r="AK104" s="100">
        <v>6956.4</v>
      </c>
      <c r="AL104" s="100">
        <v>10</v>
      </c>
      <c r="AM104" s="100">
        <v>6324</v>
      </c>
      <c r="AN104" s="100">
        <v>12</v>
      </c>
      <c r="AO104" s="100">
        <v>7588.7999999999993</v>
      </c>
      <c r="AP104" s="100">
        <v>8</v>
      </c>
      <c r="AQ104" s="100">
        <v>5059.2</v>
      </c>
      <c r="AR104" s="100">
        <v>8</v>
      </c>
      <c r="AS104" s="100">
        <v>5059.2</v>
      </c>
      <c r="AT104" s="100">
        <v>7</v>
      </c>
      <c r="AU104" s="100">
        <v>4426.8</v>
      </c>
      <c r="AV104" s="100">
        <v>7</v>
      </c>
      <c r="AW104" s="100">
        <v>4426.8</v>
      </c>
      <c r="AX104" s="100">
        <v>10</v>
      </c>
      <c r="AY104" s="100">
        <v>6324</v>
      </c>
      <c r="AZ104" s="100">
        <v>11</v>
      </c>
      <c r="BA104" s="100">
        <v>6956.4</v>
      </c>
      <c r="BB104" s="100">
        <v>10</v>
      </c>
      <c r="BC104" s="100">
        <v>6324</v>
      </c>
      <c r="BD104" s="100">
        <v>10</v>
      </c>
      <c r="BE104" s="100">
        <v>6324</v>
      </c>
      <c r="BF104" s="100">
        <v>8</v>
      </c>
      <c r="BG104" s="100">
        <v>5059.2</v>
      </c>
      <c r="BH104" s="100">
        <v>6</v>
      </c>
      <c r="BI104" s="100">
        <v>3794.3999999999996</v>
      </c>
      <c r="BJ104" s="100">
        <v>6</v>
      </c>
      <c r="BK104" s="100">
        <v>3794.3999999999996</v>
      </c>
      <c r="BL104" s="100">
        <v>9</v>
      </c>
      <c r="BM104" s="100">
        <v>5691.5999999999995</v>
      </c>
      <c r="BN104" s="100">
        <v>11</v>
      </c>
      <c r="BO104" s="100">
        <v>6956.4</v>
      </c>
      <c r="BP104" s="100">
        <v>9</v>
      </c>
      <c r="BQ104" s="100">
        <v>5691.5999999999995</v>
      </c>
      <c r="BR104" s="100">
        <v>8</v>
      </c>
      <c r="BS104" s="100">
        <v>5059.2</v>
      </c>
      <c r="BT104" s="100">
        <v>6</v>
      </c>
      <c r="BU104" s="100">
        <v>3794.3999999999996</v>
      </c>
      <c r="BV104" s="100">
        <v>11</v>
      </c>
      <c r="BW104" s="100">
        <v>6956.4</v>
      </c>
      <c r="BX104" s="100">
        <v>11</v>
      </c>
      <c r="BY104" s="100">
        <v>6956.4</v>
      </c>
      <c r="BZ104" s="100">
        <v>8</v>
      </c>
      <c r="CA104" s="100">
        <v>5059.2</v>
      </c>
      <c r="CB104" s="100">
        <v>11</v>
      </c>
      <c r="CC104" s="100">
        <v>6956.4</v>
      </c>
      <c r="CD104" s="100">
        <v>9</v>
      </c>
      <c r="CE104" s="100">
        <v>5691.5999999999995</v>
      </c>
      <c r="CF104" s="100">
        <v>11</v>
      </c>
      <c r="CG104" s="100">
        <v>6956.4</v>
      </c>
      <c r="CH104" s="100">
        <v>12</v>
      </c>
      <c r="CI104" s="100">
        <v>7588.7999999999993</v>
      </c>
      <c r="CJ104" s="100">
        <v>10</v>
      </c>
      <c r="CK104" s="100">
        <v>6324</v>
      </c>
      <c r="CL104" s="100">
        <v>8</v>
      </c>
      <c r="CM104" s="100">
        <v>5059.2</v>
      </c>
      <c r="CN104" s="100">
        <v>8</v>
      </c>
      <c r="CO104" s="100">
        <v>5059.2</v>
      </c>
      <c r="CP104" s="100">
        <v>7</v>
      </c>
      <c r="CQ104" s="100">
        <v>4426.8</v>
      </c>
      <c r="CR104" s="100">
        <v>8</v>
      </c>
      <c r="CS104" s="100">
        <v>5059.2</v>
      </c>
      <c r="CT104" s="100">
        <v>7</v>
      </c>
      <c r="CU104" s="100">
        <v>4426.8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7</v>
      </c>
      <c r="G105" s="100">
        <v>3897.5999999999995</v>
      </c>
      <c r="H105" s="100">
        <v>9</v>
      </c>
      <c r="I105" s="100">
        <v>5011.2</v>
      </c>
      <c r="J105" s="100">
        <v>6</v>
      </c>
      <c r="K105" s="100">
        <v>3340.7999999999997</v>
      </c>
      <c r="L105" s="100">
        <v>9</v>
      </c>
      <c r="M105" s="100">
        <v>5011.2</v>
      </c>
      <c r="N105" s="100">
        <v>10</v>
      </c>
      <c r="O105" s="100">
        <v>5568</v>
      </c>
      <c r="P105" s="100">
        <v>7</v>
      </c>
      <c r="Q105" s="100">
        <v>3897.5999999999995</v>
      </c>
      <c r="R105" s="100">
        <v>7</v>
      </c>
      <c r="S105" s="100">
        <v>3897.5999999999995</v>
      </c>
      <c r="T105" s="100">
        <v>6</v>
      </c>
      <c r="U105" s="100">
        <v>3340.7999999999997</v>
      </c>
      <c r="V105" s="100">
        <v>11</v>
      </c>
      <c r="W105" s="100">
        <v>6124.7999999999993</v>
      </c>
      <c r="X105" s="100">
        <v>5</v>
      </c>
      <c r="Y105" s="100">
        <v>2784</v>
      </c>
      <c r="Z105" s="100">
        <v>7</v>
      </c>
      <c r="AA105" s="100">
        <v>3897.5999999999995</v>
      </c>
      <c r="AB105" s="100">
        <v>9</v>
      </c>
      <c r="AC105" s="100">
        <v>5011.2</v>
      </c>
      <c r="AD105" s="100">
        <v>10</v>
      </c>
      <c r="AE105" s="100">
        <v>5568</v>
      </c>
      <c r="AF105" s="100">
        <v>11</v>
      </c>
      <c r="AG105" s="100">
        <v>6124.7999999999993</v>
      </c>
      <c r="AH105" s="100">
        <v>6</v>
      </c>
      <c r="AI105" s="100">
        <v>3340.7999999999997</v>
      </c>
      <c r="AJ105" s="100">
        <v>12</v>
      </c>
      <c r="AK105" s="100">
        <v>6681.5999999999995</v>
      </c>
      <c r="AL105" s="100">
        <v>12</v>
      </c>
      <c r="AM105" s="100">
        <v>6681.5999999999995</v>
      </c>
      <c r="AN105" s="100">
        <v>12</v>
      </c>
      <c r="AO105" s="100">
        <v>6681.5999999999995</v>
      </c>
      <c r="AP105" s="100">
        <v>7</v>
      </c>
      <c r="AQ105" s="100">
        <v>3897.5999999999995</v>
      </c>
      <c r="AR105" s="100">
        <v>7</v>
      </c>
      <c r="AS105" s="100">
        <v>3897.5999999999995</v>
      </c>
      <c r="AT105" s="100">
        <v>7</v>
      </c>
      <c r="AU105" s="100">
        <v>3897.5999999999995</v>
      </c>
      <c r="AV105" s="100">
        <v>7</v>
      </c>
      <c r="AW105" s="100">
        <v>3897.5999999999995</v>
      </c>
      <c r="AX105" s="100">
        <v>10</v>
      </c>
      <c r="AY105" s="100">
        <v>5568</v>
      </c>
      <c r="AZ105" s="100">
        <v>10</v>
      </c>
      <c r="BA105" s="100">
        <v>5568</v>
      </c>
      <c r="BB105" s="100">
        <v>10</v>
      </c>
      <c r="BC105" s="100">
        <v>5568</v>
      </c>
      <c r="BD105" s="100">
        <v>10</v>
      </c>
      <c r="BE105" s="100">
        <v>5568</v>
      </c>
      <c r="BF105" s="100">
        <v>8</v>
      </c>
      <c r="BG105" s="100">
        <v>4454.3999999999996</v>
      </c>
      <c r="BH105" s="100">
        <v>6</v>
      </c>
      <c r="BI105" s="100">
        <v>3340.7999999999997</v>
      </c>
      <c r="BJ105" s="100">
        <v>7</v>
      </c>
      <c r="BK105" s="100">
        <v>3897.5999999999995</v>
      </c>
      <c r="BL105" s="100">
        <v>9</v>
      </c>
      <c r="BM105" s="100">
        <v>5011.2</v>
      </c>
      <c r="BN105" s="100">
        <v>10</v>
      </c>
      <c r="BO105" s="100">
        <v>5568</v>
      </c>
      <c r="BP105" s="100">
        <v>8</v>
      </c>
      <c r="BQ105" s="100">
        <v>4454.3999999999996</v>
      </c>
      <c r="BR105" s="100">
        <v>9</v>
      </c>
      <c r="BS105" s="100">
        <v>5011.2</v>
      </c>
      <c r="BT105" s="100">
        <v>6</v>
      </c>
      <c r="BU105" s="100">
        <v>3340.7999999999997</v>
      </c>
      <c r="BV105" s="100">
        <v>10</v>
      </c>
      <c r="BW105" s="100">
        <v>5568</v>
      </c>
      <c r="BX105" s="100">
        <v>10</v>
      </c>
      <c r="BY105" s="100">
        <v>5568</v>
      </c>
      <c r="BZ105" s="100">
        <v>9</v>
      </c>
      <c r="CA105" s="100">
        <v>5011.2</v>
      </c>
      <c r="CB105" s="100">
        <v>12</v>
      </c>
      <c r="CC105" s="100">
        <v>6681.5999999999995</v>
      </c>
      <c r="CD105" s="100">
        <v>8</v>
      </c>
      <c r="CE105" s="100">
        <v>4454.3999999999996</v>
      </c>
      <c r="CF105" s="100">
        <v>9</v>
      </c>
      <c r="CG105" s="100">
        <v>5011.2</v>
      </c>
      <c r="CH105" s="100">
        <v>11</v>
      </c>
      <c r="CI105" s="100">
        <v>6124.7999999999993</v>
      </c>
      <c r="CJ105" s="100">
        <v>10</v>
      </c>
      <c r="CK105" s="100">
        <v>5568</v>
      </c>
      <c r="CL105" s="100">
        <v>9</v>
      </c>
      <c r="CM105" s="100">
        <v>5011.2</v>
      </c>
      <c r="CN105" s="100">
        <v>8</v>
      </c>
      <c r="CO105" s="100">
        <v>4454.3999999999996</v>
      </c>
      <c r="CP105" s="100">
        <v>7</v>
      </c>
      <c r="CQ105" s="100">
        <v>3897.5999999999995</v>
      </c>
      <c r="CR105" s="100">
        <v>8</v>
      </c>
      <c r="CS105" s="100">
        <v>4454.3999999999996</v>
      </c>
      <c r="CT105" s="100">
        <v>8</v>
      </c>
      <c r="CU105" s="100">
        <v>4454.3999999999996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983</v>
      </c>
      <c r="E109" s="100">
        <f>SUM(L$6:L$19)+SUM(N$6:N$19)+SUM(P$6:P$19)+SUM(R$6:R$19)</f>
        <v>1236</v>
      </c>
      <c r="F109" s="100">
        <f>SUM(T$6:T$19)+SUM(V$6:V$19)+SUM(X$6:X$19)+SUM(Z$6:Z$19)</f>
        <v>1129</v>
      </c>
      <c r="G109" s="100">
        <f>SUM(AB$6:AB$19)+SUM(AD$6:AD$19)+SUM(AF$6:AF$19)+SUM(AH$6:AH$19)</f>
        <v>1144</v>
      </c>
      <c r="H109" s="100">
        <f>SUM(AJ$6:AJ$19)+SUM(AL$6:AL$19)+SUM(AN$6:AN$19)+SUM(AP$6:AP$19)</f>
        <v>1260</v>
      </c>
      <c r="I109" s="100">
        <f>SUM(AR$6:AR$19)+SUM(AT$6:AT$19)+SUM(AV$6:AV$19)+SUM(AX$6:AX$19)</f>
        <v>1087</v>
      </c>
      <c r="J109" s="100">
        <f>SUM(AZ$6:AZ$19)+SUM(BB$6:BB$19)+SUM(BD$6:BD$19)+SUM(BF$6:BF$19)</f>
        <v>1310.9679369083919</v>
      </c>
      <c r="K109" s="100">
        <f>SUM(BH$6:BH$19)+SUM(BJ$6:BJ$19)+SUM(BL$6:BL$19)+SUM(BN$6:BN$19)</f>
        <v>1373.7660324202325</v>
      </c>
      <c r="L109" s="100">
        <f>SUM(BP$6:BP$19)+SUM(BR$6:BR$19)+SUM(BT$6:BT$19)+SUM(BV$6:BV$19)</f>
        <v>1306.9414014537529</v>
      </c>
      <c r="M109" s="100">
        <f>SUM(BX$6:BX$19)+SUM(BZ$6:BZ$19)+SUM(CB$6:CB$19)+SUM(CD$6:CD$19)</f>
        <v>1035.923467479432</v>
      </c>
      <c r="N109" s="100">
        <f>SUM(CF$6:CF$19)+SUM(CH$6:CH$19)+SUM(CJ$6:CJ$19)+SUM(CL$6:CL$19)</f>
        <v>1435</v>
      </c>
      <c r="O109" s="100">
        <f>SUM(CN$6:CN$19)+SUM(CP$6:CP$19)+SUM(CR$6:CR$19)+SUM(CT$6:CT$19)</f>
        <v>1191.7639477849023</v>
      </c>
    </row>
    <row r="110" spans="2:99">
      <c r="C110" s="99" t="s">
        <v>127</v>
      </c>
      <c r="D110" s="100">
        <f>SUM(D$20:D$36)+SUM(F$20:F$36)+SUM(H$20:H$36)+SUM(J$20:J$36)</f>
        <v>1362</v>
      </c>
      <c r="E110" s="100">
        <f>SUM(L$20:L$36)+SUM(N$20:N$36)+SUM(P$20:P$36)+SUM(R$20:R$36)</f>
        <v>1301</v>
      </c>
      <c r="F110" s="100">
        <f>SUM(T$20:T$36)+SUM(V$20:V$36)+SUM(X$20:X$36)+SUM(Z$20:Z$36)</f>
        <v>1417</v>
      </c>
      <c r="G110" s="100">
        <f>SUM(AB$20:AB$36)+SUM(AD$20:AD$36)+SUM(AF$20:AF$36)+SUM(AH$20:AH$36)</f>
        <v>1514</v>
      </c>
      <c r="H110" s="100">
        <f>SUM(AJ$20:AJ$36)+SUM(AL$20:AL$36)+SUM(AN$20:AN$36)+SUM(AP$20:AP$36)</f>
        <v>1470</v>
      </c>
      <c r="I110" s="100">
        <f>SUM(AR$20:AR$36)+SUM(AT$20:AT$36)+SUM(AV$20:AV$36)+SUM(AX$20:AX$36)</f>
        <v>1450</v>
      </c>
      <c r="J110" s="100">
        <f>SUM(AZ$20:AZ$36)+SUM(BB$20:BB$36)+SUM(BD$20:BD$36)+SUM(BF$20:BF$36)</f>
        <v>1678.9911289848442</v>
      </c>
      <c r="K110" s="100">
        <f>SUM(BH$20:BH$36)+SUM(BJ$20:BJ$36)+SUM(BL$20:BL$36)+SUM(BN$20:BN$36)</f>
        <v>1386.4190726077495</v>
      </c>
      <c r="L110" s="100">
        <f>SUM(BP$20:BP$36)+SUM(BR$20:BR$36)+SUM(BT$20:BT$36)+SUM(BV$20:BV$36)</f>
        <v>1371.1250803193311</v>
      </c>
      <c r="M110" s="100">
        <f>SUM(BX$20:BX$36)+SUM(BZ$20:BZ$36)+SUM(CB$20:CB$36)+SUM(CD$20:CD$36)</f>
        <v>1166.1136187001082</v>
      </c>
      <c r="N110" s="100">
        <f>SUM(CF$20:CF$36)+SUM(CH$20:CH$36)+SUM(CJ$20:CJ$36)+SUM(CL$20:CL$36)</f>
        <v>1302</v>
      </c>
      <c r="O110" s="100">
        <f>SUM(CN$20:CN$36)+SUM(CP$20:CP$36)+SUM(CR$20:CR$36)+SUM(CT$20:CT$36)</f>
        <v>1432.8463840217196</v>
      </c>
    </row>
    <row r="111" spans="2:99">
      <c r="C111" s="99" t="s">
        <v>128</v>
      </c>
      <c r="D111" s="100">
        <f>SUM(D$37:D$48)+SUM(F$37:F$48)+SUM(H$37:H$48)+SUM(J$37:J$48)</f>
        <v>699</v>
      </c>
      <c r="E111" s="100">
        <f>SUM(L$37:L$48)+SUM(N$37:N$48)+SUM(P$37:P$48)+SUM(R$37:R$48)</f>
        <v>679</v>
      </c>
      <c r="F111" s="100">
        <f>SUM(T$37:T$48)+SUM(V$37:V$48)+SUM(X$37:X$48)+SUM(Z$37:Z$48)</f>
        <v>669</v>
      </c>
      <c r="G111" s="100">
        <f>SUM(AB$37:AB$48)+SUM(AD$37:AD$48)+SUM(AF$37:AF$48)+SUM(AH$37:AH$48)</f>
        <v>703</v>
      </c>
      <c r="H111" s="100">
        <f>SUM(AJ$37:AJ$48)+SUM(AL$37:AL$48)+SUM(AN$37:AN$48)+SUM(AP$37:AP$48)</f>
        <v>753</v>
      </c>
      <c r="I111" s="100">
        <f>SUM(AR$37:AR$48)+SUM(AT$37:AT$48)+SUM(AV$37:AV$48)+SUM(AX$37:AX$48)</f>
        <v>652</v>
      </c>
      <c r="J111" s="100">
        <f>SUM(AZ$37:AZ$48)+SUM(BB$37:BB$48)+SUM(BD$37:BD$48)+SUM(BF$37:BF$48)</f>
        <v>627.59636994886978</v>
      </c>
      <c r="K111" s="100">
        <f>SUM(BH$37:BH$48)+SUM(BJ$37:BJ$48)+SUM(BL$37:BL$48)+SUM(BN$37:BN$48)</f>
        <v>690.92884278983854</v>
      </c>
      <c r="L111" s="100">
        <f>SUM(BP$37:BP$48)+SUM(BR$37:BR$48)+SUM(BT$37:BT$48)+SUM(BV$37:BV$48)</f>
        <v>627.65265762253171</v>
      </c>
      <c r="M111" s="100">
        <f>SUM(BX$37:BX$48)+SUM(BZ$37:BZ$48)+SUM(CB$37:CB$48)+SUM(CD$37:CD$48)</f>
        <v>508.68114683929741</v>
      </c>
      <c r="N111" s="100">
        <f>SUM(CF$37:CF$48)+SUM(CH$37:CH$48)+SUM(CJ$37:CJ$48)+SUM(CL$37:CL$48)</f>
        <v>665</v>
      </c>
      <c r="O111" s="100">
        <f>SUM(CN$37:CN$48)+SUM(CP$37:CP$48)+SUM(CR$37:CR$48)+SUM(CT$37:CT$48)</f>
        <v>716.06237993192065</v>
      </c>
    </row>
    <row r="112" spans="2:99">
      <c r="C112" s="99" t="s">
        <v>129</v>
      </c>
      <c r="D112" s="100">
        <f>SUM(D$49:D$70)+SUM(F$49:F$70)+SUM(H$49:H$70)+SUM(J$49:J$70)</f>
        <v>1220.5450873152017</v>
      </c>
      <c r="E112" s="100">
        <f>SUM(L$49:L$70)+SUM(N$49:N$70)+SUM(P$49:P$70)+SUM(R$49:R$70)</f>
        <v>1139.7383468944577</v>
      </c>
      <c r="F112" s="100">
        <f>SUM(T$49:T$70)+SUM(V$49:V$70)+SUM(X$49:X$70)+SUM(Z$49:Z$70)</f>
        <v>1138.9459459459458</v>
      </c>
      <c r="G112" s="100">
        <f>SUM(AB$49:AB$70)+SUM(AD$49:AD$70)+SUM(AF$49:AF$70)+SUM(AH$49:AH$70)</f>
        <v>1043</v>
      </c>
      <c r="H112" s="100">
        <f>SUM(AJ$49:AJ$70)+SUM(AL$49:AL$70)+SUM(AN$49:AN$70)+SUM(AP$49:AP$70)</f>
        <v>1043</v>
      </c>
      <c r="I112" s="100">
        <f>SUM(AR$49:AR$70)+SUM(AT$49:AT$70)+SUM(AV$49:AV$70)+SUM(AX$49:AX$70)</f>
        <v>943</v>
      </c>
      <c r="J112" s="100">
        <f>SUM(AZ$49:AZ$70)+SUM(BB$49:BB$70)+SUM(BD$49:BD$70)+SUM(BF$49:BF$70)</f>
        <v>1290.6506920999489</v>
      </c>
      <c r="K112" s="100">
        <f>SUM(BH$49:BH$70)+SUM(BJ$49:BJ$70)+SUM(BL$49:BL$70)+SUM(BN$49:BN$70)</f>
        <v>994.04105275639063</v>
      </c>
      <c r="L112" s="100">
        <f>SUM(BP$49:BP$70)+SUM(BR$49:BR$70)+SUM(BT$49:BT$70)+SUM(BV$49:BV$70)</f>
        <v>1128.1353147305083</v>
      </c>
      <c r="M112" s="100">
        <f>SUM(BX$49:BX$70)+SUM(BZ$49:BZ$70)+SUM(CB$49:CB$70)+SUM(CD$49:CD$70)</f>
        <v>896.04909712569497</v>
      </c>
      <c r="N112" s="100">
        <f>SUM(CF$49:CF$70)+SUM(CH$49:CH$70)+SUM(CJ$49:CJ$70)+SUM(CL$49:CL$70)</f>
        <v>987</v>
      </c>
      <c r="O112" s="100">
        <f>SUM(CN$49:CN$70)+SUM(CP$49:CP$70)+SUM(CR$49:CR$70)+SUM(CT$49:CT$70)</f>
        <v>1090.0210389792214</v>
      </c>
    </row>
    <row r="113" spans="2:15">
      <c r="C113" s="99" t="s">
        <v>130</v>
      </c>
      <c r="D113" s="100">
        <f>SUM(D$71:D$86)+SUM(F$71:F$86)+SUM(H$71:H$86)+SUM(J$71:J$86)</f>
        <v>323.45491268479805</v>
      </c>
      <c r="E113" s="100">
        <f>SUM(L$71:L$86)+SUM(N$71:N$86)+SUM(P$71:P$86)+SUM(R$71:R$86)</f>
        <v>542.26165310554245</v>
      </c>
      <c r="F113" s="100">
        <f>SUM(T$71:T$86)+SUM(V$71:V$86)+SUM(X$71:X$86)+SUM(Z$71:Z$86)</f>
        <v>493.05405405405406</v>
      </c>
      <c r="G113" s="100">
        <f>SUM(AB$71:AB$86)+SUM(AD$71:AD$86)+SUM(AF$71:AF$86)+SUM(AH$71:AH$86)</f>
        <v>478</v>
      </c>
      <c r="H113" s="100">
        <f>SUM(AJ$71:AJ$86)+SUM(AL$71:AL$86)+SUM(AN$71:AN$86)+SUM(AP$71:AP$86)</f>
        <v>387</v>
      </c>
      <c r="I113" s="100">
        <f>SUM(AR$71:AR$86)+SUM(AT$71:AT$86)+SUM(AV$71:AV$86)+SUM(AX$71:AX$86)</f>
        <v>488</v>
      </c>
      <c r="J113" s="100">
        <f>SUM(AZ$71:AZ$86)+SUM(BB$71:BB$86)+SUM(BD$71:BD$86)+SUM(BF$71:BF$86)</f>
        <v>506</v>
      </c>
      <c r="K113" s="100">
        <f>SUM(BH$71:BH$86)+SUM(BJ$71:BJ$86)+SUM(BL$71:BL$86)+SUM(BN$71:BN$86)</f>
        <v>507</v>
      </c>
      <c r="L113" s="100">
        <f>SUM(BP$71:BP$86)+SUM(BR$71:BR$86)+SUM(BT$71:BT$86)+SUM(BV$71:BV$86)</f>
        <v>343.3005464480874</v>
      </c>
      <c r="M113" s="100">
        <f>SUM(BX$71:BX$86)+SUM(BZ$71:BZ$86)+SUM(CB$71:CB$86)+SUM(CD$71:CD$86)</f>
        <v>468</v>
      </c>
      <c r="N113" s="100">
        <f>SUM(CF$71:CF$86)+SUM(CH$71:CH$86)+SUM(CJ$71:CJ$86)+SUM(CL$71:CL$86)</f>
        <v>468</v>
      </c>
      <c r="O113" s="100">
        <f>SUM(CN$71:CN$86)+SUM(CP$71:CP$86)+SUM(CR$71:CR$86)+SUM(CT$71:CT$86)</f>
        <v>478</v>
      </c>
    </row>
    <row r="114" spans="2:15">
      <c r="C114" s="99" t="s">
        <v>131</v>
      </c>
      <c r="D114" s="100">
        <f>SUM(D$87:D$94)+SUM(F$87:F$94)+SUM(H$87:H$94)+SUM(J$87:J$94)</f>
        <v>265</v>
      </c>
      <c r="E114" s="100">
        <f>SUM(L$87:L$94)+SUM(N$87:N$94)+SUM(P$87:P$94)+SUM(R$87:R$94)</f>
        <v>282</v>
      </c>
      <c r="F114" s="100">
        <f>SUM(T$87:T$94)+SUM(V$87:V$94)+SUM(X$87:X$94)+SUM(Z$87:Z$94)</f>
        <v>297</v>
      </c>
      <c r="G114" s="100">
        <f>SUM(AB$87:AB$94)+SUM(AD$87:AD$94)+SUM(AF$87:AF$94)+SUM(AH$87:AH$94)</f>
        <v>263</v>
      </c>
      <c r="H114" s="100">
        <f>SUM(AJ$87:AJ$94)+SUM(AL$87:AL$94)+SUM(AN$87:AN$94)+SUM(AP$87:AP$94)</f>
        <v>282</v>
      </c>
      <c r="I114" s="100">
        <f>SUM(AR$87:AR$94)+SUM(AT$87:AT$94)+SUM(AV$87:AV$94)+SUM(AX$87:AX$94)</f>
        <v>257</v>
      </c>
      <c r="J114" s="100">
        <f>SUM(AZ$87:AZ$94)+SUM(BB$87:BB$94)+SUM(BD$87:BD$94)+SUM(BF$87:BF$94)</f>
        <v>324</v>
      </c>
      <c r="K114" s="100">
        <f>SUM(BH$87:BH$94)+SUM(BJ$87:BJ$94)+SUM(BL$87:BL$94)+SUM(BN$87:BN$94)</f>
        <v>290</v>
      </c>
      <c r="L114" s="100">
        <f>SUM(BP$87:BP$94)+SUM(BR$87:BR$94)+SUM(BT$87:BT$94)+SUM(BV$87:BV$94)</f>
        <v>352</v>
      </c>
      <c r="M114" s="100">
        <f>SUM(BX$87:BX$94)+SUM(BZ$87:BZ$94)+SUM(CB$87:CB$94)+SUM(CD$87:CD$94)</f>
        <v>278</v>
      </c>
      <c r="N114" s="100">
        <f>SUM(CF$87:CF$94)+SUM(CH$87:CH$94)+SUM(CJ$87:CJ$94)+SUM(CL$87:CL$94)</f>
        <v>346</v>
      </c>
      <c r="O114" s="100">
        <f>SUM(CN$87:CN$94)+SUM(CP$87:CP$94)+SUM(CR$87:CR$94)+SUM(CT$87:CT$94)</f>
        <v>299</v>
      </c>
    </row>
    <row r="115" spans="2:15">
      <c r="C115" s="99" t="s">
        <v>132</v>
      </c>
      <c r="D115" s="100">
        <f>SUM(D$95:D$105)+SUM(F$95:F$105)+SUM(H$95:H$105)+SUM(J$95:J$105)</f>
        <v>311</v>
      </c>
      <c r="E115" s="100">
        <f>SUM(L$95:L$105)+SUM(N$95:N$105)+SUM(P$95:P$105)+SUM(R$95:R$105)</f>
        <v>375</v>
      </c>
      <c r="F115" s="100">
        <f>SUM(T$95:T$105)+SUM(V$95:V$105)+SUM(X$95:X$105)+SUM(Z$95:Z$105)</f>
        <v>336</v>
      </c>
      <c r="G115" s="100">
        <f>SUM(AB$95:AB$105)+SUM(AD$95:AD$105)+SUM(AF$95:AF$105)+SUM(AH$95:AH$105)</f>
        <v>389</v>
      </c>
      <c r="H115" s="100">
        <f>SUM(AJ$95:AJ$105)+SUM(AL$95:AL$105)+SUM(AN$95:AN$105)+SUM(AP$95:AP$105)</f>
        <v>447</v>
      </c>
      <c r="I115" s="100">
        <f>SUM(AR$95:AR$105)+SUM(AT$95:AT$105)+SUM(AV$95:AV$105)+SUM(AX$95:AX$105)</f>
        <v>343</v>
      </c>
      <c r="J115" s="100">
        <f>SUM(AZ$95:AZ$105)+SUM(BB$95:BB$105)+SUM(BD$95:BD$105)+SUM(BF$95:BF$105)</f>
        <v>420</v>
      </c>
      <c r="K115" s="100">
        <f>SUM(BH$95:BH$105)+SUM(BJ$95:BJ$105)+SUM(BL$95:BL$105)+SUM(BN$95:BN$105)</f>
        <v>358</v>
      </c>
      <c r="L115" s="100">
        <f>SUM(BP$95:BP$105)+SUM(BR$95:BR$105)+SUM(BT$95:BT$105)+SUM(BV$95:BV$105)</f>
        <v>369</v>
      </c>
      <c r="M115" s="100">
        <f>SUM(BX$95:BX$105)+SUM(BZ$95:BZ$105)+SUM(CB$95:CB$105)+SUM(CD$95:CD$105)</f>
        <v>421</v>
      </c>
      <c r="N115" s="100">
        <f>SUM(CF$95:CF$105)+SUM(CH$95:CH$105)+SUM(CJ$95:CJ$105)+SUM(CL$95:CL$105)</f>
        <v>413</v>
      </c>
      <c r="O115" s="100">
        <f>SUM(CN$95:CN$105)+SUM(CP$95:CP$105)+SUM(CR$95:CR$105)+SUM(CT$95:CT$105)</f>
        <v>320</v>
      </c>
    </row>
    <row r="116" spans="2:15">
      <c r="C116" s="99" t="s">
        <v>278</v>
      </c>
      <c r="D116" s="100">
        <f t="shared" ref="D116:O116" si="0">SUM(D$109:D$115)</f>
        <v>5164</v>
      </c>
      <c r="E116" s="100">
        <f t="shared" si="0"/>
        <v>5555</v>
      </c>
      <c r="F116" s="100">
        <f t="shared" si="0"/>
        <v>5480</v>
      </c>
      <c r="G116" s="100">
        <f t="shared" si="0"/>
        <v>5534</v>
      </c>
      <c r="H116" s="100">
        <f t="shared" si="0"/>
        <v>5642</v>
      </c>
      <c r="I116" s="100">
        <f t="shared" si="0"/>
        <v>5220</v>
      </c>
      <c r="J116" s="100">
        <f t="shared" si="0"/>
        <v>6158.206127942055</v>
      </c>
      <c r="K116" s="100">
        <f t="shared" si="0"/>
        <v>5600.155000574211</v>
      </c>
      <c r="L116" s="100">
        <f t="shared" si="0"/>
        <v>5498.155000574211</v>
      </c>
      <c r="M116" s="100">
        <f t="shared" si="0"/>
        <v>4773.767330144532</v>
      </c>
      <c r="N116" s="100">
        <f t="shared" si="0"/>
        <v>5616</v>
      </c>
      <c r="O116" s="100">
        <f t="shared" si="0"/>
        <v>5527.6937507177636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3342200</v>
      </c>
      <c r="E120" s="100">
        <f>E109*pricing!E6*2000</f>
        <v>4202400</v>
      </c>
      <c r="F120" s="100">
        <f>F109*pricing!F6*2000</f>
        <v>3838600</v>
      </c>
      <c r="G120" s="100">
        <f>G109*pricing!G6*2000</f>
        <v>3889600</v>
      </c>
      <c r="H120" s="100">
        <f>H109*pricing!H6*2000</f>
        <v>4284000</v>
      </c>
      <c r="I120" s="100">
        <f>I109*pricing!I6*2000</f>
        <v>3695799.9999999995</v>
      </c>
      <c r="J120" s="100">
        <f>J109*pricing!J6*2000</f>
        <v>4457290.985488533</v>
      </c>
      <c r="K120" s="100">
        <f>K109*pricing!K6*2000</f>
        <v>4670804.5102287903</v>
      </c>
      <c r="L120" s="100">
        <f>L109*pricing!L6*2000</f>
        <v>4443600.7649427596</v>
      </c>
      <c r="M120" s="100">
        <f>M109*pricing!M6*2000</f>
        <v>3522139.7894300688</v>
      </c>
      <c r="N120" s="100">
        <f>N109*pricing!N6*2000</f>
        <v>4879000</v>
      </c>
      <c r="O120" s="100">
        <f>O109*pricing!O6*2000</f>
        <v>4051997.4224686674</v>
      </c>
    </row>
    <row r="121" spans="2:15">
      <c r="C121" s="99" t="s">
        <v>127</v>
      </c>
      <c r="D121" s="100">
        <f>D110*pricing!D7*2000</f>
        <v>5448000</v>
      </c>
      <c r="E121" s="100">
        <f>E110*pricing!E7*2000</f>
        <v>5204000</v>
      </c>
      <c r="F121" s="100">
        <f>F110*pricing!F7*2000</f>
        <v>5668000</v>
      </c>
      <c r="G121" s="100">
        <f>G110*pricing!G7*2000</f>
        <v>6056000</v>
      </c>
      <c r="H121" s="100">
        <f>H110*pricing!H7*2000</f>
        <v>5880000</v>
      </c>
      <c r="I121" s="100">
        <f>I110*pricing!I7*2000</f>
        <v>5800000</v>
      </c>
      <c r="J121" s="100">
        <f>J110*pricing!J7*2000</f>
        <v>6715964.5159393763</v>
      </c>
      <c r="K121" s="100">
        <f>K110*pricing!K7*2000</f>
        <v>5545676.2904309984</v>
      </c>
      <c r="L121" s="100">
        <f>L110*pricing!L7*2000</f>
        <v>5484500.3212773241</v>
      </c>
      <c r="M121" s="100">
        <f>M110*pricing!M7*2000</f>
        <v>4664454.474800433</v>
      </c>
      <c r="N121" s="100">
        <f>N110*pricing!N7*2000</f>
        <v>5208000</v>
      </c>
      <c r="O121" s="100">
        <f>O110*pricing!O7*2000</f>
        <v>5731385.5360868787</v>
      </c>
    </row>
    <row r="122" spans="2:15">
      <c r="C122" s="99" t="s">
        <v>128</v>
      </c>
      <c r="D122" s="100">
        <f>D111*pricing!D8*2000</f>
        <v>3145500</v>
      </c>
      <c r="E122" s="100">
        <f>E111*pricing!E8*2000</f>
        <v>3055500</v>
      </c>
      <c r="F122" s="100">
        <f>F111*pricing!F8*2000</f>
        <v>3010500</v>
      </c>
      <c r="G122" s="100">
        <f>G111*pricing!G8*2000</f>
        <v>3163500</v>
      </c>
      <c r="H122" s="100">
        <f>H111*pricing!H8*2000</f>
        <v>3388500</v>
      </c>
      <c r="I122" s="100">
        <f>I111*pricing!I8*2000</f>
        <v>2934000</v>
      </c>
      <c r="J122" s="100">
        <f>J111*pricing!J8*2000</f>
        <v>2824183.664769914</v>
      </c>
      <c r="K122" s="100">
        <f>K111*pricing!K8*2000</f>
        <v>3109179.7925542733</v>
      </c>
      <c r="L122" s="100">
        <f>L111*pricing!L8*2000</f>
        <v>2824436.9593013925</v>
      </c>
      <c r="M122" s="100">
        <f>M111*pricing!M8*2000</f>
        <v>2289065.1607768382</v>
      </c>
      <c r="N122" s="100">
        <f>N111*pricing!N8*2000</f>
        <v>2992500</v>
      </c>
      <c r="O122" s="100">
        <f>O111*pricing!O8*2000</f>
        <v>3222280.7096936433</v>
      </c>
    </row>
    <row r="123" spans="2:15">
      <c r="C123" s="99" t="s">
        <v>129</v>
      </c>
      <c r="D123" s="100">
        <f>D112*pricing!D9*2000</f>
        <v>5492452.8929184079</v>
      </c>
      <c r="E123" s="100">
        <f>E112*pricing!E9*2000</f>
        <v>5128822.5610250589</v>
      </c>
      <c r="F123" s="100">
        <f>F112*pricing!F9*2000</f>
        <v>5125256.7567567565</v>
      </c>
      <c r="G123" s="100">
        <f>G112*pricing!G9*2000</f>
        <v>4693500</v>
      </c>
      <c r="H123" s="100">
        <f>H112*pricing!H9*2000</f>
        <v>4693500</v>
      </c>
      <c r="I123" s="100">
        <f>I112*pricing!I9*2000</f>
        <v>4243500</v>
      </c>
      <c r="J123" s="100">
        <f>J112*pricing!J9*2000</f>
        <v>5807928.1144497702</v>
      </c>
      <c r="K123" s="100">
        <f>K112*pricing!K9*2000</f>
        <v>4473184.7374037579</v>
      </c>
      <c r="L123" s="100">
        <f>L112*pricing!L9*2000</f>
        <v>5076608.9162872881</v>
      </c>
      <c r="M123" s="100">
        <f>M112*pricing!M9*2000</f>
        <v>4032220.9370656274</v>
      </c>
      <c r="N123" s="100">
        <f>N112*pricing!N9*2000</f>
        <v>4441500</v>
      </c>
      <c r="O123" s="100">
        <f>O112*pricing!O9*2000</f>
        <v>4905094.675406496</v>
      </c>
    </row>
    <row r="124" spans="2:15">
      <c r="C124" s="99" t="s">
        <v>130</v>
      </c>
      <c r="D124" s="100">
        <f>D113*pricing!D10*2000</f>
        <v>1617274.5634239903</v>
      </c>
      <c r="E124" s="100">
        <f>E113*pricing!E10*2000</f>
        <v>2711308.2655277122</v>
      </c>
      <c r="F124" s="100">
        <f>F113*pricing!F10*2000</f>
        <v>2465270.2702702703</v>
      </c>
      <c r="G124" s="100">
        <f>G113*pricing!G10*2000</f>
        <v>2390000</v>
      </c>
      <c r="H124" s="100">
        <f>H113*pricing!H10*2000</f>
        <v>1935000</v>
      </c>
      <c r="I124" s="100">
        <f>I113*pricing!I10*2000</f>
        <v>2440000</v>
      </c>
      <c r="J124" s="100">
        <f>J113*pricing!J10*2000</f>
        <v>2530000</v>
      </c>
      <c r="K124" s="100">
        <f>K113*pricing!K10*2000</f>
        <v>2535000</v>
      </c>
      <c r="L124" s="100">
        <f>L113*pricing!L10*2000</f>
        <v>1716502.7322404371</v>
      </c>
      <c r="M124" s="100">
        <f>M113*pricing!M10*2000</f>
        <v>2340000</v>
      </c>
      <c r="N124" s="100">
        <f>N113*pricing!N10*2000</f>
        <v>2340000</v>
      </c>
      <c r="O124" s="100">
        <f>O113*pricing!O10*2000</f>
        <v>2390000</v>
      </c>
    </row>
    <row r="125" spans="2:15">
      <c r="C125" s="99" t="s">
        <v>131</v>
      </c>
      <c r="D125" s="100">
        <f>D114*pricing!D11*2000</f>
        <v>1378000</v>
      </c>
      <c r="E125" s="100">
        <f>E114*pricing!E11*2000</f>
        <v>1466400</v>
      </c>
      <c r="F125" s="100">
        <f>F114*pricing!F11*2000</f>
        <v>1544400</v>
      </c>
      <c r="G125" s="100">
        <f>G114*pricing!G11*2000</f>
        <v>1367600.0000000002</v>
      </c>
      <c r="H125" s="100">
        <f>H114*pricing!H11*2000</f>
        <v>1466400</v>
      </c>
      <c r="I125" s="100">
        <f>I114*pricing!I11*2000</f>
        <v>1336400</v>
      </c>
      <c r="J125" s="100">
        <f>J114*pricing!J11*2000</f>
        <v>1684800</v>
      </c>
      <c r="K125" s="100">
        <f>K114*pricing!K11*2000</f>
        <v>1508000</v>
      </c>
      <c r="L125" s="100">
        <f>L114*pricing!L11*2000</f>
        <v>1830400</v>
      </c>
      <c r="M125" s="100">
        <f>M114*pricing!M11*2000</f>
        <v>1445600.0000000002</v>
      </c>
      <c r="N125" s="100">
        <f>N114*pricing!N11*2000</f>
        <v>1799200</v>
      </c>
      <c r="O125" s="100">
        <f>O114*pricing!O11*2000</f>
        <v>1554800</v>
      </c>
    </row>
    <row r="126" spans="2:15">
      <c r="C126" s="99" t="s">
        <v>132</v>
      </c>
      <c r="D126" s="100">
        <f>D115*pricing!D12*2000</f>
        <v>1679400</v>
      </c>
      <c r="E126" s="100">
        <f>E115*pricing!E12*2000</f>
        <v>2025000.0000000002</v>
      </c>
      <c r="F126" s="100">
        <f>F115*pricing!F12*2000</f>
        <v>1814400</v>
      </c>
      <c r="G126" s="100">
        <f>G115*pricing!G12*2000</f>
        <v>2100600.0000000005</v>
      </c>
      <c r="H126" s="100">
        <f>H115*pricing!H12*2000</f>
        <v>2413800</v>
      </c>
      <c r="I126" s="100">
        <f>I115*pricing!I12*2000</f>
        <v>1852200</v>
      </c>
      <c r="J126" s="100">
        <f>J115*pricing!J12*2000</f>
        <v>2268000</v>
      </c>
      <c r="K126" s="100">
        <f>K115*pricing!K12*2000</f>
        <v>1933200</v>
      </c>
      <c r="L126" s="100">
        <f>L115*pricing!L12*2000</f>
        <v>1992600.0000000002</v>
      </c>
      <c r="M126" s="100">
        <f>M115*pricing!M12*2000</f>
        <v>2273400</v>
      </c>
      <c r="N126" s="100">
        <f>N115*pricing!N12*2000</f>
        <v>2230200.0000000005</v>
      </c>
      <c r="O126" s="100">
        <f>O115*pricing!O12*2000</f>
        <v>1728000</v>
      </c>
    </row>
    <row r="127" spans="2:15">
      <c r="C127" s="99" t="s">
        <v>278</v>
      </c>
      <c r="D127" s="100">
        <f t="shared" ref="D127:O127" si="1">SUM(D$120:D$126)</f>
        <v>22102827.456342399</v>
      </c>
      <c r="E127" s="100">
        <f t="shared" si="1"/>
        <v>23793430.826552771</v>
      </c>
      <c r="F127" s="100">
        <f t="shared" si="1"/>
        <v>23466427.027027026</v>
      </c>
      <c r="G127" s="100">
        <f t="shared" si="1"/>
        <v>23660800</v>
      </c>
      <c r="H127" s="100">
        <f t="shared" si="1"/>
        <v>24061200</v>
      </c>
      <c r="I127" s="100">
        <f t="shared" si="1"/>
        <v>22301900</v>
      </c>
      <c r="J127" s="100">
        <f t="shared" si="1"/>
        <v>26288167.280647594</v>
      </c>
      <c r="K127" s="100">
        <f t="shared" si="1"/>
        <v>23775045.330617819</v>
      </c>
      <c r="L127" s="100">
        <f t="shared" si="1"/>
        <v>23368649.694049202</v>
      </c>
      <c r="M127" s="100">
        <f t="shared" si="1"/>
        <v>20566880.362072967</v>
      </c>
      <c r="N127" s="100">
        <f t="shared" si="1"/>
        <v>23890400</v>
      </c>
      <c r="O127" s="100">
        <f t="shared" si="1"/>
        <v>23583558.343655687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491533.2</v>
      </c>
      <c r="E131" s="106">
        <f>SUM(M$6:M$19)+SUM(O$6:O$19)+SUM(Q$6:Q$19)+SUM(S$6:S$19)</f>
        <v>620343.6</v>
      </c>
      <c r="F131" s="106">
        <f>SUM(U$6:U$19)+SUM(W$6:W$19)+SUM(Y$6:Y$19)+SUM(AA$6:AA$19)</f>
        <v>569670</v>
      </c>
      <c r="G131" s="106">
        <f>SUM(AC$6:AC$19)+SUM(AE$6:AE$19)+SUM(AG$6:AG$19)+SUM(AI$6:AI$19)</f>
        <v>574522.79999999993</v>
      </c>
      <c r="H131" s="106">
        <f>SUM(AK$6:AK$19)+SUM(AM$6:AM$19)+SUM(AO$6:AO$19)+SUM(AQ$6:AQ$19)</f>
        <v>632324.39999999991</v>
      </c>
      <c r="I131" s="106">
        <f>SUM(AS$6:AS$19)+SUM(AU$6:AU$19)+SUM(AW$6:AW$19)+SUM(AY$6:AY$19)</f>
        <v>546691.19999999995</v>
      </c>
      <c r="J131" s="106">
        <f>SUM(BA$6:BA$19)+SUM(BC$6:BC$19)+SUM(BE$6:BE$19)+SUM(BG$6:BG$19)</f>
        <v>657521.8572052588</v>
      </c>
      <c r="K131" s="106">
        <f>SUM(BI$6:BI$19)+SUM(BK$6:BK$19)+SUM(BM$6:BM$19)+SUM(BO$6:BO$19)</f>
        <v>686526.75468127662</v>
      </c>
      <c r="L131" s="106">
        <f>SUM(BQ$6:BQ$19)+SUM(BS$6:BS$19)+SUM(BU$6:BU$19)+SUM(BW$6:BW$19)</f>
        <v>655814.1398541457</v>
      </c>
      <c r="M131" s="106">
        <f>SUM(BY$6:BY$19)+SUM(CA$6:CA$19)+SUM(CC$6:CC$19)+SUM(CE$6:CE$19)</f>
        <v>520971.61669133906</v>
      </c>
      <c r="N131" s="106">
        <f>SUM(CG$6:CG$19)+SUM(CI$6:CI$19)+SUM(CK$6:CK$19)+SUM(CM$6:CM$19)</f>
        <v>719654.39999999991</v>
      </c>
      <c r="O131" s="106">
        <f>SUM(CO$6:CO$19)+SUM(CQ$6:CQ$19)+SUM(CS$6:CS$19)+SUM(CU$6:CU$19)</f>
        <v>597651.66186309408</v>
      </c>
    </row>
    <row r="132" spans="2:15">
      <c r="C132" s="105" t="s">
        <v>127</v>
      </c>
      <c r="D132" s="106">
        <f>SUM(E$20:E$36)+SUM(G$20:G$36)+SUM(I$20:I$36)+SUM(K$20:K$36)</f>
        <v>582919.19999999995</v>
      </c>
      <c r="E132" s="106">
        <f>SUM(M$20:M$36)+SUM(O$20:O$36)+SUM(Q$20:Q$36)+SUM(S$20:S$36)</f>
        <v>548742</v>
      </c>
      <c r="F132" s="106">
        <f>SUM(U$20:U$36)+SUM(W$20:W$36)+SUM(Y$20:Y$36)+SUM(AA$20:AA$36)</f>
        <v>604345.19999999995</v>
      </c>
      <c r="G132" s="106">
        <f>SUM(AC$20:AC$36)+SUM(AE$20:AE$36)+SUM(AG$20:AG$36)+SUM(AI$20:AI$36)</f>
        <v>643632</v>
      </c>
      <c r="H132" s="106">
        <f>SUM(AK$20:AK$36)+SUM(AM$20:AM$36)+SUM(AO$20:AO$36)+SUM(AQ$20:AQ$36)</f>
        <v>624745.19999999995</v>
      </c>
      <c r="I132" s="106">
        <f>SUM(AS$20:AS$36)+SUM(AU$20:AU$36)+SUM(AW$20:AW$36)+SUM(AY$20:AY$36)</f>
        <v>621404.4</v>
      </c>
      <c r="J132" s="106">
        <f>SUM(BA$20:BA$36)+SUM(BC$20:BC$36)+SUM(BE$20:BE$36)+SUM(BG$20:BG$36)</f>
        <v>713475.82709714246</v>
      </c>
      <c r="K132" s="106">
        <f>SUM(BI$20:BI$36)+SUM(BK$20:BK$36)+SUM(BM$20:BM$36)+SUM(BO$20:BO$36)</f>
        <v>592628.54763224395</v>
      </c>
      <c r="L132" s="106">
        <f>SUM(BQ$20:BQ$36)+SUM(BS$20:BS$36)+SUM(BU$20:BU$36)+SUM(BW$20:BW$36)</f>
        <v>584842.03615203022</v>
      </c>
      <c r="M132" s="106">
        <f>SUM(BY$20:BY$36)+SUM(CA$20:CA$36)+SUM(CC$20:CC$36)+SUM(CE$20:CE$36)</f>
        <v>497826.98231343739</v>
      </c>
      <c r="N132" s="106">
        <f>SUM(CG$20:CG$36)+SUM(CI$20:CI$36)+SUM(CK$20:CK$36)+SUM(CM$20:CM$36)</f>
        <v>553204.80000000005</v>
      </c>
      <c r="O132" s="106">
        <f>SUM(CO$20:CO$36)+SUM(CQ$20:CQ$36)+SUM(CS$20:CS$36)+SUM(CU$20:CU$36)</f>
        <v>612084.55635042721</v>
      </c>
    </row>
    <row r="133" spans="2:15">
      <c r="C133" s="105" t="s">
        <v>128</v>
      </c>
      <c r="D133" s="106">
        <f>SUM(E$37:E$48)+SUM(G$37:G$48)+SUM(I$37:I$48)+SUM(K$37:K$48)</f>
        <v>731872.8</v>
      </c>
      <c r="E133" s="106">
        <f>SUM(M$37:M$48)+SUM(O$37:O$48)+SUM(Q$37:Q$48)+SUM(S$37:S$48)</f>
        <v>713049.60000000009</v>
      </c>
      <c r="F133" s="106">
        <f>SUM(U$37:U$48)+SUM(W$37:W$48)+SUM(Y$37:Y$48)+SUM(AA$37:AA$48)</f>
        <v>701398.79999999993</v>
      </c>
      <c r="G133" s="106">
        <f>SUM(AC$37:AC$48)+SUM(AE$37:AE$48)+SUM(AG$37:AG$48)+SUM(AI$37:AI$48)</f>
        <v>737043.60000000009</v>
      </c>
      <c r="H133" s="106">
        <f>SUM(AK$37:AK$48)+SUM(AM$37:AM$48)+SUM(AO$37:AO$48)+SUM(AQ$37:AQ$48)</f>
        <v>787224</v>
      </c>
      <c r="I133" s="106">
        <f>SUM(AS$37:AS$48)+SUM(AU$37:AU$48)+SUM(AW$37:AW$48)+SUM(AY$37:AY$48)</f>
        <v>680563.19999999995</v>
      </c>
      <c r="J133" s="106">
        <f>SUM(BA$37:BA$48)+SUM(BC$37:BC$48)+SUM(BE$37:BE$48)+SUM(BG$37:BG$48)</f>
        <v>655708.06340402376</v>
      </c>
      <c r="K133" s="106">
        <f>SUM(BI$37:BI$48)+SUM(BK$37:BK$48)+SUM(BM$37:BM$48)+SUM(BO$37:BO$48)</f>
        <v>723804.5080057818</v>
      </c>
      <c r="L133" s="106">
        <f>SUM(BQ$37:BQ$48)+SUM(BS$37:BS$48)+SUM(BU$37:BU$48)+SUM(BW$37:BW$48)</f>
        <v>658126.93042196322</v>
      </c>
      <c r="M133" s="106">
        <f>SUM(BY$37:BY$48)+SUM(CA$37:CA$48)+SUM(CC$37:CC$48)+SUM(CE$37:CE$48)</f>
        <v>533414.998759754</v>
      </c>
      <c r="N133" s="106">
        <f>SUM(CG$37:CG$48)+SUM(CI$37:CI$48)+SUM(CK$37:CK$48)+SUM(CM$37:CM$48)</f>
        <v>697192.79999999993</v>
      </c>
      <c r="O133" s="106">
        <f>SUM(CO$37:CO$48)+SUM(CQ$37:CQ$48)+SUM(CS$37:CS$48)+SUM(CU$37:CU$48)</f>
        <v>750480.4279944438</v>
      </c>
    </row>
    <row r="134" spans="2:15">
      <c r="C134" s="105" t="s">
        <v>129</v>
      </c>
      <c r="D134" s="106">
        <f>SUM(E$49:E$70)+SUM(G$49:G$70)+SUM(I$49:I$70)+SUM(K$49:K$70)</f>
        <v>1011071.3889115255</v>
      </c>
      <c r="E134" s="106">
        <f>SUM(M$49:M$70)+SUM(O$49:O$70)+SUM(Q$49:Q$70)+SUM(S$49:S$70)</f>
        <v>951480.61191036133</v>
      </c>
      <c r="F134" s="106">
        <f>SUM(U$49:U$70)+SUM(W$49:W$70)+SUM(Y$49:Y$70)+SUM(AA$49:AA$70)</f>
        <v>957876.35675675678</v>
      </c>
      <c r="G134" s="106">
        <f>SUM(AC$49:AC$70)+SUM(AE$49:AE$70)+SUM(AG$49:AG$70)+SUM(AI$49:AI$70)</f>
        <v>873756.00000000012</v>
      </c>
      <c r="H134" s="106">
        <f>SUM(AK$49:AK$70)+SUM(AM$49:AM$70)+SUM(AO$49:AO$70)+SUM(AQ$49:AQ$70)</f>
        <v>868185.59999999986</v>
      </c>
      <c r="I134" s="106">
        <f>SUM(AS$49:AS$70)+SUM(AU$49:AU$70)+SUM(AW$49:AW$70)+SUM(AY$49:AY$70)</f>
        <v>789478.79999999993</v>
      </c>
      <c r="J134" s="106">
        <f>SUM(BA$49:BA$70)+SUM(BC$49:BC$70)+SUM(BE$49:BE$70)+SUM(BG$49:BG$70)</f>
        <v>1087304.2126001813</v>
      </c>
      <c r="K134" s="106">
        <f>SUM(BI$49:BI$70)+SUM(BK$49:BK$70)+SUM(BM$49:BM$70)+SUM(BO$49:BO$70)</f>
        <v>838922.9183169048</v>
      </c>
      <c r="L134" s="106">
        <f>SUM(BQ$49:BQ$70)+SUM(BS$49:BS$70)+SUM(BU$49:BU$70)+SUM(BW$49:BW$70)</f>
        <v>938120.67106246483</v>
      </c>
      <c r="M134" s="106">
        <f>SUM(BY$49:BY$70)+SUM(CA$49:CA$70)+SUM(CC$49:CC$70)+SUM(CE$49:CE$70)</f>
        <v>762872.83474330534</v>
      </c>
      <c r="N134" s="106">
        <f>SUM(CG$49:CG$70)+SUM(CI$49:CI$70)+SUM(CK$49:CK$70)+SUM(CM$49:CM$70)</f>
        <v>830032.79999999993</v>
      </c>
      <c r="O134" s="106">
        <f>SUM(CO$49:CO$70)+SUM(CQ$49:CQ$70)+SUM(CS$49:CS$70)+SUM(CU$49:CU$70)</f>
        <v>912782.82963855064</v>
      </c>
    </row>
    <row r="135" spans="2:15">
      <c r="C135" s="105" t="s">
        <v>130</v>
      </c>
      <c r="D135" s="106">
        <f>SUM(E$71:E$86)+SUM(G$71:G$86)+SUM(I$71:I$86)+SUM(K$71:K$86)</f>
        <v>181198.3473476083</v>
      </c>
      <c r="E135" s="106">
        <f>SUM(M$71:M$86)+SUM(O$71:O$86)+SUM(Q$71:Q$86)+SUM(S$71:S$86)</f>
        <v>301407.22676181979</v>
      </c>
      <c r="F135" s="106">
        <f>SUM(U$71:U$86)+SUM(W$71:W$86)+SUM(Y$71:Y$86)+SUM(AA$71:AA$86)</f>
        <v>275006.91891891888</v>
      </c>
      <c r="G135" s="106">
        <f>SUM(AC$71:AC$86)+SUM(AE$71:AE$86)+SUM(AG$71:AG$86)+SUM(AI$71:AI$86)</f>
        <v>264855.59999999998</v>
      </c>
      <c r="H135" s="106">
        <f>SUM(AK$71:AK$86)+SUM(AM$71:AM$86)+SUM(AO$71:AO$86)+SUM(AQ$71:AQ$86)</f>
        <v>216707.99999999994</v>
      </c>
      <c r="I135" s="106">
        <f>SUM(AS$71:AS$86)+SUM(AU$71:AU$86)+SUM(AW$71:AW$86)+SUM(AY$71:AY$86)</f>
        <v>272671.2</v>
      </c>
      <c r="J135" s="106">
        <f>SUM(BA$71:BA$86)+SUM(BC$71:BC$86)+SUM(BE$71:BE$86)+SUM(BG$71:BG$86)</f>
        <v>282048</v>
      </c>
      <c r="K135" s="106">
        <f>SUM(BI$71:BI$86)+SUM(BK$71:BK$86)+SUM(BM$71:BM$86)+SUM(BO$71:BO$86)</f>
        <v>283621.19999999995</v>
      </c>
      <c r="L135" s="106">
        <f>SUM(BQ$71:BQ$86)+SUM(BS$71:BS$86)+SUM(BU$71:BU$86)+SUM(BW$71:BW$86)</f>
        <v>191574.1508196721</v>
      </c>
      <c r="M135" s="106">
        <f>SUM(BY$71:BY$86)+SUM(CA$71:CA$86)+SUM(CC$71:CC$86)+SUM(CE$71:CE$86)</f>
        <v>262600.80000000005</v>
      </c>
      <c r="N135" s="106">
        <f>SUM(CG$71:CG$86)+SUM(CI$71:CI$86)+SUM(CK$71:CK$86)+SUM(CM$71:CM$86)</f>
        <v>262014.00000000003</v>
      </c>
      <c r="O135" s="106">
        <f>SUM(CO$71:CO$86)+SUM(CQ$71:CQ$86)+SUM(CS$71:CS$86)+SUM(CU$71:CU$86)</f>
        <v>266571.59999999998</v>
      </c>
    </row>
    <row r="136" spans="2:15">
      <c r="C136" s="105" t="s">
        <v>131</v>
      </c>
      <c r="D136" s="106">
        <f>SUM(E$87:E$94)+SUM(G$87:G$94)+SUM(I$87:I$94)+SUM(K$87:K$94)</f>
        <v>266498.39999999997</v>
      </c>
      <c r="E136" s="106">
        <f>SUM(M$87:M$94)+SUM(O$87:O$94)+SUM(Q$87:Q$94)+SUM(S$87:S$94)</f>
        <v>282964.8</v>
      </c>
      <c r="F136" s="106">
        <f>SUM(U$87:U$94)+SUM(W$87:W$94)+SUM(Y$87:Y$94)+SUM(AA$87:AA$94)</f>
        <v>297250.8</v>
      </c>
      <c r="G136" s="106">
        <f>SUM(AC$87:AC$94)+SUM(AE$87:AE$94)+SUM(AG$87:AG$94)+SUM(AI$87:AI$94)</f>
        <v>263775.59999999998</v>
      </c>
      <c r="H136" s="106">
        <f>SUM(AK$87:AK$94)+SUM(AM$87:AM$94)+SUM(AO$87:AO$94)+SUM(AQ$87:AQ$94)</f>
        <v>282904.8</v>
      </c>
      <c r="I136" s="106">
        <f>SUM(AS$87:AS$94)+SUM(AU$87:AU$94)+SUM(AW$87:AW$94)+SUM(AY$87:AY$94)</f>
        <v>258381.59999999998</v>
      </c>
      <c r="J136" s="106">
        <f>SUM(BA$87:BA$94)+SUM(BC$87:BC$94)+SUM(BE$87:BE$94)+SUM(BG$87:BG$94)</f>
        <v>324079.19999999995</v>
      </c>
      <c r="K136" s="106">
        <f>SUM(BI$87:BI$94)+SUM(BK$87:BK$94)+SUM(BM$87:BM$94)+SUM(BO$87:BO$94)</f>
        <v>291245.99999999994</v>
      </c>
      <c r="L136" s="106">
        <f>SUM(BQ$87:BQ$94)+SUM(BS$87:BS$94)+SUM(BU$87:BU$94)+SUM(BW$87:BW$94)</f>
        <v>352987.2</v>
      </c>
      <c r="M136" s="106">
        <f>SUM(BY$87:BY$94)+SUM(CA$87:CA$94)+SUM(CC$87:CC$94)+SUM(CE$87:CE$94)</f>
        <v>278893.19999999995</v>
      </c>
      <c r="N136" s="106">
        <f>SUM(CG$87:CG$94)+SUM(CI$87:CI$94)+SUM(CK$87:CK$94)+SUM(CM$87:CM$94)</f>
        <v>346774.8</v>
      </c>
      <c r="O136" s="106">
        <f>SUM(CO$87:CO$94)+SUM(CQ$87:CQ$94)+SUM(CS$87:CS$94)+SUM(CU$87:CU$94)</f>
        <v>300538.79999999993</v>
      </c>
    </row>
    <row r="137" spans="2:15">
      <c r="C137" s="105" t="s">
        <v>132</v>
      </c>
      <c r="D137" s="106">
        <f>SUM(E$95:E$105)+SUM(G$95:G$105)+SUM(I$95:I$105)+SUM(K$95:K$105)</f>
        <v>242281.19999999995</v>
      </c>
      <c r="E137" s="106">
        <f>SUM(M$95:M$105)+SUM(O$95:O$105)+SUM(Q$95:Q$105)+SUM(S$95:S$105)</f>
        <v>297335.99999999994</v>
      </c>
      <c r="F137" s="106">
        <f>SUM(U$95:U$105)+SUM(W$95:W$105)+SUM(Y$95:Y$105)+SUM(AA$95:AA$105)</f>
        <v>262626</v>
      </c>
      <c r="G137" s="106">
        <f>SUM(AC$95:AC$105)+SUM(AE$95:AE$105)+SUM(AG$95:AG$105)+SUM(AI$95:AI$105)</f>
        <v>308402.39999999997</v>
      </c>
      <c r="H137" s="106">
        <f>SUM(AK$95:AK$105)+SUM(AM$95:AM$105)+SUM(AO$95:AO$105)+SUM(AQ$95:AQ$105)</f>
        <v>353281.2</v>
      </c>
      <c r="I137" s="106">
        <f>SUM(AS$95:AS$105)+SUM(AU$95:AU$105)+SUM(AW$95:AW$105)+SUM(AY$95:AY$105)</f>
        <v>273727.19999999995</v>
      </c>
      <c r="J137" s="106">
        <f>SUM(BA$95:BA$105)+SUM(BC$95:BC$105)+SUM(BE$95:BE$105)+SUM(BG$95:BG$105)</f>
        <v>331946.39999999997</v>
      </c>
      <c r="K137" s="106">
        <f>SUM(BI$95:BI$105)+SUM(BK$95:BK$105)+SUM(BM$95:BM$105)+SUM(BO$95:BO$105)</f>
        <v>284505.59999999998</v>
      </c>
      <c r="L137" s="106">
        <f>SUM(BQ$95:BQ$105)+SUM(BS$95:BS$105)+SUM(BU$95:BU$105)+SUM(BW$95:BW$105)</f>
        <v>286527.59999999998</v>
      </c>
      <c r="M137" s="106">
        <f>SUM(BY$95:BY$105)+SUM(CA$95:CA$105)+SUM(CC$95:CC$105)+SUM(CE$95:CE$105)</f>
        <v>329374.8</v>
      </c>
      <c r="N137" s="106">
        <f>SUM(CG$95:CG$105)+SUM(CI$95:CI$105)+SUM(CK$95:CK$105)+SUM(CM$95:CM$105)</f>
        <v>329185.19999999995</v>
      </c>
      <c r="O137" s="106">
        <f>SUM(CO$95:CO$105)+SUM(CQ$95:CQ$105)+SUM(CS$95:CS$105)+SUM(CU$95:CU$105)</f>
        <v>250371.59999999998</v>
      </c>
    </row>
    <row r="138" spans="2:15">
      <c r="C138" s="105" t="s">
        <v>278</v>
      </c>
      <c r="D138" s="100">
        <f t="shared" ref="D138:O138" si="2">SUM(D$131:D$137)</f>
        <v>3507374.5362591334</v>
      </c>
      <c r="E138" s="100">
        <f t="shared" si="2"/>
        <v>3715323.8386721811</v>
      </c>
      <c r="F138" s="100">
        <f t="shared" si="2"/>
        <v>3668174.0756756756</v>
      </c>
      <c r="G138" s="100">
        <f t="shared" si="2"/>
        <v>3665988</v>
      </c>
      <c r="H138" s="100">
        <f t="shared" si="2"/>
        <v>3765373.1999999997</v>
      </c>
      <c r="I138" s="100">
        <f t="shared" si="2"/>
        <v>3442917.6000000006</v>
      </c>
      <c r="J138" s="100">
        <f t="shared" si="2"/>
        <v>4052083.5603066063</v>
      </c>
      <c r="K138" s="100">
        <f t="shared" si="2"/>
        <v>3701255.5286362073</v>
      </c>
      <c r="L138" s="100">
        <f t="shared" si="2"/>
        <v>3667992.7283102768</v>
      </c>
      <c r="M138" s="100">
        <f t="shared" si="2"/>
        <v>3185955.2325078361</v>
      </c>
      <c r="N138" s="100">
        <f t="shared" si="2"/>
        <v>3738058.8</v>
      </c>
      <c r="O138" s="100">
        <f t="shared" si="2"/>
        <v>3690481.475846516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6.9206255434695763</v>
      </c>
      <c r="E6" s="100">
        <v>4002.8898143428028</v>
      </c>
      <c r="F6" s="100">
        <v>9.1979699429396096</v>
      </c>
      <c r="G6" s="100">
        <v>5320.1058149962701</v>
      </c>
      <c r="H6" s="100">
        <v>7</v>
      </c>
      <c r="I6" s="100">
        <v>4048.7999999999997</v>
      </c>
      <c r="J6" s="100">
        <v>9</v>
      </c>
      <c r="K6" s="100">
        <v>5205.5999999999995</v>
      </c>
      <c r="L6" s="100">
        <v>5.2949623810238124</v>
      </c>
      <c r="M6" s="100">
        <v>3062.6062411841731</v>
      </c>
      <c r="N6" s="100">
        <v>4.8660936184272519</v>
      </c>
      <c r="O6" s="100">
        <v>2814.5485488983222</v>
      </c>
      <c r="P6" s="100">
        <v>7</v>
      </c>
      <c r="Q6" s="100">
        <v>4048.7999999999997</v>
      </c>
      <c r="R6" s="100">
        <v>7</v>
      </c>
      <c r="S6" s="100">
        <v>4048.7999999999997</v>
      </c>
      <c r="T6" s="100">
        <v>7</v>
      </c>
      <c r="U6" s="100">
        <v>4048.7999999999997</v>
      </c>
      <c r="V6" s="100">
        <v>10</v>
      </c>
      <c r="W6" s="100">
        <v>5784</v>
      </c>
      <c r="X6" s="100">
        <v>7</v>
      </c>
      <c r="Y6" s="100">
        <v>4048.7999999999997</v>
      </c>
      <c r="Z6" s="100">
        <v>11</v>
      </c>
      <c r="AA6" s="100">
        <v>6362.4</v>
      </c>
      <c r="AB6" s="100">
        <v>7</v>
      </c>
      <c r="AC6" s="100">
        <v>4048.7999999999997</v>
      </c>
      <c r="AD6" s="100">
        <v>11</v>
      </c>
      <c r="AE6" s="100">
        <v>6362.4</v>
      </c>
      <c r="AF6" s="100">
        <v>7</v>
      </c>
      <c r="AG6" s="100">
        <v>4048.7999999999997</v>
      </c>
      <c r="AH6" s="100">
        <v>7</v>
      </c>
      <c r="AI6" s="100">
        <v>4048.7999999999997</v>
      </c>
      <c r="AJ6" s="100">
        <v>11</v>
      </c>
      <c r="AK6" s="100">
        <v>6362.4</v>
      </c>
      <c r="AL6" s="100">
        <v>7</v>
      </c>
      <c r="AM6" s="100">
        <v>4048.7999999999997</v>
      </c>
      <c r="AN6" s="100">
        <v>10</v>
      </c>
      <c r="AO6" s="100">
        <v>5784</v>
      </c>
      <c r="AP6" s="100">
        <v>9</v>
      </c>
      <c r="AQ6" s="100">
        <v>5205.5999999999995</v>
      </c>
      <c r="AR6" s="100">
        <v>9</v>
      </c>
      <c r="AS6" s="100">
        <v>5205.5999999999995</v>
      </c>
      <c r="AT6" s="100">
        <v>5.9209589409654475</v>
      </c>
      <c r="AU6" s="100">
        <v>3424.6826514544146</v>
      </c>
      <c r="AV6" s="100">
        <v>10</v>
      </c>
      <c r="AW6" s="100">
        <v>5784</v>
      </c>
      <c r="AX6" s="100">
        <v>7</v>
      </c>
      <c r="AY6" s="100">
        <v>4048.7999999999997</v>
      </c>
      <c r="AZ6" s="100">
        <v>9.0384297708361228</v>
      </c>
      <c r="BA6" s="100">
        <v>5227.8277794516134</v>
      </c>
      <c r="BB6" s="100">
        <v>0</v>
      </c>
      <c r="BC6" s="100">
        <v>0</v>
      </c>
      <c r="BD6" s="100">
        <v>10.351004574070538</v>
      </c>
      <c r="BE6" s="100">
        <v>5987.0210456423993</v>
      </c>
      <c r="BF6" s="100">
        <v>4.7592757613963332</v>
      </c>
      <c r="BG6" s="100">
        <v>2752.765100391639</v>
      </c>
      <c r="BH6" s="100">
        <v>7</v>
      </c>
      <c r="BI6" s="100">
        <v>4048.7999999999997</v>
      </c>
      <c r="BJ6" s="100">
        <v>6.1127842073775902</v>
      </c>
      <c r="BK6" s="100">
        <v>3535.6343855471982</v>
      </c>
      <c r="BL6" s="100">
        <v>7.9151857893579169</v>
      </c>
      <c r="BM6" s="100">
        <v>4578.1434605646191</v>
      </c>
      <c r="BN6" s="100">
        <v>9</v>
      </c>
      <c r="BO6" s="100">
        <v>5205.5999999999995</v>
      </c>
      <c r="BP6" s="100">
        <v>11</v>
      </c>
      <c r="BQ6" s="100">
        <v>6362.4</v>
      </c>
      <c r="BR6" s="100">
        <v>7</v>
      </c>
      <c r="BS6" s="100">
        <v>4048.7999999999997</v>
      </c>
      <c r="BT6" s="100">
        <v>9</v>
      </c>
      <c r="BU6" s="100">
        <v>5205.5999999999995</v>
      </c>
      <c r="BV6" s="100">
        <v>8</v>
      </c>
      <c r="BW6" s="100">
        <v>4627.2</v>
      </c>
      <c r="BX6" s="100">
        <v>4.5814993499538179</v>
      </c>
      <c r="BY6" s="100">
        <v>2649.9392240132884</v>
      </c>
      <c r="BZ6" s="100">
        <v>4.6223687221675105</v>
      </c>
      <c r="CA6" s="100">
        <v>2673.5780689016879</v>
      </c>
      <c r="CB6" s="100">
        <v>2.907647127484029</v>
      </c>
      <c r="CC6" s="100">
        <v>1681.7830985367623</v>
      </c>
      <c r="CD6" s="100">
        <v>5.2488378710573675</v>
      </c>
      <c r="CE6" s="100">
        <v>3035.9278246195813</v>
      </c>
      <c r="CF6" s="100">
        <v>7</v>
      </c>
      <c r="CG6" s="100">
        <v>4048.7999999999997</v>
      </c>
      <c r="CH6" s="100">
        <v>10</v>
      </c>
      <c r="CI6" s="100">
        <v>5784</v>
      </c>
      <c r="CJ6" s="100">
        <v>6.1328416872528422</v>
      </c>
      <c r="CK6" s="100">
        <v>3547.2356319070436</v>
      </c>
      <c r="CL6" s="100">
        <v>12</v>
      </c>
      <c r="CM6" s="100">
        <v>6940.7999999999993</v>
      </c>
      <c r="CN6" s="100">
        <v>10</v>
      </c>
      <c r="CO6" s="100">
        <v>5784</v>
      </c>
      <c r="CP6" s="100">
        <v>7.8480161595579006</v>
      </c>
      <c r="CQ6" s="100">
        <v>4539.2925466882898</v>
      </c>
      <c r="CR6" s="100">
        <v>7.183294163931321</v>
      </c>
      <c r="CS6" s="100">
        <v>4154.8173444178756</v>
      </c>
      <c r="CT6" s="100">
        <v>4.996325495528942</v>
      </c>
      <c r="CU6" s="100">
        <v>2889.87466661394</v>
      </c>
    </row>
    <row r="7" spans="1:99">
      <c r="C7" s="99" t="s">
        <v>173</v>
      </c>
      <c r="D7" s="100">
        <v>7.7857037364032724</v>
      </c>
      <c r="E7" s="100">
        <v>6138.2488257803398</v>
      </c>
      <c r="F7" s="100">
        <v>7.358375954351688</v>
      </c>
      <c r="G7" s="100">
        <v>5801.3436024108705</v>
      </c>
      <c r="H7" s="100">
        <v>7</v>
      </c>
      <c r="I7" s="100">
        <v>5518.8</v>
      </c>
      <c r="J7" s="100">
        <v>10</v>
      </c>
      <c r="K7" s="100">
        <v>7884</v>
      </c>
      <c r="L7" s="100">
        <v>6.0513855783129289</v>
      </c>
      <c r="M7" s="100">
        <v>4770.9123899419128</v>
      </c>
      <c r="N7" s="100">
        <v>4.8660936184272519</v>
      </c>
      <c r="O7" s="100">
        <v>3836.4282087680454</v>
      </c>
      <c r="P7" s="100">
        <v>6</v>
      </c>
      <c r="Q7" s="100">
        <v>4730.3999999999996</v>
      </c>
      <c r="R7" s="100">
        <v>8</v>
      </c>
      <c r="S7" s="100">
        <v>6307.2</v>
      </c>
      <c r="T7" s="100">
        <v>7</v>
      </c>
      <c r="U7" s="100">
        <v>5518.8</v>
      </c>
      <c r="V7" s="100">
        <v>10</v>
      </c>
      <c r="W7" s="100">
        <v>7884</v>
      </c>
      <c r="X7" s="100">
        <v>6</v>
      </c>
      <c r="Y7" s="100">
        <v>4730.3999999999996</v>
      </c>
      <c r="Z7" s="100">
        <v>10</v>
      </c>
      <c r="AA7" s="100">
        <v>7884</v>
      </c>
      <c r="AB7" s="100">
        <v>7</v>
      </c>
      <c r="AC7" s="100">
        <v>5518.8</v>
      </c>
      <c r="AD7" s="100">
        <v>12</v>
      </c>
      <c r="AE7" s="100">
        <v>9460.7999999999993</v>
      </c>
      <c r="AF7" s="100">
        <v>7</v>
      </c>
      <c r="AG7" s="100">
        <v>5518.8</v>
      </c>
      <c r="AH7" s="100">
        <v>6</v>
      </c>
      <c r="AI7" s="100">
        <v>4730.3999999999996</v>
      </c>
      <c r="AJ7" s="100">
        <v>11</v>
      </c>
      <c r="AK7" s="100">
        <v>8672.4</v>
      </c>
      <c r="AL7" s="100">
        <v>6</v>
      </c>
      <c r="AM7" s="100">
        <v>4730.3999999999996</v>
      </c>
      <c r="AN7" s="100">
        <v>10</v>
      </c>
      <c r="AO7" s="100">
        <v>7884</v>
      </c>
      <c r="AP7" s="100">
        <v>9</v>
      </c>
      <c r="AQ7" s="100">
        <v>7095.5999999999995</v>
      </c>
      <c r="AR7" s="100">
        <v>10</v>
      </c>
      <c r="AS7" s="100">
        <v>7884</v>
      </c>
      <c r="AT7" s="100">
        <v>5.9209589409654475</v>
      </c>
      <c r="AU7" s="100">
        <v>4668.0840290571587</v>
      </c>
      <c r="AV7" s="100">
        <v>11</v>
      </c>
      <c r="AW7" s="100">
        <v>8672.4</v>
      </c>
      <c r="AX7" s="100">
        <v>7</v>
      </c>
      <c r="AY7" s="100">
        <v>5518.8</v>
      </c>
      <c r="AZ7" s="100">
        <v>9.9422727479197341</v>
      </c>
      <c r="BA7" s="100">
        <v>7838.4878344599183</v>
      </c>
      <c r="BB7" s="100">
        <v>0</v>
      </c>
      <c r="BC7" s="100">
        <v>0</v>
      </c>
      <c r="BD7" s="100">
        <v>9.410004158245945</v>
      </c>
      <c r="BE7" s="100">
        <v>7418.8472783611032</v>
      </c>
      <c r="BF7" s="100">
        <v>4.7592757613963332</v>
      </c>
      <c r="BG7" s="100">
        <v>3752.2130102848691</v>
      </c>
      <c r="BH7" s="100">
        <v>7</v>
      </c>
      <c r="BI7" s="100">
        <v>5518.8</v>
      </c>
      <c r="BJ7" s="100">
        <v>6.1127842073775902</v>
      </c>
      <c r="BK7" s="100">
        <v>4819.3190690964921</v>
      </c>
      <c r="BL7" s="100">
        <v>7.9151857893579169</v>
      </c>
      <c r="BM7" s="100">
        <v>6240.3324763297815</v>
      </c>
      <c r="BN7" s="100">
        <v>9</v>
      </c>
      <c r="BO7" s="100">
        <v>7095.5999999999995</v>
      </c>
      <c r="BP7" s="100">
        <v>10</v>
      </c>
      <c r="BQ7" s="100">
        <v>7884</v>
      </c>
      <c r="BR7" s="100">
        <v>6</v>
      </c>
      <c r="BS7" s="100">
        <v>4730.3999999999996</v>
      </c>
      <c r="BT7" s="100">
        <v>8</v>
      </c>
      <c r="BU7" s="100">
        <v>6307.2</v>
      </c>
      <c r="BV7" s="100">
        <v>8</v>
      </c>
      <c r="BW7" s="100">
        <v>6307.2</v>
      </c>
      <c r="BX7" s="100">
        <v>5.0905548332820203</v>
      </c>
      <c r="BY7" s="100">
        <v>4013.3934305595449</v>
      </c>
      <c r="BZ7" s="100">
        <v>5.282707111048583</v>
      </c>
      <c r="CA7" s="100">
        <v>4164.8862863507029</v>
      </c>
      <c r="CB7" s="100">
        <v>2.907647127484029</v>
      </c>
      <c r="CC7" s="100">
        <v>2292.3889953084085</v>
      </c>
      <c r="CD7" s="100">
        <v>5.2488378710573675</v>
      </c>
      <c r="CE7" s="100">
        <v>4138.1837775416288</v>
      </c>
      <c r="CF7" s="100">
        <v>7</v>
      </c>
      <c r="CG7" s="100">
        <v>5518.8</v>
      </c>
      <c r="CH7" s="100">
        <v>10</v>
      </c>
      <c r="CI7" s="100">
        <v>7884</v>
      </c>
      <c r="CJ7" s="100">
        <v>6.1328416872528422</v>
      </c>
      <c r="CK7" s="100">
        <v>4835.1323862301406</v>
      </c>
      <c r="CL7" s="100">
        <v>11</v>
      </c>
      <c r="CM7" s="100">
        <v>8672.4</v>
      </c>
      <c r="CN7" s="100">
        <v>10</v>
      </c>
      <c r="CO7" s="100">
        <v>7884</v>
      </c>
      <c r="CP7" s="100">
        <v>9.2749281885684276</v>
      </c>
      <c r="CQ7" s="100">
        <v>7312.3533838673484</v>
      </c>
      <c r="CR7" s="100">
        <v>8.0812059344227354</v>
      </c>
      <c r="CS7" s="100">
        <v>6371.2227586988847</v>
      </c>
      <c r="CT7" s="100">
        <v>5.8290464114504337</v>
      </c>
      <c r="CU7" s="100">
        <v>4595.620190787522</v>
      </c>
    </row>
    <row r="8" spans="1:99">
      <c r="C8" s="99" t="s">
        <v>174</v>
      </c>
      <c r="D8" s="100">
        <v>7.7857037364032724</v>
      </c>
      <c r="E8" s="100">
        <v>2410.4538767904528</v>
      </c>
      <c r="F8" s="100">
        <v>8.2781729486456488</v>
      </c>
      <c r="G8" s="100">
        <v>2562.9223449006927</v>
      </c>
      <c r="H8" s="100">
        <v>8</v>
      </c>
      <c r="I8" s="100">
        <v>2476.7999999999997</v>
      </c>
      <c r="J8" s="100">
        <v>10</v>
      </c>
      <c r="K8" s="100">
        <v>3095.9999999999995</v>
      </c>
      <c r="L8" s="100">
        <v>6.0513855783129289</v>
      </c>
      <c r="M8" s="100">
        <v>1873.5089750456825</v>
      </c>
      <c r="N8" s="100">
        <v>4.8660936184272519</v>
      </c>
      <c r="O8" s="100">
        <v>1506.542584265077</v>
      </c>
      <c r="P8" s="100">
        <v>6</v>
      </c>
      <c r="Q8" s="100">
        <v>1857.6</v>
      </c>
      <c r="R8" s="100">
        <v>8</v>
      </c>
      <c r="S8" s="100">
        <v>2476.7999999999997</v>
      </c>
      <c r="T8" s="100">
        <v>8</v>
      </c>
      <c r="U8" s="100">
        <v>2476.7999999999997</v>
      </c>
      <c r="V8" s="100">
        <v>10</v>
      </c>
      <c r="W8" s="100">
        <v>3095.9999999999995</v>
      </c>
      <c r="X8" s="100">
        <v>7</v>
      </c>
      <c r="Y8" s="100">
        <v>2167.1999999999998</v>
      </c>
      <c r="Z8" s="100">
        <v>10</v>
      </c>
      <c r="AA8" s="100">
        <v>3095.9999999999995</v>
      </c>
      <c r="AB8" s="100">
        <v>7</v>
      </c>
      <c r="AC8" s="100">
        <v>2167.1999999999998</v>
      </c>
      <c r="AD8" s="100">
        <v>11</v>
      </c>
      <c r="AE8" s="100">
        <v>3405.5999999999995</v>
      </c>
      <c r="AF8" s="100">
        <v>8</v>
      </c>
      <c r="AG8" s="100">
        <v>2476.7999999999997</v>
      </c>
      <c r="AH8" s="100">
        <v>7</v>
      </c>
      <c r="AI8" s="100">
        <v>2167.1999999999998</v>
      </c>
      <c r="AJ8" s="100">
        <v>10</v>
      </c>
      <c r="AK8" s="100">
        <v>3095.9999999999995</v>
      </c>
      <c r="AL8" s="100">
        <v>7</v>
      </c>
      <c r="AM8" s="100">
        <v>2167.1999999999998</v>
      </c>
      <c r="AN8" s="100">
        <v>10</v>
      </c>
      <c r="AO8" s="100">
        <v>3095.9999999999995</v>
      </c>
      <c r="AP8" s="100">
        <v>9</v>
      </c>
      <c r="AQ8" s="100">
        <v>2786.3999999999996</v>
      </c>
      <c r="AR8" s="100">
        <v>9</v>
      </c>
      <c r="AS8" s="100">
        <v>2786.3999999999996</v>
      </c>
      <c r="AT8" s="100">
        <v>6.5788432677393853</v>
      </c>
      <c r="AU8" s="100">
        <v>2036.8098756921136</v>
      </c>
      <c r="AV8" s="100">
        <v>10</v>
      </c>
      <c r="AW8" s="100">
        <v>3095.9999999999995</v>
      </c>
      <c r="AX8" s="100">
        <v>7</v>
      </c>
      <c r="AY8" s="100">
        <v>2167.1999999999998</v>
      </c>
      <c r="AZ8" s="100">
        <v>9.0384297708361228</v>
      </c>
      <c r="BA8" s="100">
        <v>2798.2978570508635</v>
      </c>
      <c r="BB8" s="100">
        <v>0</v>
      </c>
      <c r="BC8" s="100">
        <v>0</v>
      </c>
      <c r="BD8" s="100">
        <v>9.410004158245945</v>
      </c>
      <c r="BE8" s="100">
        <v>2913.3372873929443</v>
      </c>
      <c r="BF8" s="100">
        <v>4.7592757613963332</v>
      </c>
      <c r="BG8" s="100">
        <v>1473.4717757283047</v>
      </c>
      <c r="BH8" s="100">
        <v>7</v>
      </c>
      <c r="BI8" s="100">
        <v>2167.1999999999998</v>
      </c>
      <c r="BJ8" s="100">
        <v>6.9860390941458173</v>
      </c>
      <c r="BK8" s="100">
        <v>2162.8777035475446</v>
      </c>
      <c r="BL8" s="100">
        <v>7.9151857893579169</v>
      </c>
      <c r="BM8" s="100">
        <v>2450.5415203852108</v>
      </c>
      <c r="BN8" s="100">
        <v>9</v>
      </c>
      <c r="BO8" s="100">
        <v>2786.3999999999996</v>
      </c>
      <c r="BP8" s="100">
        <v>10</v>
      </c>
      <c r="BQ8" s="100">
        <v>3095.9999999999995</v>
      </c>
      <c r="BR8" s="100">
        <v>6</v>
      </c>
      <c r="BS8" s="100">
        <v>1857.6</v>
      </c>
      <c r="BT8" s="100">
        <v>9</v>
      </c>
      <c r="BU8" s="100">
        <v>2786.3999999999996</v>
      </c>
      <c r="BV8" s="100">
        <v>7</v>
      </c>
      <c r="BW8" s="100">
        <v>2167.1999999999998</v>
      </c>
      <c r="BX8" s="100">
        <v>4.5814993499538179</v>
      </c>
      <c r="BY8" s="100">
        <v>1418.432198745702</v>
      </c>
      <c r="BZ8" s="100">
        <v>5.282707111048583</v>
      </c>
      <c r="CA8" s="100">
        <v>1635.5261215806411</v>
      </c>
      <c r="CB8" s="100">
        <v>2.907647127484029</v>
      </c>
      <c r="CC8" s="100">
        <v>900.20755066905531</v>
      </c>
      <c r="CD8" s="100">
        <v>5.2488378710573675</v>
      </c>
      <c r="CE8" s="100">
        <v>1625.0402048793608</v>
      </c>
      <c r="CF8" s="100">
        <v>7</v>
      </c>
      <c r="CG8" s="100">
        <v>2167.1999999999998</v>
      </c>
      <c r="CH8" s="100">
        <v>12</v>
      </c>
      <c r="CI8" s="100">
        <v>3715.2</v>
      </c>
      <c r="CJ8" s="100">
        <v>6.1328416872528422</v>
      </c>
      <c r="CK8" s="100">
        <v>1898.7277863734798</v>
      </c>
      <c r="CL8" s="100">
        <v>11</v>
      </c>
      <c r="CM8" s="100">
        <v>3405.5999999999995</v>
      </c>
      <c r="CN8" s="100">
        <v>12</v>
      </c>
      <c r="CO8" s="100">
        <v>3715.2</v>
      </c>
      <c r="CP8" s="100">
        <v>7.8480161595579006</v>
      </c>
      <c r="CQ8" s="100">
        <v>2429.7458029991258</v>
      </c>
      <c r="CR8" s="100">
        <v>7.183294163931321</v>
      </c>
      <c r="CS8" s="100">
        <v>2223.9478731531367</v>
      </c>
      <c r="CT8" s="100">
        <v>5.8290464114504337</v>
      </c>
      <c r="CU8" s="100">
        <v>1804.6727689850541</v>
      </c>
    </row>
    <row r="9" spans="1:99">
      <c r="C9" s="99" t="s">
        <v>175</v>
      </c>
      <c r="D9" s="100">
        <v>7.7857037364032724</v>
      </c>
      <c r="E9" s="100">
        <v>5465.5640229550972</v>
      </c>
      <c r="F9" s="100">
        <v>8.2781729486456488</v>
      </c>
      <c r="G9" s="100">
        <v>5811.2774099492453</v>
      </c>
      <c r="H9" s="100">
        <v>9</v>
      </c>
      <c r="I9" s="100">
        <v>6318</v>
      </c>
      <c r="J9" s="100">
        <v>10</v>
      </c>
      <c r="K9" s="100">
        <v>7020</v>
      </c>
      <c r="L9" s="100">
        <v>5.2949623810238124</v>
      </c>
      <c r="M9" s="100">
        <v>3717.0635914787163</v>
      </c>
      <c r="N9" s="100">
        <v>5.5612498496311451</v>
      </c>
      <c r="O9" s="100">
        <v>3903.997394441064</v>
      </c>
      <c r="P9" s="100">
        <v>6</v>
      </c>
      <c r="Q9" s="100">
        <v>4212</v>
      </c>
      <c r="R9" s="100">
        <v>7</v>
      </c>
      <c r="S9" s="100">
        <v>4914</v>
      </c>
      <c r="T9" s="100">
        <v>8</v>
      </c>
      <c r="U9" s="100">
        <v>5616</v>
      </c>
      <c r="V9" s="100">
        <v>9</v>
      </c>
      <c r="W9" s="100">
        <v>6318</v>
      </c>
      <c r="X9" s="100">
        <v>7</v>
      </c>
      <c r="Y9" s="100">
        <v>4914</v>
      </c>
      <c r="Z9" s="100">
        <v>10</v>
      </c>
      <c r="AA9" s="100">
        <v>7020</v>
      </c>
      <c r="AB9" s="100">
        <v>6</v>
      </c>
      <c r="AC9" s="100">
        <v>4212</v>
      </c>
      <c r="AD9" s="100">
        <v>10</v>
      </c>
      <c r="AE9" s="100">
        <v>7020</v>
      </c>
      <c r="AF9" s="100">
        <v>7</v>
      </c>
      <c r="AG9" s="100">
        <v>4914</v>
      </c>
      <c r="AH9" s="100">
        <v>6</v>
      </c>
      <c r="AI9" s="100">
        <v>4212</v>
      </c>
      <c r="AJ9" s="100">
        <v>10</v>
      </c>
      <c r="AK9" s="100">
        <v>7020</v>
      </c>
      <c r="AL9" s="100">
        <v>7</v>
      </c>
      <c r="AM9" s="100">
        <v>4914</v>
      </c>
      <c r="AN9" s="100">
        <v>11</v>
      </c>
      <c r="AO9" s="100">
        <v>7722</v>
      </c>
      <c r="AP9" s="100">
        <v>8</v>
      </c>
      <c r="AQ9" s="100">
        <v>5616</v>
      </c>
      <c r="AR9" s="100">
        <v>9</v>
      </c>
      <c r="AS9" s="100">
        <v>6318</v>
      </c>
      <c r="AT9" s="100">
        <v>5.9209589409654475</v>
      </c>
      <c r="AU9" s="100">
        <v>4156.5131765577444</v>
      </c>
      <c r="AV9" s="100">
        <v>11</v>
      </c>
      <c r="AW9" s="100">
        <v>7722</v>
      </c>
      <c r="AX9" s="100">
        <v>7</v>
      </c>
      <c r="AY9" s="100">
        <v>4914</v>
      </c>
      <c r="AZ9" s="100">
        <v>9.0384297708361228</v>
      </c>
      <c r="BA9" s="100">
        <v>6344.9776991269582</v>
      </c>
      <c r="BB9" s="100">
        <v>0</v>
      </c>
      <c r="BC9" s="100">
        <v>0</v>
      </c>
      <c r="BD9" s="100">
        <v>9.410004158245945</v>
      </c>
      <c r="BE9" s="100">
        <v>6605.8229190886532</v>
      </c>
      <c r="BF9" s="100">
        <v>4.7592757613963332</v>
      </c>
      <c r="BG9" s="100">
        <v>3341.011584500226</v>
      </c>
      <c r="BH9" s="100">
        <v>7</v>
      </c>
      <c r="BI9" s="100">
        <v>4914</v>
      </c>
      <c r="BJ9" s="100">
        <v>6.9860390941458173</v>
      </c>
      <c r="BK9" s="100">
        <v>4904.1994440903636</v>
      </c>
      <c r="BL9" s="100">
        <v>8.7067043682937086</v>
      </c>
      <c r="BM9" s="100">
        <v>6112.1064665421836</v>
      </c>
      <c r="BN9" s="100">
        <v>11</v>
      </c>
      <c r="BO9" s="100">
        <v>7722</v>
      </c>
      <c r="BP9" s="100">
        <v>10</v>
      </c>
      <c r="BQ9" s="100">
        <v>7020</v>
      </c>
      <c r="BR9" s="100">
        <v>7</v>
      </c>
      <c r="BS9" s="100">
        <v>4914</v>
      </c>
      <c r="BT9" s="100">
        <v>7</v>
      </c>
      <c r="BU9" s="100">
        <v>4914</v>
      </c>
      <c r="BV9" s="100">
        <v>8</v>
      </c>
      <c r="BW9" s="100">
        <v>5616</v>
      </c>
      <c r="BX9" s="100">
        <v>5.0905548332820203</v>
      </c>
      <c r="BY9" s="100">
        <v>3573.5694929639781</v>
      </c>
      <c r="BZ9" s="100">
        <v>5.282707111048583</v>
      </c>
      <c r="CA9" s="100">
        <v>3708.4603919561055</v>
      </c>
      <c r="CB9" s="100">
        <v>2.907647127484029</v>
      </c>
      <c r="CC9" s="100">
        <v>2041.1682834937883</v>
      </c>
      <c r="CD9" s="100">
        <v>4.5927331371751965</v>
      </c>
      <c r="CE9" s="100">
        <v>3224.0986622969881</v>
      </c>
      <c r="CF9" s="100">
        <v>6</v>
      </c>
      <c r="CG9" s="100">
        <v>4212</v>
      </c>
      <c r="CH9" s="100">
        <v>10</v>
      </c>
      <c r="CI9" s="100">
        <v>7020</v>
      </c>
      <c r="CJ9" s="100">
        <v>5.6217715466484393</v>
      </c>
      <c r="CK9" s="100">
        <v>3946.4836257472043</v>
      </c>
      <c r="CL9" s="100">
        <v>11</v>
      </c>
      <c r="CM9" s="100">
        <v>7722</v>
      </c>
      <c r="CN9" s="100">
        <v>11</v>
      </c>
      <c r="CO9" s="100">
        <v>7722</v>
      </c>
      <c r="CP9" s="100">
        <v>9.2749281885684276</v>
      </c>
      <c r="CQ9" s="100">
        <v>6510.9995883750362</v>
      </c>
      <c r="CR9" s="100">
        <v>7.183294163931321</v>
      </c>
      <c r="CS9" s="100">
        <v>5042.672503079787</v>
      </c>
      <c r="CT9" s="100">
        <v>4.996325495528942</v>
      </c>
      <c r="CU9" s="100">
        <v>3507.4204978613175</v>
      </c>
    </row>
    <row r="10" spans="1:99">
      <c r="C10" s="99" t="s">
        <v>176</v>
      </c>
      <c r="D10" s="100">
        <v>6.9206255434695763</v>
      </c>
      <c r="E10" s="100">
        <v>3770.3567960822247</v>
      </c>
      <c r="F10" s="100">
        <v>9.1979699429396096</v>
      </c>
      <c r="G10" s="100">
        <v>5011.0540249134992</v>
      </c>
      <c r="H10" s="100">
        <v>7</v>
      </c>
      <c r="I10" s="100">
        <v>3813.5999999999995</v>
      </c>
      <c r="J10" s="100">
        <v>11</v>
      </c>
      <c r="K10" s="100">
        <v>5992.7999999999993</v>
      </c>
      <c r="L10" s="100">
        <v>6.0513855783129289</v>
      </c>
      <c r="M10" s="100">
        <v>3296.7948630648834</v>
      </c>
      <c r="N10" s="100">
        <v>5.5612498496311451</v>
      </c>
      <c r="O10" s="100">
        <v>3029.7689180790476</v>
      </c>
      <c r="P10" s="100">
        <v>6</v>
      </c>
      <c r="Q10" s="100">
        <v>3268.7999999999997</v>
      </c>
      <c r="R10" s="100">
        <v>7</v>
      </c>
      <c r="S10" s="100">
        <v>3813.5999999999995</v>
      </c>
      <c r="T10" s="100">
        <v>7</v>
      </c>
      <c r="U10" s="100">
        <v>3813.5999999999995</v>
      </c>
      <c r="V10" s="100">
        <v>10</v>
      </c>
      <c r="W10" s="100">
        <v>5448</v>
      </c>
      <c r="X10" s="100">
        <v>7</v>
      </c>
      <c r="Y10" s="100">
        <v>3813.5999999999995</v>
      </c>
      <c r="Z10" s="100">
        <v>10</v>
      </c>
      <c r="AA10" s="100">
        <v>5448</v>
      </c>
      <c r="AB10" s="100">
        <v>7</v>
      </c>
      <c r="AC10" s="100">
        <v>3813.5999999999995</v>
      </c>
      <c r="AD10" s="100">
        <v>10</v>
      </c>
      <c r="AE10" s="100">
        <v>5448</v>
      </c>
      <c r="AF10" s="100">
        <v>8</v>
      </c>
      <c r="AG10" s="100">
        <v>4358.3999999999996</v>
      </c>
      <c r="AH10" s="100">
        <v>6</v>
      </c>
      <c r="AI10" s="100">
        <v>3268.7999999999997</v>
      </c>
      <c r="AJ10" s="100">
        <v>11</v>
      </c>
      <c r="AK10" s="100">
        <v>5992.7999999999993</v>
      </c>
      <c r="AL10" s="100">
        <v>6</v>
      </c>
      <c r="AM10" s="100">
        <v>3268.7999999999997</v>
      </c>
      <c r="AN10" s="100">
        <v>9</v>
      </c>
      <c r="AO10" s="100">
        <v>4903.2</v>
      </c>
      <c r="AP10" s="100">
        <v>9</v>
      </c>
      <c r="AQ10" s="100">
        <v>4903.2</v>
      </c>
      <c r="AR10" s="100">
        <v>9</v>
      </c>
      <c r="AS10" s="100">
        <v>4903.2</v>
      </c>
      <c r="AT10" s="100">
        <v>5.9209589409654475</v>
      </c>
      <c r="AU10" s="100">
        <v>3225.7384310379757</v>
      </c>
      <c r="AV10" s="100">
        <v>10</v>
      </c>
      <c r="AW10" s="100">
        <v>5448</v>
      </c>
      <c r="AX10" s="100">
        <v>7</v>
      </c>
      <c r="AY10" s="100">
        <v>3813.5999999999995</v>
      </c>
      <c r="AZ10" s="100">
        <v>9.0384297708361228</v>
      </c>
      <c r="BA10" s="100">
        <v>4924.1365391515192</v>
      </c>
      <c r="BB10" s="100">
        <v>0</v>
      </c>
      <c r="BC10" s="100">
        <v>0</v>
      </c>
      <c r="BD10" s="100">
        <v>10.351004574070538</v>
      </c>
      <c r="BE10" s="100">
        <v>5639.227291953629</v>
      </c>
      <c r="BF10" s="100">
        <v>4.7592757613963332</v>
      </c>
      <c r="BG10" s="100">
        <v>2592.8534348087223</v>
      </c>
      <c r="BH10" s="100">
        <v>6</v>
      </c>
      <c r="BI10" s="100">
        <v>3268.7999999999997</v>
      </c>
      <c r="BJ10" s="100">
        <v>6.9860390941458173</v>
      </c>
      <c r="BK10" s="100">
        <v>3805.9940984906411</v>
      </c>
      <c r="BL10" s="100">
        <v>7.1236672104221253</v>
      </c>
      <c r="BM10" s="100">
        <v>3880.9738962379733</v>
      </c>
      <c r="BN10" s="100">
        <v>9</v>
      </c>
      <c r="BO10" s="100">
        <v>4903.2</v>
      </c>
      <c r="BP10" s="100">
        <v>10</v>
      </c>
      <c r="BQ10" s="100">
        <v>5448</v>
      </c>
      <c r="BR10" s="100">
        <v>6</v>
      </c>
      <c r="BS10" s="100">
        <v>3268.7999999999997</v>
      </c>
      <c r="BT10" s="100">
        <v>8</v>
      </c>
      <c r="BU10" s="100">
        <v>4358.3999999999996</v>
      </c>
      <c r="BV10" s="100">
        <v>9</v>
      </c>
      <c r="BW10" s="100">
        <v>4903.2</v>
      </c>
      <c r="BX10" s="100">
        <v>5.0905548332820203</v>
      </c>
      <c r="BY10" s="100">
        <v>2773.3342731720445</v>
      </c>
      <c r="BZ10" s="100">
        <v>4.6223687221675105</v>
      </c>
      <c r="CA10" s="100">
        <v>2518.2664798368596</v>
      </c>
      <c r="CB10" s="100">
        <v>2.907647127484029</v>
      </c>
      <c r="CC10" s="100">
        <v>1584.0861550532989</v>
      </c>
      <c r="CD10" s="100">
        <v>5.2488378710573675</v>
      </c>
      <c r="CE10" s="100">
        <v>2859.5668721520537</v>
      </c>
      <c r="CF10" s="100">
        <v>7</v>
      </c>
      <c r="CG10" s="100">
        <v>3813.5999999999995</v>
      </c>
      <c r="CH10" s="100">
        <v>11</v>
      </c>
      <c r="CI10" s="100">
        <v>5992.7999999999993</v>
      </c>
      <c r="CJ10" s="100">
        <v>6.1328416872528422</v>
      </c>
      <c r="CK10" s="100">
        <v>3341.1721512153481</v>
      </c>
      <c r="CL10" s="100">
        <v>13</v>
      </c>
      <c r="CM10" s="100">
        <v>7082.4</v>
      </c>
      <c r="CN10" s="100">
        <v>11</v>
      </c>
      <c r="CO10" s="100">
        <v>5992.7999999999993</v>
      </c>
      <c r="CP10" s="100">
        <v>7.8480161595579006</v>
      </c>
      <c r="CQ10" s="100">
        <v>4275.5992037271435</v>
      </c>
      <c r="CR10" s="100">
        <v>6.2853823934399058</v>
      </c>
      <c r="CS10" s="100">
        <v>3424.2763279460605</v>
      </c>
      <c r="CT10" s="100">
        <v>6.6617673273719236</v>
      </c>
      <c r="CU10" s="100">
        <v>3629.3308399522239</v>
      </c>
    </row>
    <row r="11" spans="1:99">
      <c r="C11" s="99" t="s">
        <v>177</v>
      </c>
      <c r="D11" s="100">
        <v>7.7857037364032724</v>
      </c>
      <c r="E11" s="100">
        <v>4148.2229507556631</v>
      </c>
      <c r="F11" s="100">
        <v>8.2781729486456488</v>
      </c>
      <c r="G11" s="100">
        <v>4410.6105470384009</v>
      </c>
      <c r="H11" s="100">
        <v>8</v>
      </c>
      <c r="I11" s="100">
        <v>4262.3999999999996</v>
      </c>
      <c r="J11" s="100">
        <v>10</v>
      </c>
      <c r="K11" s="100">
        <v>5328</v>
      </c>
      <c r="L11" s="100">
        <v>6.0513855783129289</v>
      </c>
      <c r="M11" s="100">
        <v>3224.178236125128</v>
      </c>
      <c r="N11" s="100">
        <v>5.5612498496311451</v>
      </c>
      <c r="O11" s="100">
        <v>2963.033919883474</v>
      </c>
      <c r="P11" s="100">
        <v>6</v>
      </c>
      <c r="Q11" s="100">
        <v>3196.7999999999997</v>
      </c>
      <c r="R11" s="100">
        <v>8</v>
      </c>
      <c r="S11" s="100">
        <v>4262.3999999999996</v>
      </c>
      <c r="T11" s="100">
        <v>7</v>
      </c>
      <c r="U11" s="100">
        <v>3729.5999999999995</v>
      </c>
      <c r="V11" s="100">
        <v>9</v>
      </c>
      <c r="W11" s="100">
        <v>4795.2</v>
      </c>
      <c r="X11" s="100">
        <v>7</v>
      </c>
      <c r="Y11" s="100">
        <v>3729.5999999999995</v>
      </c>
      <c r="Z11" s="100">
        <v>9</v>
      </c>
      <c r="AA11" s="100">
        <v>4795.2</v>
      </c>
      <c r="AB11" s="100">
        <v>7</v>
      </c>
      <c r="AC11" s="100">
        <v>3729.5999999999995</v>
      </c>
      <c r="AD11" s="100">
        <v>12</v>
      </c>
      <c r="AE11" s="100">
        <v>6393.5999999999995</v>
      </c>
      <c r="AF11" s="100">
        <v>7</v>
      </c>
      <c r="AG11" s="100">
        <v>3729.5999999999995</v>
      </c>
      <c r="AH11" s="100">
        <v>6</v>
      </c>
      <c r="AI11" s="100">
        <v>3196.7999999999997</v>
      </c>
      <c r="AJ11" s="100">
        <v>10</v>
      </c>
      <c r="AK11" s="100">
        <v>5328</v>
      </c>
      <c r="AL11" s="100">
        <v>6</v>
      </c>
      <c r="AM11" s="100">
        <v>3196.7999999999997</v>
      </c>
      <c r="AN11" s="100">
        <v>9</v>
      </c>
      <c r="AO11" s="100">
        <v>4795.2</v>
      </c>
      <c r="AP11" s="100">
        <v>9</v>
      </c>
      <c r="AQ11" s="100">
        <v>4795.2</v>
      </c>
      <c r="AR11" s="100">
        <v>9</v>
      </c>
      <c r="AS11" s="100">
        <v>4795.2</v>
      </c>
      <c r="AT11" s="100">
        <v>6.5788432677393853</v>
      </c>
      <c r="AU11" s="100">
        <v>3505.2076930515441</v>
      </c>
      <c r="AV11" s="100">
        <v>11</v>
      </c>
      <c r="AW11" s="100">
        <v>5860.7999999999993</v>
      </c>
      <c r="AX11" s="100">
        <v>8</v>
      </c>
      <c r="AY11" s="100">
        <v>4262.3999999999996</v>
      </c>
      <c r="AZ11" s="100">
        <v>9.0384297708361228</v>
      </c>
      <c r="BA11" s="100">
        <v>4815.6753819014857</v>
      </c>
      <c r="BB11" s="100">
        <v>0</v>
      </c>
      <c r="BC11" s="100">
        <v>0</v>
      </c>
      <c r="BD11" s="100">
        <v>9.410004158245945</v>
      </c>
      <c r="BE11" s="100">
        <v>5013.6502155134394</v>
      </c>
      <c r="BF11" s="100">
        <v>4.7592757613963332</v>
      </c>
      <c r="BG11" s="100">
        <v>2535.7421256719663</v>
      </c>
      <c r="BH11" s="100">
        <v>6</v>
      </c>
      <c r="BI11" s="100">
        <v>3196.7999999999997</v>
      </c>
      <c r="BJ11" s="100">
        <v>6.1127842073775902</v>
      </c>
      <c r="BK11" s="100">
        <v>3256.8914256907797</v>
      </c>
      <c r="BL11" s="100">
        <v>7.9151857893579169</v>
      </c>
      <c r="BM11" s="100">
        <v>4217.2109885698974</v>
      </c>
      <c r="BN11" s="100">
        <v>10</v>
      </c>
      <c r="BO11" s="100">
        <v>5328</v>
      </c>
      <c r="BP11" s="100">
        <v>10</v>
      </c>
      <c r="BQ11" s="100">
        <v>5328</v>
      </c>
      <c r="BR11" s="100">
        <v>7</v>
      </c>
      <c r="BS11" s="100">
        <v>3729.5999999999995</v>
      </c>
      <c r="BT11" s="100">
        <v>9</v>
      </c>
      <c r="BU11" s="100">
        <v>4795.2</v>
      </c>
      <c r="BV11" s="100">
        <v>8</v>
      </c>
      <c r="BW11" s="100">
        <v>4262.3999999999996</v>
      </c>
      <c r="BX11" s="100">
        <v>4.5814993499538179</v>
      </c>
      <c r="BY11" s="100">
        <v>2441.0228536553941</v>
      </c>
      <c r="BZ11" s="100">
        <v>4.6223687221675105</v>
      </c>
      <c r="CA11" s="100">
        <v>2462.7980551708492</v>
      </c>
      <c r="CB11" s="100">
        <v>2.907647127484029</v>
      </c>
      <c r="CC11" s="100">
        <v>1549.1943895234906</v>
      </c>
      <c r="CD11" s="100">
        <v>5.2488378710573675</v>
      </c>
      <c r="CE11" s="100">
        <v>2796.5808176993651</v>
      </c>
      <c r="CF11" s="100">
        <v>7</v>
      </c>
      <c r="CG11" s="100">
        <v>3729.5999999999995</v>
      </c>
      <c r="CH11" s="100">
        <v>10</v>
      </c>
      <c r="CI11" s="100">
        <v>5328</v>
      </c>
      <c r="CJ11" s="100">
        <v>6.1328416872528422</v>
      </c>
      <c r="CK11" s="100">
        <v>3267.5780509683141</v>
      </c>
      <c r="CL11" s="100">
        <v>12</v>
      </c>
      <c r="CM11" s="100">
        <v>6393.5999999999995</v>
      </c>
      <c r="CN11" s="100">
        <v>10</v>
      </c>
      <c r="CO11" s="100">
        <v>5328</v>
      </c>
      <c r="CP11" s="100">
        <v>8.5614721740631641</v>
      </c>
      <c r="CQ11" s="100">
        <v>4561.552374340853</v>
      </c>
      <c r="CR11" s="100">
        <v>6.2853823934399058</v>
      </c>
      <c r="CS11" s="100">
        <v>3348.8517392247813</v>
      </c>
      <c r="CT11" s="100">
        <v>5.8290464114504337</v>
      </c>
      <c r="CU11" s="100">
        <v>3105.7159280207907</v>
      </c>
    </row>
    <row r="12" spans="1:99">
      <c r="C12" s="99" t="s">
        <v>178</v>
      </c>
      <c r="D12" s="100">
        <v>6.9206255434695763</v>
      </c>
      <c r="E12" s="100">
        <v>3894.9280558646774</v>
      </c>
      <c r="F12" s="100">
        <v>9.1979699429396096</v>
      </c>
      <c r="G12" s="100">
        <v>5176.6174838864117</v>
      </c>
      <c r="H12" s="100">
        <v>9</v>
      </c>
      <c r="I12" s="100">
        <v>5065.2</v>
      </c>
      <c r="J12" s="100">
        <v>10</v>
      </c>
      <c r="K12" s="100">
        <v>5628</v>
      </c>
      <c r="L12" s="100">
        <v>5.2949623810238124</v>
      </c>
      <c r="M12" s="100">
        <v>2980.0048280402016</v>
      </c>
      <c r="N12" s="100">
        <v>5.5612498496311451</v>
      </c>
      <c r="O12" s="100">
        <v>3129.8714153724081</v>
      </c>
      <c r="P12" s="100">
        <v>6</v>
      </c>
      <c r="Q12" s="100">
        <v>3376.7999999999997</v>
      </c>
      <c r="R12" s="100">
        <v>7</v>
      </c>
      <c r="S12" s="100">
        <v>3939.5999999999995</v>
      </c>
      <c r="T12" s="100">
        <v>7</v>
      </c>
      <c r="U12" s="100">
        <v>3939.5999999999995</v>
      </c>
      <c r="V12" s="100">
        <v>10</v>
      </c>
      <c r="W12" s="100">
        <v>5628</v>
      </c>
      <c r="X12" s="100">
        <v>6</v>
      </c>
      <c r="Y12" s="100">
        <v>3376.7999999999997</v>
      </c>
      <c r="Z12" s="100">
        <v>11</v>
      </c>
      <c r="AA12" s="100">
        <v>6190.7999999999993</v>
      </c>
      <c r="AB12" s="100">
        <v>7</v>
      </c>
      <c r="AC12" s="100">
        <v>3939.5999999999995</v>
      </c>
      <c r="AD12" s="100">
        <v>10</v>
      </c>
      <c r="AE12" s="100">
        <v>5628</v>
      </c>
      <c r="AF12" s="100">
        <v>7</v>
      </c>
      <c r="AG12" s="100">
        <v>3939.5999999999995</v>
      </c>
      <c r="AH12" s="100">
        <v>6</v>
      </c>
      <c r="AI12" s="100">
        <v>3376.7999999999997</v>
      </c>
      <c r="AJ12" s="100">
        <v>10</v>
      </c>
      <c r="AK12" s="100">
        <v>5628</v>
      </c>
      <c r="AL12" s="100">
        <v>7</v>
      </c>
      <c r="AM12" s="100">
        <v>3939.5999999999995</v>
      </c>
      <c r="AN12" s="100">
        <v>10</v>
      </c>
      <c r="AO12" s="100">
        <v>5628</v>
      </c>
      <c r="AP12" s="100">
        <v>8</v>
      </c>
      <c r="AQ12" s="100">
        <v>4502.3999999999996</v>
      </c>
      <c r="AR12" s="100">
        <v>9</v>
      </c>
      <c r="AS12" s="100">
        <v>5065.2</v>
      </c>
      <c r="AT12" s="100">
        <v>5.9209589409654475</v>
      </c>
      <c r="AU12" s="100">
        <v>3332.3156919753537</v>
      </c>
      <c r="AV12" s="100">
        <v>11</v>
      </c>
      <c r="AW12" s="100">
        <v>6190.7999999999993</v>
      </c>
      <c r="AX12" s="100">
        <v>8</v>
      </c>
      <c r="AY12" s="100">
        <v>4502.3999999999996</v>
      </c>
      <c r="AZ12" s="100">
        <v>9.0384297708361228</v>
      </c>
      <c r="BA12" s="100">
        <v>5086.8282750265698</v>
      </c>
      <c r="BB12" s="100">
        <v>0</v>
      </c>
      <c r="BC12" s="100">
        <v>0</v>
      </c>
      <c r="BD12" s="100">
        <v>10.351004574070538</v>
      </c>
      <c r="BE12" s="100">
        <v>5825.5453742868986</v>
      </c>
      <c r="BF12" s="100">
        <v>4.7592757613963332</v>
      </c>
      <c r="BG12" s="100">
        <v>2678.520398513856</v>
      </c>
      <c r="BH12" s="100">
        <v>6</v>
      </c>
      <c r="BI12" s="100">
        <v>3376.7999999999997</v>
      </c>
      <c r="BJ12" s="100">
        <v>6.9860390941458173</v>
      </c>
      <c r="BK12" s="100">
        <v>3931.7428021852656</v>
      </c>
      <c r="BL12" s="100">
        <v>7.9151857893579169</v>
      </c>
      <c r="BM12" s="100">
        <v>4454.6665622506353</v>
      </c>
      <c r="BN12" s="100">
        <v>10</v>
      </c>
      <c r="BO12" s="100">
        <v>5628</v>
      </c>
      <c r="BP12" s="100">
        <v>11</v>
      </c>
      <c r="BQ12" s="100">
        <v>6190.7999999999993</v>
      </c>
      <c r="BR12" s="100">
        <v>6</v>
      </c>
      <c r="BS12" s="100">
        <v>3376.7999999999997</v>
      </c>
      <c r="BT12" s="100">
        <v>9</v>
      </c>
      <c r="BU12" s="100">
        <v>5065.2</v>
      </c>
      <c r="BV12" s="100">
        <v>9</v>
      </c>
      <c r="BW12" s="100">
        <v>5065.2</v>
      </c>
      <c r="BX12" s="100">
        <v>4.0724438666256164</v>
      </c>
      <c r="BY12" s="100">
        <v>2291.9714081368966</v>
      </c>
      <c r="BZ12" s="100">
        <v>4.6223687221675105</v>
      </c>
      <c r="CA12" s="100">
        <v>2601.4691168358745</v>
      </c>
      <c r="CB12" s="100">
        <v>2.4922689664148816</v>
      </c>
      <c r="CC12" s="100">
        <v>1402.6489742982953</v>
      </c>
      <c r="CD12" s="100">
        <v>5.2488378710573675</v>
      </c>
      <c r="CE12" s="100">
        <v>2954.0459538310861</v>
      </c>
      <c r="CF12" s="100">
        <v>7</v>
      </c>
      <c r="CG12" s="100">
        <v>3939.5999999999995</v>
      </c>
      <c r="CH12" s="100">
        <v>11</v>
      </c>
      <c r="CI12" s="100">
        <v>6190.7999999999993</v>
      </c>
      <c r="CJ12" s="100">
        <v>5.6217715466484393</v>
      </c>
      <c r="CK12" s="100">
        <v>3163.9330264537411</v>
      </c>
      <c r="CL12" s="100">
        <v>12</v>
      </c>
      <c r="CM12" s="100">
        <v>6753.5999999999995</v>
      </c>
      <c r="CN12" s="100">
        <v>10</v>
      </c>
      <c r="CO12" s="100">
        <v>5628</v>
      </c>
      <c r="CP12" s="100">
        <v>8.5614721740631641</v>
      </c>
      <c r="CQ12" s="100">
        <v>4818.3965395627483</v>
      </c>
      <c r="CR12" s="100">
        <v>7.183294163931321</v>
      </c>
      <c r="CS12" s="100">
        <v>4042.7579554605472</v>
      </c>
      <c r="CT12" s="100">
        <v>5.8290464114504337</v>
      </c>
      <c r="CU12" s="100">
        <v>3280.5873203643037</v>
      </c>
    </row>
    <row r="13" spans="1:99">
      <c r="C13" s="99" t="s">
        <v>179</v>
      </c>
      <c r="D13" s="100">
        <v>7.7857037364032724</v>
      </c>
      <c r="E13" s="100">
        <v>663.34195834155878</v>
      </c>
      <c r="F13" s="100">
        <v>9.1979699429396096</v>
      </c>
      <c r="G13" s="100">
        <v>783.66703913845481</v>
      </c>
      <c r="H13" s="100">
        <v>8</v>
      </c>
      <c r="I13" s="100">
        <v>681.6</v>
      </c>
      <c r="J13" s="100">
        <v>10</v>
      </c>
      <c r="K13" s="100">
        <v>852</v>
      </c>
      <c r="L13" s="100">
        <v>6.8078087756020453</v>
      </c>
      <c r="M13" s="100">
        <v>580.02530768129429</v>
      </c>
      <c r="N13" s="100">
        <v>4.8660936184272519</v>
      </c>
      <c r="O13" s="100">
        <v>414.5911762900019</v>
      </c>
      <c r="P13" s="100">
        <v>6</v>
      </c>
      <c r="Q13" s="100">
        <v>511.20000000000005</v>
      </c>
      <c r="R13" s="100">
        <v>7</v>
      </c>
      <c r="S13" s="100">
        <v>596.4</v>
      </c>
      <c r="T13" s="100">
        <v>8</v>
      </c>
      <c r="U13" s="100">
        <v>681.6</v>
      </c>
      <c r="V13" s="100">
        <v>10</v>
      </c>
      <c r="W13" s="100">
        <v>852</v>
      </c>
      <c r="X13" s="100">
        <v>7</v>
      </c>
      <c r="Y13" s="100">
        <v>596.4</v>
      </c>
      <c r="Z13" s="100">
        <v>10</v>
      </c>
      <c r="AA13" s="100">
        <v>852</v>
      </c>
      <c r="AB13" s="100">
        <v>7</v>
      </c>
      <c r="AC13" s="100">
        <v>596.4</v>
      </c>
      <c r="AD13" s="100">
        <v>10</v>
      </c>
      <c r="AE13" s="100">
        <v>852</v>
      </c>
      <c r="AF13" s="100">
        <v>8</v>
      </c>
      <c r="AG13" s="100">
        <v>681.6</v>
      </c>
      <c r="AH13" s="100">
        <v>6</v>
      </c>
      <c r="AI13" s="100">
        <v>511.20000000000005</v>
      </c>
      <c r="AJ13" s="100">
        <v>12</v>
      </c>
      <c r="AK13" s="100">
        <v>1022.4000000000001</v>
      </c>
      <c r="AL13" s="100">
        <v>7</v>
      </c>
      <c r="AM13" s="100">
        <v>596.4</v>
      </c>
      <c r="AN13" s="100">
        <v>11</v>
      </c>
      <c r="AO13" s="100">
        <v>937.2</v>
      </c>
      <c r="AP13" s="100">
        <v>9</v>
      </c>
      <c r="AQ13" s="100">
        <v>766.80000000000007</v>
      </c>
      <c r="AR13" s="100">
        <v>9</v>
      </c>
      <c r="AS13" s="100">
        <v>766.80000000000007</v>
      </c>
      <c r="AT13" s="100">
        <v>5.9209589409654475</v>
      </c>
      <c r="AU13" s="100">
        <v>504.46570177025615</v>
      </c>
      <c r="AV13" s="100">
        <v>10</v>
      </c>
      <c r="AW13" s="100">
        <v>852</v>
      </c>
      <c r="AX13" s="100">
        <v>7</v>
      </c>
      <c r="AY13" s="100">
        <v>596.4</v>
      </c>
      <c r="AZ13" s="100">
        <v>9.9422727479197341</v>
      </c>
      <c r="BA13" s="100">
        <v>847.08163812276143</v>
      </c>
      <c r="BB13" s="100">
        <v>0</v>
      </c>
      <c r="BC13" s="100">
        <v>0</v>
      </c>
      <c r="BD13" s="100">
        <v>9.410004158245945</v>
      </c>
      <c r="BE13" s="100">
        <v>801.73235428255452</v>
      </c>
      <c r="BF13" s="100">
        <v>4.7592757613963332</v>
      </c>
      <c r="BG13" s="100">
        <v>405.4902948709676</v>
      </c>
      <c r="BH13" s="100">
        <v>7</v>
      </c>
      <c r="BI13" s="100">
        <v>596.4</v>
      </c>
      <c r="BJ13" s="100">
        <v>6.9860390941458173</v>
      </c>
      <c r="BK13" s="100">
        <v>595.21053082122364</v>
      </c>
      <c r="BL13" s="100">
        <v>7.1236672104221253</v>
      </c>
      <c r="BM13" s="100">
        <v>606.93644632796509</v>
      </c>
      <c r="BN13" s="100">
        <v>10</v>
      </c>
      <c r="BO13" s="100">
        <v>852</v>
      </c>
      <c r="BP13" s="100">
        <v>11</v>
      </c>
      <c r="BQ13" s="100">
        <v>937.2</v>
      </c>
      <c r="BR13" s="100">
        <v>6</v>
      </c>
      <c r="BS13" s="100">
        <v>511.20000000000005</v>
      </c>
      <c r="BT13" s="100">
        <v>8</v>
      </c>
      <c r="BU13" s="100">
        <v>681.6</v>
      </c>
      <c r="BV13" s="100">
        <v>9</v>
      </c>
      <c r="BW13" s="100">
        <v>766.80000000000007</v>
      </c>
      <c r="BX13" s="100">
        <v>4.5814993499538179</v>
      </c>
      <c r="BY13" s="100">
        <v>390.34374461606529</v>
      </c>
      <c r="BZ13" s="100">
        <v>4.6223687221675105</v>
      </c>
      <c r="CA13" s="100">
        <v>393.82581512867193</v>
      </c>
      <c r="CB13" s="100">
        <v>2.4922689664148816</v>
      </c>
      <c r="CC13" s="100">
        <v>212.34131593854792</v>
      </c>
      <c r="CD13" s="100">
        <v>5.2488378710573675</v>
      </c>
      <c r="CE13" s="100">
        <v>447.20098661408775</v>
      </c>
      <c r="CF13" s="100">
        <v>7</v>
      </c>
      <c r="CG13" s="100">
        <v>596.4</v>
      </c>
      <c r="CH13" s="100">
        <v>11</v>
      </c>
      <c r="CI13" s="100">
        <v>937.2</v>
      </c>
      <c r="CJ13" s="100">
        <v>5.1107014060440354</v>
      </c>
      <c r="CK13" s="100">
        <v>435.43175979495186</v>
      </c>
      <c r="CL13" s="100">
        <v>13</v>
      </c>
      <c r="CM13" s="100">
        <v>1107.6000000000001</v>
      </c>
      <c r="CN13" s="100">
        <v>11</v>
      </c>
      <c r="CO13" s="100">
        <v>937.2</v>
      </c>
      <c r="CP13" s="100">
        <v>9.2749281885684276</v>
      </c>
      <c r="CQ13" s="100">
        <v>790.22388166603002</v>
      </c>
      <c r="CR13" s="100">
        <v>7.183294163931321</v>
      </c>
      <c r="CS13" s="100">
        <v>612.01666276694857</v>
      </c>
      <c r="CT13" s="100">
        <v>5.8290464114504337</v>
      </c>
      <c r="CU13" s="100">
        <v>496.63475425557698</v>
      </c>
    </row>
    <row r="14" spans="1:99">
      <c r="C14" s="99" t="s">
        <v>180</v>
      </c>
      <c r="D14" s="100">
        <v>7.7857037364032724</v>
      </c>
      <c r="E14" s="100">
        <v>3802.5377048593582</v>
      </c>
      <c r="F14" s="100">
        <v>7.358375954351688</v>
      </c>
      <c r="G14" s="100">
        <v>3593.8308161053642</v>
      </c>
      <c r="H14" s="100">
        <v>8</v>
      </c>
      <c r="I14" s="100">
        <v>3907.2</v>
      </c>
      <c r="J14" s="100">
        <v>10</v>
      </c>
      <c r="K14" s="100">
        <v>4884</v>
      </c>
      <c r="L14" s="100">
        <v>6.0513855783129289</v>
      </c>
      <c r="M14" s="100">
        <v>2955.4967164480345</v>
      </c>
      <c r="N14" s="100">
        <v>5.5612498496311451</v>
      </c>
      <c r="O14" s="100">
        <v>2716.1144265598509</v>
      </c>
      <c r="P14" s="100">
        <v>6</v>
      </c>
      <c r="Q14" s="100">
        <v>2930.3999999999996</v>
      </c>
      <c r="R14" s="100">
        <v>8</v>
      </c>
      <c r="S14" s="100">
        <v>3907.2</v>
      </c>
      <c r="T14" s="100">
        <v>7</v>
      </c>
      <c r="U14" s="100">
        <v>3418.7999999999997</v>
      </c>
      <c r="V14" s="100">
        <v>10</v>
      </c>
      <c r="W14" s="100">
        <v>4884</v>
      </c>
      <c r="X14" s="100">
        <v>6</v>
      </c>
      <c r="Y14" s="100">
        <v>2930.3999999999996</v>
      </c>
      <c r="Z14" s="100">
        <v>10</v>
      </c>
      <c r="AA14" s="100">
        <v>4884</v>
      </c>
      <c r="AB14" s="100">
        <v>6</v>
      </c>
      <c r="AC14" s="100">
        <v>2930.3999999999996</v>
      </c>
      <c r="AD14" s="100">
        <v>12</v>
      </c>
      <c r="AE14" s="100">
        <v>5860.7999999999993</v>
      </c>
      <c r="AF14" s="100">
        <v>7</v>
      </c>
      <c r="AG14" s="100">
        <v>3418.7999999999997</v>
      </c>
      <c r="AH14" s="100">
        <v>7</v>
      </c>
      <c r="AI14" s="100">
        <v>3418.7999999999997</v>
      </c>
      <c r="AJ14" s="100">
        <v>10</v>
      </c>
      <c r="AK14" s="100">
        <v>4884</v>
      </c>
      <c r="AL14" s="100">
        <v>6</v>
      </c>
      <c r="AM14" s="100">
        <v>2930.3999999999996</v>
      </c>
      <c r="AN14" s="100">
        <v>10</v>
      </c>
      <c r="AO14" s="100">
        <v>4884</v>
      </c>
      <c r="AP14" s="100">
        <v>8</v>
      </c>
      <c r="AQ14" s="100">
        <v>3907.2</v>
      </c>
      <c r="AR14" s="100">
        <v>8</v>
      </c>
      <c r="AS14" s="100">
        <v>3907.2</v>
      </c>
      <c r="AT14" s="100">
        <v>6.5788432677393853</v>
      </c>
      <c r="AU14" s="100">
        <v>3213.1070519639156</v>
      </c>
      <c r="AV14" s="100">
        <v>10</v>
      </c>
      <c r="AW14" s="100">
        <v>4884</v>
      </c>
      <c r="AX14" s="100">
        <v>7</v>
      </c>
      <c r="AY14" s="100">
        <v>3418.7999999999997</v>
      </c>
      <c r="AZ14" s="100">
        <v>9.9422727479197341</v>
      </c>
      <c r="BA14" s="100">
        <v>4855.8060100839975</v>
      </c>
      <c r="BB14" s="100">
        <v>0</v>
      </c>
      <c r="BC14" s="100">
        <v>0</v>
      </c>
      <c r="BD14" s="100">
        <v>9.410004158245945</v>
      </c>
      <c r="BE14" s="100">
        <v>4595.8460308873191</v>
      </c>
      <c r="BF14" s="100">
        <v>4.0793792240539997</v>
      </c>
      <c r="BG14" s="100">
        <v>1992.3688130279734</v>
      </c>
      <c r="BH14" s="100">
        <v>7</v>
      </c>
      <c r="BI14" s="100">
        <v>3418.7999999999997</v>
      </c>
      <c r="BJ14" s="100">
        <v>6.1127842073775902</v>
      </c>
      <c r="BK14" s="100">
        <v>2985.483806883215</v>
      </c>
      <c r="BL14" s="100">
        <v>7.1236672104221253</v>
      </c>
      <c r="BM14" s="100">
        <v>3479.1990655701657</v>
      </c>
      <c r="BN14" s="100">
        <v>10</v>
      </c>
      <c r="BO14" s="100">
        <v>4884</v>
      </c>
      <c r="BP14" s="100">
        <v>11</v>
      </c>
      <c r="BQ14" s="100">
        <v>5372.4</v>
      </c>
      <c r="BR14" s="100">
        <v>7</v>
      </c>
      <c r="BS14" s="100">
        <v>3418.7999999999997</v>
      </c>
      <c r="BT14" s="100">
        <v>9</v>
      </c>
      <c r="BU14" s="100">
        <v>4395.5999999999995</v>
      </c>
      <c r="BV14" s="100">
        <v>8</v>
      </c>
      <c r="BW14" s="100">
        <v>3907.2</v>
      </c>
      <c r="BX14" s="100">
        <v>5.0905548332820203</v>
      </c>
      <c r="BY14" s="100">
        <v>2486.2269805749388</v>
      </c>
      <c r="BZ14" s="100">
        <v>4.6223687221675105</v>
      </c>
      <c r="CA14" s="100">
        <v>2257.5648839066121</v>
      </c>
      <c r="CB14" s="100">
        <v>2.907647127484029</v>
      </c>
      <c r="CC14" s="100">
        <v>1420.0948570631997</v>
      </c>
      <c r="CD14" s="100">
        <v>4.5927331371751965</v>
      </c>
      <c r="CE14" s="100">
        <v>2243.0908641963661</v>
      </c>
      <c r="CF14" s="100">
        <v>7</v>
      </c>
      <c r="CG14" s="100">
        <v>3418.7999999999997</v>
      </c>
      <c r="CH14" s="100">
        <v>10</v>
      </c>
      <c r="CI14" s="100">
        <v>4884</v>
      </c>
      <c r="CJ14" s="100">
        <v>6.1328416872528422</v>
      </c>
      <c r="CK14" s="100">
        <v>2995.2798800542878</v>
      </c>
      <c r="CL14" s="100">
        <v>13</v>
      </c>
      <c r="CM14" s="100">
        <v>6349.2</v>
      </c>
      <c r="CN14" s="100">
        <v>11</v>
      </c>
      <c r="CO14" s="100">
        <v>5372.4</v>
      </c>
      <c r="CP14" s="100">
        <v>7.8480161595579006</v>
      </c>
      <c r="CQ14" s="100">
        <v>3832.9710923280786</v>
      </c>
      <c r="CR14" s="100">
        <v>6.2853823934399058</v>
      </c>
      <c r="CS14" s="100">
        <v>3069.78076095605</v>
      </c>
      <c r="CT14" s="100">
        <v>4.996325495528942</v>
      </c>
      <c r="CU14" s="100">
        <v>2440.2053720163353</v>
      </c>
    </row>
    <row r="15" spans="1:99">
      <c r="C15" s="99" t="s">
        <v>181</v>
      </c>
      <c r="D15" s="100">
        <v>7.7857037364032724</v>
      </c>
      <c r="E15" s="100">
        <v>5942.0490916229774</v>
      </c>
      <c r="F15" s="100">
        <v>9.1979699429396096</v>
      </c>
      <c r="G15" s="100">
        <v>7019.8906604515096</v>
      </c>
      <c r="H15" s="100">
        <v>8</v>
      </c>
      <c r="I15" s="100">
        <v>6105.5999999999995</v>
      </c>
      <c r="J15" s="100">
        <v>11</v>
      </c>
      <c r="K15" s="100">
        <v>8395.1999999999989</v>
      </c>
      <c r="L15" s="100">
        <v>5.2949623810238124</v>
      </c>
      <c r="M15" s="100">
        <v>4041.1152891973734</v>
      </c>
      <c r="N15" s="100">
        <v>4.8660936184272519</v>
      </c>
      <c r="O15" s="100">
        <v>3713.8026495836784</v>
      </c>
      <c r="P15" s="100">
        <v>6</v>
      </c>
      <c r="Q15" s="100">
        <v>4579.2</v>
      </c>
      <c r="R15" s="100">
        <v>8</v>
      </c>
      <c r="S15" s="100">
        <v>6105.5999999999995</v>
      </c>
      <c r="T15" s="100">
        <v>8</v>
      </c>
      <c r="U15" s="100">
        <v>6105.5999999999995</v>
      </c>
      <c r="V15" s="100">
        <v>10</v>
      </c>
      <c r="W15" s="100">
        <v>7631.9999999999991</v>
      </c>
      <c r="X15" s="100">
        <v>7</v>
      </c>
      <c r="Y15" s="100">
        <v>5342.4</v>
      </c>
      <c r="Z15" s="100">
        <v>10</v>
      </c>
      <c r="AA15" s="100">
        <v>7631.9999999999991</v>
      </c>
      <c r="AB15" s="100">
        <v>7</v>
      </c>
      <c r="AC15" s="100">
        <v>5342.4</v>
      </c>
      <c r="AD15" s="100">
        <v>10</v>
      </c>
      <c r="AE15" s="100">
        <v>7631.9999999999991</v>
      </c>
      <c r="AF15" s="100">
        <v>7</v>
      </c>
      <c r="AG15" s="100">
        <v>5342.4</v>
      </c>
      <c r="AH15" s="100">
        <v>6</v>
      </c>
      <c r="AI15" s="100">
        <v>4579.2</v>
      </c>
      <c r="AJ15" s="100">
        <v>11</v>
      </c>
      <c r="AK15" s="100">
        <v>8395.1999999999989</v>
      </c>
      <c r="AL15" s="100">
        <v>7</v>
      </c>
      <c r="AM15" s="100">
        <v>5342.4</v>
      </c>
      <c r="AN15" s="100">
        <v>11</v>
      </c>
      <c r="AO15" s="100">
        <v>8395.1999999999989</v>
      </c>
      <c r="AP15" s="100">
        <v>9</v>
      </c>
      <c r="AQ15" s="100">
        <v>6868.7999999999993</v>
      </c>
      <c r="AR15" s="100">
        <v>9</v>
      </c>
      <c r="AS15" s="100">
        <v>6868.7999999999993</v>
      </c>
      <c r="AT15" s="100">
        <v>6.5788432677393853</v>
      </c>
      <c r="AU15" s="100">
        <v>5020.9731819386989</v>
      </c>
      <c r="AV15" s="100">
        <v>9</v>
      </c>
      <c r="AW15" s="100">
        <v>6868.7999999999993</v>
      </c>
      <c r="AX15" s="100">
        <v>7</v>
      </c>
      <c r="AY15" s="100">
        <v>5342.4</v>
      </c>
      <c r="AZ15" s="100">
        <v>9.0384297708361228</v>
      </c>
      <c r="BA15" s="100">
        <v>6898.1296011021286</v>
      </c>
      <c r="BB15" s="100">
        <v>0</v>
      </c>
      <c r="BC15" s="100">
        <v>0</v>
      </c>
      <c r="BD15" s="100">
        <v>10.351004574070538</v>
      </c>
      <c r="BE15" s="100">
        <v>7899.8866909306344</v>
      </c>
      <c r="BF15" s="100">
        <v>4.7592757613963332</v>
      </c>
      <c r="BG15" s="100">
        <v>3632.2792610976812</v>
      </c>
      <c r="BH15" s="100">
        <v>6</v>
      </c>
      <c r="BI15" s="100">
        <v>4579.2</v>
      </c>
      <c r="BJ15" s="100">
        <v>6.9860390941458173</v>
      </c>
      <c r="BK15" s="100">
        <v>5331.745036652087</v>
      </c>
      <c r="BL15" s="100">
        <v>7.9151857893579169</v>
      </c>
      <c r="BM15" s="100">
        <v>6040.8697944379619</v>
      </c>
      <c r="BN15" s="100">
        <v>9</v>
      </c>
      <c r="BO15" s="100">
        <v>6868.7999999999993</v>
      </c>
      <c r="BP15" s="100">
        <v>10</v>
      </c>
      <c r="BQ15" s="100">
        <v>7631.9999999999991</v>
      </c>
      <c r="BR15" s="100">
        <v>6</v>
      </c>
      <c r="BS15" s="100">
        <v>4579.2</v>
      </c>
      <c r="BT15" s="100">
        <v>8</v>
      </c>
      <c r="BU15" s="100">
        <v>6105.5999999999995</v>
      </c>
      <c r="BV15" s="100">
        <v>9</v>
      </c>
      <c r="BW15" s="100">
        <v>6868.7999999999993</v>
      </c>
      <c r="BX15" s="100">
        <v>4.0724438666256164</v>
      </c>
      <c r="BY15" s="100">
        <v>3108.0891590086703</v>
      </c>
      <c r="BZ15" s="100">
        <v>4.6223687221675105</v>
      </c>
      <c r="CA15" s="100">
        <v>3527.7918087582439</v>
      </c>
      <c r="CB15" s="100">
        <v>2.907647127484029</v>
      </c>
      <c r="CC15" s="100">
        <v>2219.1162876958106</v>
      </c>
      <c r="CD15" s="100">
        <v>5.9049426049395386</v>
      </c>
      <c r="CE15" s="100">
        <v>4506.6521960898554</v>
      </c>
      <c r="CF15" s="100">
        <v>7</v>
      </c>
      <c r="CG15" s="100">
        <v>5342.4</v>
      </c>
      <c r="CH15" s="100">
        <v>10</v>
      </c>
      <c r="CI15" s="100">
        <v>7631.9999999999991</v>
      </c>
      <c r="CJ15" s="100">
        <v>5.6217715466484393</v>
      </c>
      <c r="CK15" s="100">
        <v>4290.536044402088</v>
      </c>
      <c r="CL15" s="100">
        <v>11</v>
      </c>
      <c r="CM15" s="100">
        <v>8395.1999999999989</v>
      </c>
      <c r="CN15" s="100">
        <v>10</v>
      </c>
      <c r="CO15" s="100">
        <v>7631.9999999999991</v>
      </c>
      <c r="CP15" s="100">
        <v>7.8480161595579006</v>
      </c>
      <c r="CQ15" s="100">
        <v>5989.6059329745895</v>
      </c>
      <c r="CR15" s="100">
        <v>8.0812059344227354</v>
      </c>
      <c r="CS15" s="100">
        <v>6167.5763691514312</v>
      </c>
      <c r="CT15" s="100">
        <v>5.8290464114504337</v>
      </c>
      <c r="CU15" s="100">
        <v>4448.7282212189702</v>
      </c>
    </row>
    <row r="16" spans="1:99">
      <c r="C16" s="99" t="s">
        <v>182</v>
      </c>
      <c r="D16" s="100">
        <v>6.9206255434695763</v>
      </c>
      <c r="E16" s="100">
        <v>2358.5491852144319</v>
      </c>
      <c r="F16" s="100">
        <v>7.358375954351688</v>
      </c>
      <c r="G16" s="100">
        <v>2507.7345252430555</v>
      </c>
      <c r="H16" s="100">
        <v>9</v>
      </c>
      <c r="I16" s="100">
        <v>3067.2000000000003</v>
      </c>
      <c r="J16" s="100">
        <v>10</v>
      </c>
      <c r="K16" s="100">
        <v>3408</v>
      </c>
      <c r="L16" s="100">
        <v>5.2949623810238124</v>
      </c>
      <c r="M16" s="100">
        <v>1804.5231794529154</v>
      </c>
      <c r="N16" s="100">
        <v>4.8660936184272519</v>
      </c>
      <c r="O16" s="100">
        <v>1658.3647051600076</v>
      </c>
      <c r="P16" s="100">
        <v>6</v>
      </c>
      <c r="Q16" s="100">
        <v>2044.8000000000002</v>
      </c>
      <c r="R16" s="100">
        <v>8</v>
      </c>
      <c r="S16" s="100">
        <v>2726.4</v>
      </c>
      <c r="T16" s="100">
        <v>8</v>
      </c>
      <c r="U16" s="100">
        <v>2726.4</v>
      </c>
      <c r="V16" s="100">
        <v>10</v>
      </c>
      <c r="W16" s="100">
        <v>3408</v>
      </c>
      <c r="X16" s="100">
        <v>6</v>
      </c>
      <c r="Y16" s="100">
        <v>2044.8000000000002</v>
      </c>
      <c r="Z16" s="100">
        <v>11</v>
      </c>
      <c r="AA16" s="100">
        <v>3748.8</v>
      </c>
      <c r="AB16" s="100">
        <v>7</v>
      </c>
      <c r="AC16" s="100">
        <v>2385.6</v>
      </c>
      <c r="AD16" s="100">
        <v>11</v>
      </c>
      <c r="AE16" s="100">
        <v>3748.8</v>
      </c>
      <c r="AF16" s="100">
        <v>8</v>
      </c>
      <c r="AG16" s="100">
        <v>2726.4</v>
      </c>
      <c r="AH16" s="100">
        <v>7</v>
      </c>
      <c r="AI16" s="100">
        <v>2385.6</v>
      </c>
      <c r="AJ16" s="100">
        <v>12</v>
      </c>
      <c r="AK16" s="100">
        <v>4089.6000000000004</v>
      </c>
      <c r="AL16" s="100">
        <v>6</v>
      </c>
      <c r="AM16" s="100">
        <v>2044.8000000000002</v>
      </c>
      <c r="AN16" s="100">
        <v>10</v>
      </c>
      <c r="AO16" s="100">
        <v>3408</v>
      </c>
      <c r="AP16" s="100">
        <v>9</v>
      </c>
      <c r="AQ16" s="100">
        <v>3067.2000000000003</v>
      </c>
      <c r="AR16" s="100">
        <v>9</v>
      </c>
      <c r="AS16" s="100">
        <v>3067.2000000000003</v>
      </c>
      <c r="AT16" s="100">
        <v>6.5788432677393853</v>
      </c>
      <c r="AU16" s="100">
        <v>2242.0697856455827</v>
      </c>
      <c r="AV16" s="100">
        <v>9</v>
      </c>
      <c r="AW16" s="100">
        <v>3067.2000000000003</v>
      </c>
      <c r="AX16" s="100">
        <v>7</v>
      </c>
      <c r="AY16" s="100">
        <v>2385.6</v>
      </c>
      <c r="AZ16" s="100">
        <v>9.9422727479197341</v>
      </c>
      <c r="BA16" s="100">
        <v>3388.3265524910457</v>
      </c>
      <c r="BB16" s="100">
        <v>0</v>
      </c>
      <c r="BC16" s="100">
        <v>0</v>
      </c>
      <c r="BD16" s="100">
        <v>9.410004158245945</v>
      </c>
      <c r="BE16" s="100">
        <v>3206.9294171302181</v>
      </c>
      <c r="BF16" s="100">
        <v>4.0793792240539997</v>
      </c>
      <c r="BG16" s="100">
        <v>1390.2524395576031</v>
      </c>
      <c r="BH16" s="100">
        <v>7</v>
      </c>
      <c r="BI16" s="100">
        <v>2385.6</v>
      </c>
      <c r="BJ16" s="100">
        <v>6.9860390941458173</v>
      </c>
      <c r="BK16" s="100">
        <v>2380.8421232848946</v>
      </c>
      <c r="BL16" s="100">
        <v>7.9151857893579169</v>
      </c>
      <c r="BM16" s="100">
        <v>2697.495317013178</v>
      </c>
      <c r="BN16" s="100">
        <v>9</v>
      </c>
      <c r="BO16" s="100">
        <v>3067.2000000000003</v>
      </c>
      <c r="BP16" s="100">
        <v>11</v>
      </c>
      <c r="BQ16" s="100">
        <v>3748.8</v>
      </c>
      <c r="BR16" s="100">
        <v>7</v>
      </c>
      <c r="BS16" s="100">
        <v>2385.6</v>
      </c>
      <c r="BT16" s="100">
        <v>9</v>
      </c>
      <c r="BU16" s="100">
        <v>3067.2000000000003</v>
      </c>
      <c r="BV16" s="100">
        <v>8</v>
      </c>
      <c r="BW16" s="100">
        <v>2726.4</v>
      </c>
      <c r="BX16" s="100">
        <v>5.0905548332820203</v>
      </c>
      <c r="BY16" s="100">
        <v>1734.8610871825126</v>
      </c>
      <c r="BZ16" s="100">
        <v>5.282707111048583</v>
      </c>
      <c r="CA16" s="100">
        <v>1800.3465834453571</v>
      </c>
      <c r="CB16" s="100">
        <v>2.907647127484029</v>
      </c>
      <c r="CC16" s="100">
        <v>990.92614104655706</v>
      </c>
      <c r="CD16" s="100">
        <v>4.5927331371751965</v>
      </c>
      <c r="CE16" s="100">
        <v>1565.2034531493071</v>
      </c>
      <c r="CF16" s="100">
        <v>8</v>
      </c>
      <c r="CG16" s="100">
        <v>2726.4</v>
      </c>
      <c r="CH16" s="100">
        <v>10</v>
      </c>
      <c r="CI16" s="100">
        <v>3408</v>
      </c>
      <c r="CJ16" s="100">
        <v>6.1328416872528422</v>
      </c>
      <c r="CK16" s="100">
        <v>2090.0724470157688</v>
      </c>
      <c r="CL16" s="100">
        <v>14</v>
      </c>
      <c r="CM16" s="100">
        <v>4771.2</v>
      </c>
      <c r="CN16" s="100">
        <v>11</v>
      </c>
      <c r="CO16" s="100">
        <v>3748.8</v>
      </c>
      <c r="CP16" s="100">
        <v>8.5614721740631641</v>
      </c>
      <c r="CQ16" s="100">
        <v>2917.7497169207263</v>
      </c>
      <c r="CR16" s="100">
        <v>8.0812059344227354</v>
      </c>
      <c r="CS16" s="100">
        <v>2754.0749824512682</v>
      </c>
      <c r="CT16" s="100">
        <v>6.6617673273719236</v>
      </c>
      <c r="CU16" s="100">
        <v>2270.3303051683515</v>
      </c>
    </row>
    <row r="17" spans="2:99">
      <c r="C17" s="99" t="s">
        <v>183</v>
      </c>
      <c r="D17" s="100">
        <v>7.7857037364032724</v>
      </c>
      <c r="E17" s="100">
        <v>3288.6812582567422</v>
      </c>
      <c r="F17" s="100">
        <v>9.1979699429396096</v>
      </c>
      <c r="G17" s="100">
        <v>3885.2225038976908</v>
      </c>
      <c r="H17" s="100">
        <v>8</v>
      </c>
      <c r="I17" s="100">
        <v>3379.2</v>
      </c>
      <c r="J17" s="100">
        <v>10</v>
      </c>
      <c r="K17" s="100">
        <v>4224</v>
      </c>
      <c r="L17" s="100">
        <v>5.2949623810238124</v>
      </c>
      <c r="M17" s="100">
        <v>2236.5921097444584</v>
      </c>
      <c r="N17" s="100">
        <v>4.8660936184272519</v>
      </c>
      <c r="O17" s="100">
        <v>2055.4379444236711</v>
      </c>
      <c r="P17" s="100">
        <v>6</v>
      </c>
      <c r="Q17" s="100">
        <v>2534.3999999999996</v>
      </c>
      <c r="R17" s="100">
        <v>8</v>
      </c>
      <c r="S17" s="100">
        <v>3379.2</v>
      </c>
      <c r="T17" s="100">
        <v>8</v>
      </c>
      <c r="U17" s="100">
        <v>3379.2</v>
      </c>
      <c r="V17" s="100">
        <v>9</v>
      </c>
      <c r="W17" s="100">
        <v>3801.6</v>
      </c>
      <c r="X17" s="100">
        <v>7</v>
      </c>
      <c r="Y17" s="100">
        <v>2956.7999999999997</v>
      </c>
      <c r="Z17" s="100">
        <v>10</v>
      </c>
      <c r="AA17" s="100">
        <v>4224</v>
      </c>
      <c r="AB17" s="100">
        <v>7</v>
      </c>
      <c r="AC17" s="100">
        <v>2956.7999999999997</v>
      </c>
      <c r="AD17" s="100">
        <v>11</v>
      </c>
      <c r="AE17" s="100">
        <v>4646.3999999999996</v>
      </c>
      <c r="AF17" s="100">
        <v>7</v>
      </c>
      <c r="AG17" s="100">
        <v>2956.7999999999997</v>
      </c>
      <c r="AH17" s="100">
        <v>7</v>
      </c>
      <c r="AI17" s="100">
        <v>2956.7999999999997</v>
      </c>
      <c r="AJ17" s="100">
        <v>12</v>
      </c>
      <c r="AK17" s="100">
        <v>5068.7999999999993</v>
      </c>
      <c r="AL17" s="100">
        <v>7</v>
      </c>
      <c r="AM17" s="100">
        <v>2956.7999999999997</v>
      </c>
      <c r="AN17" s="100">
        <v>11</v>
      </c>
      <c r="AO17" s="100">
        <v>4646.3999999999996</v>
      </c>
      <c r="AP17" s="100">
        <v>8</v>
      </c>
      <c r="AQ17" s="100">
        <v>3379.2</v>
      </c>
      <c r="AR17" s="100">
        <v>10</v>
      </c>
      <c r="AS17" s="100">
        <v>4224</v>
      </c>
      <c r="AT17" s="100">
        <v>6.5788432677393853</v>
      </c>
      <c r="AU17" s="100">
        <v>2778.9033962931162</v>
      </c>
      <c r="AV17" s="100">
        <v>11</v>
      </c>
      <c r="AW17" s="100">
        <v>4646.3999999999996</v>
      </c>
      <c r="AX17" s="100">
        <v>7</v>
      </c>
      <c r="AY17" s="100">
        <v>2956.7999999999997</v>
      </c>
      <c r="AZ17" s="100">
        <v>9.0384297708361228</v>
      </c>
      <c r="BA17" s="100">
        <v>3817.8327352011779</v>
      </c>
      <c r="BB17" s="100">
        <v>0</v>
      </c>
      <c r="BC17" s="100">
        <v>0</v>
      </c>
      <c r="BD17" s="100">
        <v>10.351004574070538</v>
      </c>
      <c r="BE17" s="100">
        <v>4372.2643320873949</v>
      </c>
      <c r="BF17" s="100">
        <v>4.0793792240539997</v>
      </c>
      <c r="BG17" s="100">
        <v>1723.1297842404094</v>
      </c>
      <c r="BH17" s="100">
        <v>7</v>
      </c>
      <c r="BI17" s="100">
        <v>2956.7999999999997</v>
      </c>
      <c r="BJ17" s="100">
        <v>6.1127842073775902</v>
      </c>
      <c r="BK17" s="100">
        <v>2582.0400491962941</v>
      </c>
      <c r="BL17" s="100">
        <v>8.7067043682937086</v>
      </c>
      <c r="BM17" s="100">
        <v>3677.7119251672625</v>
      </c>
      <c r="BN17" s="100">
        <v>10</v>
      </c>
      <c r="BO17" s="100">
        <v>4224</v>
      </c>
      <c r="BP17" s="100">
        <v>10</v>
      </c>
      <c r="BQ17" s="100">
        <v>4224</v>
      </c>
      <c r="BR17" s="100">
        <v>7</v>
      </c>
      <c r="BS17" s="100">
        <v>2956.7999999999997</v>
      </c>
      <c r="BT17" s="100">
        <v>9</v>
      </c>
      <c r="BU17" s="100">
        <v>3801.6</v>
      </c>
      <c r="BV17" s="100">
        <v>9</v>
      </c>
      <c r="BW17" s="100">
        <v>3801.6</v>
      </c>
      <c r="BX17" s="100">
        <v>4.5814993499538179</v>
      </c>
      <c r="BY17" s="100">
        <v>1935.2253254204925</v>
      </c>
      <c r="BZ17" s="100">
        <v>4.6223687221675105</v>
      </c>
      <c r="CA17" s="100">
        <v>1952.4885482435564</v>
      </c>
      <c r="CB17" s="100">
        <v>2.907647127484029</v>
      </c>
      <c r="CC17" s="100">
        <v>1228.1901466492538</v>
      </c>
      <c r="CD17" s="100">
        <v>5.2488378710573675</v>
      </c>
      <c r="CE17" s="100">
        <v>2217.1091167346322</v>
      </c>
      <c r="CF17" s="100">
        <v>6</v>
      </c>
      <c r="CG17" s="100">
        <v>2534.3999999999996</v>
      </c>
      <c r="CH17" s="100">
        <v>11</v>
      </c>
      <c r="CI17" s="100">
        <v>4646.3999999999996</v>
      </c>
      <c r="CJ17" s="100">
        <v>6.1328416872528422</v>
      </c>
      <c r="CK17" s="100">
        <v>2590.5123286956004</v>
      </c>
      <c r="CL17" s="100">
        <v>13</v>
      </c>
      <c r="CM17" s="100">
        <v>5491.2</v>
      </c>
      <c r="CN17" s="100">
        <v>11</v>
      </c>
      <c r="CO17" s="100">
        <v>4646.3999999999996</v>
      </c>
      <c r="CP17" s="100">
        <v>7.8480161595579006</v>
      </c>
      <c r="CQ17" s="100">
        <v>3315.0020257972569</v>
      </c>
      <c r="CR17" s="100">
        <v>7.183294163931321</v>
      </c>
      <c r="CS17" s="100">
        <v>3034.2234548445899</v>
      </c>
      <c r="CT17" s="100">
        <v>5.8290464114504337</v>
      </c>
      <c r="CU17" s="100">
        <v>2462.189204196663</v>
      </c>
    </row>
    <row r="18" spans="2:99">
      <c r="C18" s="99" t="s">
        <v>184</v>
      </c>
      <c r="D18" s="100">
        <v>7.7857037364032724</v>
      </c>
      <c r="E18" s="100">
        <v>5082.5073991240561</v>
      </c>
      <c r="F18" s="100">
        <v>8.2781729486456488</v>
      </c>
      <c r="G18" s="100">
        <v>5403.9913008758795</v>
      </c>
      <c r="H18" s="100">
        <v>7</v>
      </c>
      <c r="I18" s="100">
        <v>4569.5999999999995</v>
      </c>
      <c r="J18" s="100">
        <v>11</v>
      </c>
      <c r="K18" s="100">
        <v>7180.7999999999993</v>
      </c>
      <c r="L18" s="100">
        <v>5.2949623810238124</v>
      </c>
      <c r="M18" s="100">
        <v>3456.5514423323443</v>
      </c>
      <c r="N18" s="100">
        <v>5.5612498496311451</v>
      </c>
      <c r="O18" s="100">
        <v>3630.3839018392114</v>
      </c>
      <c r="P18" s="100">
        <v>6</v>
      </c>
      <c r="Q18" s="100">
        <v>3916.7999999999997</v>
      </c>
      <c r="R18" s="100">
        <v>8</v>
      </c>
      <c r="S18" s="100">
        <v>5222.3999999999996</v>
      </c>
      <c r="T18" s="100">
        <v>7</v>
      </c>
      <c r="U18" s="100">
        <v>4569.5999999999995</v>
      </c>
      <c r="V18" s="100">
        <v>8</v>
      </c>
      <c r="W18" s="100">
        <v>5222.3999999999996</v>
      </c>
      <c r="X18" s="100">
        <v>7</v>
      </c>
      <c r="Y18" s="100">
        <v>4569.5999999999995</v>
      </c>
      <c r="Z18" s="100">
        <v>9</v>
      </c>
      <c r="AA18" s="100">
        <v>5875.2</v>
      </c>
      <c r="AB18" s="100">
        <v>7</v>
      </c>
      <c r="AC18" s="100">
        <v>4569.5999999999995</v>
      </c>
      <c r="AD18" s="100">
        <v>10</v>
      </c>
      <c r="AE18" s="100">
        <v>6528</v>
      </c>
      <c r="AF18" s="100">
        <v>7</v>
      </c>
      <c r="AG18" s="100">
        <v>4569.5999999999995</v>
      </c>
      <c r="AH18" s="100">
        <v>6</v>
      </c>
      <c r="AI18" s="100">
        <v>3916.7999999999997</v>
      </c>
      <c r="AJ18" s="100">
        <v>10</v>
      </c>
      <c r="AK18" s="100">
        <v>6528</v>
      </c>
      <c r="AL18" s="100">
        <v>7</v>
      </c>
      <c r="AM18" s="100">
        <v>4569.5999999999995</v>
      </c>
      <c r="AN18" s="100">
        <v>9</v>
      </c>
      <c r="AO18" s="100">
        <v>5875.2</v>
      </c>
      <c r="AP18" s="100">
        <v>9</v>
      </c>
      <c r="AQ18" s="100">
        <v>5875.2</v>
      </c>
      <c r="AR18" s="100">
        <v>9</v>
      </c>
      <c r="AS18" s="100">
        <v>5875.2</v>
      </c>
      <c r="AT18" s="100">
        <v>6.5788432677393853</v>
      </c>
      <c r="AU18" s="100">
        <v>4294.6688851802701</v>
      </c>
      <c r="AV18" s="100">
        <v>10</v>
      </c>
      <c r="AW18" s="100">
        <v>6528</v>
      </c>
      <c r="AX18" s="100">
        <v>8</v>
      </c>
      <c r="AY18" s="100">
        <v>5222.3999999999996</v>
      </c>
      <c r="AZ18" s="100">
        <v>9.0384297708361228</v>
      </c>
      <c r="BA18" s="100">
        <v>5900.2869544018204</v>
      </c>
      <c r="BB18" s="100">
        <v>0</v>
      </c>
      <c r="BC18" s="100">
        <v>0</v>
      </c>
      <c r="BD18" s="100">
        <v>9.410004158245945</v>
      </c>
      <c r="BE18" s="100">
        <v>6142.8507145029525</v>
      </c>
      <c r="BF18" s="100">
        <v>4.0793792240539997</v>
      </c>
      <c r="BG18" s="100">
        <v>2663.0187574624506</v>
      </c>
      <c r="BH18" s="100">
        <v>7</v>
      </c>
      <c r="BI18" s="100">
        <v>4569.5999999999995</v>
      </c>
      <c r="BJ18" s="100">
        <v>6.1127842073775902</v>
      </c>
      <c r="BK18" s="100">
        <v>3990.4255305760908</v>
      </c>
      <c r="BL18" s="100">
        <v>8.7067043682937086</v>
      </c>
      <c r="BM18" s="100">
        <v>5683.7366116221328</v>
      </c>
      <c r="BN18" s="100">
        <v>9</v>
      </c>
      <c r="BO18" s="100">
        <v>5875.2</v>
      </c>
      <c r="BP18" s="100">
        <v>11</v>
      </c>
      <c r="BQ18" s="100">
        <v>7180.7999999999993</v>
      </c>
      <c r="BR18" s="100">
        <v>7</v>
      </c>
      <c r="BS18" s="100">
        <v>4569.5999999999995</v>
      </c>
      <c r="BT18" s="100">
        <v>8</v>
      </c>
      <c r="BU18" s="100">
        <v>5222.3999999999996</v>
      </c>
      <c r="BV18" s="100">
        <v>8</v>
      </c>
      <c r="BW18" s="100">
        <v>5222.3999999999996</v>
      </c>
      <c r="BX18" s="100">
        <v>5.0905548332820203</v>
      </c>
      <c r="BY18" s="100">
        <v>3323.1141951665027</v>
      </c>
      <c r="BZ18" s="100">
        <v>4.6223687221675105</v>
      </c>
      <c r="CA18" s="100">
        <v>3017.4823018309507</v>
      </c>
      <c r="CB18" s="100">
        <v>2.907647127484029</v>
      </c>
      <c r="CC18" s="100">
        <v>1898.112044821574</v>
      </c>
      <c r="CD18" s="100">
        <v>4.5927331371751965</v>
      </c>
      <c r="CE18" s="100">
        <v>2998.1361919479682</v>
      </c>
      <c r="CF18" s="100">
        <v>7</v>
      </c>
      <c r="CG18" s="100">
        <v>4569.5999999999995</v>
      </c>
      <c r="CH18" s="100">
        <v>11</v>
      </c>
      <c r="CI18" s="100">
        <v>7180.7999999999993</v>
      </c>
      <c r="CJ18" s="100">
        <v>6.1328416872528422</v>
      </c>
      <c r="CK18" s="100">
        <v>4003.5190534386552</v>
      </c>
      <c r="CL18" s="100">
        <v>12</v>
      </c>
      <c r="CM18" s="100">
        <v>7833.5999999999995</v>
      </c>
      <c r="CN18" s="100">
        <v>12</v>
      </c>
      <c r="CO18" s="100">
        <v>7833.5999999999995</v>
      </c>
      <c r="CP18" s="100">
        <v>7.8480161595579006</v>
      </c>
      <c r="CQ18" s="100">
        <v>5123.1849489593969</v>
      </c>
      <c r="CR18" s="100">
        <v>7.183294163931321</v>
      </c>
      <c r="CS18" s="100">
        <v>4689.254430214366</v>
      </c>
      <c r="CT18" s="100">
        <v>5.8290464114504337</v>
      </c>
      <c r="CU18" s="100">
        <v>3805.201497394843</v>
      </c>
    </row>
    <row r="19" spans="2:99">
      <c r="C19" s="99" t="s">
        <v>185</v>
      </c>
      <c r="D19" s="100">
        <v>7.7857037364032724</v>
      </c>
      <c r="E19" s="100">
        <v>2569.2822330130798</v>
      </c>
      <c r="F19" s="100">
        <v>8.2781729486456488</v>
      </c>
      <c r="G19" s="100">
        <v>2731.7970730530642</v>
      </c>
      <c r="H19" s="100">
        <v>8</v>
      </c>
      <c r="I19" s="100">
        <v>2640</v>
      </c>
      <c r="J19" s="100">
        <v>10</v>
      </c>
      <c r="K19" s="100">
        <v>3300</v>
      </c>
      <c r="L19" s="100">
        <v>6.8078087756020453</v>
      </c>
      <c r="M19" s="100">
        <v>2246.576895948675</v>
      </c>
      <c r="N19" s="100">
        <v>5.5612498496311451</v>
      </c>
      <c r="O19" s="100">
        <v>1835.2124503782779</v>
      </c>
      <c r="P19" s="100">
        <v>7</v>
      </c>
      <c r="Q19" s="100">
        <v>2310</v>
      </c>
      <c r="R19" s="100">
        <v>8</v>
      </c>
      <c r="S19" s="100">
        <v>2640</v>
      </c>
      <c r="T19" s="100">
        <v>8</v>
      </c>
      <c r="U19" s="100">
        <v>2640</v>
      </c>
      <c r="V19" s="100">
        <v>10</v>
      </c>
      <c r="W19" s="100">
        <v>3300</v>
      </c>
      <c r="X19" s="100">
        <v>7</v>
      </c>
      <c r="Y19" s="100">
        <v>2310</v>
      </c>
      <c r="Z19" s="100">
        <v>11</v>
      </c>
      <c r="AA19" s="100">
        <v>3630</v>
      </c>
      <c r="AB19" s="100">
        <v>7</v>
      </c>
      <c r="AC19" s="100">
        <v>2310</v>
      </c>
      <c r="AD19" s="100">
        <v>12</v>
      </c>
      <c r="AE19" s="100">
        <v>3960</v>
      </c>
      <c r="AF19" s="100">
        <v>6</v>
      </c>
      <c r="AG19" s="100">
        <v>1980</v>
      </c>
      <c r="AH19" s="100">
        <v>7</v>
      </c>
      <c r="AI19" s="100">
        <v>2310</v>
      </c>
      <c r="AJ19" s="100">
        <v>11</v>
      </c>
      <c r="AK19" s="100">
        <v>3630</v>
      </c>
      <c r="AL19" s="100">
        <v>7</v>
      </c>
      <c r="AM19" s="100">
        <v>2310</v>
      </c>
      <c r="AN19" s="100">
        <v>10</v>
      </c>
      <c r="AO19" s="100">
        <v>3300</v>
      </c>
      <c r="AP19" s="100">
        <v>9</v>
      </c>
      <c r="AQ19" s="100">
        <v>2970</v>
      </c>
      <c r="AR19" s="100">
        <v>9</v>
      </c>
      <c r="AS19" s="100">
        <v>2970</v>
      </c>
      <c r="AT19" s="100">
        <v>6.5788432677393853</v>
      </c>
      <c r="AU19" s="100">
        <v>2171.0182783539972</v>
      </c>
      <c r="AV19" s="100">
        <v>11</v>
      </c>
      <c r="AW19" s="100">
        <v>3630</v>
      </c>
      <c r="AX19" s="100">
        <v>7</v>
      </c>
      <c r="AY19" s="100">
        <v>2310</v>
      </c>
      <c r="AZ19" s="100">
        <v>9.0384297708361228</v>
      </c>
      <c r="BA19" s="100">
        <v>2982.6818243759203</v>
      </c>
      <c r="BB19" s="100">
        <v>0</v>
      </c>
      <c r="BC19" s="100">
        <v>0</v>
      </c>
      <c r="BD19" s="100">
        <v>9.410004158245945</v>
      </c>
      <c r="BE19" s="100">
        <v>3105.3013722211617</v>
      </c>
      <c r="BF19" s="100">
        <v>4.0793792240539997</v>
      </c>
      <c r="BG19" s="100">
        <v>1346.1951439378199</v>
      </c>
      <c r="BH19" s="100">
        <v>6</v>
      </c>
      <c r="BI19" s="100">
        <v>1980</v>
      </c>
      <c r="BJ19" s="100">
        <v>6.9860390941458173</v>
      </c>
      <c r="BK19" s="100">
        <v>2305.3929010681195</v>
      </c>
      <c r="BL19" s="100">
        <v>7.9151857893579169</v>
      </c>
      <c r="BM19" s="100">
        <v>2612.0113104881125</v>
      </c>
      <c r="BN19" s="100">
        <v>10</v>
      </c>
      <c r="BO19" s="100">
        <v>3300</v>
      </c>
      <c r="BP19" s="100">
        <v>11</v>
      </c>
      <c r="BQ19" s="100">
        <v>3630</v>
      </c>
      <c r="BR19" s="100">
        <v>7</v>
      </c>
      <c r="BS19" s="100">
        <v>2310</v>
      </c>
      <c r="BT19" s="100">
        <v>9</v>
      </c>
      <c r="BU19" s="100">
        <v>2970</v>
      </c>
      <c r="BV19" s="100">
        <v>8</v>
      </c>
      <c r="BW19" s="100">
        <v>2640</v>
      </c>
      <c r="BX19" s="100">
        <v>4.5814993499538179</v>
      </c>
      <c r="BY19" s="100">
        <v>1511.89478548476</v>
      </c>
      <c r="BZ19" s="100">
        <v>4.6223687221675105</v>
      </c>
      <c r="CA19" s="100">
        <v>1525.3816783152784</v>
      </c>
      <c r="CB19" s="100">
        <v>2.907647127484029</v>
      </c>
      <c r="CC19" s="100">
        <v>959.52355206972959</v>
      </c>
      <c r="CD19" s="100">
        <v>5.2488378710573675</v>
      </c>
      <c r="CE19" s="100">
        <v>1732.1164974489313</v>
      </c>
      <c r="CF19" s="100">
        <v>7</v>
      </c>
      <c r="CG19" s="100">
        <v>2310</v>
      </c>
      <c r="CH19" s="100">
        <v>11</v>
      </c>
      <c r="CI19" s="100">
        <v>3630</v>
      </c>
      <c r="CJ19" s="100">
        <v>6.1328416872528422</v>
      </c>
      <c r="CK19" s="100">
        <v>2023.8377567934378</v>
      </c>
      <c r="CL19" s="100">
        <v>13</v>
      </c>
      <c r="CM19" s="100">
        <v>4290</v>
      </c>
      <c r="CN19" s="100">
        <v>11</v>
      </c>
      <c r="CO19" s="100">
        <v>3630</v>
      </c>
      <c r="CP19" s="100">
        <v>9.2749281885684276</v>
      </c>
      <c r="CQ19" s="100">
        <v>3060.7263022275811</v>
      </c>
      <c r="CR19" s="100">
        <v>7.183294163931321</v>
      </c>
      <c r="CS19" s="100">
        <v>2370.4870740973361</v>
      </c>
      <c r="CT19" s="100">
        <v>5.8290464114504337</v>
      </c>
      <c r="CU19" s="100">
        <v>1923.585315778643</v>
      </c>
    </row>
    <row r="20" spans="2:99">
      <c r="B20" s="99" t="s">
        <v>127</v>
      </c>
      <c r="C20" s="99" t="s">
        <v>186</v>
      </c>
      <c r="D20" s="100">
        <v>14.706329279872847</v>
      </c>
      <c r="E20" s="100">
        <v>4217.7752374675329</v>
      </c>
      <c r="F20" s="100">
        <v>19.31573688017318</v>
      </c>
      <c r="G20" s="100">
        <v>5539.7533372336684</v>
      </c>
      <c r="H20" s="100">
        <v>17</v>
      </c>
      <c r="I20" s="100">
        <v>4875.6000000000004</v>
      </c>
      <c r="J20" s="100">
        <v>17</v>
      </c>
      <c r="K20" s="100">
        <v>4875.6000000000004</v>
      </c>
      <c r="L20" s="100">
        <v>14.372040748493205</v>
      </c>
      <c r="M20" s="100">
        <v>4121.9012866678513</v>
      </c>
      <c r="N20" s="100">
        <v>9.0370310056506096</v>
      </c>
      <c r="O20" s="100">
        <v>2591.8204924205947</v>
      </c>
      <c r="P20" s="100">
        <v>15</v>
      </c>
      <c r="Q20" s="100">
        <v>4302</v>
      </c>
      <c r="R20" s="100">
        <v>18</v>
      </c>
      <c r="S20" s="100">
        <v>5162.4000000000005</v>
      </c>
      <c r="T20" s="100">
        <v>11</v>
      </c>
      <c r="U20" s="100">
        <v>3154.8</v>
      </c>
      <c r="V20" s="100">
        <v>12</v>
      </c>
      <c r="W20" s="100">
        <v>3441.6000000000004</v>
      </c>
      <c r="X20" s="100">
        <v>12</v>
      </c>
      <c r="Y20" s="100">
        <v>3441.6000000000004</v>
      </c>
      <c r="Z20" s="100">
        <v>13</v>
      </c>
      <c r="AA20" s="100">
        <v>3728.4</v>
      </c>
      <c r="AB20" s="100">
        <v>13</v>
      </c>
      <c r="AC20" s="100">
        <v>3728.4</v>
      </c>
      <c r="AD20" s="100">
        <v>19</v>
      </c>
      <c r="AE20" s="100">
        <v>5449.2</v>
      </c>
      <c r="AF20" s="100">
        <v>20</v>
      </c>
      <c r="AG20" s="100">
        <v>5736</v>
      </c>
      <c r="AH20" s="100">
        <v>13</v>
      </c>
      <c r="AI20" s="100">
        <v>3728.4</v>
      </c>
      <c r="AJ20" s="100">
        <v>22</v>
      </c>
      <c r="AK20" s="100">
        <v>6309.6</v>
      </c>
      <c r="AL20" s="100">
        <v>13</v>
      </c>
      <c r="AM20" s="100">
        <v>3728.4</v>
      </c>
      <c r="AN20" s="100">
        <v>11</v>
      </c>
      <c r="AO20" s="100">
        <v>3154.8</v>
      </c>
      <c r="AP20" s="100">
        <v>20</v>
      </c>
      <c r="AQ20" s="100">
        <v>5736</v>
      </c>
      <c r="AR20" s="100">
        <v>21</v>
      </c>
      <c r="AS20" s="100">
        <v>6022.8</v>
      </c>
      <c r="AT20" s="100">
        <v>13.815570862252709</v>
      </c>
      <c r="AU20" s="100">
        <v>3962.3057232940773</v>
      </c>
      <c r="AV20" s="100">
        <v>16</v>
      </c>
      <c r="AW20" s="100">
        <v>4588.8</v>
      </c>
      <c r="AX20" s="100">
        <v>13</v>
      </c>
      <c r="AY20" s="100">
        <v>3728.4</v>
      </c>
      <c r="AZ20" s="100">
        <v>17.173016564588632</v>
      </c>
      <c r="BA20" s="100">
        <v>4925.2211507240199</v>
      </c>
      <c r="BB20" s="100">
        <v>0</v>
      </c>
      <c r="BC20" s="100">
        <v>0</v>
      </c>
      <c r="BD20" s="100">
        <v>11.292004989895133</v>
      </c>
      <c r="BE20" s="100">
        <v>3238.5470311019244</v>
      </c>
      <c r="BF20" s="100">
        <v>11.558241134819665</v>
      </c>
      <c r="BG20" s="100">
        <v>3314.9035574662803</v>
      </c>
      <c r="BH20" s="100">
        <v>13</v>
      </c>
      <c r="BI20" s="100">
        <v>3728.4</v>
      </c>
      <c r="BJ20" s="100">
        <v>16.591842848596315</v>
      </c>
      <c r="BK20" s="100">
        <v>4758.5405289774235</v>
      </c>
      <c r="BL20" s="100">
        <v>15.038852999780042</v>
      </c>
      <c r="BM20" s="100">
        <v>4313.1430403369159</v>
      </c>
      <c r="BN20" s="100">
        <v>13</v>
      </c>
      <c r="BO20" s="100">
        <v>3728.4</v>
      </c>
      <c r="BP20" s="100">
        <v>19</v>
      </c>
      <c r="BQ20" s="100">
        <v>5449.2</v>
      </c>
      <c r="BR20" s="100">
        <v>19</v>
      </c>
      <c r="BS20" s="100">
        <v>5449.2</v>
      </c>
      <c r="BT20" s="100">
        <v>22</v>
      </c>
      <c r="BU20" s="100">
        <v>6309.6</v>
      </c>
      <c r="BV20" s="100">
        <v>21</v>
      </c>
      <c r="BW20" s="100">
        <v>6022.8</v>
      </c>
      <c r="BX20" s="100">
        <v>6.6177212832666266</v>
      </c>
      <c r="BY20" s="100">
        <v>1897.9624640408686</v>
      </c>
      <c r="BZ20" s="100">
        <v>9.244737444335021</v>
      </c>
      <c r="CA20" s="100">
        <v>2651.3906990352843</v>
      </c>
      <c r="CB20" s="100">
        <v>4.5691597717606172</v>
      </c>
      <c r="CC20" s="100">
        <v>1310.4350225409451</v>
      </c>
      <c r="CD20" s="100">
        <v>16.402618347054272</v>
      </c>
      <c r="CE20" s="100">
        <v>4704.270941935165</v>
      </c>
      <c r="CF20" s="100">
        <v>19</v>
      </c>
      <c r="CG20" s="100">
        <v>5449.2</v>
      </c>
      <c r="CH20" s="100">
        <v>14</v>
      </c>
      <c r="CI20" s="100">
        <v>4015.2000000000003</v>
      </c>
      <c r="CJ20" s="100">
        <v>6.6439118278572469</v>
      </c>
      <c r="CK20" s="100">
        <v>1905.4739122294584</v>
      </c>
      <c r="CL20" s="100">
        <v>15</v>
      </c>
      <c r="CM20" s="100">
        <v>4302</v>
      </c>
      <c r="CN20" s="100">
        <v>23</v>
      </c>
      <c r="CO20" s="100">
        <v>6596.4000000000005</v>
      </c>
      <c r="CP20" s="100">
        <v>14.269120290105272</v>
      </c>
      <c r="CQ20" s="100">
        <v>4092.3836992021925</v>
      </c>
      <c r="CR20" s="100">
        <v>13.468676557371225</v>
      </c>
      <c r="CS20" s="100">
        <v>3862.8164366540673</v>
      </c>
      <c r="CT20" s="100">
        <v>17.4871392343513</v>
      </c>
      <c r="CU20" s="100">
        <v>5015.3115324119535</v>
      </c>
    </row>
    <row r="21" spans="2:99">
      <c r="C21" s="99" t="s">
        <v>187</v>
      </c>
      <c r="D21" s="100">
        <v>15.571407472806545</v>
      </c>
      <c r="E21" s="100">
        <v>971.65582630312838</v>
      </c>
      <c r="F21" s="100">
        <v>17.476142891585258</v>
      </c>
      <c r="G21" s="100">
        <v>1090.51131643492</v>
      </c>
      <c r="H21" s="100">
        <v>19</v>
      </c>
      <c r="I21" s="100">
        <v>1185.5999999999999</v>
      </c>
      <c r="J21" s="100">
        <v>17</v>
      </c>
      <c r="K21" s="100">
        <v>1060.8</v>
      </c>
      <c r="L21" s="100">
        <v>14.372040748493205</v>
      </c>
      <c r="M21" s="100">
        <v>896.81534270597604</v>
      </c>
      <c r="N21" s="100">
        <v>9.0370310056506096</v>
      </c>
      <c r="O21" s="100">
        <v>563.91073475259805</v>
      </c>
      <c r="P21" s="100">
        <v>17</v>
      </c>
      <c r="Q21" s="100">
        <v>1060.8</v>
      </c>
      <c r="R21" s="100">
        <v>19</v>
      </c>
      <c r="S21" s="100">
        <v>1185.5999999999999</v>
      </c>
      <c r="T21" s="100">
        <v>13</v>
      </c>
      <c r="U21" s="100">
        <v>811.19999999999993</v>
      </c>
      <c r="V21" s="100">
        <v>13</v>
      </c>
      <c r="W21" s="100">
        <v>811.19999999999993</v>
      </c>
      <c r="X21" s="100">
        <v>11</v>
      </c>
      <c r="Y21" s="100">
        <v>686.4</v>
      </c>
      <c r="Z21" s="100">
        <v>14</v>
      </c>
      <c r="AA21" s="100">
        <v>873.6</v>
      </c>
      <c r="AB21" s="100">
        <v>13</v>
      </c>
      <c r="AC21" s="100">
        <v>811.19999999999993</v>
      </c>
      <c r="AD21" s="100">
        <v>18</v>
      </c>
      <c r="AE21" s="100">
        <v>1123.2</v>
      </c>
      <c r="AF21" s="100">
        <v>19</v>
      </c>
      <c r="AG21" s="100">
        <v>1185.5999999999999</v>
      </c>
      <c r="AH21" s="100">
        <v>14</v>
      </c>
      <c r="AI21" s="100">
        <v>873.6</v>
      </c>
      <c r="AJ21" s="100">
        <v>21</v>
      </c>
      <c r="AK21" s="100">
        <v>1310.3999999999999</v>
      </c>
      <c r="AL21" s="100">
        <v>11</v>
      </c>
      <c r="AM21" s="100">
        <v>686.4</v>
      </c>
      <c r="AN21" s="100">
        <v>10</v>
      </c>
      <c r="AO21" s="100">
        <v>624</v>
      </c>
      <c r="AP21" s="100">
        <v>21</v>
      </c>
      <c r="AQ21" s="100">
        <v>1310.3999999999999</v>
      </c>
      <c r="AR21" s="100">
        <v>22</v>
      </c>
      <c r="AS21" s="100">
        <v>1372.8</v>
      </c>
      <c r="AT21" s="100">
        <v>12.499802208704832</v>
      </c>
      <c r="AU21" s="100">
        <v>779.98765782318151</v>
      </c>
      <c r="AV21" s="100">
        <v>14</v>
      </c>
      <c r="AW21" s="100">
        <v>873.6</v>
      </c>
      <c r="AX21" s="100">
        <v>15</v>
      </c>
      <c r="AY21" s="100">
        <v>936</v>
      </c>
      <c r="AZ21" s="100">
        <v>15.365330610421408</v>
      </c>
      <c r="BA21" s="100">
        <v>958.79663009029582</v>
      </c>
      <c r="BB21" s="100">
        <v>0</v>
      </c>
      <c r="BC21" s="100">
        <v>0</v>
      </c>
      <c r="BD21" s="100">
        <v>11.292004989895133</v>
      </c>
      <c r="BE21" s="100">
        <v>704.62111136945634</v>
      </c>
      <c r="BF21" s="100">
        <v>11.558241134819665</v>
      </c>
      <c r="BG21" s="100">
        <v>721.23424681274707</v>
      </c>
      <c r="BH21" s="100">
        <v>13</v>
      </c>
      <c r="BI21" s="100">
        <v>811.19999999999993</v>
      </c>
      <c r="BJ21" s="100">
        <v>20.084862395669226</v>
      </c>
      <c r="BK21" s="100">
        <v>1253.2954134897598</v>
      </c>
      <c r="BL21" s="100">
        <v>17.413408736587417</v>
      </c>
      <c r="BM21" s="100">
        <v>1086.5967051630548</v>
      </c>
      <c r="BN21" s="100">
        <v>12</v>
      </c>
      <c r="BO21" s="100">
        <v>748.8</v>
      </c>
      <c r="BP21" s="100">
        <v>17</v>
      </c>
      <c r="BQ21" s="100">
        <v>1060.8</v>
      </c>
      <c r="BR21" s="100">
        <v>18</v>
      </c>
      <c r="BS21" s="100">
        <v>1123.2</v>
      </c>
      <c r="BT21" s="100">
        <v>20</v>
      </c>
      <c r="BU21" s="100">
        <v>1248</v>
      </c>
      <c r="BV21" s="100">
        <v>22</v>
      </c>
      <c r="BW21" s="100">
        <v>1372.8</v>
      </c>
      <c r="BX21" s="100">
        <v>7.1267767665948281</v>
      </c>
      <c r="BY21" s="100">
        <v>444.71087023551723</v>
      </c>
      <c r="BZ21" s="100">
        <v>9.9050758332160935</v>
      </c>
      <c r="CA21" s="100">
        <v>618.07673199268424</v>
      </c>
      <c r="CB21" s="100">
        <v>4.9845379328297632</v>
      </c>
      <c r="CC21" s="100">
        <v>311.03516700857722</v>
      </c>
      <c r="CD21" s="100">
        <v>16.402618347054272</v>
      </c>
      <c r="CE21" s="100">
        <v>1023.5233848561866</v>
      </c>
      <c r="CF21" s="100">
        <v>20</v>
      </c>
      <c r="CG21" s="100">
        <v>1248</v>
      </c>
      <c r="CH21" s="100">
        <v>13</v>
      </c>
      <c r="CI21" s="100">
        <v>811.19999999999993</v>
      </c>
      <c r="CJ21" s="100">
        <v>7.1549819684616498</v>
      </c>
      <c r="CK21" s="100">
        <v>446.47087483200693</v>
      </c>
      <c r="CL21" s="100">
        <v>14</v>
      </c>
      <c r="CM21" s="100">
        <v>873.6</v>
      </c>
      <c r="CN21" s="100">
        <v>21</v>
      </c>
      <c r="CO21" s="100">
        <v>1310.3999999999999</v>
      </c>
      <c r="CP21" s="100">
        <v>14.269120290105272</v>
      </c>
      <c r="CQ21" s="100">
        <v>890.39310610256894</v>
      </c>
      <c r="CR21" s="100">
        <v>15.264500098354057</v>
      </c>
      <c r="CS21" s="100">
        <v>952.50480613729314</v>
      </c>
      <c r="CT21" s="100">
        <v>16.654418318429808</v>
      </c>
      <c r="CU21" s="100">
        <v>1039.23570307002</v>
      </c>
    </row>
    <row r="22" spans="2:99">
      <c r="C22" s="99" t="s">
        <v>188</v>
      </c>
      <c r="D22" s="100">
        <v>15.571407472806545</v>
      </c>
      <c r="E22" s="100">
        <v>2914.9674789093851</v>
      </c>
      <c r="F22" s="100">
        <v>18.395939885879219</v>
      </c>
      <c r="G22" s="100">
        <v>3443.7199466365896</v>
      </c>
      <c r="H22" s="100">
        <v>17</v>
      </c>
      <c r="I22" s="100">
        <v>3182.3999999999996</v>
      </c>
      <c r="J22" s="100">
        <v>17</v>
      </c>
      <c r="K22" s="100">
        <v>3182.3999999999996</v>
      </c>
      <c r="L22" s="100">
        <v>15.128463945782322</v>
      </c>
      <c r="M22" s="100">
        <v>2832.0484506504504</v>
      </c>
      <c r="N22" s="100">
        <v>9.0370310056506096</v>
      </c>
      <c r="O22" s="100">
        <v>1691.7322042577939</v>
      </c>
      <c r="P22" s="100">
        <v>15</v>
      </c>
      <c r="Q22" s="100">
        <v>2808</v>
      </c>
      <c r="R22" s="100">
        <v>17</v>
      </c>
      <c r="S22" s="100">
        <v>3182.3999999999996</v>
      </c>
      <c r="T22" s="100">
        <v>12</v>
      </c>
      <c r="U22" s="100">
        <v>2246.3999999999996</v>
      </c>
      <c r="V22" s="100">
        <v>11</v>
      </c>
      <c r="W22" s="100">
        <v>2059.1999999999998</v>
      </c>
      <c r="X22" s="100">
        <v>12</v>
      </c>
      <c r="Y22" s="100">
        <v>2246.3999999999996</v>
      </c>
      <c r="Z22" s="100">
        <v>15</v>
      </c>
      <c r="AA22" s="100">
        <v>2808</v>
      </c>
      <c r="AB22" s="100">
        <v>13</v>
      </c>
      <c r="AC22" s="100">
        <v>2433.6</v>
      </c>
      <c r="AD22" s="100">
        <v>20</v>
      </c>
      <c r="AE22" s="100">
        <v>3744</v>
      </c>
      <c r="AF22" s="100">
        <v>19</v>
      </c>
      <c r="AG22" s="100">
        <v>3556.7999999999997</v>
      </c>
      <c r="AH22" s="100">
        <v>15</v>
      </c>
      <c r="AI22" s="100">
        <v>2808</v>
      </c>
      <c r="AJ22" s="100">
        <v>23</v>
      </c>
      <c r="AK22" s="100">
        <v>4305.5999999999995</v>
      </c>
      <c r="AL22" s="100">
        <v>13</v>
      </c>
      <c r="AM22" s="100">
        <v>2433.6</v>
      </c>
      <c r="AN22" s="100">
        <v>12</v>
      </c>
      <c r="AO22" s="100">
        <v>2246.3999999999996</v>
      </c>
      <c r="AP22" s="100">
        <v>18</v>
      </c>
      <c r="AQ22" s="100">
        <v>3369.6</v>
      </c>
      <c r="AR22" s="100">
        <v>23</v>
      </c>
      <c r="AS22" s="100">
        <v>4305.5999999999995</v>
      </c>
      <c r="AT22" s="100">
        <v>13.157686535478771</v>
      </c>
      <c r="AU22" s="100">
        <v>2463.1189194416256</v>
      </c>
      <c r="AV22" s="100">
        <v>15</v>
      </c>
      <c r="AW22" s="100">
        <v>2808</v>
      </c>
      <c r="AX22" s="100">
        <v>13</v>
      </c>
      <c r="AY22" s="100">
        <v>2433.6</v>
      </c>
      <c r="AZ22" s="100">
        <v>16.269173587505019</v>
      </c>
      <c r="BA22" s="100">
        <v>3045.5892955809395</v>
      </c>
      <c r="BB22" s="100">
        <v>0</v>
      </c>
      <c r="BC22" s="100">
        <v>0</v>
      </c>
      <c r="BD22" s="100">
        <v>12.233005405719728</v>
      </c>
      <c r="BE22" s="100">
        <v>2290.018611950733</v>
      </c>
      <c r="BF22" s="100">
        <v>13.597930746846666</v>
      </c>
      <c r="BG22" s="100">
        <v>2545.5326358096959</v>
      </c>
      <c r="BH22" s="100">
        <v>14</v>
      </c>
      <c r="BI22" s="100">
        <v>2620.7999999999997</v>
      </c>
      <c r="BJ22" s="100">
        <v>19.211607508900997</v>
      </c>
      <c r="BK22" s="100">
        <v>3596.4129256662663</v>
      </c>
      <c r="BL22" s="100">
        <v>15.038852999780042</v>
      </c>
      <c r="BM22" s="100">
        <v>2815.2732815588238</v>
      </c>
      <c r="BN22" s="100">
        <v>11</v>
      </c>
      <c r="BO22" s="100">
        <v>2059.1999999999998</v>
      </c>
      <c r="BP22" s="100">
        <v>17</v>
      </c>
      <c r="BQ22" s="100">
        <v>3182.3999999999996</v>
      </c>
      <c r="BR22" s="100">
        <v>17</v>
      </c>
      <c r="BS22" s="100">
        <v>3182.3999999999996</v>
      </c>
      <c r="BT22" s="100">
        <v>20</v>
      </c>
      <c r="BU22" s="100">
        <v>3744</v>
      </c>
      <c r="BV22" s="100">
        <v>23</v>
      </c>
      <c r="BW22" s="100">
        <v>4305.5999999999995</v>
      </c>
      <c r="BX22" s="100">
        <v>6.1086657999384242</v>
      </c>
      <c r="BY22" s="100">
        <v>1143.5422377484729</v>
      </c>
      <c r="BZ22" s="100">
        <v>9.244737444335021</v>
      </c>
      <c r="CA22" s="100">
        <v>1730.6148495795157</v>
      </c>
      <c r="CB22" s="100">
        <v>4.9845379328297632</v>
      </c>
      <c r="CC22" s="100">
        <v>933.10550102573166</v>
      </c>
      <c r="CD22" s="100">
        <v>16.402618347054272</v>
      </c>
      <c r="CE22" s="100">
        <v>3070.5701545685597</v>
      </c>
      <c r="CF22" s="100">
        <v>19</v>
      </c>
      <c r="CG22" s="100">
        <v>3556.7999999999997</v>
      </c>
      <c r="CH22" s="100">
        <v>15</v>
      </c>
      <c r="CI22" s="100">
        <v>2808</v>
      </c>
      <c r="CJ22" s="100">
        <v>6.6439118278572469</v>
      </c>
      <c r="CK22" s="100">
        <v>1243.7402941748765</v>
      </c>
      <c r="CL22" s="100">
        <v>14</v>
      </c>
      <c r="CM22" s="100">
        <v>2620.7999999999997</v>
      </c>
      <c r="CN22" s="100">
        <v>20</v>
      </c>
      <c r="CO22" s="100">
        <v>3744</v>
      </c>
      <c r="CP22" s="100">
        <v>13.555664275600011</v>
      </c>
      <c r="CQ22" s="100">
        <v>2537.6203523923218</v>
      </c>
      <c r="CR22" s="100">
        <v>15.264500098354057</v>
      </c>
      <c r="CS22" s="100">
        <v>2857.5144184118794</v>
      </c>
      <c r="CT22" s="100">
        <v>16.654418318429808</v>
      </c>
      <c r="CU22" s="100">
        <v>3117.70710921006</v>
      </c>
    </row>
    <row r="23" spans="2:99">
      <c r="C23" s="99" t="s">
        <v>189</v>
      </c>
      <c r="D23" s="100">
        <v>13.841251086939153</v>
      </c>
      <c r="E23" s="100">
        <v>4069.327819560111</v>
      </c>
      <c r="F23" s="100">
        <v>16.556345897291298</v>
      </c>
      <c r="G23" s="100">
        <v>4867.5656938036418</v>
      </c>
      <c r="H23" s="100">
        <v>18</v>
      </c>
      <c r="I23" s="100">
        <v>5292</v>
      </c>
      <c r="J23" s="100">
        <v>15</v>
      </c>
      <c r="K23" s="100">
        <v>4410</v>
      </c>
      <c r="L23" s="100">
        <v>13.615617551204091</v>
      </c>
      <c r="M23" s="100">
        <v>4002.9915600540025</v>
      </c>
      <c r="N23" s="100">
        <v>8.341874774446719</v>
      </c>
      <c r="O23" s="100">
        <v>2452.5111836873352</v>
      </c>
      <c r="P23" s="100">
        <v>17</v>
      </c>
      <c r="Q23" s="100">
        <v>4998</v>
      </c>
      <c r="R23" s="100">
        <v>20</v>
      </c>
      <c r="S23" s="100">
        <v>5880</v>
      </c>
      <c r="T23" s="100">
        <v>11</v>
      </c>
      <c r="U23" s="100">
        <v>3234</v>
      </c>
      <c r="V23" s="100">
        <v>12</v>
      </c>
      <c r="W23" s="100">
        <v>3528</v>
      </c>
      <c r="X23" s="100">
        <v>13</v>
      </c>
      <c r="Y23" s="100">
        <v>3822</v>
      </c>
      <c r="Z23" s="100">
        <v>14</v>
      </c>
      <c r="AA23" s="100">
        <v>4116</v>
      </c>
      <c r="AB23" s="100">
        <v>11</v>
      </c>
      <c r="AC23" s="100">
        <v>3234</v>
      </c>
      <c r="AD23" s="100">
        <v>17</v>
      </c>
      <c r="AE23" s="100">
        <v>4998</v>
      </c>
      <c r="AF23" s="100">
        <v>17</v>
      </c>
      <c r="AG23" s="100">
        <v>4998</v>
      </c>
      <c r="AH23" s="100">
        <v>13</v>
      </c>
      <c r="AI23" s="100">
        <v>3822</v>
      </c>
      <c r="AJ23" s="100">
        <v>19</v>
      </c>
      <c r="AK23" s="100">
        <v>5586</v>
      </c>
      <c r="AL23" s="100">
        <v>11</v>
      </c>
      <c r="AM23" s="100">
        <v>3234</v>
      </c>
      <c r="AN23" s="100">
        <v>10</v>
      </c>
      <c r="AO23" s="100">
        <v>2940</v>
      </c>
      <c r="AP23" s="100">
        <v>17</v>
      </c>
      <c r="AQ23" s="100">
        <v>4998</v>
      </c>
      <c r="AR23" s="100">
        <v>22</v>
      </c>
      <c r="AS23" s="100">
        <v>6468</v>
      </c>
      <c r="AT23" s="100">
        <v>14.473455189026648</v>
      </c>
      <c r="AU23" s="100">
        <v>4255.1958255738346</v>
      </c>
      <c r="AV23" s="100">
        <v>13</v>
      </c>
      <c r="AW23" s="100">
        <v>3822</v>
      </c>
      <c r="AX23" s="100">
        <v>14</v>
      </c>
      <c r="AY23" s="100">
        <v>4116</v>
      </c>
      <c r="AZ23" s="100">
        <v>16.269173587505019</v>
      </c>
      <c r="BA23" s="100">
        <v>4783.1370347264756</v>
      </c>
      <c r="BB23" s="100">
        <v>0</v>
      </c>
      <c r="BC23" s="100">
        <v>0</v>
      </c>
      <c r="BD23" s="100">
        <v>11.292004989895133</v>
      </c>
      <c r="BE23" s="100">
        <v>3319.8494670291693</v>
      </c>
      <c r="BF23" s="100">
        <v>12.238137672161999</v>
      </c>
      <c r="BG23" s="100">
        <v>3598.0124756156279</v>
      </c>
      <c r="BH23" s="100">
        <v>13</v>
      </c>
      <c r="BI23" s="100">
        <v>3822</v>
      </c>
      <c r="BJ23" s="100">
        <v>18.338352622132771</v>
      </c>
      <c r="BK23" s="100">
        <v>5391.4756709070343</v>
      </c>
      <c r="BL23" s="100">
        <v>14.247334420844251</v>
      </c>
      <c r="BM23" s="100">
        <v>4188.7163197282098</v>
      </c>
      <c r="BN23" s="100">
        <v>13</v>
      </c>
      <c r="BO23" s="100">
        <v>3822</v>
      </c>
      <c r="BP23" s="100">
        <v>18</v>
      </c>
      <c r="BQ23" s="100">
        <v>5292</v>
      </c>
      <c r="BR23" s="100">
        <v>18</v>
      </c>
      <c r="BS23" s="100">
        <v>5292</v>
      </c>
      <c r="BT23" s="100">
        <v>21</v>
      </c>
      <c r="BU23" s="100">
        <v>6174</v>
      </c>
      <c r="BV23" s="100">
        <v>20</v>
      </c>
      <c r="BW23" s="100">
        <v>5880</v>
      </c>
      <c r="BX23" s="100">
        <v>6.6177212832666266</v>
      </c>
      <c r="BY23" s="100">
        <v>1945.6100572803882</v>
      </c>
      <c r="BZ23" s="100">
        <v>9.244737444335021</v>
      </c>
      <c r="CA23" s="100">
        <v>2717.9528086344963</v>
      </c>
      <c r="CB23" s="100">
        <v>4.5691597717606172</v>
      </c>
      <c r="CC23" s="100">
        <v>1343.3329728976214</v>
      </c>
      <c r="CD23" s="100">
        <v>15.746513613172102</v>
      </c>
      <c r="CE23" s="100">
        <v>4629.4750022725975</v>
      </c>
      <c r="CF23" s="100">
        <v>20</v>
      </c>
      <c r="CG23" s="100">
        <v>5880</v>
      </c>
      <c r="CH23" s="100">
        <v>13</v>
      </c>
      <c r="CI23" s="100">
        <v>3822</v>
      </c>
      <c r="CJ23" s="100">
        <v>7.1549819684616498</v>
      </c>
      <c r="CK23" s="100">
        <v>2103.564698727725</v>
      </c>
      <c r="CL23" s="100">
        <v>13</v>
      </c>
      <c r="CM23" s="100">
        <v>3822</v>
      </c>
      <c r="CN23" s="100">
        <v>22</v>
      </c>
      <c r="CO23" s="100">
        <v>6468</v>
      </c>
      <c r="CP23" s="100">
        <v>12.842208261094747</v>
      </c>
      <c r="CQ23" s="100">
        <v>3775.6092287618558</v>
      </c>
      <c r="CR23" s="100">
        <v>14.366588327862642</v>
      </c>
      <c r="CS23" s="100">
        <v>4223.7769683916167</v>
      </c>
      <c r="CT23" s="100">
        <v>17.4871392343513</v>
      </c>
      <c r="CU23" s="100">
        <v>5141.2189348992824</v>
      </c>
    </row>
    <row r="24" spans="2:99">
      <c r="C24" s="99" t="s">
        <v>190</v>
      </c>
      <c r="D24" s="100">
        <v>13.841251086939153</v>
      </c>
      <c r="E24" s="100">
        <v>5082.507399124057</v>
      </c>
      <c r="F24" s="100">
        <v>18.395939885879219</v>
      </c>
      <c r="G24" s="100">
        <v>6754.9891260948489</v>
      </c>
      <c r="H24" s="100">
        <v>16</v>
      </c>
      <c r="I24" s="100">
        <v>5875.2</v>
      </c>
      <c r="J24" s="100">
        <v>15</v>
      </c>
      <c r="K24" s="100">
        <v>5508</v>
      </c>
      <c r="L24" s="100">
        <v>12.859194353914974</v>
      </c>
      <c r="M24" s="100">
        <v>4721.8961667575786</v>
      </c>
      <c r="N24" s="100">
        <v>8.341874774446719</v>
      </c>
      <c r="O24" s="100">
        <v>3063.136417176835</v>
      </c>
      <c r="P24" s="100">
        <v>16</v>
      </c>
      <c r="Q24" s="100">
        <v>5875.2</v>
      </c>
      <c r="R24" s="100">
        <v>17</v>
      </c>
      <c r="S24" s="100">
        <v>6242.4</v>
      </c>
      <c r="T24" s="100">
        <v>11</v>
      </c>
      <c r="U24" s="100">
        <v>4039.2</v>
      </c>
      <c r="V24" s="100">
        <v>12</v>
      </c>
      <c r="W24" s="100">
        <v>4406.3999999999996</v>
      </c>
      <c r="X24" s="100">
        <v>13</v>
      </c>
      <c r="Y24" s="100">
        <v>4773.5999999999995</v>
      </c>
      <c r="Z24" s="100">
        <v>13</v>
      </c>
      <c r="AA24" s="100">
        <v>4773.5999999999995</v>
      </c>
      <c r="AB24" s="100">
        <v>13</v>
      </c>
      <c r="AC24" s="100">
        <v>4773.5999999999995</v>
      </c>
      <c r="AD24" s="100">
        <v>20</v>
      </c>
      <c r="AE24" s="100">
        <v>7344</v>
      </c>
      <c r="AF24" s="100">
        <v>20</v>
      </c>
      <c r="AG24" s="100">
        <v>7344</v>
      </c>
      <c r="AH24" s="100">
        <v>15</v>
      </c>
      <c r="AI24" s="100">
        <v>5508</v>
      </c>
      <c r="AJ24" s="100">
        <v>22</v>
      </c>
      <c r="AK24" s="100">
        <v>8078.4</v>
      </c>
      <c r="AL24" s="100">
        <v>11</v>
      </c>
      <c r="AM24" s="100">
        <v>4039.2</v>
      </c>
      <c r="AN24" s="100">
        <v>12</v>
      </c>
      <c r="AO24" s="100">
        <v>4406.3999999999996</v>
      </c>
      <c r="AP24" s="100">
        <v>19</v>
      </c>
      <c r="AQ24" s="100">
        <v>6976.8</v>
      </c>
      <c r="AR24" s="100">
        <v>21</v>
      </c>
      <c r="AS24" s="100">
        <v>7711.2</v>
      </c>
      <c r="AT24" s="100">
        <v>14.473455189026648</v>
      </c>
      <c r="AU24" s="100">
        <v>5314.6527454105853</v>
      </c>
      <c r="AV24" s="100">
        <v>14</v>
      </c>
      <c r="AW24" s="100">
        <v>5140.8</v>
      </c>
      <c r="AX24" s="100">
        <v>14</v>
      </c>
      <c r="AY24" s="100">
        <v>5140.8</v>
      </c>
      <c r="AZ24" s="100">
        <v>16.269173587505019</v>
      </c>
      <c r="BA24" s="100">
        <v>5974.0405413318431</v>
      </c>
      <c r="BB24" s="100">
        <v>0</v>
      </c>
      <c r="BC24" s="100">
        <v>0</v>
      </c>
      <c r="BD24" s="100">
        <v>10.351004574070538</v>
      </c>
      <c r="BE24" s="100">
        <v>3800.8888795987014</v>
      </c>
      <c r="BF24" s="100">
        <v>12.238137672161999</v>
      </c>
      <c r="BG24" s="100">
        <v>4493.8441532178858</v>
      </c>
      <c r="BH24" s="100">
        <v>12</v>
      </c>
      <c r="BI24" s="100">
        <v>4406.3999999999996</v>
      </c>
      <c r="BJ24" s="100">
        <v>16.591842848596315</v>
      </c>
      <c r="BK24" s="100">
        <v>6092.5246940045663</v>
      </c>
      <c r="BL24" s="100">
        <v>15.038852999780042</v>
      </c>
      <c r="BM24" s="100">
        <v>5522.2668215192316</v>
      </c>
      <c r="BN24" s="100">
        <v>13</v>
      </c>
      <c r="BO24" s="100">
        <v>4773.5999999999995</v>
      </c>
      <c r="BP24" s="100">
        <v>16</v>
      </c>
      <c r="BQ24" s="100">
        <v>5875.2</v>
      </c>
      <c r="BR24" s="100">
        <v>19</v>
      </c>
      <c r="BS24" s="100">
        <v>6976.8</v>
      </c>
      <c r="BT24" s="100">
        <v>19</v>
      </c>
      <c r="BU24" s="100">
        <v>6976.8</v>
      </c>
      <c r="BV24" s="100">
        <v>24</v>
      </c>
      <c r="BW24" s="100">
        <v>8812.7999999999993</v>
      </c>
      <c r="BX24" s="100">
        <v>6.1086657999384242</v>
      </c>
      <c r="BY24" s="100">
        <v>2243.1020817373892</v>
      </c>
      <c r="BZ24" s="100">
        <v>9.9050758332160935</v>
      </c>
      <c r="CA24" s="100">
        <v>3637.1438459569495</v>
      </c>
      <c r="CB24" s="100">
        <v>4.9845379328297632</v>
      </c>
      <c r="CC24" s="100">
        <v>1830.322328935089</v>
      </c>
      <c r="CD24" s="100">
        <v>15.746513613172102</v>
      </c>
      <c r="CE24" s="100">
        <v>5782.1197987567957</v>
      </c>
      <c r="CF24" s="100">
        <v>21</v>
      </c>
      <c r="CG24" s="100">
        <v>7711.2</v>
      </c>
      <c r="CH24" s="100">
        <v>13</v>
      </c>
      <c r="CI24" s="100">
        <v>4773.5999999999995</v>
      </c>
      <c r="CJ24" s="100">
        <v>6.6439118278572469</v>
      </c>
      <c r="CK24" s="100">
        <v>2439.644423189181</v>
      </c>
      <c r="CL24" s="100">
        <v>13</v>
      </c>
      <c r="CM24" s="100">
        <v>4773.5999999999995</v>
      </c>
      <c r="CN24" s="100">
        <v>23</v>
      </c>
      <c r="CO24" s="100">
        <v>8445.6</v>
      </c>
      <c r="CP24" s="100">
        <v>14.269120290105272</v>
      </c>
      <c r="CQ24" s="100">
        <v>5239.6209705266556</v>
      </c>
      <c r="CR24" s="100">
        <v>13.468676557371225</v>
      </c>
      <c r="CS24" s="100">
        <v>4945.6980318667138</v>
      </c>
      <c r="CT24" s="100">
        <v>15.821697402508319</v>
      </c>
      <c r="CU24" s="100">
        <v>5809.7272862010541</v>
      </c>
    </row>
    <row r="25" spans="2:99">
      <c r="C25" s="99" t="s">
        <v>191</v>
      </c>
      <c r="D25" s="100">
        <v>15.571407472806545</v>
      </c>
      <c r="E25" s="100">
        <v>8259.0745235765917</v>
      </c>
      <c r="F25" s="100">
        <v>16.556345897291298</v>
      </c>
      <c r="G25" s="100">
        <v>8781.4858639233044</v>
      </c>
      <c r="H25" s="100">
        <v>17</v>
      </c>
      <c r="I25" s="100">
        <v>9016.7999999999993</v>
      </c>
      <c r="J25" s="100">
        <v>15</v>
      </c>
      <c r="K25" s="100">
        <v>7956</v>
      </c>
      <c r="L25" s="100">
        <v>13.615617551204091</v>
      </c>
      <c r="M25" s="100">
        <v>7221.7235491586498</v>
      </c>
      <c r="N25" s="100">
        <v>7.6467185432428249</v>
      </c>
      <c r="O25" s="100">
        <v>4055.8195153359943</v>
      </c>
      <c r="P25" s="100">
        <v>14</v>
      </c>
      <c r="Q25" s="100">
        <v>7425.5999999999995</v>
      </c>
      <c r="R25" s="100">
        <v>19</v>
      </c>
      <c r="S25" s="100">
        <v>10077.6</v>
      </c>
      <c r="T25" s="100">
        <v>13</v>
      </c>
      <c r="U25" s="100">
        <v>6895.2</v>
      </c>
      <c r="V25" s="100">
        <v>11</v>
      </c>
      <c r="W25" s="100">
        <v>5834.4</v>
      </c>
      <c r="X25" s="100">
        <v>11</v>
      </c>
      <c r="Y25" s="100">
        <v>5834.4</v>
      </c>
      <c r="Z25" s="100">
        <v>13</v>
      </c>
      <c r="AA25" s="100">
        <v>6895.2</v>
      </c>
      <c r="AB25" s="100">
        <v>13</v>
      </c>
      <c r="AC25" s="100">
        <v>6895.2</v>
      </c>
      <c r="AD25" s="100">
        <v>17</v>
      </c>
      <c r="AE25" s="100">
        <v>9016.7999999999993</v>
      </c>
      <c r="AF25" s="100">
        <v>18</v>
      </c>
      <c r="AG25" s="100">
        <v>9547.1999999999989</v>
      </c>
      <c r="AH25" s="100">
        <v>14</v>
      </c>
      <c r="AI25" s="100">
        <v>7425.5999999999995</v>
      </c>
      <c r="AJ25" s="100">
        <v>21</v>
      </c>
      <c r="AK25" s="100">
        <v>11138.4</v>
      </c>
      <c r="AL25" s="100">
        <v>13</v>
      </c>
      <c r="AM25" s="100">
        <v>6895.2</v>
      </c>
      <c r="AN25" s="100">
        <v>10</v>
      </c>
      <c r="AO25" s="100">
        <v>5304</v>
      </c>
      <c r="AP25" s="100">
        <v>20</v>
      </c>
      <c r="AQ25" s="100">
        <v>10608</v>
      </c>
      <c r="AR25" s="100">
        <v>22</v>
      </c>
      <c r="AS25" s="100">
        <v>11668.8</v>
      </c>
      <c r="AT25" s="100">
        <v>12.499802208704832</v>
      </c>
      <c r="AU25" s="100">
        <v>6629.8950914970428</v>
      </c>
      <c r="AV25" s="100">
        <v>15</v>
      </c>
      <c r="AW25" s="100">
        <v>7956</v>
      </c>
      <c r="AX25" s="100">
        <v>15</v>
      </c>
      <c r="AY25" s="100">
        <v>7956</v>
      </c>
      <c r="AZ25" s="100">
        <v>15.365330610421408</v>
      </c>
      <c r="BA25" s="100">
        <v>8149.7713557675143</v>
      </c>
      <c r="BB25" s="100">
        <v>0</v>
      </c>
      <c r="BC25" s="100">
        <v>0</v>
      </c>
      <c r="BD25" s="100">
        <v>11.292004989895133</v>
      </c>
      <c r="BE25" s="100">
        <v>5989.2794466403784</v>
      </c>
      <c r="BF25" s="100">
        <v>12.918034209504333</v>
      </c>
      <c r="BG25" s="100">
        <v>6851.7253447210978</v>
      </c>
      <c r="BH25" s="100">
        <v>13</v>
      </c>
      <c r="BI25" s="100">
        <v>6895.2</v>
      </c>
      <c r="BJ25" s="100">
        <v>18.338352622132771</v>
      </c>
      <c r="BK25" s="100">
        <v>9726.6622307792204</v>
      </c>
      <c r="BL25" s="100">
        <v>14.247334420844251</v>
      </c>
      <c r="BM25" s="100">
        <v>7556.78617681579</v>
      </c>
      <c r="BN25" s="100">
        <v>12</v>
      </c>
      <c r="BO25" s="100">
        <v>6364.7999999999993</v>
      </c>
      <c r="BP25" s="100">
        <v>19</v>
      </c>
      <c r="BQ25" s="100">
        <v>10077.6</v>
      </c>
      <c r="BR25" s="100">
        <v>19</v>
      </c>
      <c r="BS25" s="100">
        <v>10077.6</v>
      </c>
      <c r="BT25" s="100">
        <v>22</v>
      </c>
      <c r="BU25" s="100">
        <v>11668.8</v>
      </c>
      <c r="BV25" s="100">
        <v>22</v>
      </c>
      <c r="BW25" s="100">
        <v>11668.8</v>
      </c>
      <c r="BX25" s="100">
        <v>6.6177212832666266</v>
      </c>
      <c r="BY25" s="100">
        <v>3510.0393686446187</v>
      </c>
      <c r="BZ25" s="100">
        <v>9.244737444335021</v>
      </c>
      <c r="CA25" s="100">
        <v>4903.4087404752945</v>
      </c>
      <c r="CB25" s="100">
        <v>4.5691597717606172</v>
      </c>
      <c r="CC25" s="100">
        <v>2423.4823429418311</v>
      </c>
      <c r="CD25" s="100">
        <v>16.402618347054272</v>
      </c>
      <c r="CE25" s="100">
        <v>8699.9487712775863</v>
      </c>
      <c r="CF25" s="100">
        <v>22</v>
      </c>
      <c r="CG25" s="100">
        <v>11668.8</v>
      </c>
      <c r="CH25" s="100">
        <v>13</v>
      </c>
      <c r="CI25" s="100">
        <v>6895.2</v>
      </c>
      <c r="CJ25" s="100">
        <v>6.1328416872528422</v>
      </c>
      <c r="CK25" s="100">
        <v>3252.8592309189075</v>
      </c>
      <c r="CL25" s="100">
        <v>14</v>
      </c>
      <c r="CM25" s="100">
        <v>7425.5999999999995</v>
      </c>
      <c r="CN25" s="100">
        <v>20</v>
      </c>
      <c r="CO25" s="100">
        <v>10608</v>
      </c>
      <c r="CP25" s="100">
        <v>12.842208261094747</v>
      </c>
      <c r="CQ25" s="100">
        <v>6811.5072616846537</v>
      </c>
      <c r="CR25" s="100">
        <v>14.366588327862642</v>
      </c>
      <c r="CS25" s="100">
        <v>7620.0384490983452</v>
      </c>
      <c r="CT25" s="100">
        <v>16.654418318429808</v>
      </c>
      <c r="CU25" s="100">
        <v>8833.5034760951694</v>
      </c>
    </row>
    <row r="26" spans="2:99">
      <c r="C26" s="99" t="s">
        <v>192</v>
      </c>
      <c r="D26" s="100">
        <v>15.571407472806545</v>
      </c>
      <c r="E26" s="100">
        <v>7567.704031783981</v>
      </c>
      <c r="F26" s="100">
        <v>17.476142891585258</v>
      </c>
      <c r="G26" s="100">
        <v>8493.4054453104363</v>
      </c>
      <c r="H26" s="100">
        <v>18</v>
      </c>
      <c r="I26" s="100">
        <v>8748</v>
      </c>
      <c r="J26" s="100">
        <v>16</v>
      </c>
      <c r="K26" s="100">
        <v>7776</v>
      </c>
      <c r="L26" s="100">
        <v>12.859194353914974</v>
      </c>
      <c r="M26" s="100">
        <v>6249.5684560026775</v>
      </c>
      <c r="N26" s="100">
        <v>9.0370310056506096</v>
      </c>
      <c r="O26" s="100">
        <v>4391.9970687461964</v>
      </c>
      <c r="P26" s="100">
        <v>15</v>
      </c>
      <c r="Q26" s="100">
        <v>7290</v>
      </c>
      <c r="R26" s="100">
        <v>17</v>
      </c>
      <c r="S26" s="100">
        <v>8262</v>
      </c>
      <c r="T26" s="100">
        <v>12</v>
      </c>
      <c r="U26" s="100">
        <v>5832</v>
      </c>
      <c r="V26" s="100">
        <v>13</v>
      </c>
      <c r="W26" s="100">
        <v>6318</v>
      </c>
      <c r="X26" s="100">
        <v>11</v>
      </c>
      <c r="Y26" s="100">
        <v>5346</v>
      </c>
      <c r="Z26" s="100">
        <v>13</v>
      </c>
      <c r="AA26" s="100">
        <v>6318</v>
      </c>
      <c r="AB26" s="100">
        <v>12</v>
      </c>
      <c r="AC26" s="100">
        <v>5832</v>
      </c>
      <c r="AD26" s="100">
        <v>19</v>
      </c>
      <c r="AE26" s="100">
        <v>9234</v>
      </c>
      <c r="AF26" s="100">
        <v>20</v>
      </c>
      <c r="AG26" s="100">
        <v>9720</v>
      </c>
      <c r="AH26" s="100">
        <v>14</v>
      </c>
      <c r="AI26" s="100">
        <v>6804</v>
      </c>
      <c r="AJ26" s="100">
        <v>20</v>
      </c>
      <c r="AK26" s="100">
        <v>9720</v>
      </c>
      <c r="AL26" s="100">
        <v>13</v>
      </c>
      <c r="AM26" s="100">
        <v>6318</v>
      </c>
      <c r="AN26" s="100">
        <v>10</v>
      </c>
      <c r="AO26" s="100">
        <v>4860</v>
      </c>
      <c r="AP26" s="100">
        <v>20</v>
      </c>
      <c r="AQ26" s="100">
        <v>9720</v>
      </c>
      <c r="AR26" s="100">
        <v>22</v>
      </c>
      <c r="AS26" s="100">
        <v>10692</v>
      </c>
      <c r="AT26" s="100">
        <v>12.499802208704832</v>
      </c>
      <c r="AU26" s="100">
        <v>6074.9038734305486</v>
      </c>
      <c r="AV26" s="100">
        <v>13</v>
      </c>
      <c r="AW26" s="100">
        <v>6318</v>
      </c>
      <c r="AX26" s="100">
        <v>14</v>
      </c>
      <c r="AY26" s="100">
        <v>6804</v>
      </c>
      <c r="AZ26" s="100">
        <v>14.461487633337796</v>
      </c>
      <c r="BA26" s="100">
        <v>7028.2829898021691</v>
      </c>
      <c r="BB26" s="100">
        <v>0</v>
      </c>
      <c r="BC26" s="100">
        <v>0</v>
      </c>
      <c r="BD26" s="100">
        <v>12.233005405719728</v>
      </c>
      <c r="BE26" s="100">
        <v>5945.2406271797881</v>
      </c>
      <c r="BF26" s="100">
        <v>12.238137672161999</v>
      </c>
      <c r="BG26" s="100">
        <v>5947.7349086707318</v>
      </c>
      <c r="BH26" s="100">
        <v>14</v>
      </c>
      <c r="BI26" s="100">
        <v>6804</v>
      </c>
      <c r="BJ26" s="100">
        <v>18.338352622132771</v>
      </c>
      <c r="BK26" s="100">
        <v>8912.439374356527</v>
      </c>
      <c r="BL26" s="100">
        <v>15.830371578715834</v>
      </c>
      <c r="BM26" s="100">
        <v>7693.5605872558954</v>
      </c>
      <c r="BN26" s="100">
        <v>13</v>
      </c>
      <c r="BO26" s="100">
        <v>6318</v>
      </c>
      <c r="BP26" s="100">
        <v>17</v>
      </c>
      <c r="BQ26" s="100">
        <v>8262</v>
      </c>
      <c r="BR26" s="100">
        <v>18</v>
      </c>
      <c r="BS26" s="100">
        <v>8748</v>
      </c>
      <c r="BT26" s="100">
        <v>19</v>
      </c>
      <c r="BU26" s="100">
        <v>9234</v>
      </c>
      <c r="BV26" s="100">
        <v>21</v>
      </c>
      <c r="BW26" s="100">
        <v>10206</v>
      </c>
      <c r="BX26" s="100">
        <v>6.6177212832666266</v>
      </c>
      <c r="BY26" s="100">
        <v>3216.2125436675806</v>
      </c>
      <c r="BZ26" s="100">
        <v>9.244737444335021</v>
      </c>
      <c r="CA26" s="100">
        <v>4492.9423979468202</v>
      </c>
      <c r="CB26" s="100">
        <v>5.399916093898911</v>
      </c>
      <c r="CC26" s="100">
        <v>2624.3592216348707</v>
      </c>
      <c r="CD26" s="100">
        <v>15.746513613172102</v>
      </c>
      <c r="CE26" s="100">
        <v>7652.8056160016413</v>
      </c>
      <c r="CF26" s="100">
        <v>22</v>
      </c>
      <c r="CG26" s="100">
        <v>10692</v>
      </c>
      <c r="CH26" s="100">
        <v>14</v>
      </c>
      <c r="CI26" s="100">
        <v>6804</v>
      </c>
      <c r="CJ26" s="100">
        <v>7.1549819684616498</v>
      </c>
      <c r="CK26" s="100">
        <v>3477.3212366723619</v>
      </c>
      <c r="CL26" s="100">
        <v>14</v>
      </c>
      <c r="CM26" s="100">
        <v>6804</v>
      </c>
      <c r="CN26" s="100">
        <v>20</v>
      </c>
      <c r="CO26" s="100">
        <v>9720</v>
      </c>
      <c r="CP26" s="100">
        <v>12.842208261094747</v>
      </c>
      <c r="CQ26" s="100">
        <v>6241.3132148920467</v>
      </c>
      <c r="CR26" s="100">
        <v>15.264500098354057</v>
      </c>
      <c r="CS26" s="100">
        <v>7418.5470478000716</v>
      </c>
      <c r="CT26" s="100">
        <v>16.654418318429808</v>
      </c>
      <c r="CU26" s="100">
        <v>8094.0473027568869</v>
      </c>
    </row>
    <row r="27" spans="2:99">
      <c r="C27" s="99" t="s">
        <v>193</v>
      </c>
      <c r="D27" s="100">
        <v>14.706329279872847</v>
      </c>
      <c r="E27" s="100">
        <v>6282.5438683616803</v>
      </c>
      <c r="F27" s="100">
        <v>16.556345897291298</v>
      </c>
      <c r="G27" s="100">
        <v>7072.8709673228423</v>
      </c>
      <c r="H27" s="100">
        <v>15</v>
      </c>
      <c r="I27" s="100">
        <v>6408</v>
      </c>
      <c r="J27" s="100">
        <v>17</v>
      </c>
      <c r="K27" s="100">
        <v>7262.4</v>
      </c>
      <c r="L27" s="100">
        <v>13.615617551204091</v>
      </c>
      <c r="M27" s="100">
        <v>5816.5918178743877</v>
      </c>
      <c r="N27" s="100">
        <v>9.0370310056506096</v>
      </c>
      <c r="O27" s="100">
        <v>3860.6196456139405</v>
      </c>
      <c r="P27" s="100">
        <v>15</v>
      </c>
      <c r="Q27" s="100">
        <v>6408</v>
      </c>
      <c r="R27" s="100">
        <v>20</v>
      </c>
      <c r="S27" s="100">
        <v>8544</v>
      </c>
      <c r="T27" s="100">
        <v>13</v>
      </c>
      <c r="U27" s="100">
        <v>5553.5999999999995</v>
      </c>
      <c r="V27" s="100">
        <v>11</v>
      </c>
      <c r="W27" s="100">
        <v>4699.2</v>
      </c>
      <c r="X27" s="100">
        <v>12</v>
      </c>
      <c r="Y27" s="100">
        <v>5126.3999999999996</v>
      </c>
      <c r="Z27" s="100">
        <v>14</v>
      </c>
      <c r="AA27" s="100">
        <v>5980.8</v>
      </c>
      <c r="AB27" s="100">
        <v>12</v>
      </c>
      <c r="AC27" s="100">
        <v>5126.3999999999996</v>
      </c>
      <c r="AD27" s="100">
        <v>19</v>
      </c>
      <c r="AE27" s="100">
        <v>8116.8</v>
      </c>
      <c r="AF27" s="100">
        <v>17</v>
      </c>
      <c r="AG27" s="100">
        <v>7262.4</v>
      </c>
      <c r="AH27" s="100">
        <v>14</v>
      </c>
      <c r="AI27" s="100">
        <v>5980.8</v>
      </c>
      <c r="AJ27" s="100">
        <v>23</v>
      </c>
      <c r="AK27" s="100">
        <v>9825.6</v>
      </c>
      <c r="AL27" s="100">
        <v>13</v>
      </c>
      <c r="AM27" s="100">
        <v>5553.5999999999995</v>
      </c>
      <c r="AN27" s="100">
        <v>12</v>
      </c>
      <c r="AO27" s="100">
        <v>5126.3999999999996</v>
      </c>
      <c r="AP27" s="100">
        <v>20</v>
      </c>
      <c r="AQ27" s="100">
        <v>8544</v>
      </c>
      <c r="AR27" s="100">
        <v>19</v>
      </c>
      <c r="AS27" s="100">
        <v>8116.8</v>
      </c>
      <c r="AT27" s="100">
        <v>12.499802208704832</v>
      </c>
      <c r="AU27" s="100">
        <v>5339.9155035587037</v>
      </c>
      <c r="AV27" s="100">
        <v>14</v>
      </c>
      <c r="AW27" s="100">
        <v>5980.8</v>
      </c>
      <c r="AX27" s="100">
        <v>14</v>
      </c>
      <c r="AY27" s="100">
        <v>5980.8</v>
      </c>
      <c r="AZ27" s="100">
        <v>16.269173587505019</v>
      </c>
      <c r="BA27" s="100">
        <v>6950.1909565821443</v>
      </c>
      <c r="BB27" s="100">
        <v>0</v>
      </c>
      <c r="BC27" s="100">
        <v>0</v>
      </c>
      <c r="BD27" s="100">
        <v>10.351004574070538</v>
      </c>
      <c r="BE27" s="100">
        <v>4421.9491540429335</v>
      </c>
      <c r="BF27" s="100">
        <v>12.918034209504333</v>
      </c>
      <c r="BG27" s="100">
        <v>5518.584214300251</v>
      </c>
      <c r="BH27" s="100">
        <v>14</v>
      </c>
      <c r="BI27" s="100">
        <v>5980.8</v>
      </c>
      <c r="BJ27" s="100">
        <v>17.465097735364544</v>
      </c>
      <c r="BK27" s="100">
        <v>7461.089752547733</v>
      </c>
      <c r="BL27" s="100">
        <v>14.247334420844251</v>
      </c>
      <c r="BM27" s="100">
        <v>6086.4612645846637</v>
      </c>
      <c r="BN27" s="100">
        <v>12</v>
      </c>
      <c r="BO27" s="100">
        <v>5126.3999999999996</v>
      </c>
      <c r="BP27" s="100">
        <v>17</v>
      </c>
      <c r="BQ27" s="100">
        <v>7262.4</v>
      </c>
      <c r="BR27" s="100">
        <v>17</v>
      </c>
      <c r="BS27" s="100">
        <v>7262.4</v>
      </c>
      <c r="BT27" s="100">
        <v>21</v>
      </c>
      <c r="BU27" s="100">
        <v>8971.1999999999989</v>
      </c>
      <c r="BV27" s="100">
        <v>24</v>
      </c>
      <c r="BW27" s="100">
        <v>10252.799999999999</v>
      </c>
      <c r="BX27" s="100">
        <v>6.1086657999384242</v>
      </c>
      <c r="BY27" s="100">
        <v>2609.6220297336949</v>
      </c>
      <c r="BZ27" s="100">
        <v>8.5843990554539484</v>
      </c>
      <c r="CA27" s="100">
        <v>3667.2552764899265</v>
      </c>
      <c r="CB27" s="100">
        <v>4.9845379328297632</v>
      </c>
      <c r="CC27" s="100">
        <v>2129.394604904875</v>
      </c>
      <c r="CD27" s="100">
        <v>15.746513613172102</v>
      </c>
      <c r="CE27" s="100">
        <v>6726.9106155471218</v>
      </c>
      <c r="CF27" s="100">
        <v>20</v>
      </c>
      <c r="CG27" s="100">
        <v>8544</v>
      </c>
      <c r="CH27" s="100">
        <v>14</v>
      </c>
      <c r="CI27" s="100">
        <v>5980.8</v>
      </c>
      <c r="CJ27" s="100">
        <v>6.1328416872528422</v>
      </c>
      <c r="CK27" s="100">
        <v>2619.949968794414</v>
      </c>
      <c r="CL27" s="100">
        <v>15</v>
      </c>
      <c r="CM27" s="100">
        <v>6408</v>
      </c>
      <c r="CN27" s="100">
        <v>23</v>
      </c>
      <c r="CO27" s="100">
        <v>9825.6</v>
      </c>
      <c r="CP27" s="100">
        <v>14.269120290105272</v>
      </c>
      <c r="CQ27" s="100">
        <v>6095.7681879329721</v>
      </c>
      <c r="CR27" s="100">
        <v>16.162411868845471</v>
      </c>
      <c r="CS27" s="100">
        <v>6904.5823503707852</v>
      </c>
      <c r="CT27" s="100">
        <v>16.654418318429808</v>
      </c>
      <c r="CU27" s="100">
        <v>7114.7675056332137</v>
      </c>
    </row>
    <row r="28" spans="2:99">
      <c r="C28" s="99" t="s">
        <v>194</v>
      </c>
      <c r="D28" s="100">
        <v>14.706329279872847</v>
      </c>
      <c r="E28" s="100">
        <v>10853.27100854616</v>
      </c>
      <c r="F28" s="100">
        <v>16.556345897291298</v>
      </c>
      <c r="G28" s="100">
        <v>12218.583272200978</v>
      </c>
      <c r="H28" s="100">
        <v>18</v>
      </c>
      <c r="I28" s="100">
        <v>13284</v>
      </c>
      <c r="J28" s="100">
        <v>16</v>
      </c>
      <c r="K28" s="100">
        <v>11808</v>
      </c>
      <c r="L28" s="100">
        <v>14.372040748493205</v>
      </c>
      <c r="M28" s="100">
        <v>10606.566072387986</v>
      </c>
      <c r="N28" s="100">
        <v>8.341874774446719</v>
      </c>
      <c r="O28" s="100">
        <v>6156.3035835416786</v>
      </c>
      <c r="P28" s="100">
        <v>17</v>
      </c>
      <c r="Q28" s="100">
        <v>12546</v>
      </c>
      <c r="R28" s="100">
        <v>18</v>
      </c>
      <c r="S28" s="100">
        <v>13284</v>
      </c>
      <c r="T28" s="100">
        <v>13</v>
      </c>
      <c r="U28" s="100">
        <v>9594</v>
      </c>
      <c r="V28" s="100">
        <v>13</v>
      </c>
      <c r="W28" s="100">
        <v>9594</v>
      </c>
      <c r="X28" s="100">
        <v>12</v>
      </c>
      <c r="Y28" s="100">
        <v>8856</v>
      </c>
      <c r="Z28" s="100">
        <v>13</v>
      </c>
      <c r="AA28" s="100">
        <v>9594</v>
      </c>
      <c r="AB28" s="100">
        <v>12</v>
      </c>
      <c r="AC28" s="100">
        <v>8856</v>
      </c>
      <c r="AD28" s="100">
        <v>19</v>
      </c>
      <c r="AE28" s="100">
        <v>14022</v>
      </c>
      <c r="AF28" s="100">
        <v>19</v>
      </c>
      <c r="AG28" s="100">
        <v>14022</v>
      </c>
      <c r="AH28" s="100">
        <v>15</v>
      </c>
      <c r="AI28" s="100">
        <v>11070</v>
      </c>
      <c r="AJ28" s="100">
        <v>23</v>
      </c>
      <c r="AK28" s="100">
        <v>16974</v>
      </c>
      <c r="AL28" s="100">
        <v>11</v>
      </c>
      <c r="AM28" s="100">
        <v>8118</v>
      </c>
      <c r="AN28" s="100">
        <v>12</v>
      </c>
      <c r="AO28" s="100">
        <v>8856</v>
      </c>
      <c r="AP28" s="100">
        <v>19</v>
      </c>
      <c r="AQ28" s="100">
        <v>14022</v>
      </c>
      <c r="AR28" s="100">
        <v>19</v>
      </c>
      <c r="AS28" s="100">
        <v>14022</v>
      </c>
      <c r="AT28" s="100">
        <v>12.499802208704832</v>
      </c>
      <c r="AU28" s="100">
        <v>9224.8540300241657</v>
      </c>
      <c r="AV28" s="100">
        <v>14</v>
      </c>
      <c r="AW28" s="100">
        <v>10332</v>
      </c>
      <c r="AX28" s="100">
        <v>15</v>
      </c>
      <c r="AY28" s="100">
        <v>11070</v>
      </c>
      <c r="AZ28" s="100">
        <v>15.365330610421408</v>
      </c>
      <c r="BA28" s="100">
        <v>11339.613990491</v>
      </c>
      <c r="BB28" s="100">
        <v>0</v>
      </c>
      <c r="BC28" s="100">
        <v>0</v>
      </c>
      <c r="BD28" s="100">
        <v>10.351004574070538</v>
      </c>
      <c r="BE28" s="100">
        <v>7639.0413756640573</v>
      </c>
      <c r="BF28" s="100">
        <v>11.558241134819665</v>
      </c>
      <c r="BG28" s="100">
        <v>8529.9819574969133</v>
      </c>
      <c r="BH28" s="100">
        <v>12</v>
      </c>
      <c r="BI28" s="100">
        <v>8856</v>
      </c>
      <c r="BJ28" s="100">
        <v>18.338352622132771</v>
      </c>
      <c r="BK28" s="100">
        <v>13533.704235133984</v>
      </c>
      <c r="BL28" s="100">
        <v>16.621890157651627</v>
      </c>
      <c r="BM28" s="100">
        <v>12266.954936346901</v>
      </c>
      <c r="BN28" s="100">
        <v>13</v>
      </c>
      <c r="BO28" s="100">
        <v>9594</v>
      </c>
      <c r="BP28" s="100">
        <v>16</v>
      </c>
      <c r="BQ28" s="100">
        <v>11808</v>
      </c>
      <c r="BR28" s="100">
        <v>18</v>
      </c>
      <c r="BS28" s="100">
        <v>13284</v>
      </c>
      <c r="BT28" s="100">
        <v>22</v>
      </c>
      <c r="BU28" s="100">
        <v>16236</v>
      </c>
      <c r="BV28" s="100">
        <v>20</v>
      </c>
      <c r="BW28" s="100">
        <v>14760</v>
      </c>
      <c r="BX28" s="100">
        <v>6.6177212832666266</v>
      </c>
      <c r="BY28" s="100">
        <v>4883.8783070507707</v>
      </c>
      <c r="BZ28" s="100">
        <v>7.924060666572875</v>
      </c>
      <c r="CA28" s="100">
        <v>5847.9567719307815</v>
      </c>
      <c r="CB28" s="100">
        <v>4.9845379328297632</v>
      </c>
      <c r="CC28" s="100">
        <v>3678.5889944283654</v>
      </c>
      <c r="CD28" s="100">
        <v>15.09040887928993</v>
      </c>
      <c r="CE28" s="100">
        <v>11136.721752915968</v>
      </c>
      <c r="CF28" s="100">
        <v>19</v>
      </c>
      <c r="CG28" s="100">
        <v>14022</v>
      </c>
      <c r="CH28" s="100">
        <v>15</v>
      </c>
      <c r="CI28" s="100">
        <v>11070</v>
      </c>
      <c r="CJ28" s="100">
        <v>7.1549819684616498</v>
      </c>
      <c r="CK28" s="100">
        <v>5280.3766927246979</v>
      </c>
      <c r="CL28" s="100">
        <v>14</v>
      </c>
      <c r="CM28" s="100">
        <v>10332</v>
      </c>
      <c r="CN28" s="100">
        <v>22</v>
      </c>
      <c r="CO28" s="100">
        <v>16236</v>
      </c>
      <c r="CP28" s="100">
        <v>14.269120290105272</v>
      </c>
      <c r="CQ28" s="100">
        <v>10530.610774097691</v>
      </c>
      <c r="CR28" s="100">
        <v>13.468676557371225</v>
      </c>
      <c r="CS28" s="100">
        <v>9939.8832993399647</v>
      </c>
      <c r="CT28" s="100">
        <v>17.4871392343513</v>
      </c>
      <c r="CU28" s="100">
        <v>12905.508754951259</v>
      </c>
    </row>
    <row r="29" spans="2:99">
      <c r="C29" s="99" t="s">
        <v>195</v>
      </c>
      <c r="D29" s="100">
        <v>12.976172894005455</v>
      </c>
      <c r="E29" s="100">
        <v>4391.1369073314454</v>
      </c>
      <c r="F29" s="100">
        <v>17.476142891585258</v>
      </c>
      <c r="G29" s="100">
        <v>5913.9267545124512</v>
      </c>
      <c r="H29" s="100">
        <v>17</v>
      </c>
      <c r="I29" s="100">
        <v>5752.7999999999993</v>
      </c>
      <c r="J29" s="100">
        <v>17</v>
      </c>
      <c r="K29" s="100">
        <v>5752.7999999999993</v>
      </c>
      <c r="L29" s="100">
        <v>14.372040748493205</v>
      </c>
      <c r="M29" s="100">
        <v>4863.4985892901004</v>
      </c>
      <c r="N29" s="100">
        <v>8.341874774446719</v>
      </c>
      <c r="O29" s="100">
        <v>2822.8904236727694</v>
      </c>
      <c r="P29" s="100">
        <v>16</v>
      </c>
      <c r="Q29" s="100">
        <v>5414.4</v>
      </c>
      <c r="R29" s="100">
        <v>17</v>
      </c>
      <c r="S29" s="100">
        <v>5752.7999999999993</v>
      </c>
      <c r="T29" s="100">
        <v>12</v>
      </c>
      <c r="U29" s="100">
        <v>4060.7999999999997</v>
      </c>
      <c r="V29" s="100">
        <v>11</v>
      </c>
      <c r="W29" s="100">
        <v>3722.3999999999996</v>
      </c>
      <c r="X29" s="100">
        <v>12</v>
      </c>
      <c r="Y29" s="100">
        <v>4060.7999999999997</v>
      </c>
      <c r="Z29" s="100">
        <v>14</v>
      </c>
      <c r="AA29" s="100">
        <v>4737.5999999999995</v>
      </c>
      <c r="AB29" s="100">
        <v>12</v>
      </c>
      <c r="AC29" s="100">
        <v>4060.7999999999997</v>
      </c>
      <c r="AD29" s="100">
        <v>18</v>
      </c>
      <c r="AE29" s="100">
        <v>6091.2</v>
      </c>
      <c r="AF29" s="100">
        <v>19</v>
      </c>
      <c r="AG29" s="100">
        <v>6429.5999999999995</v>
      </c>
      <c r="AH29" s="100">
        <v>16</v>
      </c>
      <c r="AI29" s="100">
        <v>5414.4</v>
      </c>
      <c r="AJ29" s="100">
        <v>20</v>
      </c>
      <c r="AK29" s="100">
        <v>6768</v>
      </c>
      <c r="AL29" s="100">
        <v>13</v>
      </c>
      <c r="AM29" s="100">
        <v>4399.2</v>
      </c>
      <c r="AN29" s="100">
        <v>12</v>
      </c>
      <c r="AO29" s="100">
        <v>4060.7999999999997</v>
      </c>
      <c r="AP29" s="100">
        <v>17</v>
      </c>
      <c r="AQ29" s="100">
        <v>5752.7999999999993</v>
      </c>
      <c r="AR29" s="100">
        <v>22</v>
      </c>
      <c r="AS29" s="100">
        <v>7444.7999999999993</v>
      </c>
      <c r="AT29" s="100">
        <v>15.131339515800587</v>
      </c>
      <c r="AU29" s="100">
        <v>5120.4452921469183</v>
      </c>
      <c r="AV29" s="100">
        <v>14</v>
      </c>
      <c r="AW29" s="100">
        <v>4737.5999999999995</v>
      </c>
      <c r="AX29" s="100">
        <v>13</v>
      </c>
      <c r="AY29" s="100">
        <v>4399.2</v>
      </c>
      <c r="AZ29" s="100">
        <v>17.173016564588632</v>
      </c>
      <c r="BA29" s="100">
        <v>5811.3488054567924</v>
      </c>
      <c r="BB29" s="100">
        <v>0</v>
      </c>
      <c r="BC29" s="100">
        <v>0</v>
      </c>
      <c r="BD29" s="100">
        <v>11.292004989895133</v>
      </c>
      <c r="BE29" s="100">
        <v>3821.2144885805128</v>
      </c>
      <c r="BF29" s="100">
        <v>12.238137672161999</v>
      </c>
      <c r="BG29" s="100">
        <v>4141.3857882596203</v>
      </c>
      <c r="BH29" s="100">
        <v>12</v>
      </c>
      <c r="BI29" s="100">
        <v>4060.7999999999997</v>
      </c>
      <c r="BJ29" s="100">
        <v>16.591842848596315</v>
      </c>
      <c r="BK29" s="100">
        <v>5614.6796199649925</v>
      </c>
      <c r="BL29" s="100">
        <v>15.830371578715834</v>
      </c>
      <c r="BM29" s="100">
        <v>5356.9977422374377</v>
      </c>
      <c r="BN29" s="100">
        <v>13</v>
      </c>
      <c r="BO29" s="100">
        <v>4399.2</v>
      </c>
      <c r="BP29" s="100">
        <v>19</v>
      </c>
      <c r="BQ29" s="100">
        <v>6429.5999999999995</v>
      </c>
      <c r="BR29" s="100">
        <v>18</v>
      </c>
      <c r="BS29" s="100">
        <v>6091.2</v>
      </c>
      <c r="BT29" s="100">
        <v>19</v>
      </c>
      <c r="BU29" s="100">
        <v>6429.5999999999995</v>
      </c>
      <c r="BV29" s="100">
        <v>20</v>
      </c>
      <c r="BW29" s="100">
        <v>6768</v>
      </c>
      <c r="BX29" s="100">
        <v>6.6177212832666266</v>
      </c>
      <c r="BY29" s="100">
        <v>2239.4368822574261</v>
      </c>
      <c r="BZ29" s="100">
        <v>9.9050758332160935</v>
      </c>
      <c r="CA29" s="100">
        <v>3351.8776619603259</v>
      </c>
      <c r="CB29" s="100">
        <v>5.399916093898911</v>
      </c>
      <c r="CC29" s="100">
        <v>1827.3316061753915</v>
      </c>
      <c r="CD29" s="100">
        <v>15.746513613172102</v>
      </c>
      <c r="CE29" s="100">
        <v>5328.6202066974392</v>
      </c>
      <c r="CF29" s="100">
        <v>21</v>
      </c>
      <c r="CG29" s="100">
        <v>7106.4</v>
      </c>
      <c r="CH29" s="100">
        <v>14</v>
      </c>
      <c r="CI29" s="100">
        <v>4737.5999999999995</v>
      </c>
      <c r="CJ29" s="100">
        <v>6.1328416872528422</v>
      </c>
      <c r="CK29" s="100">
        <v>2075.3536269663618</v>
      </c>
      <c r="CL29" s="100">
        <v>14</v>
      </c>
      <c r="CM29" s="100">
        <v>4737.5999999999995</v>
      </c>
      <c r="CN29" s="100">
        <v>22</v>
      </c>
      <c r="CO29" s="100">
        <v>7444.7999999999993</v>
      </c>
      <c r="CP29" s="100">
        <v>14.269120290105272</v>
      </c>
      <c r="CQ29" s="100">
        <v>4828.6703061716235</v>
      </c>
      <c r="CR29" s="100">
        <v>13.468676557371225</v>
      </c>
      <c r="CS29" s="100">
        <v>4557.8001470144227</v>
      </c>
      <c r="CT29" s="100">
        <v>19.15258106619428</v>
      </c>
      <c r="CU29" s="100">
        <v>6481.2334328001443</v>
      </c>
    </row>
    <row r="30" spans="2:99">
      <c r="C30" s="99" t="s">
        <v>196</v>
      </c>
      <c r="D30" s="100">
        <v>14.706329279872847</v>
      </c>
      <c r="E30" s="100">
        <v>2047.1210357583002</v>
      </c>
      <c r="F30" s="100">
        <v>16.556345897291298</v>
      </c>
      <c r="G30" s="100">
        <v>2304.6433489029482</v>
      </c>
      <c r="H30" s="100">
        <v>17</v>
      </c>
      <c r="I30" s="100">
        <v>2366.3999999999996</v>
      </c>
      <c r="J30" s="100">
        <v>14</v>
      </c>
      <c r="K30" s="100">
        <v>1948.7999999999997</v>
      </c>
      <c r="L30" s="100">
        <v>13.615617551204091</v>
      </c>
      <c r="M30" s="100">
        <v>1895.2939631276092</v>
      </c>
      <c r="N30" s="100">
        <v>7.6467185432428249</v>
      </c>
      <c r="O30" s="100">
        <v>1064.4232212194011</v>
      </c>
      <c r="P30" s="100">
        <v>16</v>
      </c>
      <c r="Q30" s="100">
        <v>2227.1999999999998</v>
      </c>
      <c r="R30" s="100">
        <v>18</v>
      </c>
      <c r="S30" s="100">
        <v>2505.6</v>
      </c>
      <c r="T30" s="100">
        <v>12</v>
      </c>
      <c r="U30" s="100">
        <v>1670.3999999999999</v>
      </c>
      <c r="V30" s="100">
        <v>11</v>
      </c>
      <c r="W30" s="100">
        <v>1531.1999999999998</v>
      </c>
      <c r="X30" s="100">
        <v>11</v>
      </c>
      <c r="Y30" s="100">
        <v>1531.1999999999998</v>
      </c>
      <c r="Z30" s="100">
        <v>13</v>
      </c>
      <c r="AA30" s="100">
        <v>1809.6</v>
      </c>
      <c r="AB30" s="100">
        <v>12</v>
      </c>
      <c r="AC30" s="100">
        <v>1670.3999999999999</v>
      </c>
      <c r="AD30" s="100">
        <v>18</v>
      </c>
      <c r="AE30" s="100">
        <v>2505.6</v>
      </c>
      <c r="AF30" s="100">
        <v>17</v>
      </c>
      <c r="AG30" s="100">
        <v>2366.3999999999996</v>
      </c>
      <c r="AH30" s="100">
        <v>15</v>
      </c>
      <c r="AI30" s="100">
        <v>2088</v>
      </c>
      <c r="AJ30" s="100">
        <v>22</v>
      </c>
      <c r="AK30" s="100">
        <v>3062.3999999999996</v>
      </c>
      <c r="AL30" s="100">
        <v>13</v>
      </c>
      <c r="AM30" s="100">
        <v>1809.6</v>
      </c>
      <c r="AN30" s="100">
        <v>11</v>
      </c>
      <c r="AO30" s="100">
        <v>1531.1999999999998</v>
      </c>
      <c r="AP30" s="100">
        <v>18</v>
      </c>
      <c r="AQ30" s="100">
        <v>2505.6</v>
      </c>
      <c r="AR30" s="100">
        <v>21</v>
      </c>
      <c r="AS30" s="100">
        <v>2923.2</v>
      </c>
      <c r="AT30" s="100">
        <v>14.473455189026648</v>
      </c>
      <c r="AU30" s="100">
        <v>2014.7049623125092</v>
      </c>
      <c r="AV30" s="100">
        <v>14</v>
      </c>
      <c r="AW30" s="100">
        <v>1948.7999999999997</v>
      </c>
      <c r="AX30" s="100">
        <v>13</v>
      </c>
      <c r="AY30" s="100">
        <v>1809.6</v>
      </c>
      <c r="AZ30" s="100">
        <v>17.173016564588632</v>
      </c>
      <c r="BA30" s="100">
        <v>2390.4839057907375</v>
      </c>
      <c r="BB30" s="100">
        <v>0</v>
      </c>
      <c r="BC30" s="100">
        <v>0</v>
      </c>
      <c r="BD30" s="100">
        <v>11.292004989895133</v>
      </c>
      <c r="BE30" s="100">
        <v>1571.8470945934025</v>
      </c>
      <c r="BF30" s="100">
        <v>12.918034209504333</v>
      </c>
      <c r="BG30" s="100">
        <v>1798.1903619630029</v>
      </c>
      <c r="BH30" s="100">
        <v>12</v>
      </c>
      <c r="BI30" s="100">
        <v>1670.3999999999999</v>
      </c>
      <c r="BJ30" s="100">
        <v>20.084862395669226</v>
      </c>
      <c r="BK30" s="100">
        <v>2795.8128454771563</v>
      </c>
      <c r="BL30" s="100">
        <v>14.247334420844251</v>
      </c>
      <c r="BM30" s="100">
        <v>1983.2289513815194</v>
      </c>
      <c r="BN30" s="100">
        <v>11</v>
      </c>
      <c r="BO30" s="100">
        <v>1531.1999999999998</v>
      </c>
      <c r="BP30" s="100">
        <v>19</v>
      </c>
      <c r="BQ30" s="100">
        <v>2644.7999999999997</v>
      </c>
      <c r="BR30" s="100">
        <v>17</v>
      </c>
      <c r="BS30" s="100">
        <v>2366.3999999999996</v>
      </c>
      <c r="BT30" s="100">
        <v>19</v>
      </c>
      <c r="BU30" s="100">
        <v>2644.7999999999997</v>
      </c>
      <c r="BV30" s="100">
        <v>24</v>
      </c>
      <c r="BW30" s="100">
        <v>3340.7999999999997</v>
      </c>
      <c r="BX30" s="100">
        <v>6.6177212832666266</v>
      </c>
      <c r="BY30" s="100">
        <v>921.1868026307144</v>
      </c>
      <c r="BZ30" s="100">
        <v>9.244737444335021</v>
      </c>
      <c r="CA30" s="100">
        <v>1286.8674522514348</v>
      </c>
      <c r="CB30" s="100">
        <v>5.399916093898911</v>
      </c>
      <c r="CC30" s="100">
        <v>751.66832027072837</v>
      </c>
      <c r="CD30" s="100">
        <v>14.43430414540776</v>
      </c>
      <c r="CE30" s="100">
        <v>2009.25513704076</v>
      </c>
      <c r="CF30" s="100">
        <v>18</v>
      </c>
      <c r="CG30" s="100">
        <v>2505.6</v>
      </c>
      <c r="CH30" s="100">
        <v>13</v>
      </c>
      <c r="CI30" s="100">
        <v>1809.6</v>
      </c>
      <c r="CJ30" s="100">
        <v>7.1549819684616498</v>
      </c>
      <c r="CK30" s="100">
        <v>995.97349000986162</v>
      </c>
      <c r="CL30" s="100">
        <v>15</v>
      </c>
      <c r="CM30" s="100">
        <v>2088</v>
      </c>
      <c r="CN30" s="100">
        <v>20</v>
      </c>
      <c r="CO30" s="100">
        <v>2784</v>
      </c>
      <c r="CP30" s="100">
        <v>12.842208261094747</v>
      </c>
      <c r="CQ30" s="100">
        <v>1787.6353899443886</v>
      </c>
      <c r="CR30" s="100">
        <v>13.468676557371225</v>
      </c>
      <c r="CS30" s="100">
        <v>1874.8397767860745</v>
      </c>
      <c r="CT30" s="100">
        <v>19.15258106619428</v>
      </c>
      <c r="CU30" s="100">
        <v>2666.0392844142434</v>
      </c>
    </row>
    <row r="31" spans="2:99">
      <c r="C31" s="99" t="s">
        <v>197</v>
      </c>
      <c r="D31" s="100">
        <v>13.841251086939153</v>
      </c>
      <c r="E31" s="100">
        <v>4717.0983704288637</v>
      </c>
      <c r="F31" s="100">
        <v>15.636548902997335</v>
      </c>
      <c r="G31" s="100">
        <v>5328.9358661414917</v>
      </c>
      <c r="H31" s="100">
        <v>18</v>
      </c>
      <c r="I31" s="100">
        <v>6134.4000000000005</v>
      </c>
      <c r="J31" s="100">
        <v>16</v>
      </c>
      <c r="K31" s="100">
        <v>5452.8</v>
      </c>
      <c r="L31" s="100">
        <v>13.615617551204091</v>
      </c>
      <c r="M31" s="100">
        <v>4640.2024614503543</v>
      </c>
      <c r="N31" s="100">
        <v>8.341874774446719</v>
      </c>
      <c r="O31" s="100">
        <v>2842.9109231314419</v>
      </c>
      <c r="P31" s="100">
        <v>16</v>
      </c>
      <c r="Q31" s="100">
        <v>5452.8</v>
      </c>
      <c r="R31" s="100">
        <v>19</v>
      </c>
      <c r="S31" s="100">
        <v>6475.2</v>
      </c>
      <c r="T31" s="100">
        <v>12</v>
      </c>
      <c r="U31" s="100">
        <v>4089.6000000000004</v>
      </c>
      <c r="V31" s="100">
        <v>11</v>
      </c>
      <c r="W31" s="100">
        <v>3748.8</v>
      </c>
      <c r="X31" s="100">
        <v>11</v>
      </c>
      <c r="Y31" s="100">
        <v>3748.8</v>
      </c>
      <c r="Z31" s="100">
        <v>13</v>
      </c>
      <c r="AA31" s="100">
        <v>4430.4000000000005</v>
      </c>
      <c r="AB31" s="100">
        <v>11</v>
      </c>
      <c r="AC31" s="100">
        <v>3748.8</v>
      </c>
      <c r="AD31" s="100">
        <v>19</v>
      </c>
      <c r="AE31" s="100">
        <v>6475.2</v>
      </c>
      <c r="AF31" s="100">
        <v>18</v>
      </c>
      <c r="AG31" s="100">
        <v>6134.4000000000005</v>
      </c>
      <c r="AH31" s="100">
        <v>14</v>
      </c>
      <c r="AI31" s="100">
        <v>4771.2</v>
      </c>
      <c r="AJ31" s="100">
        <v>21</v>
      </c>
      <c r="AK31" s="100">
        <v>7156.8</v>
      </c>
      <c r="AL31" s="100">
        <v>12</v>
      </c>
      <c r="AM31" s="100">
        <v>4089.6000000000004</v>
      </c>
      <c r="AN31" s="100">
        <v>11</v>
      </c>
      <c r="AO31" s="100">
        <v>3748.8</v>
      </c>
      <c r="AP31" s="100">
        <v>18</v>
      </c>
      <c r="AQ31" s="100">
        <v>6134.4000000000005</v>
      </c>
      <c r="AR31" s="100">
        <v>19</v>
      </c>
      <c r="AS31" s="100">
        <v>6475.2</v>
      </c>
      <c r="AT31" s="100">
        <v>13.157686535478771</v>
      </c>
      <c r="AU31" s="100">
        <v>4484.1395712911653</v>
      </c>
      <c r="AV31" s="100">
        <v>15</v>
      </c>
      <c r="AW31" s="100">
        <v>5112</v>
      </c>
      <c r="AX31" s="100">
        <v>14</v>
      </c>
      <c r="AY31" s="100">
        <v>4771.2</v>
      </c>
      <c r="AZ31" s="100">
        <v>17.173016564588632</v>
      </c>
      <c r="BA31" s="100">
        <v>5852.5640452118059</v>
      </c>
      <c r="BB31" s="100">
        <v>0</v>
      </c>
      <c r="BC31" s="100">
        <v>0</v>
      </c>
      <c r="BD31" s="100">
        <v>10.351004574070538</v>
      </c>
      <c r="BE31" s="100">
        <v>3527.6223588432395</v>
      </c>
      <c r="BF31" s="100">
        <v>12.918034209504333</v>
      </c>
      <c r="BG31" s="100">
        <v>4402.4660585990769</v>
      </c>
      <c r="BH31" s="100">
        <v>12</v>
      </c>
      <c r="BI31" s="100">
        <v>4089.6000000000004</v>
      </c>
      <c r="BJ31" s="100">
        <v>17.465097735364544</v>
      </c>
      <c r="BK31" s="100">
        <v>5952.1053082122371</v>
      </c>
      <c r="BL31" s="100">
        <v>15.038852999780042</v>
      </c>
      <c r="BM31" s="100">
        <v>5125.2411023250388</v>
      </c>
      <c r="BN31" s="100">
        <v>13</v>
      </c>
      <c r="BO31" s="100">
        <v>4430.4000000000005</v>
      </c>
      <c r="BP31" s="100">
        <v>16</v>
      </c>
      <c r="BQ31" s="100">
        <v>5452.8</v>
      </c>
      <c r="BR31" s="100">
        <v>18</v>
      </c>
      <c r="BS31" s="100">
        <v>6134.4000000000005</v>
      </c>
      <c r="BT31" s="100">
        <v>22</v>
      </c>
      <c r="BU31" s="100">
        <v>7497.6</v>
      </c>
      <c r="BV31" s="100">
        <v>20</v>
      </c>
      <c r="BW31" s="100">
        <v>6816</v>
      </c>
      <c r="BX31" s="100">
        <v>6.6177212832666266</v>
      </c>
      <c r="BY31" s="100">
        <v>2255.3194133372663</v>
      </c>
      <c r="BZ31" s="100">
        <v>8.5843990554539484</v>
      </c>
      <c r="CA31" s="100">
        <v>2925.5631980987059</v>
      </c>
      <c r="CB31" s="100">
        <v>4.9845379328297632</v>
      </c>
      <c r="CC31" s="100">
        <v>1698.7305275083834</v>
      </c>
      <c r="CD31" s="100">
        <v>15.09040887928993</v>
      </c>
      <c r="CE31" s="100">
        <v>5142.8113460620079</v>
      </c>
      <c r="CF31" s="100">
        <v>21</v>
      </c>
      <c r="CG31" s="100">
        <v>7156.8</v>
      </c>
      <c r="CH31" s="100">
        <v>13</v>
      </c>
      <c r="CI31" s="100">
        <v>4430.4000000000005</v>
      </c>
      <c r="CJ31" s="100">
        <v>6.6439118278572469</v>
      </c>
      <c r="CK31" s="100">
        <v>2264.2451509337498</v>
      </c>
      <c r="CL31" s="100">
        <v>13</v>
      </c>
      <c r="CM31" s="100">
        <v>4430.4000000000005</v>
      </c>
      <c r="CN31" s="100">
        <v>23</v>
      </c>
      <c r="CO31" s="100">
        <v>7838.4000000000005</v>
      </c>
      <c r="CP31" s="100">
        <v>13.555664275600011</v>
      </c>
      <c r="CQ31" s="100">
        <v>4619.7703851244842</v>
      </c>
      <c r="CR31" s="100">
        <v>14.366588327862642</v>
      </c>
      <c r="CS31" s="100">
        <v>4896.1333021355886</v>
      </c>
      <c r="CT31" s="100">
        <v>18.319860150272792</v>
      </c>
      <c r="CU31" s="100">
        <v>6243.4083392129678</v>
      </c>
    </row>
    <row r="32" spans="2:99">
      <c r="C32" s="99" t="s">
        <v>198</v>
      </c>
      <c r="D32" s="100">
        <v>14.706329279872847</v>
      </c>
      <c r="E32" s="100">
        <v>12353.316595093191</v>
      </c>
      <c r="F32" s="100">
        <v>16.556345897291298</v>
      </c>
      <c r="G32" s="100">
        <v>13907.330553724691</v>
      </c>
      <c r="H32" s="100">
        <v>15</v>
      </c>
      <c r="I32" s="100">
        <v>12600</v>
      </c>
      <c r="J32" s="100">
        <v>14</v>
      </c>
      <c r="K32" s="100">
        <v>11760</v>
      </c>
      <c r="L32" s="100">
        <v>14.372040748493205</v>
      </c>
      <c r="M32" s="100">
        <v>12072.514228734293</v>
      </c>
      <c r="N32" s="100">
        <v>7.6467185432428249</v>
      </c>
      <c r="O32" s="100">
        <v>6423.2435763239728</v>
      </c>
      <c r="P32" s="100">
        <v>17</v>
      </c>
      <c r="Q32" s="100">
        <v>14280</v>
      </c>
      <c r="R32" s="100">
        <v>17</v>
      </c>
      <c r="S32" s="100">
        <v>14280</v>
      </c>
      <c r="T32" s="100">
        <v>12</v>
      </c>
      <c r="U32" s="100">
        <v>10080</v>
      </c>
      <c r="V32" s="100">
        <v>13</v>
      </c>
      <c r="W32" s="100">
        <v>10920</v>
      </c>
      <c r="X32" s="100">
        <v>12</v>
      </c>
      <c r="Y32" s="100">
        <v>10080</v>
      </c>
      <c r="Z32" s="100">
        <v>12</v>
      </c>
      <c r="AA32" s="100">
        <v>10080</v>
      </c>
      <c r="AB32" s="100">
        <v>11</v>
      </c>
      <c r="AC32" s="100">
        <v>9240</v>
      </c>
      <c r="AD32" s="100">
        <v>19</v>
      </c>
      <c r="AE32" s="100">
        <v>15960</v>
      </c>
      <c r="AF32" s="100">
        <v>16</v>
      </c>
      <c r="AG32" s="100">
        <v>13440</v>
      </c>
      <c r="AH32" s="100">
        <v>15</v>
      </c>
      <c r="AI32" s="100">
        <v>12600</v>
      </c>
      <c r="AJ32" s="100">
        <v>22</v>
      </c>
      <c r="AK32" s="100">
        <v>18480</v>
      </c>
      <c r="AL32" s="100">
        <v>11</v>
      </c>
      <c r="AM32" s="100">
        <v>9240</v>
      </c>
      <c r="AN32" s="100">
        <v>10</v>
      </c>
      <c r="AO32" s="100">
        <v>8400</v>
      </c>
      <c r="AP32" s="100">
        <v>18</v>
      </c>
      <c r="AQ32" s="100">
        <v>15120</v>
      </c>
      <c r="AR32" s="100">
        <v>20</v>
      </c>
      <c r="AS32" s="100">
        <v>16800</v>
      </c>
      <c r="AT32" s="100">
        <v>13.815570862252709</v>
      </c>
      <c r="AU32" s="100">
        <v>11605.079524292276</v>
      </c>
      <c r="AV32" s="100">
        <v>13</v>
      </c>
      <c r="AW32" s="100">
        <v>10920</v>
      </c>
      <c r="AX32" s="100">
        <v>15</v>
      </c>
      <c r="AY32" s="100">
        <v>12600</v>
      </c>
      <c r="AZ32" s="100">
        <v>15.365330610421408</v>
      </c>
      <c r="BA32" s="100">
        <v>12906.877712753983</v>
      </c>
      <c r="BB32" s="100">
        <v>0</v>
      </c>
      <c r="BC32" s="100">
        <v>0</v>
      </c>
      <c r="BD32" s="100">
        <v>11.292004989895133</v>
      </c>
      <c r="BE32" s="100">
        <v>9485.2841915119116</v>
      </c>
      <c r="BF32" s="100">
        <v>11.558241134819665</v>
      </c>
      <c r="BG32" s="100">
        <v>9708.9225532485198</v>
      </c>
      <c r="BH32" s="100">
        <v>11</v>
      </c>
      <c r="BI32" s="100">
        <v>9240</v>
      </c>
      <c r="BJ32" s="100">
        <v>16.591842848596315</v>
      </c>
      <c r="BK32" s="100">
        <v>13937.147992820905</v>
      </c>
      <c r="BL32" s="100">
        <v>16.621890157651627</v>
      </c>
      <c r="BM32" s="100">
        <v>13962.387732427367</v>
      </c>
      <c r="BN32" s="100">
        <v>12</v>
      </c>
      <c r="BO32" s="100">
        <v>10080</v>
      </c>
      <c r="BP32" s="100">
        <v>16</v>
      </c>
      <c r="BQ32" s="100">
        <v>13440</v>
      </c>
      <c r="BR32" s="100">
        <v>18</v>
      </c>
      <c r="BS32" s="100">
        <v>15120</v>
      </c>
      <c r="BT32" s="100">
        <v>19</v>
      </c>
      <c r="BU32" s="100">
        <v>15960</v>
      </c>
      <c r="BV32" s="100">
        <v>20</v>
      </c>
      <c r="BW32" s="100">
        <v>16800</v>
      </c>
      <c r="BX32" s="100">
        <v>6.6177212832666266</v>
      </c>
      <c r="BY32" s="100">
        <v>5558.8858779439661</v>
      </c>
      <c r="BZ32" s="100">
        <v>9.244737444335021</v>
      </c>
      <c r="CA32" s="100">
        <v>7765.5794532414175</v>
      </c>
      <c r="CB32" s="100">
        <v>4.5691597717606172</v>
      </c>
      <c r="CC32" s="100">
        <v>3838.0942082789184</v>
      </c>
      <c r="CD32" s="100">
        <v>15.09040887928993</v>
      </c>
      <c r="CE32" s="100">
        <v>12675.94345860354</v>
      </c>
      <c r="CF32" s="100">
        <v>20</v>
      </c>
      <c r="CG32" s="100">
        <v>16800</v>
      </c>
      <c r="CH32" s="100">
        <v>14</v>
      </c>
      <c r="CI32" s="100">
        <v>11760</v>
      </c>
      <c r="CJ32" s="100">
        <v>6.6439118278572469</v>
      </c>
      <c r="CK32" s="100">
        <v>5580.885935400087</v>
      </c>
      <c r="CL32" s="100">
        <v>12</v>
      </c>
      <c r="CM32" s="100">
        <v>10080</v>
      </c>
      <c r="CN32" s="100">
        <v>20</v>
      </c>
      <c r="CO32" s="100">
        <v>16800</v>
      </c>
      <c r="CP32" s="100">
        <v>12.128752246589482</v>
      </c>
      <c r="CQ32" s="100">
        <v>10188.151887135165</v>
      </c>
      <c r="CR32" s="100">
        <v>14.366588327862642</v>
      </c>
      <c r="CS32" s="100">
        <v>12067.934195404619</v>
      </c>
      <c r="CT32" s="100">
        <v>18.319860150272792</v>
      </c>
      <c r="CU32" s="100">
        <v>15388.682526229146</v>
      </c>
    </row>
    <row r="33" spans="2:99">
      <c r="C33" s="99" t="s">
        <v>199</v>
      </c>
      <c r="D33" s="100">
        <v>13.841251086939153</v>
      </c>
      <c r="E33" s="100">
        <v>6560.7530152091585</v>
      </c>
      <c r="F33" s="100">
        <v>17.476142891585258</v>
      </c>
      <c r="G33" s="100">
        <v>8283.6917306114119</v>
      </c>
      <c r="H33" s="100">
        <v>16</v>
      </c>
      <c r="I33" s="100">
        <v>7584</v>
      </c>
      <c r="J33" s="100">
        <v>16</v>
      </c>
      <c r="K33" s="100">
        <v>7584</v>
      </c>
      <c r="L33" s="100">
        <v>12.859194353914974</v>
      </c>
      <c r="M33" s="100">
        <v>6095.2581237556979</v>
      </c>
      <c r="N33" s="100">
        <v>8.341874774446719</v>
      </c>
      <c r="O33" s="100">
        <v>3954.0486430877449</v>
      </c>
      <c r="P33" s="100">
        <v>15</v>
      </c>
      <c r="Q33" s="100">
        <v>7110</v>
      </c>
      <c r="R33" s="100">
        <v>20</v>
      </c>
      <c r="S33" s="100">
        <v>9480</v>
      </c>
      <c r="T33" s="100">
        <v>11</v>
      </c>
      <c r="U33" s="100">
        <v>5214</v>
      </c>
      <c r="V33" s="100">
        <v>12</v>
      </c>
      <c r="W33" s="100">
        <v>5688</v>
      </c>
      <c r="X33" s="100">
        <v>13</v>
      </c>
      <c r="Y33" s="100">
        <v>6162</v>
      </c>
      <c r="Z33" s="100">
        <v>14</v>
      </c>
      <c r="AA33" s="100">
        <v>6636</v>
      </c>
      <c r="AB33" s="100">
        <v>13</v>
      </c>
      <c r="AC33" s="100">
        <v>6162</v>
      </c>
      <c r="AD33" s="100">
        <v>17</v>
      </c>
      <c r="AE33" s="100">
        <v>8058</v>
      </c>
      <c r="AF33" s="100">
        <v>20</v>
      </c>
      <c r="AG33" s="100">
        <v>9480</v>
      </c>
      <c r="AH33" s="100">
        <v>15</v>
      </c>
      <c r="AI33" s="100">
        <v>7110</v>
      </c>
      <c r="AJ33" s="100">
        <v>20</v>
      </c>
      <c r="AK33" s="100">
        <v>9480</v>
      </c>
      <c r="AL33" s="100">
        <v>11</v>
      </c>
      <c r="AM33" s="100">
        <v>5214</v>
      </c>
      <c r="AN33" s="100">
        <v>12</v>
      </c>
      <c r="AO33" s="100">
        <v>5688</v>
      </c>
      <c r="AP33" s="100">
        <v>20</v>
      </c>
      <c r="AQ33" s="100">
        <v>9480</v>
      </c>
      <c r="AR33" s="100">
        <v>19</v>
      </c>
      <c r="AS33" s="100">
        <v>9006</v>
      </c>
      <c r="AT33" s="100">
        <v>12.499802208704832</v>
      </c>
      <c r="AU33" s="100">
        <v>5924.9062469260907</v>
      </c>
      <c r="AV33" s="100">
        <v>13</v>
      </c>
      <c r="AW33" s="100">
        <v>6162</v>
      </c>
      <c r="AX33" s="100">
        <v>15</v>
      </c>
      <c r="AY33" s="100">
        <v>7110</v>
      </c>
      <c r="AZ33" s="100">
        <v>15.365330610421408</v>
      </c>
      <c r="BA33" s="100">
        <v>7283.1667093397473</v>
      </c>
      <c r="BB33" s="100">
        <v>0</v>
      </c>
      <c r="BC33" s="100">
        <v>0</v>
      </c>
      <c r="BD33" s="100">
        <v>11.292004989895133</v>
      </c>
      <c r="BE33" s="100">
        <v>5352.4103652102931</v>
      </c>
      <c r="BF33" s="100">
        <v>11.558241134819665</v>
      </c>
      <c r="BG33" s="100">
        <v>5478.6062979045219</v>
      </c>
      <c r="BH33" s="100">
        <v>13</v>
      </c>
      <c r="BI33" s="100">
        <v>6162</v>
      </c>
      <c r="BJ33" s="100">
        <v>18.338352622132771</v>
      </c>
      <c r="BK33" s="100">
        <v>8692.3791428909335</v>
      </c>
      <c r="BL33" s="100">
        <v>15.038852999780042</v>
      </c>
      <c r="BM33" s="100">
        <v>7128.4163218957401</v>
      </c>
      <c r="BN33" s="100">
        <v>11</v>
      </c>
      <c r="BO33" s="100">
        <v>5214</v>
      </c>
      <c r="BP33" s="100">
        <v>17</v>
      </c>
      <c r="BQ33" s="100">
        <v>8058</v>
      </c>
      <c r="BR33" s="100">
        <v>17</v>
      </c>
      <c r="BS33" s="100">
        <v>8058</v>
      </c>
      <c r="BT33" s="100">
        <v>19</v>
      </c>
      <c r="BU33" s="100">
        <v>9006</v>
      </c>
      <c r="BV33" s="100">
        <v>24</v>
      </c>
      <c r="BW33" s="100">
        <v>11376</v>
      </c>
      <c r="BX33" s="100">
        <v>5.5996103166102227</v>
      </c>
      <c r="BY33" s="100">
        <v>2654.2152900732453</v>
      </c>
      <c r="BZ33" s="100">
        <v>8.5843990554539484</v>
      </c>
      <c r="CA33" s="100">
        <v>4069.0051522851713</v>
      </c>
      <c r="CB33" s="100">
        <v>4.5691597717606172</v>
      </c>
      <c r="CC33" s="100">
        <v>2165.7817318145326</v>
      </c>
      <c r="CD33" s="100">
        <v>15.09040887928993</v>
      </c>
      <c r="CE33" s="100">
        <v>7152.8538087834268</v>
      </c>
      <c r="CF33" s="100">
        <v>19</v>
      </c>
      <c r="CG33" s="100">
        <v>9006</v>
      </c>
      <c r="CH33" s="100">
        <v>14</v>
      </c>
      <c r="CI33" s="100">
        <v>6636</v>
      </c>
      <c r="CJ33" s="100">
        <v>7.1549819684616498</v>
      </c>
      <c r="CK33" s="100">
        <v>3391.461453050822</v>
      </c>
      <c r="CL33" s="100">
        <v>13</v>
      </c>
      <c r="CM33" s="100">
        <v>6162</v>
      </c>
      <c r="CN33" s="100">
        <v>22</v>
      </c>
      <c r="CO33" s="100">
        <v>10428</v>
      </c>
      <c r="CP33" s="100">
        <v>13.555664275600011</v>
      </c>
      <c r="CQ33" s="100">
        <v>6425.3848666344047</v>
      </c>
      <c r="CR33" s="100">
        <v>13.468676557371225</v>
      </c>
      <c r="CS33" s="100">
        <v>6384.1526881939608</v>
      </c>
      <c r="CT33" s="100">
        <v>18.319860150272792</v>
      </c>
      <c r="CU33" s="100">
        <v>8683.6137112293036</v>
      </c>
    </row>
    <row r="34" spans="2:99">
      <c r="C34" s="99" t="s">
        <v>200</v>
      </c>
      <c r="D34" s="100">
        <v>15.571407472806545</v>
      </c>
      <c r="E34" s="100">
        <v>8539.3598580871094</v>
      </c>
      <c r="F34" s="100">
        <v>16.556345897291298</v>
      </c>
      <c r="G34" s="100">
        <v>9079.5000900745472</v>
      </c>
      <c r="H34" s="100">
        <v>15</v>
      </c>
      <c r="I34" s="100">
        <v>8226</v>
      </c>
      <c r="J34" s="100">
        <v>14</v>
      </c>
      <c r="K34" s="100">
        <v>7677.5999999999995</v>
      </c>
      <c r="L34" s="100">
        <v>14.372040748493205</v>
      </c>
      <c r="M34" s="100">
        <v>7881.6271464736737</v>
      </c>
      <c r="N34" s="100">
        <v>7.6467185432428249</v>
      </c>
      <c r="O34" s="100">
        <v>4193.4604491143646</v>
      </c>
      <c r="P34" s="100">
        <v>14</v>
      </c>
      <c r="Q34" s="100">
        <v>7677.5999999999995</v>
      </c>
      <c r="R34" s="100">
        <v>17</v>
      </c>
      <c r="S34" s="100">
        <v>9322.7999999999993</v>
      </c>
      <c r="T34" s="100">
        <v>13</v>
      </c>
      <c r="U34" s="100">
        <v>7129.2</v>
      </c>
      <c r="V34" s="100">
        <v>13</v>
      </c>
      <c r="W34" s="100">
        <v>7129.2</v>
      </c>
      <c r="X34" s="100">
        <v>12</v>
      </c>
      <c r="Y34" s="100">
        <v>6580.7999999999993</v>
      </c>
      <c r="Z34" s="100">
        <v>12</v>
      </c>
      <c r="AA34" s="100">
        <v>6580.7999999999993</v>
      </c>
      <c r="AB34" s="100">
        <v>12</v>
      </c>
      <c r="AC34" s="100">
        <v>6580.7999999999993</v>
      </c>
      <c r="AD34" s="100">
        <v>19</v>
      </c>
      <c r="AE34" s="100">
        <v>10419.6</v>
      </c>
      <c r="AF34" s="100">
        <v>19</v>
      </c>
      <c r="AG34" s="100">
        <v>10419.6</v>
      </c>
      <c r="AH34" s="100">
        <v>14</v>
      </c>
      <c r="AI34" s="100">
        <v>7677.5999999999995</v>
      </c>
      <c r="AJ34" s="100">
        <v>22</v>
      </c>
      <c r="AK34" s="100">
        <v>12064.8</v>
      </c>
      <c r="AL34" s="100">
        <v>13</v>
      </c>
      <c r="AM34" s="100">
        <v>7129.2</v>
      </c>
      <c r="AN34" s="100">
        <v>10</v>
      </c>
      <c r="AO34" s="100">
        <v>5484</v>
      </c>
      <c r="AP34" s="100">
        <v>18</v>
      </c>
      <c r="AQ34" s="100">
        <v>9871.1999999999989</v>
      </c>
      <c r="AR34" s="100">
        <v>22</v>
      </c>
      <c r="AS34" s="100">
        <v>12064.8</v>
      </c>
      <c r="AT34" s="100">
        <v>14.473455189026648</v>
      </c>
      <c r="AU34" s="100">
        <v>7937.2428256622134</v>
      </c>
      <c r="AV34" s="100">
        <v>13</v>
      </c>
      <c r="AW34" s="100">
        <v>7129.2</v>
      </c>
      <c r="AX34" s="100">
        <v>14</v>
      </c>
      <c r="AY34" s="100">
        <v>7677.5999999999995</v>
      </c>
      <c r="AZ34" s="100">
        <v>14.461487633337796</v>
      </c>
      <c r="BA34" s="100">
        <v>7930.6798181224476</v>
      </c>
      <c r="BB34" s="100">
        <v>0</v>
      </c>
      <c r="BC34" s="100">
        <v>0</v>
      </c>
      <c r="BD34" s="100">
        <v>11.292004989895133</v>
      </c>
      <c r="BE34" s="100">
        <v>6192.5355364584912</v>
      </c>
      <c r="BF34" s="100">
        <v>12.918034209504333</v>
      </c>
      <c r="BG34" s="100">
        <v>7084.2499604921759</v>
      </c>
      <c r="BH34" s="100">
        <v>14</v>
      </c>
      <c r="BI34" s="100">
        <v>7677.5999999999995</v>
      </c>
      <c r="BJ34" s="100">
        <v>16.591842848596315</v>
      </c>
      <c r="BK34" s="100">
        <v>9098.9666181702178</v>
      </c>
      <c r="BL34" s="100">
        <v>15.830371578715834</v>
      </c>
      <c r="BM34" s="100">
        <v>8681.3757737677624</v>
      </c>
      <c r="BN34" s="100">
        <v>11</v>
      </c>
      <c r="BO34" s="100">
        <v>6032.4</v>
      </c>
      <c r="BP34" s="100">
        <v>18</v>
      </c>
      <c r="BQ34" s="100">
        <v>9871.1999999999989</v>
      </c>
      <c r="BR34" s="100">
        <v>19</v>
      </c>
      <c r="BS34" s="100">
        <v>10419.6</v>
      </c>
      <c r="BT34" s="100">
        <v>21</v>
      </c>
      <c r="BU34" s="100">
        <v>11516.4</v>
      </c>
      <c r="BV34" s="100">
        <v>23</v>
      </c>
      <c r="BW34" s="100">
        <v>12613.199999999999</v>
      </c>
      <c r="BX34" s="100">
        <v>5.5996103166102227</v>
      </c>
      <c r="BY34" s="100">
        <v>3070.8262976290462</v>
      </c>
      <c r="BZ34" s="100">
        <v>9.244737444335021</v>
      </c>
      <c r="CA34" s="100">
        <v>5069.8140144733252</v>
      </c>
      <c r="CB34" s="100">
        <v>4.9845379328297632</v>
      </c>
      <c r="CC34" s="100">
        <v>2733.520602363842</v>
      </c>
      <c r="CD34" s="100">
        <v>16.402618347054272</v>
      </c>
      <c r="CE34" s="100">
        <v>8995.1959015245629</v>
      </c>
      <c r="CF34" s="100">
        <v>19</v>
      </c>
      <c r="CG34" s="100">
        <v>10419.6</v>
      </c>
      <c r="CH34" s="100">
        <v>14</v>
      </c>
      <c r="CI34" s="100">
        <v>7677.5999999999995</v>
      </c>
      <c r="CJ34" s="100">
        <v>6.1328416872528422</v>
      </c>
      <c r="CK34" s="100">
        <v>3363.2503812894583</v>
      </c>
      <c r="CL34" s="100">
        <v>15</v>
      </c>
      <c r="CM34" s="100">
        <v>8226</v>
      </c>
      <c r="CN34" s="100">
        <v>22</v>
      </c>
      <c r="CO34" s="100">
        <v>12064.8</v>
      </c>
      <c r="CP34" s="100">
        <v>14.269120290105272</v>
      </c>
      <c r="CQ34" s="100">
        <v>7825.1855670937312</v>
      </c>
      <c r="CR34" s="100">
        <v>15.264500098354057</v>
      </c>
      <c r="CS34" s="100">
        <v>8371.0518539373643</v>
      </c>
      <c r="CT34" s="100">
        <v>17.4871392343513</v>
      </c>
      <c r="CU34" s="100">
        <v>9589.9471561182527</v>
      </c>
    </row>
    <row r="35" spans="2:99">
      <c r="C35" s="99" t="s">
        <v>201</v>
      </c>
      <c r="D35" s="100">
        <v>15.571407472806545</v>
      </c>
      <c r="E35" s="100">
        <v>7829.3036773271288</v>
      </c>
      <c r="F35" s="100">
        <v>15.636548902997335</v>
      </c>
      <c r="G35" s="100">
        <v>7862.0567884270586</v>
      </c>
      <c r="H35" s="100">
        <v>17</v>
      </c>
      <c r="I35" s="100">
        <v>8547.5999999999985</v>
      </c>
      <c r="J35" s="100">
        <v>16</v>
      </c>
      <c r="K35" s="100">
        <v>8044.7999999999984</v>
      </c>
      <c r="L35" s="100">
        <v>12.102771156625858</v>
      </c>
      <c r="M35" s="100">
        <v>6085.2733375514799</v>
      </c>
      <c r="N35" s="100">
        <v>7.6467185432428249</v>
      </c>
      <c r="O35" s="100">
        <v>3844.7700835424916</v>
      </c>
      <c r="P35" s="100">
        <v>17</v>
      </c>
      <c r="Q35" s="100">
        <v>8547.5999999999985</v>
      </c>
      <c r="R35" s="100">
        <v>19</v>
      </c>
      <c r="S35" s="100">
        <v>9553.1999999999989</v>
      </c>
      <c r="T35" s="100">
        <v>13</v>
      </c>
      <c r="U35" s="100">
        <v>6536.3999999999987</v>
      </c>
      <c r="V35" s="100">
        <v>11</v>
      </c>
      <c r="W35" s="100">
        <v>5530.7999999999993</v>
      </c>
      <c r="X35" s="100">
        <v>12</v>
      </c>
      <c r="Y35" s="100">
        <v>6033.5999999999985</v>
      </c>
      <c r="Z35" s="100">
        <v>13</v>
      </c>
      <c r="AA35" s="100">
        <v>6536.3999999999987</v>
      </c>
      <c r="AB35" s="100">
        <v>13</v>
      </c>
      <c r="AC35" s="100">
        <v>6536.3999999999987</v>
      </c>
      <c r="AD35" s="100">
        <v>17</v>
      </c>
      <c r="AE35" s="100">
        <v>8547.5999999999985</v>
      </c>
      <c r="AF35" s="100">
        <v>17</v>
      </c>
      <c r="AG35" s="100">
        <v>8547.5999999999985</v>
      </c>
      <c r="AH35" s="100">
        <v>14</v>
      </c>
      <c r="AI35" s="100">
        <v>7039.1999999999989</v>
      </c>
      <c r="AJ35" s="100">
        <v>21</v>
      </c>
      <c r="AK35" s="100">
        <v>10558.799999999997</v>
      </c>
      <c r="AL35" s="100">
        <v>11</v>
      </c>
      <c r="AM35" s="100">
        <v>5530.7999999999993</v>
      </c>
      <c r="AN35" s="100">
        <v>11</v>
      </c>
      <c r="AO35" s="100">
        <v>5530.7999999999993</v>
      </c>
      <c r="AP35" s="100">
        <v>19</v>
      </c>
      <c r="AQ35" s="100">
        <v>9553.1999999999989</v>
      </c>
      <c r="AR35" s="100">
        <v>20</v>
      </c>
      <c r="AS35" s="100">
        <v>10055.999999999998</v>
      </c>
      <c r="AT35" s="100">
        <v>12.499802208704832</v>
      </c>
      <c r="AU35" s="100">
        <v>6284.9005505367886</v>
      </c>
      <c r="AV35" s="100">
        <v>15</v>
      </c>
      <c r="AW35" s="100">
        <v>7541.9999999999982</v>
      </c>
      <c r="AX35" s="100">
        <v>14</v>
      </c>
      <c r="AY35" s="100">
        <v>7039.1999999999989</v>
      </c>
      <c r="AZ35" s="100">
        <v>17.173016564588632</v>
      </c>
      <c r="BA35" s="100">
        <v>8634.592728675163</v>
      </c>
      <c r="BB35" s="100">
        <v>0</v>
      </c>
      <c r="BC35" s="100">
        <v>0</v>
      </c>
      <c r="BD35" s="100">
        <v>11.292004989895133</v>
      </c>
      <c r="BE35" s="100">
        <v>5677.6201089192718</v>
      </c>
      <c r="BF35" s="100">
        <v>11.558241134819665</v>
      </c>
      <c r="BG35" s="100">
        <v>5811.4836425873264</v>
      </c>
      <c r="BH35" s="100">
        <v>12</v>
      </c>
      <c r="BI35" s="100">
        <v>6033.5999999999985</v>
      </c>
      <c r="BJ35" s="100">
        <v>19.211607508900997</v>
      </c>
      <c r="BK35" s="100">
        <v>9659.5962554754187</v>
      </c>
      <c r="BL35" s="100">
        <v>15.038852999780042</v>
      </c>
      <c r="BM35" s="100">
        <v>7561.535288289404</v>
      </c>
      <c r="BN35" s="100">
        <v>11</v>
      </c>
      <c r="BO35" s="100">
        <v>5530.7999999999993</v>
      </c>
      <c r="BP35" s="100">
        <v>18</v>
      </c>
      <c r="BQ35" s="100">
        <v>9050.3999999999978</v>
      </c>
      <c r="BR35" s="100">
        <v>19</v>
      </c>
      <c r="BS35" s="100">
        <v>9553.1999999999989</v>
      </c>
      <c r="BT35" s="100">
        <v>19</v>
      </c>
      <c r="BU35" s="100">
        <v>9553.1999999999989</v>
      </c>
      <c r="BV35" s="100">
        <v>20</v>
      </c>
      <c r="BW35" s="100">
        <v>10055.999999999998</v>
      </c>
      <c r="BX35" s="100">
        <v>6.1086657999384242</v>
      </c>
      <c r="BY35" s="100">
        <v>3071.4371642090391</v>
      </c>
      <c r="BZ35" s="100">
        <v>9.244737444335021</v>
      </c>
      <c r="CA35" s="100">
        <v>4648.253987011648</v>
      </c>
      <c r="CB35" s="100">
        <v>4.5691597717606172</v>
      </c>
      <c r="CC35" s="100">
        <v>2297.373533241238</v>
      </c>
      <c r="CD35" s="100">
        <v>14.43430414540776</v>
      </c>
      <c r="CE35" s="100">
        <v>7257.5681243110203</v>
      </c>
      <c r="CF35" s="100">
        <v>22</v>
      </c>
      <c r="CG35" s="100">
        <v>11061.599999999999</v>
      </c>
      <c r="CH35" s="100">
        <v>15</v>
      </c>
      <c r="CI35" s="100">
        <v>7541.9999999999982</v>
      </c>
      <c r="CJ35" s="100">
        <v>6.1328416872528422</v>
      </c>
      <c r="CK35" s="100">
        <v>3083.5928003507283</v>
      </c>
      <c r="CL35" s="100">
        <v>14</v>
      </c>
      <c r="CM35" s="100">
        <v>7039.1999999999989</v>
      </c>
      <c r="CN35" s="100">
        <v>21</v>
      </c>
      <c r="CO35" s="100">
        <v>10558.799999999997</v>
      </c>
      <c r="CP35" s="100">
        <v>14.269120290105272</v>
      </c>
      <c r="CQ35" s="100">
        <v>7174.5136818649298</v>
      </c>
      <c r="CR35" s="100">
        <v>13.468676557371225</v>
      </c>
      <c r="CS35" s="100">
        <v>6772.050573046251</v>
      </c>
      <c r="CT35" s="100">
        <v>15.821697402508319</v>
      </c>
      <c r="CU35" s="100">
        <v>7955.1494539811811</v>
      </c>
    </row>
    <row r="36" spans="2:99">
      <c r="C36" s="99" t="s">
        <v>202</v>
      </c>
      <c r="D36" s="100">
        <v>13.841251086939153</v>
      </c>
      <c r="E36" s="100">
        <v>10530.423826943306</v>
      </c>
      <c r="F36" s="100">
        <v>17.476142891585258</v>
      </c>
      <c r="G36" s="100">
        <v>13295.849511918064</v>
      </c>
      <c r="H36" s="100">
        <v>17</v>
      </c>
      <c r="I36" s="100">
        <v>12933.599999999999</v>
      </c>
      <c r="J36" s="100">
        <v>16</v>
      </c>
      <c r="K36" s="100">
        <v>12172.8</v>
      </c>
      <c r="L36" s="100">
        <v>14.372040748493205</v>
      </c>
      <c r="M36" s="100">
        <v>10934.24860145363</v>
      </c>
      <c r="N36" s="100">
        <v>8.341874774446719</v>
      </c>
      <c r="O36" s="100">
        <v>6346.4983283990632</v>
      </c>
      <c r="P36" s="100">
        <v>14</v>
      </c>
      <c r="Q36" s="100">
        <v>10651.199999999999</v>
      </c>
      <c r="R36" s="100">
        <v>19</v>
      </c>
      <c r="S36" s="100">
        <v>14455.199999999999</v>
      </c>
      <c r="T36" s="100">
        <v>13</v>
      </c>
      <c r="U36" s="100">
        <v>9890.4</v>
      </c>
      <c r="V36" s="100">
        <v>11</v>
      </c>
      <c r="W36" s="100">
        <v>8368.7999999999993</v>
      </c>
      <c r="X36" s="100">
        <v>11</v>
      </c>
      <c r="Y36" s="100">
        <v>8368.7999999999993</v>
      </c>
      <c r="Z36" s="100">
        <v>12</v>
      </c>
      <c r="AA36" s="100">
        <v>9129.5999999999985</v>
      </c>
      <c r="AB36" s="100">
        <v>11</v>
      </c>
      <c r="AC36" s="100">
        <v>8368.7999999999993</v>
      </c>
      <c r="AD36" s="100">
        <v>17</v>
      </c>
      <c r="AE36" s="100">
        <v>12933.599999999999</v>
      </c>
      <c r="AF36" s="100">
        <v>19</v>
      </c>
      <c r="AG36" s="100">
        <v>14455.199999999999</v>
      </c>
      <c r="AH36" s="100">
        <v>14</v>
      </c>
      <c r="AI36" s="100">
        <v>10651.199999999999</v>
      </c>
      <c r="AJ36" s="100">
        <v>20</v>
      </c>
      <c r="AK36" s="100">
        <v>15216</v>
      </c>
      <c r="AL36" s="100">
        <v>12</v>
      </c>
      <c r="AM36" s="100">
        <v>9129.5999999999985</v>
      </c>
      <c r="AN36" s="100">
        <v>10</v>
      </c>
      <c r="AO36" s="100">
        <v>7608</v>
      </c>
      <c r="AP36" s="100">
        <v>19</v>
      </c>
      <c r="AQ36" s="100">
        <v>14455.199999999999</v>
      </c>
      <c r="AR36" s="100">
        <v>22</v>
      </c>
      <c r="AS36" s="100">
        <v>16737.599999999999</v>
      </c>
      <c r="AT36" s="100">
        <v>12.499802208704832</v>
      </c>
      <c r="AU36" s="100">
        <v>9509.8495203826351</v>
      </c>
      <c r="AV36" s="100">
        <v>15</v>
      </c>
      <c r="AW36" s="100">
        <v>11412</v>
      </c>
      <c r="AX36" s="100">
        <v>14</v>
      </c>
      <c r="AY36" s="100">
        <v>10651.199999999999</v>
      </c>
      <c r="AZ36" s="100">
        <v>17.173016564588632</v>
      </c>
      <c r="BA36" s="100">
        <v>13065.231002339031</v>
      </c>
      <c r="BB36" s="100">
        <v>0</v>
      </c>
      <c r="BC36" s="100">
        <v>0</v>
      </c>
      <c r="BD36" s="100">
        <v>11.292004989895133</v>
      </c>
      <c r="BE36" s="100">
        <v>8590.9573963122166</v>
      </c>
      <c r="BF36" s="100">
        <v>12.918034209504333</v>
      </c>
      <c r="BG36" s="100">
        <v>9828.0404265908965</v>
      </c>
      <c r="BH36" s="100">
        <v>12</v>
      </c>
      <c r="BI36" s="100">
        <v>9129.5999999999985</v>
      </c>
      <c r="BJ36" s="100">
        <v>17.465097735364544</v>
      </c>
      <c r="BK36" s="100">
        <v>13287.446357065344</v>
      </c>
      <c r="BL36" s="100">
        <v>15.830371578715834</v>
      </c>
      <c r="BM36" s="100">
        <v>12043.746697087006</v>
      </c>
      <c r="BN36" s="100">
        <v>12</v>
      </c>
      <c r="BO36" s="100">
        <v>9129.5999999999985</v>
      </c>
      <c r="BP36" s="100">
        <v>16</v>
      </c>
      <c r="BQ36" s="100">
        <v>12172.8</v>
      </c>
      <c r="BR36" s="100">
        <v>16</v>
      </c>
      <c r="BS36" s="100">
        <v>12172.8</v>
      </c>
      <c r="BT36" s="100">
        <v>21</v>
      </c>
      <c r="BU36" s="100">
        <v>15976.8</v>
      </c>
      <c r="BV36" s="100">
        <v>23</v>
      </c>
      <c r="BW36" s="100">
        <v>17498.399999999998</v>
      </c>
      <c r="BX36" s="100">
        <v>6.1086657999384242</v>
      </c>
      <c r="BY36" s="100">
        <v>4647.472940593153</v>
      </c>
      <c r="BZ36" s="100">
        <v>9.244737444335021</v>
      </c>
      <c r="CA36" s="100">
        <v>7033.3962476500838</v>
      </c>
      <c r="CB36" s="100">
        <v>5.399916093898911</v>
      </c>
      <c r="CC36" s="100">
        <v>4108.2561642382916</v>
      </c>
      <c r="CD36" s="100">
        <v>14.43430414540776</v>
      </c>
      <c r="CE36" s="100">
        <v>10981.618593826222</v>
      </c>
      <c r="CF36" s="100">
        <v>21</v>
      </c>
      <c r="CG36" s="100">
        <v>15976.8</v>
      </c>
      <c r="CH36" s="100">
        <v>13</v>
      </c>
      <c r="CI36" s="100">
        <v>9890.4</v>
      </c>
      <c r="CJ36" s="100">
        <v>6.6439118278572469</v>
      </c>
      <c r="CK36" s="100">
        <v>5054.6881186337932</v>
      </c>
      <c r="CL36" s="100">
        <v>15</v>
      </c>
      <c r="CM36" s="100">
        <v>11412</v>
      </c>
      <c r="CN36" s="100">
        <v>20</v>
      </c>
      <c r="CO36" s="100">
        <v>15216</v>
      </c>
      <c r="CP36" s="100">
        <v>13.555664275600011</v>
      </c>
      <c r="CQ36" s="100">
        <v>10313.149380876488</v>
      </c>
      <c r="CR36" s="100">
        <v>14.366588327862642</v>
      </c>
      <c r="CS36" s="100">
        <v>10930.100399837898</v>
      </c>
      <c r="CT36" s="100">
        <v>15.821697402508319</v>
      </c>
      <c r="CU36" s="100">
        <v>12037.147383828327</v>
      </c>
    </row>
    <row r="37" spans="2:99">
      <c r="B37" s="99" t="s">
        <v>128</v>
      </c>
      <c r="C37" s="99" t="s">
        <v>203</v>
      </c>
      <c r="D37" s="100">
        <v>12.111094701071757</v>
      </c>
      <c r="E37" s="100">
        <v>10420.38588080214</v>
      </c>
      <c r="F37" s="100">
        <v>7.358375954351688</v>
      </c>
      <c r="G37" s="100">
        <v>6331.1466711241919</v>
      </c>
      <c r="H37" s="100">
        <v>15</v>
      </c>
      <c r="I37" s="100">
        <v>12906</v>
      </c>
      <c r="J37" s="100">
        <v>15</v>
      </c>
      <c r="K37" s="100">
        <v>12906</v>
      </c>
      <c r="L37" s="100">
        <v>6.0513855783129289</v>
      </c>
      <c r="M37" s="100">
        <v>5206.6121515804443</v>
      </c>
      <c r="N37" s="100">
        <v>7.6467185432428249</v>
      </c>
      <c r="O37" s="100">
        <v>6579.2366346061262</v>
      </c>
      <c r="P37" s="100">
        <v>12</v>
      </c>
      <c r="Q37" s="100">
        <v>10324.799999999999</v>
      </c>
      <c r="R37" s="100">
        <v>11</v>
      </c>
      <c r="S37" s="100">
        <v>9464.4</v>
      </c>
      <c r="T37" s="100">
        <v>7</v>
      </c>
      <c r="U37" s="100">
        <v>6022.8</v>
      </c>
      <c r="V37" s="100">
        <v>10</v>
      </c>
      <c r="W37" s="100">
        <v>8604</v>
      </c>
      <c r="X37" s="100">
        <v>12</v>
      </c>
      <c r="Y37" s="100">
        <v>10324.799999999999</v>
      </c>
      <c r="Z37" s="100">
        <v>7</v>
      </c>
      <c r="AA37" s="100">
        <v>6022.8</v>
      </c>
      <c r="AB37" s="100">
        <v>9</v>
      </c>
      <c r="AC37" s="100">
        <v>7743.5999999999995</v>
      </c>
      <c r="AD37" s="100">
        <v>8</v>
      </c>
      <c r="AE37" s="100">
        <v>6883.2</v>
      </c>
      <c r="AF37" s="100">
        <v>13</v>
      </c>
      <c r="AG37" s="100">
        <v>11185.199999999999</v>
      </c>
      <c r="AH37" s="100">
        <v>14</v>
      </c>
      <c r="AI37" s="100">
        <v>12045.6</v>
      </c>
      <c r="AJ37" s="100">
        <v>11</v>
      </c>
      <c r="AK37" s="100">
        <v>9464.4</v>
      </c>
      <c r="AL37" s="100">
        <v>9</v>
      </c>
      <c r="AM37" s="100">
        <v>7743.5999999999995</v>
      </c>
      <c r="AN37" s="100">
        <v>10</v>
      </c>
      <c r="AO37" s="100">
        <v>8604</v>
      </c>
      <c r="AP37" s="100">
        <v>12</v>
      </c>
      <c r="AQ37" s="100">
        <v>10324.799999999999</v>
      </c>
      <c r="AR37" s="100">
        <v>15</v>
      </c>
      <c r="AS37" s="100">
        <v>12906</v>
      </c>
      <c r="AT37" s="100">
        <v>5.2630746141915088</v>
      </c>
      <c r="AU37" s="100">
        <v>4528.3493980503745</v>
      </c>
      <c r="AV37" s="100">
        <v>14</v>
      </c>
      <c r="AW37" s="100">
        <v>12045.6</v>
      </c>
      <c r="AX37" s="100">
        <v>11</v>
      </c>
      <c r="AY37" s="100">
        <v>9464.4</v>
      </c>
      <c r="AZ37" s="100">
        <v>12.653801679170572</v>
      </c>
      <c r="BA37" s="100">
        <v>10887.330964758359</v>
      </c>
      <c r="BB37" s="100">
        <v>0</v>
      </c>
      <c r="BC37" s="100">
        <v>0</v>
      </c>
      <c r="BD37" s="100">
        <v>11.292004989895133</v>
      </c>
      <c r="BE37" s="100">
        <v>9715.6410933057723</v>
      </c>
      <c r="BF37" s="100">
        <v>7.4788619107656666</v>
      </c>
      <c r="BG37" s="100">
        <v>6434.8127880227794</v>
      </c>
      <c r="BH37" s="100">
        <v>9</v>
      </c>
      <c r="BI37" s="100">
        <v>7743.5999999999995</v>
      </c>
      <c r="BJ37" s="100">
        <v>9.6058037544504984</v>
      </c>
      <c r="BK37" s="100">
        <v>8264.8335503292092</v>
      </c>
      <c r="BL37" s="100">
        <v>7.9151857893579169</v>
      </c>
      <c r="BM37" s="100">
        <v>6810.2258531635516</v>
      </c>
      <c r="BN37" s="100">
        <v>13</v>
      </c>
      <c r="BO37" s="100">
        <v>11185.199999999999</v>
      </c>
      <c r="BP37" s="100">
        <v>8</v>
      </c>
      <c r="BQ37" s="100">
        <v>6883.2</v>
      </c>
      <c r="BR37" s="100">
        <v>14</v>
      </c>
      <c r="BS37" s="100">
        <v>12045.6</v>
      </c>
      <c r="BT37" s="100">
        <v>12</v>
      </c>
      <c r="BU37" s="100">
        <v>10324.799999999999</v>
      </c>
      <c r="BV37" s="100">
        <v>14</v>
      </c>
      <c r="BW37" s="100">
        <v>12045.6</v>
      </c>
      <c r="BX37" s="100">
        <v>7.1267767665948281</v>
      </c>
      <c r="BY37" s="100">
        <v>6131.8787299781898</v>
      </c>
      <c r="BZ37" s="100">
        <v>6.603383888810729</v>
      </c>
      <c r="CA37" s="100">
        <v>5681.5514979327509</v>
      </c>
      <c r="CB37" s="100">
        <v>2.907647127484029</v>
      </c>
      <c r="CC37" s="100">
        <v>2501.7395884872585</v>
      </c>
      <c r="CD37" s="100">
        <v>6.5610473388217088</v>
      </c>
      <c r="CE37" s="100">
        <v>5645.1251303221979</v>
      </c>
      <c r="CF37" s="100">
        <v>15</v>
      </c>
      <c r="CG37" s="100">
        <v>12906</v>
      </c>
      <c r="CH37" s="100">
        <v>16</v>
      </c>
      <c r="CI37" s="100">
        <v>13766.4</v>
      </c>
      <c r="CJ37" s="100">
        <v>5.6217715466484393</v>
      </c>
      <c r="CK37" s="100">
        <v>4836.9722387363172</v>
      </c>
      <c r="CL37" s="100">
        <v>9</v>
      </c>
      <c r="CM37" s="100">
        <v>7743.5999999999995</v>
      </c>
      <c r="CN37" s="100">
        <v>10</v>
      </c>
      <c r="CO37" s="100">
        <v>8604</v>
      </c>
      <c r="CP37" s="100">
        <v>11.415296232084218</v>
      </c>
      <c r="CQ37" s="100">
        <v>9821.7208780852616</v>
      </c>
      <c r="CR37" s="100">
        <v>7.183294163931321</v>
      </c>
      <c r="CS37" s="100">
        <v>6180.5062986465082</v>
      </c>
      <c r="CT37" s="100">
        <v>6.6617673273719236</v>
      </c>
      <c r="CU37" s="100">
        <v>5731.7846084708026</v>
      </c>
    </row>
    <row r="38" spans="2:99">
      <c r="C38" s="99" t="s">
        <v>204</v>
      </c>
      <c r="D38" s="100">
        <v>12.111094701071757</v>
      </c>
      <c r="E38" s="100">
        <v>15041.979618731122</v>
      </c>
      <c r="F38" s="100">
        <v>8.2781729486456488</v>
      </c>
      <c r="G38" s="100">
        <v>10281.490802217895</v>
      </c>
      <c r="H38" s="100">
        <v>13</v>
      </c>
      <c r="I38" s="100">
        <v>16146</v>
      </c>
      <c r="J38" s="100">
        <v>13</v>
      </c>
      <c r="K38" s="100">
        <v>16146</v>
      </c>
      <c r="L38" s="100">
        <v>5.2949623810238124</v>
      </c>
      <c r="M38" s="100">
        <v>6576.3432772315755</v>
      </c>
      <c r="N38" s="100">
        <v>6.9515623120389307</v>
      </c>
      <c r="O38" s="100">
        <v>8633.8403915523522</v>
      </c>
      <c r="P38" s="100">
        <v>12</v>
      </c>
      <c r="Q38" s="100">
        <v>14904</v>
      </c>
      <c r="R38" s="100">
        <v>11</v>
      </c>
      <c r="S38" s="100">
        <v>13662</v>
      </c>
      <c r="T38" s="100">
        <v>7</v>
      </c>
      <c r="U38" s="100">
        <v>8694</v>
      </c>
      <c r="V38" s="100">
        <v>10</v>
      </c>
      <c r="W38" s="100">
        <v>12420</v>
      </c>
      <c r="X38" s="100">
        <v>12</v>
      </c>
      <c r="Y38" s="100">
        <v>14904</v>
      </c>
      <c r="Z38" s="100">
        <v>8</v>
      </c>
      <c r="AA38" s="100">
        <v>9936</v>
      </c>
      <c r="AB38" s="100">
        <v>10</v>
      </c>
      <c r="AC38" s="100">
        <v>12420</v>
      </c>
      <c r="AD38" s="100">
        <v>8</v>
      </c>
      <c r="AE38" s="100">
        <v>9936</v>
      </c>
      <c r="AF38" s="100">
        <v>13</v>
      </c>
      <c r="AG38" s="100">
        <v>16146</v>
      </c>
      <c r="AH38" s="100">
        <v>15</v>
      </c>
      <c r="AI38" s="100">
        <v>18630</v>
      </c>
      <c r="AJ38" s="100">
        <v>10</v>
      </c>
      <c r="AK38" s="100">
        <v>12420</v>
      </c>
      <c r="AL38" s="100">
        <v>7</v>
      </c>
      <c r="AM38" s="100">
        <v>8694</v>
      </c>
      <c r="AN38" s="100">
        <v>11</v>
      </c>
      <c r="AO38" s="100">
        <v>13662</v>
      </c>
      <c r="AP38" s="100">
        <v>12</v>
      </c>
      <c r="AQ38" s="100">
        <v>14904</v>
      </c>
      <c r="AR38" s="100">
        <v>15</v>
      </c>
      <c r="AS38" s="100">
        <v>18630</v>
      </c>
      <c r="AT38" s="100">
        <v>4.6051902874175701</v>
      </c>
      <c r="AU38" s="100">
        <v>5719.6463369726216</v>
      </c>
      <c r="AV38" s="100">
        <v>14</v>
      </c>
      <c r="AW38" s="100">
        <v>17388</v>
      </c>
      <c r="AX38" s="100">
        <v>10</v>
      </c>
      <c r="AY38" s="100">
        <v>12420</v>
      </c>
      <c r="AZ38" s="100">
        <v>10.846115725003346</v>
      </c>
      <c r="BA38" s="100">
        <v>13470.875730454156</v>
      </c>
      <c r="BB38" s="100">
        <v>0</v>
      </c>
      <c r="BC38" s="100">
        <v>0</v>
      </c>
      <c r="BD38" s="100">
        <v>10.351004574070538</v>
      </c>
      <c r="BE38" s="100">
        <v>12855.947680995609</v>
      </c>
      <c r="BF38" s="100">
        <v>7.4788619107656666</v>
      </c>
      <c r="BG38" s="100">
        <v>9288.7464931709583</v>
      </c>
      <c r="BH38" s="100">
        <v>10</v>
      </c>
      <c r="BI38" s="100">
        <v>12420</v>
      </c>
      <c r="BJ38" s="100">
        <v>9.6058037544504984</v>
      </c>
      <c r="BK38" s="100">
        <v>11930.408263027519</v>
      </c>
      <c r="BL38" s="100">
        <v>7.1236672104221253</v>
      </c>
      <c r="BM38" s="100">
        <v>8847.5946753442804</v>
      </c>
      <c r="BN38" s="100">
        <v>14</v>
      </c>
      <c r="BO38" s="100">
        <v>17388</v>
      </c>
      <c r="BP38" s="100">
        <v>7</v>
      </c>
      <c r="BQ38" s="100">
        <v>8694</v>
      </c>
      <c r="BR38" s="100">
        <v>14</v>
      </c>
      <c r="BS38" s="100">
        <v>17388</v>
      </c>
      <c r="BT38" s="100">
        <v>11</v>
      </c>
      <c r="BU38" s="100">
        <v>13662</v>
      </c>
      <c r="BV38" s="100">
        <v>15</v>
      </c>
      <c r="BW38" s="100">
        <v>18630</v>
      </c>
      <c r="BX38" s="100">
        <v>8.1448877332512328</v>
      </c>
      <c r="BY38" s="100">
        <v>10115.950564698031</v>
      </c>
      <c r="BZ38" s="100">
        <v>5.9430454999296565</v>
      </c>
      <c r="CA38" s="100">
        <v>7381.2625109126329</v>
      </c>
      <c r="CB38" s="100">
        <v>3.3230252885531759</v>
      </c>
      <c r="CC38" s="100">
        <v>4127.1974083830446</v>
      </c>
      <c r="CD38" s="100">
        <v>6.5610473388217088</v>
      </c>
      <c r="CE38" s="100">
        <v>8148.8207948165618</v>
      </c>
      <c r="CF38" s="100">
        <v>14</v>
      </c>
      <c r="CG38" s="100">
        <v>17388</v>
      </c>
      <c r="CH38" s="100">
        <v>15</v>
      </c>
      <c r="CI38" s="100">
        <v>18630</v>
      </c>
      <c r="CJ38" s="100">
        <v>5.1107014060440354</v>
      </c>
      <c r="CK38" s="100">
        <v>6347.4911463066919</v>
      </c>
      <c r="CL38" s="100">
        <v>8</v>
      </c>
      <c r="CM38" s="100">
        <v>9936</v>
      </c>
      <c r="CN38" s="100">
        <v>10</v>
      </c>
      <c r="CO38" s="100">
        <v>12420</v>
      </c>
      <c r="CP38" s="100">
        <v>9.2749281885684276</v>
      </c>
      <c r="CQ38" s="100">
        <v>11519.460810201987</v>
      </c>
      <c r="CR38" s="100">
        <v>7.183294163931321</v>
      </c>
      <c r="CS38" s="100">
        <v>8921.6513516027007</v>
      </c>
      <c r="CT38" s="100">
        <v>6.6617673273719236</v>
      </c>
      <c r="CU38" s="100">
        <v>8273.9150205959286</v>
      </c>
    </row>
    <row r="39" spans="2:99">
      <c r="C39" s="99" t="s">
        <v>205</v>
      </c>
      <c r="D39" s="100">
        <v>11.246016508138061</v>
      </c>
      <c r="E39" s="100">
        <v>16005.330694382088</v>
      </c>
      <c r="F39" s="100">
        <v>7.358375954351688</v>
      </c>
      <c r="G39" s="100">
        <v>10472.440658233323</v>
      </c>
      <c r="H39" s="100">
        <v>15</v>
      </c>
      <c r="I39" s="100">
        <v>21348</v>
      </c>
      <c r="J39" s="100">
        <v>13</v>
      </c>
      <c r="K39" s="100">
        <v>18501.600000000002</v>
      </c>
      <c r="L39" s="100">
        <v>5.2949623810238124</v>
      </c>
      <c r="M39" s="100">
        <v>7535.7904606730899</v>
      </c>
      <c r="N39" s="100">
        <v>7.6467185432428249</v>
      </c>
      <c r="O39" s="100">
        <v>10882.809830743188</v>
      </c>
      <c r="P39" s="100">
        <v>12</v>
      </c>
      <c r="Q39" s="100">
        <v>17078.400000000001</v>
      </c>
      <c r="R39" s="100">
        <v>10</v>
      </c>
      <c r="S39" s="100">
        <v>14232</v>
      </c>
      <c r="T39" s="100">
        <v>7</v>
      </c>
      <c r="U39" s="100">
        <v>9962.4</v>
      </c>
      <c r="V39" s="100">
        <v>10</v>
      </c>
      <c r="W39" s="100">
        <v>14232</v>
      </c>
      <c r="X39" s="100">
        <v>10</v>
      </c>
      <c r="Y39" s="100">
        <v>14232</v>
      </c>
      <c r="Z39" s="100">
        <v>8</v>
      </c>
      <c r="AA39" s="100">
        <v>11385.6</v>
      </c>
      <c r="AB39" s="100">
        <v>9</v>
      </c>
      <c r="AC39" s="100">
        <v>12808.800000000001</v>
      </c>
      <c r="AD39" s="100">
        <v>8</v>
      </c>
      <c r="AE39" s="100">
        <v>11385.6</v>
      </c>
      <c r="AF39" s="100">
        <v>12</v>
      </c>
      <c r="AG39" s="100">
        <v>17078.400000000001</v>
      </c>
      <c r="AH39" s="100">
        <v>14</v>
      </c>
      <c r="AI39" s="100">
        <v>19924.8</v>
      </c>
      <c r="AJ39" s="100">
        <v>10</v>
      </c>
      <c r="AK39" s="100">
        <v>14232</v>
      </c>
      <c r="AL39" s="100">
        <v>8</v>
      </c>
      <c r="AM39" s="100">
        <v>11385.6</v>
      </c>
      <c r="AN39" s="100">
        <v>10</v>
      </c>
      <c r="AO39" s="100">
        <v>14232</v>
      </c>
      <c r="AP39" s="100">
        <v>12</v>
      </c>
      <c r="AQ39" s="100">
        <v>17078.400000000001</v>
      </c>
      <c r="AR39" s="100">
        <v>14</v>
      </c>
      <c r="AS39" s="100">
        <v>19924.8</v>
      </c>
      <c r="AT39" s="100">
        <v>4.6051902874175701</v>
      </c>
      <c r="AU39" s="100">
        <v>6554.106817052686</v>
      </c>
      <c r="AV39" s="100">
        <v>13</v>
      </c>
      <c r="AW39" s="100">
        <v>18501.600000000002</v>
      </c>
      <c r="AX39" s="100">
        <v>11</v>
      </c>
      <c r="AY39" s="100">
        <v>15655.2</v>
      </c>
      <c r="AZ39" s="100">
        <v>12.653801679170572</v>
      </c>
      <c r="BA39" s="100">
        <v>18008.89054979556</v>
      </c>
      <c r="BB39" s="100">
        <v>0</v>
      </c>
      <c r="BC39" s="100">
        <v>0</v>
      </c>
      <c r="BD39" s="100">
        <v>10.351004574070538</v>
      </c>
      <c r="BE39" s="100">
        <v>14731.549709817191</v>
      </c>
      <c r="BF39" s="100">
        <v>7.4788619107656666</v>
      </c>
      <c r="BG39" s="100">
        <v>10643.916271401697</v>
      </c>
      <c r="BH39" s="100">
        <v>10</v>
      </c>
      <c r="BI39" s="100">
        <v>14232</v>
      </c>
      <c r="BJ39" s="100">
        <v>11.352313527986952</v>
      </c>
      <c r="BK39" s="100">
        <v>16156.612613031031</v>
      </c>
      <c r="BL39" s="100">
        <v>7.1236672104221253</v>
      </c>
      <c r="BM39" s="100">
        <v>10138.403173872768</v>
      </c>
      <c r="BN39" s="100">
        <v>14</v>
      </c>
      <c r="BO39" s="100">
        <v>19924.8</v>
      </c>
      <c r="BP39" s="100">
        <v>7</v>
      </c>
      <c r="BQ39" s="100">
        <v>9962.4</v>
      </c>
      <c r="BR39" s="100">
        <v>13</v>
      </c>
      <c r="BS39" s="100">
        <v>18501.600000000002</v>
      </c>
      <c r="BT39" s="100">
        <v>10</v>
      </c>
      <c r="BU39" s="100">
        <v>14232</v>
      </c>
      <c r="BV39" s="100">
        <v>16</v>
      </c>
      <c r="BW39" s="100">
        <v>22771.200000000001</v>
      </c>
      <c r="BX39" s="100">
        <v>8.1448877332512328</v>
      </c>
      <c r="BY39" s="100">
        <v>11591.804221963155</v>
      </c>
      <c r="BZ39" s="100">
        <v>5.282707111048583</v>
      </c>
      <c r="CA39" s="100">
        <v>7518.3487604443435</v>
      </c>
      <c r="CB39" s="100">
        <v>3.3230252885531759</v>
      </c>
      <c r="CC39" s="100">
        <v>4729.32959066888</v>
      </c>
      <c r="CD39" s="100">
        <v>5.9049426049395386</v>
      </c>
      <c r="CE39" s="100">
        <v>8403.9143153499517</v>
      </c>
      <c r="CF39" s="100">
        <v>15</v>
      </c>
      <c r="CG39" s="100">
        <v>21348</v>
      </c>
      <c r="CH39" s="100">
        <v>14</v>
      </c>
      <c r="CI39" s="100">
        <v>19924.8</v>
      </c>
      <c r="CJ39" s="100">
        <v>5.1107014060440354</v>
      </c>
      <c r="CK39" s="100">
        <v>7273.5502410818717</v>
      </c>
      <c r="CL39" s="100">
        <v>10</v>
      </c>
      <c r="CM39" s="100">
        <v>14232</v>
      </c>
      <c r="CN39" s="100">
        <v>10</v>
      </c>
      <c r="CO39" s="100">
        <v>14232</v>
      </c>
      <c r="CP39" s="100">
        <v>10.701840217578955</v>
      </c>
      <c r="CQ39" s="100">
        <v>15230.858997658368</v>
      </c>
      <c r="CR39" s="100">
        <v>6.2853823934399058</v>
      </c>
      <c r="CS39" s="100">
        <v>8945.3562223436747</v>
      </c>
      <c r="CT39" s="100">
        <v>6.6617673273719236</v>
      </c>
      <c r="CU39" s="100">
        <v>9481.0272603157227</v>
      </c>
    </row>
    <row r="40" spans="2:99">
      <c r="C40" s="99" t="s">
        <v>206</v>
      </c>
      <c r="D40" s="100">
        <v>12.111094701071757</v>
      </c>
      <c r="E40" s="100">
        <v>8778.1214393368082</v>
      </c>
      <c r="F40" s="100">
        <v>8.2781729486456488</v>
      </c>
      <c r="G40" s="100">
        <v>6000.019753178366</v>
      </c>
      <c r="H40" s="100">
        <v>13</v>
      </c>
      <c r="I40" s="100">
        <v>9422.4</v>
      </c>
      <c r="J40" s="100">
        <v>14</v>
      </c>
      <c r="K40" s="100">
        <v>10147.199999999999</v>
      </c>
      <c r="L40" s="100">
        <v>6.0513855783129289</v>
      </c>
      <c r="M40" s="100">
        <v>4386.0442671612109</v>
      </c>
      <c r="N40" s="100">
        <v>8.341874774446719</v>
      </c>
      <c r="O40" s="100">
        <v>6046.190836518982</v>
      </c>
      <c r="P40" s="100">
        <v>13</v>
      </c>
      <c r="Q40" s="100">
        <v>9422.4</v>
      </c>
      <c r="R40" s="100">
        <v>10</v>
      </c>
      <c r="S40" s="100">
        <v>7248</v>
      </c>
      <c r="T40" s="100">
        <v>8</v>
      </c>
      <c r="U40" s="100">
        <v>5798.4</v>
      </c>
      <c r="V40" s="100">
        <v>10</v>
      </c>
      <c r="W40" s="100">
        <v>7248</v>
      </c>
      <c r="X40" s="100">
        <v>11</v>
      </c>
      <c r="Y40" s="100">
        <v>7972.7999999999993</v>
      </c>
      <c r="Z40" s="100">
        <v>8</v>
      </c>
      <c r="AA40" s="100">
        <v>5798.4</v>
      </c>
      <c r="AB40" s="100">
        <v>11</v>
      </c>
      <c r="AC40" s="100">
        <v>7972.7999999999993</v>
      </c>
      <c r="AD40" s="100">
        <v>8</v>
      </c>
      <c r="AE40" s="100">
        <v>5798.4</v>
      </c>
      <c r="AF40" s="100">
        <v>13</v>
      </c>
      <c r="AG40" s="100">
        <v>9422.4</v>
      </c>
      <c r="AH40" s="100">
        <v>15</v>
      </c>
      <c r="AI40" s="100">
        <v>10872</v>
      </c>
      <c r="AJ40" s="100">
        <v>12</v>
      </c>
      <c r="AK40" s="100">
        <v>8697.5999999999985</v>
      </c>
      <c r="AL40" s="100">
        <v>8</v>
      </c>
      <c r="AM40" s="100">
        <v>5798.4</v>
      </c>
      <c r="AN40" s="100">
        <v>10</v>
      </c>
      <c r="AO40" s="100">
        <v>7248</v>
      </c>
      <c r="AP40" s="100">
        <v>13</v>
      </c>
      <c r="AQ40" s="100">
        <v>9422.4</v>
      </c>
      <c r="AR40" s="100">
        <v>16</v>
      </c>
      <c r="AS40" s="100">
        <v>11596.8</v>
      </c>
      <c r="AT40" s="100">
        <v>5.2630746141915088</v>
      </c>
      <c r="AU40" s="100">
        <v>3814.6764803660053</v>
      </c>
      <c r="AV40" s="100">
        <v>15</v>
      </c>
      <c r="AW40" s="100">
        <v>10872</v>
      </c>
      <c r="AX40" s="100">
        <v>12</v>
      </c>
      <c r="AY40" s="100">
        <v>8697.5999999999985</v>
      </c>
      <c r="AZ40" s="100">
        <v>12.653801679170572</v>
      </c>
      <c r="BA40" s="100">
        <v>9171.4754570628302</v>
      </c>
      <c r="BB40" s="100">
        <v>0</v>
      </c>
      <c r="BC40" s="100">
        <v>0</v>
      </c>
      <c r="BD40" s="100">
        <v>11.292004989895133</v>
      </c>
      <c r="BE40" s="100">
        <v>8184.445216675992</v>
      </c>
      <c r="BF40" s="100">
        <v>8.1587584481079993</v>
      </c>
      <c r="BG40" s="100">
        <v>5913.468123188678</v>
      </c>
      <c r="BH40" s="100">
        <v>10</v>
      </c>
      <c r="BI40" s="100">
        <v>7248</v>
      </c>
      <c r="BJ40" s="100">
        <v>9.6058037544504984</v>
      </c>
      <c r="BK40" s="100">
        <v>6962.286561225721</v>
      </c>
      <c r="BL40" s="100">
        <v>7.9151857893579169</v>
      </c>
      <c r="BM40" s="100">
        <v>5736.9266601266181</v>
      </c>
      <c r="BN40" s="100">
        <v>14</v>
      </c>
      <c r="BO40" s="100">
        <v>10147.199999999999</v>
      </c>
      <c r="BP40" s="100">
        <v>9</v>
      </c>
      <c r="BQ40" s="100">
        <v>6523.2</v>
      </c>
      <c r="BR40" s="100">
        <v>14</v>
      </c>
      <c r="BS40" s="100">
        <v>10147.199999999999</v>
      </c>
      <c r="BT40" s="100">
        <v>11</v>
      </c>
      <c r="BU40" s="100">
        <v>7972.7999999999993</v>
      </c>
      <c r="BV40" s="100">
        <v>16</v>
      </c>
      <c r="BW40" s="100">
        <v>11596.8</v>
      </c>
      <c r="BX40" s="100">
        <v>7.1267767665948281</v>
      </c>
      <c r="BY40" s="100">
        <v>5165.4878004279308</v>
      </c>
      <c r="BZ40" s="100">
        <v>5.9430454999296565</v>
      </c>
      <c r="CA40" s="100">
        <v>4307.5193783490149</v>
      </c>
      <c r="CB40" s="100">
        <v>3.3230252885531759</v>
      </c>
      <c r="CC40" s="100">
        <v>2408.5287291433419</v>
      </c>
      <c r="CD40" s="100">
        <v>6.5610473388217088</v>
      </c>
      <c r="CE40" s="100">
        <v>4755.447111177974</v>
      </c>
      <c r="CF40" s="100">
        <v>14</v>
      </c>
      <c r="CG40" s="100">
        <v>10147.199999999999</v>
      </c>
      <c r="CH40" s="100">
        <v>14</v>
      </c>
      <c r="CI40" s="100">
        <v>10147.199999999999</v>
      </c>
      <c r="CJ40" s="100">
        <v>4.5996312654396325</v>
      </c>
      <c r="CK40" s="100">
        <v>3333.8127411906453</v>
      </c>
      <c r="CL40" s="100">
        <v>9</v>
      </c>
      <c r="CM40" s="100">
        <v>6523.2</v>
      </c>
      <c r="CN40" s="100">
        <v>11</v>
      </c>
      <c r="CO40" s="100">
        <v>7972.7999999999993</v>
      </c>
      <c r="CP40" s="100">
        <v>10.701840217578955</v>
      </c>
      <c r="CQ40" s="100">
        <v>7756.6937897012258</v>
      </c>
      <c r="CR40" s="100">
        <v>8.0812059344227354</v>
      </c>
      <c r="CS40" s="100">
        <v>5857.2580612695983</v>
      </c>
      <c r="CT40" s="100">
        <v>6.6617673273719236</v>
      </c>
      <c r="CU40" s="100">
        <v>4828.4489588791703</v>
      </c>
    </row>
    <row r="41" spans="2:99">
      <c r="C41" s="99" t="s">
        <v>207</v>
      </c>
      <c r="D41" s="100">
        <v>11.246016508138061</v>
      </c>
      <c r="E41" s="100">
        <v>7422.3708953711202</v>
      </c>
      <c r="F41" s="100">
        <v>8.2781729486456488</v>
      </c>
      <c r="G41" s="100">
        <v>5463.5941461061284</v>
      </c>
      <c r="H41" s="100">
        <v>16</v>
      </c>
      <c r="I41" s="100">
        <v>10560</v>
      </c>
      <c r="J41" s="100">
        <v>16</v>
      </c>
      <c r="K41" s="100">
        <v>10560</v>
      </c>
      <c r="L41" s="100">
        <v>6.0513855783129289</v>
      </c>
      <c r="M41" s="100">
        <v>3993.9144816865332</v>
      </c>
      <c r="N41" s="100">
        <v>7.6467185432428249</v>
      </c>
      <c r="O41" s="100">
        <v>5046.8342385402648</v>
      </c>
      <c r="P41" s="100">
        <v>13</v>
      </c>
      <c r="Q41" s="100">
        <v>8580</v>
      </c>
      <c r="R41" s="100">
        <v>11</v>
      </c>
      <c r="S41" s="100">
        <v>7260</v>
      </c>
      <c r="T41" s="100">
        <v>9</v>
      </c>
      <c r="U41" s="100">
        <v>5940</v>
      </c>
      <c r="V41" s="100">
        <v>10</v>
      </c>
      <c r="W41" s="100">
        <v>6600</v>
      </c>
      <c r="X41" s="100">
        <v>12</v>
      </c>
      <c r="Y41" s="100">
        <v>7920</v>
      </c>
      <c r="Z41" s="100">
        <v>7</v>
      </c>
      <c r="AA41" s="100">
        <v>4620</v>
      </c>
      <c r="AB41" s="100">
        <v>9</v>
      </c>
      <c r="AC41" s="100">
        <v>5940</v>
      </c>
      <c r="AD41" s="100">
        <v>8</v>
      </c>
      <c r="AE41" s="100">
        <v>5280</v>
      </c>
      <c r="AF41" s="100">
        <v>13</v>
      </c>
      <c r="AG41" s="100">
        <v>8580</v>
      </c>
      <c r="AH41" s="100">
        <v>14</v>
      </c>
      <c r="AI41" s="100">
        <v>9240</v>
      </c>
      <c r="AJ41" s="100">
        <v>10</v>
      </c>
      <c r="AK41" s="100">
        <v>6600</v>
      </c>
      <c r="AL41" s="100">
        <v>8</v>
      </c>
      <c r="AM41" s="100">
        <v>5280</v>
      </c>
      <c r="AN41" s="100">
        <v>12</v>
      </c>
      <c r="AO41" s="100">
        <v>7920</v>
      </c>
      <c r="AP41" s="100">
        <v>14</v>
      </c>
      <c r="AQ41" s="100">
        <v>9240</v>
      </c>
      <c r="AR41" s="100">
        <v>16</v>
      </c>
      <c r="AS41" s="100">
        <v>10560</v>
      </c>
      <c r="AT41" s="100">
        <v>4.6051902874175701</v>
      </c>
      <c r="AU41" s="100">
        <v>3039.425589695596</v>
      </c>
      <c r="AV41" s="100">
        <v>16</v>
      </c>
      <c r="AW41" s="100">
        <v>10560</v>
      </c>
      <c r="AX41" s="100">
        <v>12</v>
      </c>
      <c r="AY41" s="100">
        <v>7920</v>
      </c>
      <c r="AZ41" s="100">
        <v>11.74995870208696</v>
      </c>
      <c r="BA41" s="100">
        <v>7754.9727433773942</v>
      </c>
      <c r="BB41" s="100">
        <v>0</v>
      </c>
      <c r="BC41" s="100">
        <v>0</v>
      </c>
      <c r="BD41" s="100">
        <v>11.292004989895133</v>
      </c>
      <c r="BE41" s="100">
        <v>7452.7232933307878</v>
      </c>
      <c r="BF41" s="100">
        <v>7.4788619107656666</v>
      </c>
      <c r="BG41" s="100">
        <v>4936.0488611053397</v>
      </c>
      <c r="BH41" s="100">
        <v>9</v>
      </c>
      <c r="BI41" s="100">
        <v>5940</v>
      </c>
      <c r="BJ41" s="100">
        <v>9.6058037544504984</v>
      </c>
      <c r="BK41" s="100">
        <v>6339.8304779373293</v>
      </c>
      <c r="BL41" s="100">
        <v>7.9151857893579169</v>
      </c>
      <c r="BM41" s="100">
        <v>5224.022620976225</v>
      </c>
      <c r="BN41" s="100">
        <v>13</v>
      </c>
      <c r="BO41" s="100">
        <v>8580</v>
      </c>
      <c r="BP41" s="100">
        <v>9</v>
      </c>
      <c r="BQ41" s="100">
        <v>5940</v>
      </c>
      <c r="BR41" s="100">
        <v>14</v>
      </c>
      <c r="BS41" s="100">
        <v>9240</v>
      </c>
      <c r="BT41" s="100">
        <v>11</v>
      </c>
      <c r="BU41" s="100">
        <v>7260</v>
      </c>
      <c r="BV41" s="100">
        <v>15</v>
      </c>
      <c r="BW41" s="100">
        <v>9900</v>
      </c>
      <c r="BX41" s="100">
        <v>8.6539432165794352</v>
      </c>
      <c r="BY41" s="100">
        <v>5711.6025229424276</v>
      </c>
      <c r="BZ41" s="100">
        <v>5.9430454999296565</v>
      </c>
      <c r="CA41" s="100">
        <v>3922.4100299535735</v>
      </c>
      <c r="CB41" s="100">
        <v>3.7384034496223224</v>
      </c>
      <c r="CC41" s="100">
        <v>2467.3462767507326</v>
      </c>
      <c r="CD41" s="100">
        <v>6.5610473388217088</v>
      </c>
      <c r="CE41" s="100">
        <v>4330.2912436223278</v>
      </c>
      <c r="CF41" s="100">
        <v>16</v>
      </c>
      <c r="CG41" s="100">
        <v>10560</v>
      </c>
      <c r="CH41" s="100">
        <v>16</v>
      </c>
      <c r="CI41" s="100">
        <v>10560</v>
      </c>
      <c r="CJ41" s="100">
        <v>5.6217715466484393</v>
      </c>
      <c r="CK41" s="100">
        <v>3710.3692207879699</v>
      </c>
      <c r="CL41" s="100">
        <v>9</v>
      </c>
      <c r="CM41" s="100">
        <v>5940</v>
      </c>
      <c r="CN41" s="100">
        <v>11</v>
      </c>
      <c r="CO41" s="100">
        <v>7260</v>
      </c>
      <c r="CP41" s="100">
        <v>9.9883842030736911</v>
      </c>
      <c r="CQ41" s="100">
        <v>6592.3335740286366</v>
      </c>
      <c r="CR41" s="100">
        <v>8.0812059344227354</v>
      </c>
      <c r="CS41" s="100">
        <v>5333.5959167190058</v>
      </c>
      <c r="CT41" s="100">
        <v>7.4944882432934135</v>
      </c>
      <c r="CU41" s="100">
        <v>4946.3622405736533</v>
      </c>
    </row>
    <row r="42" spans="2:99">
      <c r="C42" s="99" t="s">
        <v>208</v>
      </c>
      <c r="D42" s="100">
        <v>12.976172894005455</v>
      </c>
      <c r="E42" s="100">
        <v>10977.842268328615</v>
      </c>
      <c r="F42" s="100">
        <v>8.2781729486456488</v>
      </c>
      <c r="G42" s="100">
        <v>7003.3343145542185</v>
      </c>
      <c r="H42" s="100">
        <v>15</v>
      </c>
      <c r="I42" s="100">
        <v>12690</v>
      </c>
      <c r="J42" s="100">
        <v>15</v>
      </c>
      <c r="K42" s="100">
        <v>12690</v>
      </c>
      <c r="L42" s="100">
        <v>5.2949623810238124</v>
      </c>
      <c r="M42" s="100">
        <v>4479.5381743461458</v>
      </c>
      <c r="N42" s="100">
        <v>8.341874774446719</v>
      </c>
      <c r="O42" s="100">
        <v>7057.226059181924</v>
      </c>
      <c r="P42" s="100">
        <v>14</v>
      </c>
      <c r="Q42" s="100">
        <v>11844</v>
      </c>
      <c r="R42" s="100">
        <v>11</v>
      </c>
      <c r="S42" s="100">
        <v>9306</v>
      </c>
      <c r="T42" s="100">
        <v>8</v>
      </c>
      <c r="U42" s="100">
        <v>6768</v>
      </c>
      <c r="V42" s="100">
        <v>10</v>
      </c>
      <c r="W42" s="100">
        <v>8460</v>
      </c>
      <c r="X42" s="100">
        <v>10</v>
      </c>
      <c r="Y42" s="100">
        <v>8460</v>
      </c>
      <c r="Z42" s="100">
        <v>8</v>
      </c>
      <c r="AA42" s="100">
        <v>6768</v>
      </c>
      <c r="AB42" s="100">
        <v>11</v>
      </c>
      <c r="AC42" s="100">
        <v>9306</v>
      </c>
      <c r="AD42" s="100">
        <v>8</v>
      </c>
      <c r="AE42" s="100">
        <v>6768</v>
      </c>
      <c r="AF42" s="100">
        <v>13</v>
      </c>
      <c r="AG42" s="100">
        <v>10998</v>
      </c>
      <c r="AH42" s="100">
        <v>15</v>
      </c>
      <c r="AI42" s="100">
        <v>12690</v>
      </c>
      <c r="AJ42" s="100">
        <v>10</v>
      </c>
      <c r="AK42" s="100">
        <v>8460</v>
      </c>
      <c r="AL42" s="100">
        <v>8</v>
      </c>
      <c r="AM42" s="100">
        <v>6768</v>
      </c>
      <c r="AN42" s="100">
        <v>12</v>
      </c>
      <c r="AO42" s="100">
        <v>10152</v>
      </c>
      <c r="AP42" s="100">
        <v>12</v>
      </c>
      <c r="AQ42" s="100">
        <v>10152</v>
      </c>
      <c r="AR42" s="100">
        <v>14</v>
      </c>
      <c r="AS42" s="100">
        <v>11844</v>
      </c>
      <c r="AT42" s="100">
        <v>5.2630746141915088</v>
      </c>
      <c r="AU42" s="100">
        <v>4452.5611236060167</v>
      </c>
      <c r="AV42" s="100">
        <v>14</v>
      </c>
      <c r="AW42" s="100">
        <v>11844</v>
      </c>
      <c r="AX42" s="100">
        <v>11</v>
      </c>
      <c r="AY42" s="100">
        <v>9306</v>
      </c>
      <c r="AZ42" s="100">
        <v>10.846115725003346</v>
      </c>
      <c r="BA42" s="100">
        <v>9175.8139033528296</v>
      </c>
      <c r="BB42" s="100">
        <v>0</v>
      </c>
      <c r="BC42" s="100">
        <v>0</v>
      </c>
      <c r="BD42" s="100">
        <v>11.292004989895133</v>
      </c>
      <c r="BE42" s="100">
        <v>9553.0362214512825</v>
      </c>
      <c r="BF42" s="100">
        <v>7.4788619107656666</v>
      </c>
      <c r="BG42" s="100">
        <v>6327.1171765077543</v>
      </c>
      <c r="BH42" s="100">
        <v>9</v>
      </c>
      <c r="BI42" s="100">
        <v>7614</v>
      </c>
      <c r="BJ42" s="100">
        <v>10.479058641218726</v>
      </c>
      <c r="BK42" s="100">
        <v>8865.2836104710423</v>
      </c>
      <c r="BL42" s="100">
        <v>7.9151857893579169</v>
      </c>
      <c r="BM42" s="100">
        <v>6696.2471777967976</v>
      </c>
      <c r="BN42" s="100">
        <v>14</v>
      </c>
      <c r="BO42" s="100">
        <v>11844</v>
      </c>
      <c r="BP42" s="100">
        <v>9</v>
      </c>
      <c r="BQ42" s="100">
        <v>7614</v>
      </c>
      <c r="BR42" s="100">
        <v>13</v>
      </c>
      <c r="BS42" s="100">
        <v>10998</v>
      </c>
      <c r="BT42" s="100">
        <v>10</v>
      </c>
      <c r="BU42" s="100">
        <v>8460</v>
      </c>
      <c r="BV42" s="100">
        <v>15</v>
      </c>
      <c r="BW42" s="100">
        <v>12690</v>
      </c>
      <c r="BX42" s="100">
        <v>7.1267767665948281</v>
      </c>
      <c r="BY42" s="100">
        <v>6029.2531445392242</v>
      </c>
      <c r="BZ42" s="100">
        <v>5.282707111048583</v>
      </c>
      <c r="CA42" s="100">
        <v>4469.1702159471015</v>
      </c>
      <c r="CB42" s="100">
        <v>3.3230252885531759</v>
      </c>
      <c r="CC42" s="100">
        <v>2811.2793941159866</v>
      </c>
      <c r="CD42" s="100">
        <v>6.5610473388217088</v>
      </c>
      <c r="CE42" s="100">
        <v>5550.6460486431661</v>
      </c>
      <c r="CF42" s="100">
        <v>16</v>
      </c>
      <c r="CG42" s="100">
        <v>13536</v>
      </c>
      <c r="CH42" s="100">
        <v>15</v>
      </c>
      <c r="CI42" s="100">
        <v>12690</v>
      </c>
      <c r="CJ42" s="100">
        <v>5.1107014060440354</v>
      </c>
      <c r="CK42" s="100">
        <v>4323.6533895132543</v>
      </c>
      <c r="CL42" s="100">
        <v>9</v>
      </c>
      <c r="CM42" s="100">
        <v>7614</v>
      </c>
      <c r="CN42" s="100">
        <v>10</v>
      </c>
      <c r="CO42" s="100">
        <v>8460</v>
      </c>
      <c r="CP42" s="100">
        <v>10.701840217578955</v>
      </c>
      <c r="CQ42" s="100">
        <v>9053.7568240717956</v>
      </c>
      <c r="CR42" s="100">
        <v>6.2853823934399058</v>
      </c>
      <c r="CS42" s="100">
        <v>5317.4335048501607</v>
      </c>
      <c r="CT42" s="100">
        <v>6.6617673273719236</v>
      </c>
      <c r="CU42" s="100">
        <v>5635.8551589566478</v>
      </c>
    </row>
    <row r="43" spans="2:99">
      <c r="C43" s="99" t="s">
        <v>209</v>
      </c>
      <c r="D43" s="100">
        <v>12.111094701071757</v>
      </c>
      <c r="E43" s="100">
        <v>12382.383222375764</v>
      </c>
      <c r="F43" s="100">
        <v>8.2781729486456488</v>
      </c>
      <c r="G43" s="100">
        <v>8463.6040226953119</v>
      </c>
      <c r="H43" s="100">
        <v>14</v>
      </c>
      <c r="I43" s="100">
        <v>14313.6</v>
      </c>
      <c r="J43" s="100">
        <v>13</v>
      </c>
      <c r="K43" s="100">
        <v>13291.199999999999</v>
      </c>
      <c r="L43" s="100">
        <v>6.0513855783129289</v>
      </c>
      <c r="M43" s="100">
        <v>6186.9366152671382</v>
      </c>
      <c r="N43" s="100">
        <v>7.6467185432428249</v>
      </c>
      <c r="O43" s="100">
        <v>7818.0050386114635</v>
      </c>
      <c r="P43" s="100">
        <v>12</v>
      </c>
      <c r="Q43" s="100">
        <v>12268.8</v>
      </c>
      <c r="R43" s="100">
        <v>10</v>
      </c>
      <c r="S43" s="100">
        <v>10224</v>
      </c>
      <c r="T43" s="100">
        <v>8</v>
      </c>
      <c r="U43" s="100">
        <v>8179.2</v>
      </c>
      <c r="V43" s="100">
        <v>10</v>
      </c>
      <c r="W43" s="100">
        <v>10224</v>
      </c>
      <c r="X43" s="100">
        <v>12</v>
      </c>
      <c r="Y43" s="100">
        <v>12268.8</v>
      </c>
      <c r="Z43" s="100">
        <v>7</v>
      </c>
      <c r="AA43" s="100">
        <v>7156.8</v>
      </c>
      <c r="AB43" s="100">
        <v>10</v>
      </c>
      <c r="AC43" s="100">
        <v>10224</v>
      </c>
      <c r="AD43" s="100">
        <v>8</v>
      </c>
      <c r="AE43" s="100">
        <v>8179.2</v>
      </c>
      <c r="AF43" s="100">
        <v>14</v>
      </c>
      <c r="AG43" s="100">
        <v>14313.6</v>
      </c>
      <c r="AH43" s="100">
        <v>15</v>
      </c>
      <c r="AI43" s="100">
        <v>15336</v>
      </c>
      <c r="AJ43" s="100">
        <v>10</v>
      </c>
      <c r="AK43" s="100">
        <v>10224</v>
      </c>
      <c r="AL43" s="100">
        <v>8</v>
      </c>
      <c r="AM43" s="100">
        <v>8179.2</v>
      </c>
      <c r="AN43" s="100">
        <v>11</v>
      </c>
      <c r="AO43" s="100">
        <v>11246.4</v>
      </c>
      <c r="AP43" s="100">
        <v>13</v>
      </c>
      <c r="AQ43" s="100">
        <v>13291.199999999999</v>
      </c>
      <c r="AR43" s="100">
        <v>15</v>
      </c>
      <c r="AS43" s="100">
        <v>15336</v>
      </c>
      <c r="AT43" s="100">
        <v>4.6051902874175701</v>
      </c>
      <c r="AU43" s="100">
        <v>4708.3465498557234</v>
      </c>
      <c r="AV43" s="100">
        <v>13</v>
      </c>
      <c r="AW43" s="100">
        <v>13291.199999999999</v>
      </c>
      <c r="AX43" s="100">
        <v>10</v>
      </c>
      <c r="AY43" s="100">
        <v>10224</v>
      </c>
      <c r="AZ43" s="100">
        <v>12.653801679170572</v>
      </c>
      <c r="BA43" s="100">
        <v>12937.246836783992</v>
      </c>
      <c r="BB43" s="100">
        <v>0</v>
      </c>
      <c r="BC43" s="100">
        <v>0</v>
      </c>
      <c r="BD43" s="100">
        <v>11.292004989895133</v>
      </c>
      <c r="BE43" s="100">
        <v>11544.945901668783</v>
      </c>
      <c r="BF43" s="100">
        <v>8.1587584481079993</v>
      </c>
      <c r="BG43" s="100">
        <v>8341.5146373456191</v>
      </c>
      <c r="BH43" s="100">
        <v>9</v>
      </c>
      <c r="BI43" s="100">
        <v>9201.6</v>
      </c>
      <c r="BJ43" s="100">
        <v>11.352313527986952</v>
      </c>
      <c r="BK43" s="100">
        <v>11606.605351013861</v>
      </c>
      <c r="BL43" s="100">
        <v>7.1236672104221253</v>
      </c>
      <c r="BM43" s="100">
        <v>7283.237355935581</v>
      </c>
      <c r="BN43" s="100">
        <v>13</v>
      </c>
      <c r="BO43" s="100">
        <v>13291.199999999999</v>
      </c>
      <c r="BP43" s="100">
        <v>8</v>
      </c>
      <c r="BQ43" s="100">
        <v>8179.2</v>
      </c>
      <c r="BR43" s="100">
        <v>14</v>
      </c>
      <c r="BS43" s="100">
        <v>14313.6</v>
      </c>
      <c r="BT43" s="100">
        <v>12</v>
      </c>
      <c r="BU43" s="100">
        <v>12268.8</v>
      </c>
      <c r="BV43" s="100">
        <v>13</v>
      </c>
      <c r="BW43" s="100">
        <v>13291.199999999999</v>
      </c>
      <c r="BX43" s="100">
        <v>8.1448877332512328</v>
      </c>
      <c r="BY43" s="100">
        <v>8327.3332184760602</v>
      </c>
      <c r="BZ43" s="100">
        <v>5.9430454999296565</v>
      </c>
      <c r="CA43" s="100">
        <v>6076.1697191280809</v>
      </c>
      <c r="CB43" s="100">
        <v>2.907647127484029</v>
      </c>
      <c r="CC43" s="100">
        <v>2972.7784231396713</v>
      </c>
      <c r="CD43" s="100">
        <v>7.2171520727038798</v>
      </c>
      <c r="CE43" s="100">
        <v>7378.8162791324467</v>
      </c>
      <c r="CF43" s="100">
        <v>16</v>
      </c>
      <c r="CG43" s="100">
        <v>16358.4</v>
      </c>
      <c r="CH43" s="100">
        <v>16</v>
      </c>
      <c r="CI43" s="100">
        <v>16358.4</v>
      </c>
      <c r="CJ43" s="100">
        <v>5.6217715466484393</v>
      </c>
      <c r="CK43" s="100">
        <v>5747.6992292933637</v>
      </c>
      <c r="CL43" s="100">
        <v>10</v>
      </c>
      <c r="CM43" s="100">
        <v>10224</v>
      </c>
      <c r="CN43" s="100">
        <v>11</v>
      </c>
      <c r="CO43" s="100">
        <v>11246.4</v>
      </c>
      <c r="CP43" s="100">
        <v>9.9883842030736911</v>
      </c>
      <c r="CQ43" s="100">
        <v>10212.124009222542</v>
      </c>
      <c r="CR43" s="100">
        <v>6.2853823934399058</v>
      </c>
      <c r="CS43" s="100">
        <v>6426.1749590529598</v>
      </c>
      <c r="CT43" s="100">
        <v>6.6617673273719236</v>
      </c>
      <c r="CU43" s="100">
        <v>6810.9909155050545</v>
      </c>
    </row>
    <row r="44" spans="2:99">
      <c r="C44" s="99" t="s">
        <v>210</v>
      </c>
      <c r="D44" s="100">
        <v>12.111094701071757</v>
      </c>
      <c r="E44" s="100">
        <v>12382.383222375764</v>
      </c>
      <c r="F44" s="100">
        <v>8.2781729486456488</v>
      </c>
      <c r="G44" s="100">
        <v>8463.6040226953119</v>
      </c>
      <c r="H44" s="100">
        <v>15</v>
      </c>
      <c r="I44" s="100">
        <v>15336</v>
      </c>
      <c r="J44" s="100">
        <v>14</v>
      </c>
      <c r="K44" s="100">
        <v>14313.6</v>
      </c>
      <c r="L44" s="100">
        <v>6.0513855783129289</v>
      </c>
      <c r="M44" s="100">
        <v>6186.9366152671382</v>
      </c>
      <c r="N44" s="100">
        <v>7.6467185432428249</v>
      </c>
      <c r="O44" s="100">
        <v>7818.0050386114635</v>
      </c>
      <c r="P44" s="100">
        <v>14</v>
      </c>
      <c r="Q44" s="100">
        <v>14313.6</v>
      </c>
      <c r="R44" s="100">
        <v>10</v>
      </c>
      <c r="S44" s="100">
        <v>10224</v>
      </c>
      <c r="T44" s="100">
        <v>8</v>
      </c>
      <c r="U44" s="100">
        <v>8179.2</v>
      </c>
      <c r="V44" s="100">
        <v>10</v>
      </c>
      <c r="W44" s="100">
        <v>10224</v>
      </c>
      <c r="X44" s="100">
        <v>12</v>
      </c>
      <c r="Y44" s="100">
        <v>12268.8</v>
      </c>
      <c r="Z44" s="100">
        <v>7</v>
      </c>
      <c r="AA44" s="100">
        <v>7156.8</v>
      </c>
      <c r="AB44" s="100">
        <v>10</v>
      </c>
      <c r="AC44" s="100">
        <v>10224</v>
      </c>
      <c r="AD44" s="100">
        <v>9</v>
      </c>
      <c r="AE44" s="100">
        <v>9201.6</v>
      </c>
      <c r="AF44" s="100">
        <v>13</v>
      </c>
      <c r="AG44" s="100">
        <v>13291.199999999999</v>
      </c>
      <c r="AH44" s="100">
        <v>12</v>
      </c>
      <c r="AI44" s="100">
        <v>12268.8</v>
      </c>
      <c r="AJ44" s="100">
        <v>12</v>
      </c>
      <c r="AK44" s="100">
        <v>12268.8</v>
      </c>
      <c r="AL44" s="100">
        <v>9</v>
      </c>
      <c r="AM44" s="100">
        <v>9201.6</v>
      </c>
      <c r="AN44" s="100">
        <v>10</v>
      </c>
      <c r="AO44" s="100">
        <v>10224</v>
      </c>
      <c r="AP44" s="100">
        <v>14</v>
      </c>
      <c r="AQ44" s="100">
        <v>14313.6</v>
      </c>
      <c r="AR44" s="100">
        <v>13</v>
      </c>
      <c r="AS44" s="100">
        <v>13291.199999999999</v>
      </c>
      <c r="AT44" s="100">
        <v>4.6051902874175701</v>
      </c>
      <c r="AU44" s="100">
        <v>4708.3465498557234</v>
      </c>
      <c r="AV44" s="100">
        <v>15</v>
      </c>
      <c r="AW44" s="100">
        <v>15336</v>
      </c>
      <c r="AX44" s="100">
        <v>11</v>
      </c>
      <c r="AY44" s="100">
        <v>11246.4</v>
      </c>
      <c r="AZ44" s="100">
        <v>10.846115725003346</v>
      </c>
      <c r="BA44" s="100">
        <v>11089.068717243421</v>
      </c>
      <c r="BB44" s="100">
        <v>0</v>
      </c>
      <c r="BC44" s="100">
        <v>0</v>
      </c>
      <c r="BD44" s="100">
        <v>12.233005405719728</v>
      </c>
      <c r="BE44" s="100">
        <v>12507.024726807849</v>
      </c>
      <c r="BF44" s="100">
        <v>8.8386549854503329</v>
      </c>
      <c r="BG44" s="100">
        <v>9036.640857124421</v>
      </c>
      <c r="BH44" s="100">
        <v>9</v>
      </c>
      <c r="BI44" s="100">
        <v>9201.6</v>
      </c>
      <c r="BJ44" s="100">
        <v>10.479058641218726</v>
      </c>
      <c r="BK44" s="100">
        <v>10713.789554782026</v>
      </c>
      <c r="BL44" s="100">
        <v>7.9151857893579169</v>
      </c>
      <c r="BM44" s="100">
        <v>8092.4859510395345</v>
      </c>
      <c r="BN44" s="100">
        <v>14</v>
      </c>
      <c r="BO44" s="100">
        <v>14313.6</v>
      </c>
      <c r="BP44" s="100">
        <v>8</v>
      </c>
      <c r="BQ44" s="100">
        <v>8179.2</v>
      </c>
      <c r="BR44" s="100">
        <v>13</v>
      </c>
      <c r="BS44" s="100">
        <v>13291.199999999999</v>
      </c>
      <c r="BT44" s="100">
        <v>11</v>
      </c>
      <c r="BU44" s="100">
        <v>11246.4</v>
      </c>
      <c r="BV44" s="100">
        <v>16</v>
      </c>
      <c r="BW44" s="100">
        <v>16358.4</v>
      </c>
      <c r="BX44" s="100">
        <v>7.1267767665948281</v>
      </c>
      <c r="BY44" s="100">
        <v>7286.416566166552</v>
      </c>
      <c r="BZ44" s="100">
        <v>5.9430454999296565</v>
      </c>
      <c r="CA44" s="100">
        <v>6076.1697191280809</v>
      </c>
      <c r="CB44" s="100">
        <v>3.3230252885531759</v>
      </c>
      <c r="CC44" s="100">
        <v>3397.4610550167672</v>
      </c>
      <c r="CD44" s="100">
        <v>7.2171520727038798</v>
      </c>
      <c r="CE44" s="100">
        <v>7378.8162791324467</v>
      </c>
      <c r="CF44" s="100">
        <v>15</v>
      </c>
      <c r="CG44" s="100">
        <v>15336</v>
      </c>
      <c r="CH44" s="100">
        <v>14</v>
      </c>
      <c r="CI44" s="100">
        <v>14313.6</v>
      </c>
      <c r="CJ44" s="100">
        <v>4.5996312654396325</v>
      </c>
      <c r="CK44" s="100">
        <v>4702.66300578548</v>
      </c>
      <c r="CL44" s="100">
        <v>9</v>
      </c>
      <c r="CM44" s="100">
        <v>9201.6</v>
      </c>
      <c r="CN44" s="100">
        <v>10</v>
      </c>
      <c r="CO44" s="100">
        <v>10224</v>
      </c>
      <c r="CP44" s="100">
        <v>10.701840217578955</v>
      </c>
      <c r="CQ44" s="100">
        <v>10941.561438452723</v>
      </c>
      <c r="CR44" s="100">
        <v>7.183294163931321</v>
      </c>
      <c r="CS44" s="100">
        <v>7344.1999532033824</v>
      </c>
      <c r="CT44" s="100">
        <v>6.6617673273719236</v>
      </c>
      <c r="CU44" s="100">
        <v>6810.9909155050545</v>
      </c>
    </row>
    <row r="45" spans="2:99">
      <c r="C45" s="99" t="s">
        <v>211</v>
      </c>
      <c r="D45" s="100">
        <v>11.246016508138061</v>
      </c>
      <c r="E45" s="100">
        <v>14048.523821966066</v>
      </c>
      <c r="F45" s="100">
        <v>8.2781729486456488</v>
      </c>
      <c r="G45" s="100">
        <v>10341.093647448144</v>
      </c>
      <c r="H45" s="100">
        <v>14</v>
      </c>
      <c r="I45" s="100">
        <v>17488.8</v>
      </c>
      <c r="J45" s="100">
        <v>15</v>
      </c>
      <c r="K45" s="100">
        <v>18738</v>
      </c>
      <c r="L45" s="100">
        <v>5.2949623810238124</v>
      </c>
      <c r="M45" s="100">
        <v>6614.4670063749463</v>
      </c>
      <c r="N45" s="100">
        <v>7.6467185432428249</v>
      </c>
      <c r="O45" s="100">
        <v>9552.2808042189372</v>
      </c>
      <c r="P45" s="100">
        <v>13</v>
      </c>
      <c r="Q45" s="100">
        <v>16239.6</v>
      </c>
      <c r="R45" s="100">
        <v>11</v>
      </c>
      <c r="S45" s="100">
        <v>13741.2</v>
      </c>
      <c r="T45" s="100">
        <v>7</v>
      </c>
      <c r="U45" s="100">
        <v>8744.4</v>
      </c>
      <c r="V45" s="100">
        <v>8</v>
      </c>
      <c r="W45" s="100">
        <v>9993.6</v>
      </c>
      <c r="X45" s="100">
        <v>10</v>
      </c>
      <c r="Y45" s="100">
        <v>12492</v>
      </c>
      <c r="Z45" s="100">
        <v>8</v>
      </c>
      <c r="AA45" s="100">
        <v>9993.6</v>
      </c>
      <c r="AB45" s="100">
        <v>9</v>
      </c>
      <c r="AC45" s="100">
        <v>11242.800000000001</v>
      </c>
      <c r="AD45" s="100">
        <v>8</v>
      </c>
      <c r="AE45" s="100">
        <v>9993.6</v>
      </c>
      <c r="AF45" s="100">
        <v>13</v>
      </c>
      <c r="AG45" s="100">
        <v>16239.6</v>
      </c>
      <c r="AH45" s="100">
        <v>13</v>
      </c>
      <c r="AI45" s="100">
        <v>16239.6</v>
      </c>
      <c r="AJ45" s="100">
        <v>10</v>
      </c>
      <c r="AK45" s="100">
        <v>12492</v>
      </c>
      <c r="AL45" s="100">
        <v>9</v>
      </c>
      <c r="AM45" s="100">
        <v>11242.800000000001</v>
      </c>
      <c r="AN45" s="100">
        <v>11</v>
      </c>
      <c r="AO45" s="100">
        <v>13741.2</v>
      </c>
      <c r="AP45" s="100">
        <v>14</v>
      </c>
      <c r="AQ45" s="100">
        <v>17488.8</v>
      </c>
      <c r="AR45" s="100">
        <v>15</v>
      </c>
      <c r="AS45" s="100">
        <v>18738</v>
      </c>
      <c r="AT45" s="100">
        <v>5.2630746141915088</v>
      </c>
      <c r="AU45" s="100">
        <v>6574.6328080480334</v>
      </c>
      <c r="AV45" s="100">
        <v>13</v>
      </c>
      <c r="AW45" s="100">
        <v>16239.6</v>
      </c>
      <c r="AX45" s="100">
        <v>10</v>
      </c>
      <c r="AY45" s="100">
        <v>12492</v>
      </c>
      <c r="AZ45" s="100">
        <v>10.846115725003346</v>
      </c>
      <c r="BA45" s="100">
        <v>13548.96776367418</v>
      </c>
      <c r="BB45" s="100">
        <v>0</v>
      </c>
      <c r="BC45" s="100">
        <v>0</v>
      </c>
      <c r="BD45" s="100">
        <v>10.351004574070538</v>
      </c>
      <c r="BE45" s="100">
        <v>12930.474913928916</v>
      </c>
      <c r="BF45" s="100">
        <v>8.1587584481079993</v>
      </c>
      <c r="BG45" s="100">
        <v>10191.921053376513</v>
      </c>
      <c r="BH45" s="100">
        <v>9</v>
      </c>
      <c r="BI45" s="100">
        <v>11242.800000000001</v>
      </c>
      <c r="BJ45" s="100">
        <v>11.352313527986952</v>
      </c>
      <c r="BK45" s="100">
        <v>14181.310059161302</v>
      </c>
      <c r="BL45" s="100">
        <v>7.1236672104221253</v>
      </c>
      <c r="BM45" s="100">
        <v>8898.8850792593184</v>
      </c>
      <c r="BN45" s="100">
        <v>13</v>
      </c>
      <c r="BO45" s="100">
        <v>16239.6</v>
      </c>
      <c r="BP45" s="100">
        <v>7</v>
      </c>
      <c r="BQ45" s="100">
        <v>8744.4</v>
      </c>
      <c r="BR45" s="100">
        <v>12</v>
      </c>
      <c r="BS45" s="100">
        <v>14990.400000000001</v>
      </c>
      <c r="BT45" s="100">
        <v>10</v>
      </c>
      <c r="BU45" s="100">
        <v>12492</v>
      </c>
      <c r="BV45" s="100">
        <v>14</v>
      </c>
      <c r="BW45" s="100">
        <v>17488.8</v>
      </c>
      <c r="BX45" s="100">
        <v>7.1267767665948281</v>
      </c>
      <c r="BY45" s="100">
        <v>8902.7695368302593</v>
      </c>
      <c r="BZ45" s="100">
        <v>5.282707111048583</v>
      </c>
      <c r="CA45" s="100">
        <v>6599.1577231218898</v>
      </c>
      <c r="CB45" s="100">
        <v>3.3230252885531759</v>
      </c>
      <c r="CC45" s="100">
        <v>4151.1231904606275</v>
      </c>
      <c r="CD45" s="100">
        <v>6.5610473388217088</v>
      </c>
      <c r="CE45" s="100">
        <v>8196.0603356560787</v>
      </c>
      <c r="CF45" s="100">
        <v>13</v>
      </c>
      <c r="CG45" s="100">
        <v>16239.6</v>
      </c>
      <c r="CH45" s="100">
        <v>16</v>
      </c>
      <c r="CI45" s="100">
        <v>19987.2</v>
      </c>
      <c r="CJ45" s="100">
        <v>5.1107014060440354</v>
      </c>
      <c r="CK45" s="100">
        <v>6384.2881964302096</v>
      </c>
      <c r="CL45" s="100">
        <v>9</v>
      </c>
      <c r="CM45" s="100">
        <v>11242.800000000001</v>
      </c>
      <c r="CN45" s="100">
        <v>11</v>
      </c>
      <c r="CO45" s="100">
        <v>13741.2</v>
      </c>
      <c r="CP45" s="100">
        <v>9.9883842030736911</v>
      </c>
      <c r="CQ45" s="100">
        <v>12477.489546479655</v>
      </c>
      <c r="CR45" s="100">
        <v>7.183294163931321</v>
      </c>
      <c r="CS45" s="100">
        <v>8973.3710695830068</v>
      </c>
      <c r="CT45" s="100">
        <v>6.6617673273719236</v>
      </c>
      <c r="CU45" s="100">
        <v>8321.8797453530078</v>
      </c>
    </row>
    <row r="46" spans="2:99">
      <c r="C46" s="99" t="s">
        <v>212</v>
      </c>
      <c r="D46" s="100">
        <v>12.111094701071757</v>
      </c>
      <c r="E46" s="100">
        <v>14678.646777698968</v>
      </c>
      <c r="F46" s="100">
        <v>7.358375954351688</v>
      </c>
      <c r="G46" s="100">
        <v>8918.3516566742455</v>
      </c>
      <c r="H46" s="100">
        <v>15</v>
      </c>
      <c r="I46" s="100">
        <v>18180</v>
      </c>
      <c r="J46" s="100">
        <v>14</v>
      </c>
      <c r="K46" s="100">
        <v>16968</v>
      </c>
      <c r="L46" s="100">
        <v>6.0513855783129289</v>
      </c>
      <c r="M46" s="100">
        <v>7334.2793209152696</v>
      </c>
      <c r="N46" s="100">
        <v>6.9515623120389307</v>
      </c>
      <c r="O46" s="100">
        <v>8425.2935221911848</v>
      </c>
      <c r="P46" s="100">
        <v>13</v>
      </c>
      <c r="Q46" s="100">
        <v>15756</v>
      </c>
      <c r="R46" s="100">
        <v>10</v>
      </c>
      <c r="S46" s="100">
        <v>12120</v>
      </c>
      <c r="T46" s="100">
        <v>8</v>
      </c>
      <c r="U46" s="100">
        <v>9696</v>
      </c>
      <c r="V46" s="100">
        <v>10</v>
      </c>
      <c r="W46" s="100">
        <v>12120</v>
      </c>
      <c r="X46" s="100">
        <v>10</v>
      </c>
      <c r="Y46" s="100">
        <v>12120</v>
      </c>
      <c r="Z46" s="100">
        <v>7</v>
      </c>
      <c r="AA46" s="100">
        <v>8484</v>
      </c>
      <c r="AB46" s="100">
        <v>9</v>
      </c>
      <c r="AC46" s="100">
        <v>10908</v>
      </c>
      <c r="AD46" s="100">
        <v>8</v>
      </c>
      <c r="AE46" s="100">
        <v>9696</v>
      </c>
      <c r="AF46" s="100">
        <v>13</v>
      </c>
      <c r="AG46" s="100">
        <v>15756</v>
      </c>
      <c r="AH46" s="100">
        <v>14</v>
      </c>
      <c r="AI46" s="100">
        <v>16968</v>
      </c>
      <c r="AJ46" s="100">
        <v>11</v>
      </c>
      <c r="AK46" s="100">
        <v>13332</v>
      </c>
      <c r="AL46" s="100">
        <v>7</v>
      </c>
      <c r="AM46" s="100">
        <v>8484</v>
      </c>
      <c r="AN46" s="100">
        <v>11</v>
      </c>
      <c r="AO46" s="100">
        <v>13332</v>
      </c>
      <c r="AP46" s="100">
        <v>12</v>
      </c>
      <c r="AQ46" s="100">
        <v>14544</v>
      </c>
      <c r="AR46" s="100">
        <v>14</v>
      </c>
      <c r="AS46" s="100">
        <v>16968</v>
      </c>
      <c r="AT46" s="100">
        <v>5.2630746141915088</v>
      </c>
      <c r="AU46" s="100">
        <v>6378.8464324001088</v>
      </c>
      <c r="AV46" s="100">
        <v>13</v>
      </c>
      <c r="AW46" s="100">
        <v>15756</v>
      </c>
      <c r="AX46" s="100">
        <v>12</v>
      </c>
      <c r="AY46" s="100">
        <v>14544</v>
      </c>
      <c r="AZ46" s="100">
        <v>10.846115725003346</v>
      </c>
      <c r="BA46" s="100">
        <v>13145.492258704055</v>
      </c>
      <c r="BB46" s="100">
        <v>0</v>
      </c>
      <c r="BC46" s="100">
        <v>0</v>
      </c>
      <c r="BD46" s="100">
        <v>12.233005405719728</v>
      </c>
      <c r="BE46" s="100">
        <v>14826.402551732312</v>
      </c>
      <c r="BF46" s="100">
        <v>6.7989653734233331</v>
      </c>
      <c r="BG46" s="100">
        <v>8240.3460325890792</v>
      </c>
      <c r="BH46" s="100">
        <v>10</v>
      </c>
      <c r="BI46" s="100">
        <v>12120</v>
      </c>
      <c r="BJ46" s="100">
        <v>10.479058641218726</v>
      </c>
      <c r="BK46" s="100">
        <v>12700.619073157097</v>
      </c>
      <c r="BL46" s="100">
        <v>7.1236672104221253</v>
      </c>
      <c r="BM46" s="100">
        <v>8633.8846590316152</v>
      </c>
      <c r="BN46" s="100">
        <v>13</v>
      </c>
      <c r="BO46" s="100">
        <v>15756</v>
      </c>
      <c r="BP46" s="100">
        <v>8</v>
      </c>
      <c r="BQ46" s="100">
        <v>9696</v>
      </c>
      <c r="BR46" s="100">
        <v>14</v>
      </c>
      <c r="BS46" s="100">
        <v>16968</v>
      </c>
      <c r="BT46" s="100">
        <v>11</v>
      </c>
      <c r="BU46" s="100">
        <v>13332</v>
      </c>
      <c r="BV46" s="100">
        <v>14</v>
      </c>
      <c r="BW46" s="100">
        <v>16968</v>
      </c>
      <c r="BX46" s="100">
        <v>7.1267767665948281</v>
      </c>
      <c r="BY46" s="100">
        <v>8637.6534411129323</v>
      </c>
      <c r="BZ46" s="100">
        <v>5.9430454999296565</v>
      </c>
      <c r="CA46" s="100">
        <v>7202.9711459147438</v>
      </c>
      <c r="CB46" s="100">
        <v>2.907647127484029</v>
      </c>
      <c r="CC46" s="100">
        <v>3524.0683185106432</v>
      </c>
      <c r="CD46" s="100">
        <v>5.9049426049395386</v>
      </c>
      <c r="CE46" s="100">
        <v>7156.7904371867207</v>
      </c>
      <c r="CF46" s="100">
        <v>13</v>
      </c>
      <c r="CG46" s="100">
        <v>15756</v>
      </c>
      <c r="CH46" s="100">
        <v>15</v>
      </c>
      <c r="CI46" s="100">
        <v>18180</v>
      </c>
      <c r="CJ46" s="100">
        <v>5.1107014060440354</v>
      </c>
      <c r="CK46" s="100">
        <v>6194.1701041253709</v>
      </c>
      <c r="CL46" s="100">
        <v>9</v>
      </c>
      <c r="CM46" s="100">
        <v>10908</v>
      </c>
      <c r="CN46" s="100">
        <v>10</v>
      </c>
      <c r="CO46" s="100">
        <v>12120</v>
      </c>
      <c r="CP46" s="100">
        <v>9.9883842030736911</v>
      </c>
      <c r="CQ46" s="100">
        <v>12105.921654125314</v>
      </c>
      <c r="CR46" s="100">
        <v>7.183294163931321</v>
      </c>
      <c r="CS46" s="100">
        <v>8706.1525266847602</v>
      </c>
      <c r="CT46" s="100">
        <v>7.4944882432934135</v>
      </c>
      <c r="CU46" s="100">
        <v>9083.3197508716166</v>
      </c>
    </row>
    <row r="47" spans="2:99">
      <c r="C47" s="99" t="s">
        <v>213</v>
      </c>
      <c r="D47" s="100">
        <v>10.380938315204364</v>
      </c>
      <c r="E47" s="100">
        <v>15857.921370306187</v>
      </c>
      <c r="F47" s="100">
        <v>7.358375954351688</v>
      </c>
      <c r="G47" s="100">
        <v>11240.655107867638</v>
      </c>
      <c r="H47" s="100">
        <v>14</v>
      </c>
      <c r="I47" s="100">
        <v>21386.399999999998</v>
      </c>
      <c r="J47" s="100">
        <v>14</v>
      </c>
      <c r="K47" s="100">
        <v>21386.399999999998</v>
      </c>
      <c r="L47" s="100">
        <v>5.2949623810238124</v>
      </c>
      <c r="M47" s="100">
        <v>8088.5845332519757</v>
      </c>
      <c r="N47" s="100">
        <v>6.9515623120389307</v>
      </c>
      <c r="O47" s="100">
        <v>10619.206587870671</v>
      </c>
      <c r="P47" s="100">
        <v>14</v>
      </c>
      <c r="Q47" s="100">
        <v>21386.399999999998</v>
      </c>
      <c r="R47" s="100">
        <v>10</v>
      </c>
      <c r="S47" s="100">
        <v>15276</v>
      </c>
      <c r="T47" s="100">
        <v>7</v>
      </c>
      <c r="U47" s="100">
        <v>10693.199999999999</v>
      </c>
      <c r="V47" s="100">
        <v>10</v>
      </c>
      <c r="W47" s="100">
        <v>15276</v>
      </c>
      <c r="X47" s="100">
        <v>10</v>
      </c>
      <c r="Y47" s="100">
        <v>15276</v>
      </c>
      <c r="Z47" s="100">
        <v>7</v>
      </c>
      <c r="AA47" s="100">
        <v>10693.199999999999</v>
      </c>
      <c r="AB47" s="100">
        <v>9</v>
      </c>
      <c r="AC47" s="100">
        <v>13748.4</v>
      </c>
      <c r="AD47" s="100">
        <v>7</v>
      </c>
      <c r="AE47" s="100">
        <v>10693.199999999999</v>
      </c>
      <c r="AF47" s="100">
        <v>12</v>
      </c>
      <c r="AG47" s="100">
        <v>18331.199999999997</v>
      </c>
      <c r="AH47" s="100">
        <v>13</v>
      </c>
      <c r="AI47" s="100">
        <v>19858.8</v>
      </c>
      <c r="AJ47" s="100">
        <v>11</v>
      </c>
      <c r="AK47" s="100">
        <v>16803.599999999999</v>
      </c>
      <c r="AL47" s="100">
        <v>7</v>
      </c>
      <c r="AM47" s="100">
        <v>10693.199999999999</v>
      </c>
      <c r="AN47" s="100">
        <v>10</v>
      </c>
      <c r="AO47" s="100">
        <v>15276</v>
      </c>
      <c r="AP47" s="100">
        <v>14</v>
      </c>
      <c r="AQ47" s="100">
        <v>21386.399999999998</v>
      </c>
      <c r="AR47" s="100">
        <v>15</v>
      </c>
      <c r="AS47" s="100">
        <v>22914</v>
      </c>
      <c r="AT47" s="100">
        <v>5.2630746141915088</v>
      </c>
      <c r="AU47" s="100">
        <v>8039.8727806389479</v>
      </c>
      <c r="AV47" s="100">
        <v>15</v>
      </c>
      <c r="AW47" s="100">
        <v>22914</v>
      </c>
      <c r="AX47" s="100">
        <v>10</v>
      </c>
      <c r="AY47" s="100">
        <v>15276</v>
      </c>
      <c r="AZ47" s="100">
        <v>10.846115725003346</v>
      </c>
      <c r="BA47" s="100">
        <v>16568.526381515108</v>
      </c>
      <c r="BB47" s="100">
        <v>0</v>
      </c>
      <c r="BC47" s="100">
        <v>0</v>
      </c>
      <c r="BD47" s="100">
        <v>11.292004989895133</v>
      </c>
      <c r="BE47" s="100">
        <v>17249.666822563806</v>
      </c>
      <c r="BF47" s="100">
        <v>8.1587584481079993</v>
      </c>
      <c r="BG47" s="100">
        <v>12463.319405329779</v>
      </c>
      <c r="BH47" s="100">
        <v>10</v>
      </c>
      <c r="BI47" s="100">
        <v>15276</v>
      </c>
      <c r="BJ47" s="100">
        <v>9.6058037544504984</v>
      </c>
      <c r="BK47" s="100">
        <v>14673.82581529858</v>
      </c>
      <c r="BL47" s="100">
        <v>7.9151857893579169</v>
      </c>
      <c r="BM47" s="100">
        <v>12091.237811823154</v>
      </c>
      <c r="BN47" s="100">
        <v>13</v>
      </c>
      <c r="BO47" s="100">
        <v>19858.8</v>
      </c>
      <c r="BP47" s="100">
        <v>8</v>
      </c>
      <c r="BQ47" s="100">
        <v>12220.8</v>
      </c>
      <c r="BR47" s="100">
        <v>13</v>
      </c>
      <c r="BS47" s="100">
        <v>19858.8</v>
      </c>
      <c r="BT47" s="100">
        <v>11</v>
      </c>
      <c r="BU47" s="100">
        <v>16803.599999999999</v>
      </c>
      <c r="BV47" s="100">
        <v>14</v>
      </c>
      <c r="BW47" s="100">
        <v>21386.399999999998</v>
      </c>
      <c r="BX47" s="100">
        <v>6.6177212832666266</v>
      </c>
      <c r="BY47" s="100">
        <v>10109.231032318097</v>
      </c>
      <c r="BZ47" s="100">
        <v>5.282707111048583</v>
      </c>
      <c r="CA47" s="100">
        <v>8069.8633828378152</v>
      </c>
      <c r="CB47" s="100">
        <v>3.3230252885531759</v>
      </c>
      <c r="CC47" s="100">
        <v>5076.2534307938313</v>
      </c>
      <c r="CD47" s="100">
        <v>7.2171520727038798</v>
      </c>
      <c r="CE47" s="100">
        <v>11024.921506262446</v>
      </c>
      <c r="CF47" s="100">
        <v>15</v>
      </c>
      <c r="CG47" s="100">
        <v>22914</v>
      </c>
      <c r="CH47" s="100">
        <v>15</v>
      </c>
      <c r="CI47" s="100">
        <v>22914</v>
      </c>
      <c r="CJ47" s="100">
        <v>5.1107014060440354</v>
      </c>
      <c r="CK47" s="100">
        <v>7807.1074678728683</v>
      </c>
      <c r="CL47" s="100">
        <v>8</v>
      </c>
      <c r="CM47" s="100">
        <v>12220.8</v>
      </c>
      <c r="CN47" s="100">
        <v>10</v>
      </c>
      <c r="CO47" s="100">
        <v>15276</v>
      </c>
      <c r="CP47" s="100">
        <v>10.701840217578955</v>
      </c>
      <c r="CQ47" s="100">
        <v>16348.13111637361</v>
      </c>
      <c r="CR47" s="100">
        <v>7.183294163931321</v>
      </c>
      <c r="CS47" s="100">
        <v>10973.200164821485</v>
      </c>
      <c r="CT47" s="100">
        <v>6.6617673273719236</v>
      </c>
      <c r="CU47" s="100">
        <v>10176.51576929335</v>
      </c>
    </row>
    <row r="48" spans="2:99">
      <c r="C48" s="99" t="s">
        <v>214</v>
      </c>
      <c r="D48" s="100">
        <v>12.976172894005455</v>
      </c>
      <c r="E48" s="100">
        <v>11258.127602839133</v>
      </c>
      <c r="F48" s="100">
        <v>7.358375954351688</v>
      </c>
      <c r="G48" s="100">
        <v>6384.1269779955246</v>
      </c>
      <c r="H48" s="100">
        <v>15</v>
      </c>
      <c r="I48" s="100">
        <v>13014</v>
      </c>
      <c r="J48" s="100">
        <v>13</v>
      </c>
      <c r="K48" s="100">
        <v>11278.800000000001</v>
      </c>
      <c r="L48" s="100">
        <v>6.0513855783129289</v>
      </c>
      <c r="M48" s="100">
        <v>5250.1821277442968</v>
      </c>
      <c r="N48" s="100">
        <v>7.6467185432428249</v>
      </c>
      <c r="O48" s="100">
        <v>6634.2930081174754</v>
      </c>
      <c r="P48" s="100">
        <v>12</v>
      </c>
      <c r="Q48" s="100">
        <v>10411.200000000001</v>
      </c>
      <c r="R48" s="100">
        <v>10</v>
      </c>
      <c r="S48" s="100">
        <v>8676</v>
      </c>
      <c r="T48" s="100">
        <v>9</v>
      </c>
      <c r="U48" s="100">
        <v>7808.4000000000005</v>
      </c>
      <c r="V48" s="100">
        <v>9</v>
      </c>
      <c r="W48" s="100">
        <v>7808.4000000000005</v>
      </c>
      <c r="X48" s="100">
        <v>12</v>
      </c>
      <c r="Y48" s="100">
        <v>10411.200000000001</v>
      </c>
      <c r="Z48" s="100">
        <v>7</v>
      </c>
      <c r="AA48" s="100">
        <v>6073.2</v>
      </c>
      <c r="AB48" s="100">
        <v>9</v>
      </c>
      <c r="AC48" s="100">
        <v>7808.4000000000005</v>
      </c>
      <c r="AD48" s="100">
        <v>9</v>
      </c>
      <c r="AE48" s="100">
        <v>7808.4000000000005</v>
      </c>
      <c r="AF48" s="100">
        <v>12</v>
      </c>
      <c r="AG48" s="100">
        <v>10411.200000000001</v>
      </c>
      <c r="AH48" s="100">
        <v>14</v>
      </c>
      <c r="AI48" s="100">
        <v>12146.4</v>
      </c>
      <c r="AJ48" s="100">
        <v>11</v>
      </c>
      <c r="AK48" s="100">
        <v>9543.6</v>
      </c>
      <c r="AL48" s="100">
        <v>9</v>
      </c>
      <c r="AM48" s="100">
        <v>7808.4000000000005</v>
      </c>
      <c r="AN48" s="100">
        <v>11</v>
      </c>
      <c r="AO48" s="100">
        <v>9543.6</v>
      </c>
      <c r="AP48" s="100">
        <v>14</v>
      </c>
      <c r="AQ48" s="100">
        <v>12146.4</v>
      </c>
      <c r="AR48" s="100">
        <v>14</v>
      </c>
      <c r="AS48" s="100">
        <v>12146.4</v>
      </c>
      <c r="AT48" s="100">
        <v>4.6051902874175701</v>
      </c>
      <c r="AU48" s="100">
        <v>3995.4630933634839</v>
      </c>
      <c r="AV48" s="100">
        <v>13</v>
      </c>
      <c r="AW48" s="100">
        <v>11278.800000000001</v>
      </c>
      <c r="AX48" s="100">
        <v>11</v>
      </c>
      <c r="AY48" s="100">
        <v>9543.6</v>
      </c>
      <c r="AZ48" s="100">
        <v>10.846115725003346</v>
      </c>
      <c r="BA48" s="100">
        <v>9410.0900030129033</v>
      </c>
      <c r="BB48" s="100">
        <v>0</v>
      </c>
      <c r="BC48" s="100">
        <v>0</v>
      </c>
      <c r="BD48" s="100">
        <v>10.351004574070538</v>
      </c>
      <c r="BE48" s="100">
        <v>8980.5315684635989</v>
      </c>
      <c r="BF48" s="100">
        <v>8.1587584481079993</v>
      </c>
      <c r="BG48" s="100">
        <v>7078.5388295785006</v>
      </c>
      <c r="BH48" s="100">
        <v>10</v>
      </c>
      <c r="BI48" s="100">
        <v>8676</v>
      </c>
      <c r="BJ48" s="100">
        <v>11.352313527986952</v>
      </c>
      <c r="BK48" s="100">
        <v>9849.2672168814806</v>
      </c>
      <c r="BL48" s="100">
        <v>8.7067043682937086</v>
      </c>
      <c r="BM48" s="100">
        <v>7553.9367099316214</v>
      </c>
      <c r="BN48" s="100">
        <v>13</v>
      </c>
      <c r="BO48" s="100">
        <v>11278.800000000001</v>
      </c>
      <c r="BP48" s="100">
        <v>8</v>
      </c>
      <c r="BQ48" s="100">
        <v>6940.8</v>
      </c>
      <c r="BR48" s="100">
        <v>15</v>
      </c>
      <c r="BS48" s="100">
        <v>13014</v>
      </c>
      <c r="BT48" s="100">
        <v>10</v>
      </c>
      <c r="BU48" s="100">
        <v>8676</v>
      </c>
      <c r="BV48" s="100">
        <v>14</v>
      </c>
      <c r="BW48" s="100">
        <v>12146.4</v>
      </c>
      <c r="BX48" s="100">
        <v>7.6358322499230304</v>
      </c>
      <c r="BY48" s="100">
        <v>6624.8480600332214</v>
      </c>
      <c r="BZ48" s="100">
        <v>5.9430454999296565</v>
      </c>
      <c r="CA48" s="100">
        <v>5156.1862757389699</v>
      </c>
      <c r="CB48" s="100">
        <v>2.907647127484029</v>
      </c>
      <c r="CC48" s="100">
        <v>2522.6746478051436</v>
      </c>
      <c r="CD48" s="100">
        <v>7.2171520727038798</v>
      </c>
      <c r="CE48" s="100">
        <v>6261.6011382778861</v>
      </c>
      <c r="CF48" s="100">
        <v>14</v>
      </c>
      <c r="CG48" s="100">
        <v>12146.4</v>
      </c>
      <c r="CH48" s="100">
        <v>16</v>
      </c>
      <c r="CI48" s="100">
        <v>13881.6</v>
      </c>
      <c r="CJ48" s="100">
        <v>5.1107014060440354</v>
      </c>
      <c r="CK48" s="100">
        <v>4434.0445398838056</v>
      </c>
      <c r="CL48" s="100">
        <v>10</v>
      </c>
      <c r="CM48" s="100">
        <v>8676</v>
      </c>
      <c r="CN48" s="100">
        <v>10</v>
      </c>
      <c r="CO48" s="100">
        <v>8676</v>
      </c>
      <c r="CP48" s="100">
        <v>9.9883842030736911</v>
      </c>
      <c r="CQ48" s="100">
        <v>8665.9221345867354</v>
      </c>
      <c r="CR48" s="100">
        <v>7.183294163931321</v>
      </c>
      <c r="CS48" s="100">
        <v>6232.2260166268143</v>
      </c>
      <c r="CT48" s="100">
        <v>6.6617673273719236</v>
      </c>
      <c r="CU48" s="100">
        <v>5779.7493332278809</v>
      </c>
    </row>
    <row r="49" spans="2:99">
      <c r="B49" s="99" t="s">
        <v>129</v>
      </c>
      <c r="C49" s="99" t="s">
        <v>215</v>
      </c>
      <c r="D49" s="100">
        <v>7</v>
      </c>
      <c r="E49" s="100">
        <v>6896.4</v>
      </c>
      <c r="F49" s="100">
        <v>4.3628480579108837</v>
      </c>
      <c r="G49" s="100">
        <v>4298.2779066538023</v>
      </c>
      <c r="H49" s="100">
        <v>5.3071348813142798</v>
      </c>
      <c r="I49" s="100">
        <v>5228.5892850708278</v>
      </c>
      <c r="J49" s="100">
        <v>5.6409752796949215</v>
      </c>
      <c r="K49" s="100">
        <v>5557.4888455554365</v>
      </c>
      <c r="L49" s="100">
        <v>4.9522497359928641</v>
      </c>
      <c r="M49" s="100">
        <v>4878.9564399001692</v>
      </c>
      <c r="N49" s="100">
        <v>3.4882471633571868</v>
      </c>
      <c r="O49" s="100">
        <v>3436.6211053395</v>
      </c>
      <c r="P49" s="100">
        <v>10</v>
      </c>
      <c r="Q49" s="100">
        <v>9852</v>
      </c>
      <c r="R49" s="100">
        <v>5</v>
      </c>
      <c r="S49" s="100">
        <v>4926</v>
      </c>
      <c r="T49" s="100">
        <v>8</v>
      </c>
      <c r="U49" s="100">
        <v>7881.5999999999995</v>
      </c>
      <c r="V49" s="100">
        <v>8</v>
      </c>
      <c r="W49" s="100">
        <v>7881.5999999999995</v>
      </c>
      <c r="X49" s="100">
        <v>6</v>
      </c>
      <c r="Y49" s="100">
        <v>5911.2</v>
      </c>
      <c r="Z49" s="100">
        <v>8</v>
      </c>
      <c r="AA49" s="100">
        <v>7881.5999999999995</v>
      </c>
      <c r="AB49" s="100">
        <v>6.2771214357383505</v>
      </c>
      <c r="AC49" s="100">
        <v>6184.2200384894222</v>
      </c>
      <c r="AD49" s="100">
        <v>1.4748242454905538</v>
      </c>
      <c r="AE49" s="100">
        <v>1452.9968466572934</v>
      </c>
      <c r="AF49" s="100">
        <v>11</v>
      </c>
      <c r="AG49" s="100">
        <v>10837.199999999999</v>
      </c>
      <c r="AH49" s="100">
        <v>5.1845480742990695</v>
      </c>
      <c r="AI49" s="100">
        <v>5107.8167627994426</v>
      </c>
      <c r="AJ49" s="100">
        <v>7</v>
      </c>
      <c r="AK49" s="100">
        <v>6896.4</v>
      </c>
      <c r="AL49" s="100">
        <v>6.5229194720384207</v>
      </c>
      <c r="AM49" s="100">
        <v>6426.380263852252</v>
      </c>
      <c r="AN49" s="100">
        <v>9</v>
      </c>
      <c r="AO49" s="100">
        <v>8866.7999999999993</v>
      </c>
      <c r="AP49" s="100">
        <v>7</v>
      </c>
      <c r="AQ49" s="100">
        <v>6896.4</v>
      </c>
      <c r="AR49" s="100">
        <v>6.2052403645473557</v>
      </c>
      <c r="AS49" s="100">
        <v>6113.4028071520543</v>
      </c>
      <c r="AT49" s="100">
        <v>4.1772022278534795</v>
      </c>
      <c r="AU49" s="100">
        <v>4115.3796348812475</v>
      </c>
      <c r="AV49" s="100">
        <v>9</v>
      </c>
      <c r="AW49" s="100">
        <v>8866.7999999999993</v>
      </c>
      <c r="AX49" s="100">
        <v>6.5557426314227856</v>
      </c>
      <c r="AY49" s="100">
        <v>6458.7176404777283</v>
      </c>
      <c r="AZ49" s="100">
        <v>0.91145945154760544</v>
      </c>
      <c r="BA49" s="100">
        <v>897.96985166470085</v>
      </c>
      <c r="BB49" s="100">
        <v>7.1536532684919738</v>
      </c>
      <c r="BC49" s="100">
        <v>7047.7792001182925</v>
      </c>
      <c r="BD49" s="100">
        <v>6.5417580424499553</v>
      </c>
      <c r="BE49" s="100">
        <v>6444.9400234216955</v>
      </c>
      <c r="BF49" s="100">
        <v>7.6677983612323244</v>
      </c>
      <c r="BG49" s="100">
        <v>7554.3149454860859</v>
      </c>
      <c r="BH49" s="100">
        <v>4.048977905140636</v>
      </c>
      <c r="BI49" s="100">
        <v>3989.0530321445544</v>
      </c>
      <c r="BJ49" s="100">
        <v>10</v>
      </c>
      <c r="BK49" s="100">
        <v>9852</v>
      </c>
      <c r="BL49" s="100">
        <v>0.21583119699953385</v>
      </c>
      <c r="BM49" s="100">
        <v>212.63689528394073</v>
      </c>
      <c r="BN49" s="100">
        <v>8</v>
      </c>
      <c r="BO49" s="100">
        <v>7881.5999999999995</v>
      </c>
      <c r="BP49" s="100">
        <v>7</v>
      </c>
      <c r="BQ49" s="100">
        <v>6896.4</v>
      </c>
      <c r="BR49" s="100">
        <v>10</v>
      </c>
      <c r="BS49" s="100">
        <v>9852</v>
      </c>
      <c r="BT49" s="100">
        <v>6</v>
      </c>
      <c r="BU49" s="100">
        <v>5911.2</v>
      </c>
      <c r="BV49" s="100">
        <v>6.4595724191647896</v>
      </c>
      <c r="BW49" s="100">
        <v>6363.9707473611506</v>
      </c>
      <c r="BX49" s="100">
        <v>1.7521459785168081</v>
      </c>
      <c r="BY49" s="100">
        <v>1726.2142180347591</v>
      </c>
      <c r="BZ49" s="100">
        <v>1.979887370229205</v>
      </c>
      <c r="CA49" s="100">
        <v>1950.5850371498127</v>
      </c>
      <c r="CB49" s="100">
        <v>4.951136291661685</v>
      </c>
      <c r="CC49" s="100">
        <v>4877.8594745450919</v>
      </c>
      <c r="CD49" s="100">
        <v>1.9736776348941012</v>
      </c>
      <c r="CE49" s="100">
        <v>1944.4672058976685</v>
      </c>
      <c r="CF49" s="100">
        <v>4.7592264986510129</v>
      </c>
      <c r="CG49" s="100">
        <v>4688.7899464709772</v>
      </c>
      <c r="CH49" s="100">
        <v>3.2522503059716374</v>
      </c>
      <c r="CI49" s="100">
        <v>3204.1170014432569</v>
      </c>
      <c r="CJ49" s="100">
        <v>6.5649743714583435</v>
      </c>
      <c r="CK49" s="100">
        <v>6467.8127507607596</v>
      </c>
      <c r="CL49" s="100">
        <v>9</v>
      </c>
      <c r="CM49" s="100">
        <v>8866.7999999999993</v>
      </c>
      <c r="CN49" s="100">
        <v>8</v>
      </c>
      <c r="CO49" s="100">
        <v>7881.5999999999995</v>
      </c>
      <c r="CP49" s="100">
        <v>4.892414129925843</v>
      </c>
      <c r="CQ49" s="100">
        <v>4820.0064008029403</v>
      </c>
      <c r="CR49" s="100">
        <v>12</v>
      </c>
      <c r="CS49" s="100">
        <v>11822.4</v>
      </c>
      <c r="CT49" s="100">
        <v>9</v>
      </c>
      <c r="CU49" s="100">
        <v>8866.7999999999993</v>
      </c>
    </row>
    <row r="50" spans="2:99">
      <c r="C50" s="99" t="s">
        <v>216</v>
      </c>
      <c r="D50" s="100">
        <v>6.9206255434695763</v>
      </c>
      <c r="E50" s="100">
        <v>1951.6164032584204</v>
      </c>
      <c r="F50" s="100">
        <v>6.4385789600577263</v>
      </c>
      <c r="G50" s="100">
        <v>1815.6792667362788</v>
      </c>
      <c r="H50" s="100">
        <v>9</v>
      </c>
      <c r="I50" s="100">
        <v>2538</v>
      </c>
      <c r="J50" s="100">
        <v>6</v>
      </c>
      <c r="K50" s="100">
        <v>1692</v>
      </c>
      <c r="L50" s="100">
        <v>6.0513855783129289</v>
      </c>
      <c r="M50" s="100">
        <v>1706.4907330842459</v>
      </c>
      <c r="N50" s="100">
        <v>4.1709373872233595</v>
      </c>
      <c r="O50" s="100">
        <v>1176.2043431969873</v>
      </c>
      <c r="P50" s="100">
        <v>9</v>
      </c>
      <c r="Q50" s="100">
        <v>2538</v>
      </c>
      <c r="R50" s="100">
        <v>6</v>
      </c>
      <c r="S50" s="100">
        <v>1692</v>
      </c>
      <c r="T50" s="100">
        <v>8</v>
      </c>
      <c r="U50" s="100">
        <v>2256</v>
      </c>
      <c r="V50" s="100">
        <v>8</v>
      </c>
      <c r="W50" s="100">
        <v>2256</v>
      </c>
      <c r="X50" s="100">
        <v>7</v>
      </c>
      <c r="Y50" s="100">
        <v>1974</v>
      </c>
      <c r="Z50" s="100">
        <v>9</v>
      </c>
      <c r="AA50" s="100">
        <v>2538</v>
      </c>
      <c r="AB50" s="100">
        <v>8</v>
      </c>
      <c r="AC50" s="100">
        <v>2256</v>
      </c>
      <c r="AD50" s="100">
        <v>6</v>
      </c>
      <c r="AE50" s="100">
        <v>1692</v>
      </c>
      <c r="AF50" s="100">
        <v>10</v>
      </c>
      <c r="AG50" s="100">
        <v>2820</v>
      </c>
      <c r="AH50" s="100">
        <v>8</v>
      </c>
      <c r="AI50" s="100">
        <v>2256</v>
      </c>
      <c r="AJ50" s="100">
        <v>6</v>
      </c>
      <c r="AK50" s="100">
        <v>1692</v>
      </c>
      <c r="AL50" s="100">
        <v>11</v>
      </c>
      <c r="AM50" s="100">
        <v>3102</v>
      </c>
      <c r="AN50" s="100">
        <v>10</v>
      </c>
      <c r="AO50" s="100">
        <v>2820</v>
      </c>
      <c r="AP50" s="100">
        <v>7</v>
      </c>
      <c r="AQ50" s="100">
        <v>1974</v>
      </c>
      <c r="AR50" s="100">
        <v>11</v>
      </c>
      <c r="AS50" s="100">
        <v>3102</v>
      </c>
      <c r="AT50" s="100">
        <v>5.2630746141915088</v>
      </c>
      <c r="AU50" s="100">
        <v>1484.1870412020055</v>
      </c>
      <c r="AV50" s="100">
        <v>10</v>
      </c>
      <c r="AW50" s="100">
        <v>2820</v>
      </c>
      <c r="AX50" s="100">
        <v>10</v>
      </c>
      <c r="AY50" s="100">
        <v>2820</v>
      </c>
      <c r="AZ50" s="100">
        <v>9.0384297708361228</v>
      </c>
      <c r="BA50" s="100">
        <v>2548.8371953757865</v>
      </c>
      <c r="BB50" s="100">
        <v>0</v>
      </c>
      <c r="BC50" s="100">
        <v>0</v>
      </c>
      <c r="BD50" s="100">
        <v>8.46900374242135</v>
      </c>
      <c r="BE50" s="100">
        <v>2388.2590553628206</v>
      </c>
      <c r="BF50" s="100">
        <v>7.4788619107656666</v>
      </c>
      <c r="BG50" s="100">
        <v>2109.0390588359178</v>
      </c>
      <c r="BH50" s="100">
        <v>7</v>
      </c>
      <c r="BI50" s="100">
        <v>1974</v>
      </c>
      <c r="BJ50" s="100">
        <v>9.6058037544504984</v>
      </c>
      <c r="BK50" s="100">
        <v>2708.8366587550404</v>
      </c>
      <c r="BL50" s="100">
        <v>7.9151857893579169</v>
      </c>
      <c r="BM50" s="100">
        <v>2232.0823925989325</v>
      </c>
      <c r="BN50" s="100">
        <v>9</v>
      </c>
      <c r="BO50" s="100">
        <v>2538</v>
      </c>
      <c r="BP50" s="100">
        <v>8</v>
      </c>
      <c r="BQ50" s="100">
        <v>2256</v>
      </c>
      <c r="BR50" s="100">
        <v>10</v>
      </c>
      <c r="BS50" s="100">
        <v>2820</v>
      </c>
      <c r="BT50" s="100">
        <v>6</v>
      </c>
      <c r="BU50" s="100">
        <v>1692</v>
      </c>
      <c r="BV50" s="100">
        <v>8</v>
      </c>
      <c r="BW50" s="100">
        <v>2256</v>
      </c>
      <c r="BX50" s="100">
        <v>3.563388383297414</v>
      </c>
      <c r="BY50" s="100">
        <v>1004.8755240898707</v>
      </c>
      <c r="BZ50" s="100">
        <v>5.282707111048583</v>
      </c>
      <c r="CA50" s="100">
        <v>1489.7234053157003</v>
      </c>
      <c r="CB50" s="100">
        <v>3.7384034496223224</v>
      </c>
      <c r="CC50" s="100">
        <v>1054.2297727934949</v>
      </c>
      <c r="CD50" s="100">
        <v>3.9366284032930254</v>
      </c>
      <c r="CE50" s="100">
        <v>1110.1292097286332</v>
      </c>
      <c r="CF50" s="100">
        <v>9</v>
      </c>
      <c r="CG50" s="100">
        <v>2538</v>
      </c>
      <c r="CH50" s="100">
        <v>8</v>
      </c>
      <c r="CI50" s="100">
        <v>2256</v>
      </c>
      <c r="CJ50" s="100">
        <v>5.1107014060440354</v>
      </c>
      <c r="CK50" s="100">
        <v>1441.2177965044179</v>
      </c>
      <c r="CL50" s="100">
        <v>11</v>
      </c>
      <c r="CM50" s="100">
        <v>3102</v>
      </c>
      <c r="CN50" s="100">
        <v>8</v>
      </c>
      <c r="CO50" s="100">
        <v>2256</v>
      </c>
      <c r="CP50" s="100">
        <v>4.280736087031582</v>
      </c>
      <c r="CQ50" s="100">
        <v>1207.1675765429061</v>
      </c>
      <c r="CR50" s="100">
        <v>10.774941245896981</v>
      </c>
      <c r="CS50" s="100">
        <v>3038.5334313429485</v>
      </c>
      <c r="CT50" s="100">
        <v>8.3272091592149042</v>
      </c>
      <c r="CU50" s="100">
        <v>2348.272982898603</v>
      </c>
    </row>
    <row r="51" spans="2:99">
      <c r="C51" s="99" t="s">
        <v>217</v>
      </c>
      <c r="D51" s="100">
        <v>6.0555473505358783</v>
      </c>
      <c r="E51" s="100">
        <v>5173.8596562978546</v>
      </c>
      <c r="F51" s="100">
        <v>5.5187819657637656</v>
      </c>
      <c r="G51" s="100">
        <v>4715.2473115485609</v>
      </c>
      <c r="H51" s="100">
        <v>9</v>
      </c>
      <c r="I51" s="100">
        <v>7689.5999999999995</v>
      </c>
      <c r="J51" s="100">
        <v>5</v>
      </c>
      <c r="K51" s="100">
        <v>4272</v>
      </c>
      <c r="L51" s="100">
        <v>5.2949623810238124</v>
      </c>
      <c r="M51" s="100">
        <v>4524.0158583467455</v>
      </c>
      <c r="N51" s="100">
        <v>4.1709373872233595</v>
      </c>
      <c r="O51" s="100">
        <v>3563.6489036436383</v>
      </c>
      <c r="P51" s="100">
        <v>10</v>
      </c>
      <c r="Q51" s="100">
        <v>8544</v>
      </c>
      <c r="R51" s="100">
        <v>5</v>
      </c>
      <c r="S51" s="100">
        <v>4272</v>
      </c>
      <c r="T51" s="100">
        <v>8</v>
      </c>
      <c r="U51" s="100">
        <v>6835.2</v>
      </c>
      <c r="V51" s="100">
        <v>9</v>
      </c>
      <c r="W51" s="100">
        <v>7689.5999999999995</v>
      </c>
      <c r="X51" s="100">
        <v>6</v>
      </c>
      <c r="Y51" s="100">
        <v>5126.3999999999996</v>
      </c>
      <c r="Z51" s="100">
        <v>7</v>
      </c>
      <c r="AA51" s="100">
        <v>5980.8</v>
      </c>
      <c r="AB51" s="100">
        <v>8</v>
      </c>
      <c r="AC51" s="100">
        <v>6835.2</v>
      </c>
      <c r="AD51" s="100">
        <v>6</v>
      </c>
      <c r="AE51" s="100">
        <v>5126.3999999999996</v>
      </c>
      <c r="AF51" s="100">
        <v>11</v>
      </c>
      <c r="AG51" s="100">
        <v>9398.4</v>
      </c>
      <c r="AH51" s="100">
        <v>7</v>
      </c>
      <c r="AI51" s="100">
        <v>5980.8</v>
      </c>
      <c r="AJ51" s="100">
        <v>7</v>
      </c>
      <c r="AK51" s="100">
        <v>5980.8</v>
      </c>
      <c r="AL51" s="100">
        <v>11</v>
      </c>
      <c r="AM51" s="100">
        <v>9398.4</v>
      </c>
      <c r="AN51" s="100">
        <v>9</v>
      </c>
      <c r="AO51" s="100">
        <v>7689.5999999999995</v>
      </c>
      <c r="AP51" s="100">
        <v>7</v>
      </c>
      <c r="AQ51" s="100">
        <v>5980.8</v>
      </c>
      <c r="AR51" s="100">
        <v>10</v>
      </c>
      <c r="AS51" s="100">
        <v>8544</v>
      </c>
      <c r="AT51" s="100">
        <v>4.6051902874175701</v>
      </c>
      <c r="AU51" s="100">
        <v>3934.6745815695717</v>
      </c>
      <c r="AV51" s="100">
        <v>10</v>
      </c>
      <c r="AW51" s="100">
        <v>8544</v>
      </c>
      <c r="AX51" s="100">
        <v>10</v>
      </c>
      <c r="AY51" s="100">
        <v>8544</v>
      </c>
      <c r="AZ51" s="100">
        <v>8.1345867937525096</v>
      </c>
      <c r="BA51" s="100">
        <v>6950.1909565821443</v>
      </c>
      <c r="BB51" s="100">
        <v>0</v>
      </c>
      <c r="BC51" s="100">
        <v>0</v>
      </c>
      <c r="BD51" s="100">
        <v>8.46900374242135</v>
      </c>
      <c r="BE51" s="100">
        <v>7235.916797524801</v>
      </c>
      <c r="BF51" s="100">
        <v>6.7989653734233331</v>
      </c>
      <c r="BG51" s="100">
        <v>5809.0360150528959</v>
      </c>
      <c r="BH51" s="100">
        <v>7</v>
      </c>
      <c r="BI51" s="100">
        <v>5980.8</v>
      </c>
      <c r="BJ51" s="100">
        <v>8.7325488676822722</v>
      </c>
      <c r="BK51" s="100">
        <v>7461.089752547733</v>
      </c>
      <c r="BL51" s="100">
        <v>7.1236672104221253</v>
      </c>
      <c r="BM51" s="100">
        <v>6086.4612645846637</v>
      </c>
      <c r="BN51" s="100">
        <v>8</v>
      </c>
      <c r="BO51" s="100">
        <v>6835.2</v>
      </c>
      <c r="BP51" s="100">
        <v>8</v>
      </c>
      <c r="BQ51" s="100">
        <v>6835.2</v>
      </c>
      <c r="BR51" s="100">
        <v>10</v>
      </c>
      <c r="BS51" s="100">
        <v>8544</v>
      </c>
      <c r="BT51" s="100">
        <v>5</v>
      </c>
      <c r="BU51" s="100">
        <v>4272</v>
      </c>
      <c r="BV51" s="100">
        <v>8</v>
      </c>
      <c r="BW51" s="100">
        <v>6835.2</v>
      </c>
      <c r="BX51" s="100">
        <v>3.563388383297414</v>
      </c>
      <c r="BY51" s="100">
        <v>3044.5590346893105</v>
      </c>
      <c r="BZ51" s="100">
        <v>4.6223687221675105</v>
      </c>
      <c r="CA51" s="100">
        <v>3949.3518362199206</v>
      </c>
      <c r="CB51" s="100">
        <v>3.7384034496223224</v>
      </c>
      <c r="CC51" s="100">
        <v>3194.0919073573123</v>
      </c>
      <c r="CD51" s="100">
        <v>3.9366284032930254</v>
      </c>
      <c r="CE51" s="100">
        <v>3363.4553077735609</v>
      </c>
      <c r="CF51" s="100">
        <v>9</v>
      </c>
      <c r="CG51" s="100">
        <v>7689.5999999999995</v>
      </c>
      <c r="CH51" s="100">
        <v>8</v>
      </c>
      <c r="CI51" s="100">
        <v>6835.2</v>
      </c>
      <c r="CJ51" s="100">
        <v>6.1328416872528422</v>
      </c>
      <c r="CK51" s="100">
        <v>5239.8999375888279</v>
      </c>
      <c r="CL51" s="100">
        <v>10</v>
      </c>
      <c r="CM51" s="100">
        <v>8544</v>
      </c>
      <c r="CN51" s="100">
        <v>9</v>
      </c>
      <c r="CO51" s="100">
        <v>7689.5999999999995</v>
      </c>
      <c r="CP51" s="100">
        <v>4.9941921015368456</v>
      </c>
      <c r="CQ51" s="100">
        <v>4267.0377315530804</v>
      </c>
      <c r="CR51" s="100">
        <v>8.9791177049141506</v>
      </c>
      <c r="CS51" s="100">
        <v>7671.7581670786503</v>
      </c>
      <c r="CT51" s="100">
        <v>7.4944882432934135</v>
      </c>
      <c r="CU51" s="100">
        <v>6403.2907550698919</v>
      </c>
    </row>
    <row r="52" spans="2:99">
      <c r="C52" s="99" t="s">
        <v>218</v>
      </c>
      <c r="D52" s="100">
        <v>6.0555473505358783</v>
      </c>
      <c r="E52" s="100">
        <v>3269.9955692893741</v>
      </c>
      <c r="F52" s="100">
        <v>5.5187819657637656</v>
      </c>
      <c r="G52" s="100">
        <v>2980.1422615124334</v>
      </c>
      <c r="H52" s="100">
        <v>9</v>
      </c>
      <c r="I52" s="100">
        <v>4860</v>
      </c>
      <c r="J52" s="100">
        <v>6</v>
      </c>
      <c r="K52" s="100">
        <v>3240</v>
      </c>
      <c r="L52" s="100">
        <v>6.0513855783129289</v>
      </c>
      <c r="M52" s="100">
        <v>3267.7482122889814</v>
      </c>
      <c r="N52" s="100">
        <v>4.1709373872233595</v>
      </c>
      <c r="O52" s="100">
        <v>2252.3061891006141</v>
      </c>
      <c r="P52" s="100">
        <v>10</v>
      </c>
      <c r="Q52" s="100">
        <v>5400</v>
      </c>
      <c r="R52" s="100">
        <v>6</v>
      </c>
      <c r="S52" s="100">
        <v>3240</v>
      </c>
      <c r="T52" s="100">
        <v>9</v>
      </c>
      <c r="U52" s="100">
        <v>4860</v>
      </c>
      <c r="V52" s="100">
        <v>8</v>
      </c>
      <c r="W52" s="100">
        <v>4320</v>
      </c>
      <c r="X52" s="100">
        <v>6</v>
      </c>
      <c r="Y52" s="100">
        <v>3240</v>
      </c>
      <c r="Z52" s="100">
        <v>8</v>
      </c>
      <c r="AA52" s="100">
        <v>4320</v>
      </c>
      <c r="AB52" s="100">
        <v>7</v>
      </c>
      <c r="AC52" s="100">
        <v>3780</v>
      </c>
      <c r="AD52" s="100">
        <v>6</v>
      </c>
      <c r="AE52" s="100">
        <v>3240</v>
      </c>
      <c r="AF52" s="100">
        <v>11</v>
      </c>
      <c r="AG52" s="100">
        <v>5940</v>
      </c>
      <c r="AH52" s="100">
        <v>7</v>
      </c>
      <c r="AI52" s="100">
        <v>3780</v>
      </c>
      <c r="AJ52" s="100">
        <v>6</v>
      </c>
      <c r="AK52" s="100">
        <v>3240</v>
      </c>
      <c r="AL52" s="100">
        <v>10</v>
      </c>
      <c r="AM52" s="100">
        <v>5400</v>
      </c>
      <c r="AN52" s="100">
        <v>8</v>
      </c>
      <c r="AO52" s="100">
        <v>4320</v>
      </c>
      <c r="AP52" s="100">
        <v>6</v>
      </c>
      <c r="AQ52" s="100">
        <v>3240</v>
      </c>
      <c r="AR52" s="100">
        <v>10</v>
      </c>
      <c r="AS52" s="100">
        <v>5400</v>
      </c>
      <c r="AT52" s="100">
        <v>5.2630746141915088</v>
      </c>
      <c r="AU52" s="100">
        <v>2842.0602916634148</v>
      </c>
      <c r="AV52" s="100">
        <v>9</v>
      </c>
      <c r="AW52" s="100">
        <v>4860</v>
      </c>
      <c r="AX52" s="100">
        <v>9</v>
      </c>
      <c r="AY52" s="100">
        <v>4860</v>
      </c>
      <c r="AZ52" s="100">
        <v>9.0384297708361228</v>
      </c>
      <c r="BA52" s="100">
        <v>4880.752076251506</v>
      </c>
      <c r="BB52" s="100">
        <v>0</v>
      </c>
      <c r="BC52" s="100">
        <v>0</v>
      </c>
      <c r="BD52" s="100">
        <v>7.5280033265967559</v>
      </c>
      <c r="BE52" s="100">
        <v>4065.121796362248</v>
      </c>
      <c r="BF52" s="100">
        <v>6.7989653734233331</v>
      </c>
      <c r="BG52" s="100">
        <v>3671.4413016486001</v>
      </c>
      <c r="BH52" s="100">
        <v>6</v>
      </c>
      <c r="BI52" s="100">
        <v>3240</v>
      </c>
      <c r="BJ52" s="100">
        <v>8.7325488676822722</v>
      </c>
      <c r="BK52" s="100">
        <v>4715.5763885484266</v>
      </c>
      <c r="BL52" s="100">
        <v>8.7067043682937086</v>
      </c>
      <c r="BM52" s="100">
        <v>4701.6203588786029</v>
      </c>
      <c r="BN52" s="100">
        <v>9</v>
      </c>
      <c r="BO52" s="100">
        <v>4860</v>
      </c>
      <c r="BP52" s="100">
        <v>7</v>
      </c>
      <c r="BQ52" s="100">
        <v>3780</v>
      </c>
      <c r="BR52" s="100">
        <v>9</v>
      </c>
      <c r="BS52" s="100">
        <v>4860</v>
      </c>
      <c r="BT52" s="100">
        <v>6</v>
      </c>
      <c r="BU52" s="100">
        <v>3240</v>
      </c>
      <c r="BV52" s="100">
        <v>9</v>
      </c>
      <c r="BW52" s="100">
        <v>4860</v>
      </c>
      <c r="BX52" s="100">
        <v>4.0724438666256164</v>
      </c>
      <c r="BY52" s="100">
        <v>2199.1196879778327</v>
      </c>
      <c r="BZ52" s="100">
        <v>5.282707111048583</v>
      </c>
      <c r="CA52" s="100">
        <v>2852.6618399662348</v>
      </c>
      <c r="CB52" s="100">
        <v>3.7384034496223224</v>
      </c>
      <c r="CC52" s="100">
        <v>2018.7378627960541</v>
      </c>
      <c r="CD52" s="100">
        <v>4.5927331371751965</v>
      </c>
      <c r="CE52" s="100">
        <v>2480.0758940746059</v>
      </c>
      <c r="CF52" s="100">
        <v>9</v>
      </c>
      <c r="CG52" s="100">
        <v>4860</v>
      </c>
      <c r="CH52" s="100">
        <v>8</v>
      </c>
      <c r="CI52" s="100">
        <v>4320</v>
      </c>
      <c r="CJ52" s="100">
        <v>6.1328416872528422</v>
      </c>
      <c r="CK52" s="100">
        <v>3311.7345111165346</v>
      </c>
      <c r="CL52" s="100">
        <v>11</v>
      </c>
      <c r="CM52" s="100">
        <v>5940</v>
      </c>
      <c r="CN52" s="100">
        <v>8</v>
      </c>
      <c r="CO52" s="100">
        <v>4320</v>
      </c>
      <c r="CP52" s="100">
        <v>4.9941921015368456</v>
      </c>
      <c r="CQ52" s="100">
        <v>2696.8637348298967</v>
      </c>
      <c r="CR52" s="100">
        <v>9.8770294754055659</v>
      </c>
      <c r="CS52" s="100">
        <v>5333.5959167190058</v>
      </c>
      <c r="CT52" s="100">
        <v>9.1599300751363959</v>
      </c>
      <c r="CU52" s="100">
        <v>4946.3622405736542</v>
      </c>
    </row>
    <row r="53" spans="2:99">
      <c r="C53" s="99" t="s">
        <v>219</v>
      </c>
      <c r="D53" s="100">
        <v>6.9206255434695763</v>
      </c>
      <c r="E53" s="100">
        <v>2815.3104710834236</v>
      </c>
      <c r="F53" s="100">
        <v>6.4385789600577263</v>
      </c>
      <c r="G53" s="100">
        <v>2619.213920951483</v>
      </c>
      <c r="H53" s="100">
        <v>9</v>
      </c>
      <c r="I53" s="100">
        <v>3661.2000000000003</v>
      </c>
      <c r="J53" s="100">
        <v>6</v>
      </c>
      <c r="K53" s="100">
        <v>2440.8000000000002</v>
      </c>
      <c r="L53" s="100">
        <v>6.0513855783129289</v>
      </c>
      <c r="M53" s="100">
        <v>2461.7036532576994</v>
      </c>
      <c r="N53" s="100">
        <v>4.8660936184272519</v>
      </c>
      <c r="O53" s="100">
        <v>1979.5268839762061</v>
      </c>
      <c r="P53" s="100">
        <v>10</v>
      </c>
      <c r="Q53" s="100">
        <v>4068</v>
      </c>
      <c r="R53" s="100">
        <v>5</v>
      </c>
      <c r="S53" s="100">
        <v>2034</v>
      </c>
      <c r="T53" s="100">
        <v>7</v>
      </c>
      <c r="U53" s="100">
        <v>2847.6</v>
      </c>
      <c r="V53" s="100">
        <v>8</v>
      </c>
      <c r="W53" s="100">
        <v>3254.4</v>
      </c>
      <c r="X53" s="100">
        <v>6</v>
      </c>
      <c r="Y53" s="100">
        <v>2440.8000000000002</v>
      </c>
      <c r="Z53" s="100">
        <v>8</v>
      </c>
      <c r="AA53" s="100">
        <v>3254.4</v>
      </c>
      <c r="AB53" s="100">
        <v>8</v>
      </c>
      <c r="AC53" s="100">
        <v>3254.4</v>
      </c>
      <c r="AD53" s="100">
        <v>6</v>
      </c>
      <c r="AE53" s="100">
        <v>2440.8000000000002</v>
      </c>
      <c r="AF53" s="100">
        <v>11</v>
      </c>
      <c r="AG53" s="100">
        <v>4474.8</v>
      </c>
      <c r="AH53" s="100">
        <v>8</v>
      </c>
      <c r="AI53" s="100">
        <v>3254.4</v>
      </c>
      <c r="AJ53" s="100">
        <v>6</v>
      </c>
      <c r="AK53" s="100">
        <v>2440.8000000000002</v>
      </c>
      <c r="AL53" s="100">
        <v>10</v>
      </c>
      <c r="AM53" s="100">
        <v>4068</v>
      </c>
      <c r="AN53" s="100">
        <v>9</v>
      </c>
      <c r="AO53" s="100">
        <v>3661.2000000000003</v>
      </c>
      <c r="AP53" s="100">
        <v>6</v>
      </c>
      <c r="AQ53" s="100">
        <v>2440.8000000000002</v>
      </c>
      <c r="AR53" s="100">
        <v>10</v>
      </c>
      <c r="AS53" s="100">
        <v>4068</v>
      </c>
      <c r="AT53" s="100">
        <v>5.2630746141915088</v>
      </c>
      <c r="AU53" s="100">
        <v>2141.0187530531057</v>
      </c>
      <c r="AV53" s="100">
        <v>9</v>
      </c>
      <c r="AW53" s="100">
        <v>3661.2000000000003</v>
      </c>
      <c r="AX53" s="100">
        <v>11</v>
      </c>
      <c r="AY53" s="100">
        <v>4474.8</v>
      </c>
      <c r="AZ53" s="100">
        <v>8.1345867937525096</v>
      </c>
      <c r="BA53" s="100">
        <v>3309.149907698521</v>
      </c>
      <c r="BB53" s="100">
        <v>0</v>
      </c>
      <c r="BC53" s="100">
        <v>0</v>
      </c>
      <c r="BD53" s="100">
        <v>7.5280033265967559</v>
      </c>
      <c r="BE53" s="100">
        <v>3062.3917532595606</v>
      </c>
      <c r="BF53" s="100">
        <v>6.1190688360809995</v>
      </c>
      <c r="BG53" s="100">
        <v>2489.2372025177506</v>
      </c>
      <c r="BH53" s="100">
        <v>7</v>
      </c>
      <c r="BI53" s="100">
        <v>2847.6</v>
      </c>
      <c r="BJ53" s="100">
        <v>8.7325488676822722</v>
      </c>
      <c r="BK53" s="100">
        <v>3552.4008793731487</v>
      </c>
      <c r="BL53" s="100">
        <v>7.9151857893579169</v>
      </c>
      <c r="BM53" s="100">
        <v>3219.8975791108005</v>
      </c>
      <c r="BN53" s="100">
        <v>9</v>
      </c>
      <c r="BO53" s="100">
        <v>3661.2000000000003</v>
      </c>
      <c r="BP53" s="100">
        <v>7</v>
      </c>
      <c r="BQ53" s="100">
        <v>2847.6</v>
      </c>
      <c r="BR53" s="100">
        <v>10</v>
      </c>
      <c r="BS53" s="100">
        <v>4068</v>
      </c>
      <c r="BT53" s="100">
        <v>6</v>
      </c>
      <c r="BU53" s="100">
        <v>2440.8000000000002</v>
      </c>
      <c r="BV53" s="100">
        <v>9</v>
      </c>
      <c r="BW53" s="100">
        <v>3661.2000000000003</v>
      </c>
      <c r="BX53" s="100">
        <v>3.563388383297414</v>
      </c>
      <c r="BY53" s="100">
        <v>1449.586394325388</v>
      </c>
      <c r="BZ53" s="100">
        <v>5.282707111048583</v>
      </c>
      <c r="CA53" s="100">
        <v>2149.0052527745638</v>
      </c>
      <c r="CB53" s="100">
        <v>3.7384034496223224</v>
      </c>
      <c r="CC53" s="100">
        <v>1520.7825233063609</v>
      </c>
      <c r="CD53" s="100">
        <v>3.9366284032930254</v>
      </c>
      <c r="CE53" s="100">
        <v>1601.4204344596028</v>
      </c>
      <c r="CF53" s="100">
        <v>9</v>
      </c>
      <c r="CG53" s="100">
        <v>3661.2000000000003</v>
      </c>
      <c r="CH53" s="100">
        <v>8</v>
      </c>
      <c r="CI53" s="100">
        <v>3254.4</v>
      </c>
      <c r="CJ53" s="100">
        <v>6.1328416872528422</v>
      </c>
      <c r="CK53" s="100">
        <v>2494.8399983744562</v>
      </c>
      <c r="CL53" s="100">
        <v>11</v>
      </c>
      <c r="CM53" s="100">
        <v>4474.8</v>
      </c>
      <c r="CN53" s="100">
        <v>8</v>
      </c>
      <c r="CO53" s="100">
        <v>3254.4</v>
      </c>
      <c r="CP53" s="100">
        <v>4.9941921015368456</v>
      </c>
      <c r="CQ53" s="100">
        <v>2031.6373469051889</v>
      </c>
      <c r="CR53" s="100">
        <v>10.774941245896981</v>
      </c>
      <c r="CS53" s="100">
        <v>4383.2460988308922</v>
      </c>
      <c r="CT53" s="100">
        <v>9.1599300751363959</v>
      </c>
      <c r="CU53" s="100">
        <v>3726.2595545654858</v>
      </c>
    </row>
    <row r="54" spans="2:99">
      <c r="C54" s="99" t="s">
        <v>220</v>
      </c>
      <c r="D54" s="100">
        <v>6.9206255434695763</v>
      </c>
      <c r="E54" s="100">
        <v>2317.0254319536143</v>
      </c>
      <c r="F54" s="100">
        <v>6.4385789600577263</v>
      </c>
      <c r="G54" s="100">
        <v>2155.6362358273268</v>
      </c>
      <c r="H54" s="100">
        <v>10</v>
      </c>
      <c r="I54" s="100">
        <v>3348</v>
      </c>
      <c r="J54" s="100">
        <v>6</v>
      </c>
      <c r="K54" s="100">
        <v>2008.8000000000002</v>
      </c>
      <c r="L54" s="100">
        <v>6.0513855783129289</v>
      </c>
      <c r="M54" s="100">
        <v>2026.0038916191686</v>
      </c>
      <c r="N54" s="100">
        <v>4.8660936184272519</v>
      </c>
      <c r="O54" s="100">
        <v>1629.168143449444</v>
      </c>
      <c r="P54" s="100">
        <v>10</v>
      </c>
      <c r="Q54" s="100">
        <v>3348</v>
      </c>
      <c r="R54" s="100">
        <v>6</v>
      </c>
      <c r="S54" s="100">
        <v>2008.8000000000002</v>
      </c>
      <c r="T54" s="100">
        <v>8</v>
      </c>
      <c r="U54" s="100">
        <v>2678.4</v>
      </c>
      <c r="V54" s="100">
        <v>9</v>
      </c>
      <c r="W54" s="100">
        <v>3013.2000000000003</v>
      </c>
      <c r="X54" s="100">
        <v>7</v>
      </c>
      <c r="Y54" s="100">
        <v>2343.6</v>
      </c>
      <c r="Z54" s="100">
        <v>8</v>
      </c>
      <c r="AA54" s="100">
        <v>2678.4</v>
      </c>
      <c r="AB54" s="100">
        <v>8</v>
      </c>
      <c r="AC54" s="100">
        <v>2678.4</v>
      </c>
      <c r="AD54" s="100">
        <v>6</v>
      </c>
      <c r="AE54" s="100">
        <v>2008.8000000000002</v>
      </c>
      <c r="AF54" s="100">
        <v>10</v>
      </c>
      <c r="AG54" s="100">
        <v>3348</v>
      </c>
      <c r="AH54" s="100">
        <v>7</v>
      </c>
      <c r="AI54" s="100">
        <v>2343.6</v>
      </c>
      <c r="AJ54" s="100">
        <v>6</v>
      </c>
      <c r="AK54" s="100">
        <v>2008.8000000000002</v>
      </c>
      <c r="AL54" s="100">
        <v>11</v>
      </c>
      <c r="AM54" s="100">
        <v>3682.8</v>
      </c>
      <c r="AN54" s="100">
        <v>8</v>
      </c>
      <c r="AO54" s="100">
        <v>2678.4</v>
      </c>
      <c r="AP54" s="100">
        <v>6</v>
      </c>
      <c r="AQ54" s="100">
        <v>2008.8000000000002</v>
      </c>
      <c r="AR54" s="100">
        <v>11</v>
      </c>
      <c r="AS54" s="100">
        <v>3682.8</v>
      </c>
      <c r="AT54" s="100">
        <v>5.2630746141915088</v>
      </c>
      <c r="AU54" s="100">
        <v>1762.0773808313172</v>
      </c>
      <c r="AV54" s="100">
        <v>10</v>
      </c>
      <c r="AW54" s="100">
        <v>3348</v>
      </c>
      <c r="AX54" s="100">
        <v>9</v>
      </c>
      <c r="AY54" s="100">
        <v>3013.2000000000003</v>
      </c>
      <c r="AZ54" s="100">
        <v>9.0384297708361228</v>
      </c>
      <c r="BA54" s="100">
        <v>3026.066287275934</v>
      </c>
      <c r="BB54" s="100">
        <v>0</v>
      </c>
      <c r="BC54" s="100">
        <v>0</v>
      </c>
      <c r="BD54" s="100">
        <v>8.46900374242135</v>
      </c>
      <c r="BE54" s="100">
        <v>2835.4224529626681</v>
      </c>
      <c r="BF54" s="100">
        <v>6.7989653734233331</v>
      </c>
      <c r="BG54" s="100">
        <v>2276.2936070221322</v>
      </c>
      <c r="BH54" s="100">
        <v>7</v>
      </c>
      <c r="BI54" s="100">
        <v>2343.6</v>
      </c>
      <c r="BJ54" s="100">
        <v>8.7325488676822722</v>
      </c>
      <c r="BK54" s="100">
        <v>2923.6573609000247</v>
      </c>
      <c r="BL54" s="100">
        <v>8.7067043682937086</v>
      </c>
      <c r="BM54" s="100">
        <v>2915.0046225047336</v>
      </c>
      <c r="BN54" s="100">
        <v>9</v>
      </c>
      <c r="BO54" s="100">
        <v>3013.2000000000003</v>
      </c>
      <c r="BP54" s="100">
        <v>7</v>
      </c>
      <c r="BQ54" s="100">
        <v>2343.6</v>
      </c>
      <c r="BR54" s="100">
        <v>10</v>
      </c>
      <c r="BS54" s="100">
        <v>3348</v>
      </c>
      <c r="BT54" s="100">
        <v>6</v>
      </c>
      <c r="BU54" s="100">
        <v>2008.8000000000002</v>
      </c>
      <c r="BV54" s="100">
        <v>8</v>
      </c>
      <c r="BW54" s="100">
        <v>2678.4</v>
      </c>
      <c r="BX54" s="100">
        <v>4.0724438666256164</v>
      </c>
      <c r="BY54" s="100">
        <v>1363.4542065462565</v>
      </c>
      <c r="BZ54" s="100">
        <v>4.6223687221675105</v>
      </c>
      <c r="CA54" s="100">
        <v>1547.5690481816825</v>
      </c>
      <c r="CB54" s="100">
        <v>3.3230252885531759</v>
      </c>
      <c r="CC54" s="100">
        <v>1112.5488666076033</v>
      </c>
      <c r="CD54" s="100">
        <v>4.5927331371751965</v>
      </c>
      <c r="CE54" s="100">
        <v>1537.6470543262558</v>
      </c>
      <c r="CF54" s="100">
        <v>8</v>
      </c>
      <c r="CG54" s="100">
        <v>2678.4</v>
      </c>
      <c r="CH54" s="100">
        <v>8</v>
      </c>
      <c r="CI54" s="100">
        <v>2678.4</v>
      </c>
      <c r="CJ54" s="100">
        <v>5.1107014060440354</v>
      </c>
      <c r="CK54" s="100">
        <v>1711.0628307435431</v>
      </c>
      <c r="CL54" s="100">
        <v>11</v>
      </c>
      <c r="CM54" s="100">
        <v>3682.8</v>
      </c>
      <c r="CN54" s="100">
        <v>9</v>
      </c>
      <c r="CO54" s="100">
        <v>3013.2000000000003</v>
      </c>
      <c r="CP54" s="100">
        <v>4.280736087031582</v>
      </c>
      <c r="CQ54" s="100">
        <v>1433.1904419381738</v>
      </c>
      <c r="CR54" s="100">
        <v>9.8770294754055659</v>
      </c>
      <c r="CS54" s="100">
        <v>3306.8294683657837</v>
      </c>
      <c r="CT54" s="100">
        <v>8.3272091592149042</v>
      </c>
      <c r="CU54" s="100">
        <v>2787.9496265051498</v>
      </c>
    </row>
    <row r="55" spans="2:99">
      <c r="C55" s="99" t="s">
        <v>221</v>
      </c>
      <c r="D55" s="100">
        <v>6.9206255434695763</v>
      </c>
      <c r="E55" s="100">
        <v>4592.5271106464106</v>
      </c>
      <c r="F55" s="100">
        <v>5.5187819657637656</v>
      </c>
      <c r="G55" s="100">
        <v>3662.2637124808348</v>
      </c>
      <c r="H55" s="100">
        <v>10</v>
      </c>
      <c r="I55" s="100">
        <v>6636</v>
      </c>
      <c r="J55" s="100">
        <v>6</v>
      </c>
      <c r="K55" s="100">
        <v>3981.6000000000004</v>
      </c>
      <c r="L55" s="100">
        <v>5.2949623810238124</v>
      </c>
      <c r="M55" s="100">
        <v>3513.7370360474019</v>
      </c>
      <c r="N55" s="100">
        <v>4.1709373872233595</v>
      </c>
      <c r="O55" s="100">
        <v>2767.8340501614216</v>
      </c>
      <c r="P55" s="100">
        <v>9</v>
      </c>
      <c r="Q55" s="100">
        <v>5972.4000000000005</v>
      </c>
      <c r="R55" s="100">
        <v>5</v>
      </c>
      <c r="S55" s="100">
        <v>3318</v>
      </c>
      <c r="T55" s="100">
        <v>8</v>
      </c>
      <c r="U55" s="100">
        <v>5308.8</v>
      </c>
      <c r="V55" s="100">
        <v>9</v>
      </c>
      <c r="W55" s="100">
        <v>5972.4000000000005</v>
      </c>
      <c r="X55" s="100">
        <v>7</v>
      </c>
      <c r="Y55" s="100">
        <v>4645.2</v>
      </c>
      <c r="Z55" s="100">
        <v>8</v>
      </c>
      <c r="AA55" s="100">
        <v>5308.8</v>
      </c>
      <c r="AB55" s="100">
        <v>7</v>
      </c>
      <c r="AC55" s="100">
        <v>4645.2</v>
      </c>
      <c r="AD55" s="100">
        <v>6</v>
      </c>
      <c r="AE55" s="100">
        <v>3981.6000000000004</v>
      </c>
      <c r="AF55" s="100">
        <v>10</v>
      </c>
      <c r="AG55" s="100">
        <v>6636</v>
      </c>
      <c r="AH55" s="100">
        <v>7</v>
      </c>
      <c r="AI55" s="100">
        <v>4645.2</v>
      </c>
      <c r="AJ55" s="100">
        <v>7</v>
      </c>
      <c r="AK55" s="100">
        <v>4645.2</v>
      </c>
      <c r="AL55" s="100">
        <v>10</v>
      </c>
      <c r="AM55" s="100">
        <v>6636</v>
      </c>
      <c r="AN55" s="100">
        <v>8</v>
      </c>
      <c r="AO55" s="100">
        <v>5308.8</v>
      </c>
      <c r="AP55" s="100">
        <v>7</v>
      </c>
      <c r="AQ55" s="100">
        <v>4645.2</v>
      </c>
      <c r="AR55" s="100">
        <v>11</v>
      </c>
      <c r="AS55" s="100">
        <v>7299.6</v>
      </c>
      <c r="AT55" s="100">
        <v>5.2630746141915088</v>
      </c>
      <c r="AU55" s="100">
        <v>3492.5763139774854</v>
      </c>
      <c r="AV55" s="100">
        <v>10</v>
      </c>
      <c r="AW55" s="100">
        <v>6636</v>
      </c>
      <c r="AX55" s="100">
        <v>9</v>
      </c>
      <c r="AY55" s="100">
        <v>5972.4000000000005</v>
      </c>
      <c r="AZ55" s="100">
        <v>8.1345867937525096</v>
      </c>
      <c r="BA55" s="100">
        <v>5398.1117963341658</v>
      </c>
      <c r="BB55" s="100">
        <v>0</v>
      </c>
      <c r="BC55" s="100">
        <v>0</v>
      </c>
      <c r="BD55" s="100">
        <v>8.46900374242135</v>
      </c>
      <c r="BE55" s="100">
        <v>5620.0308834708085</v>
      </c>
      <c r="BF55" s="100">
        <v>6.7989653734233331</v>
      </c>
      <c r="BG55" s="100">
        <v>4511.7934218037244</v>
      </c>
      <c r="BH55" s="100">
        <v>6</v>
      </c>
      <c r="BI55" s="100">
        <v>3981.6000000000004</v>
      </c>
      <c r="BJ55" s="100">
        <v>9.6058037544504984</v>
      </c>
      <c r="BK55" s="100">
        <v>6374.4113714533505</v>
      </c>
      <c r="BL55" s="100">
        <v>8.7067043682937086</v>
      </c>
      <c r="BM55" s="100">
        <v>5777.769018799705</v>
      </c>
      <c r="BN55" s="100">
        <v>8</v>
      </c>
      <c r="BO55" s="100">
        <v>5308.8</v>
      </c>
      <c r="BP55" s="100">
        <v>7</v>
      </c>
      <c r="BQ55" s="100">
        <v>4645.2</v>
      </c>
      <c r="BR55" s="100">
        <v>9</v>
      </c>
      <c r="BS55" s="100">
        <v>5972.4000000000005</v>
      </c>
      <c r="BT55" s="100">
        <v>6</v>
      </c>
      <c r="BU55" s="100">
        <v>3981.6000000000004</v>
      </c>
      <c r="BV55" s="100">
        <v>8</v>
      </c>
      <c r="BW55" s="100">
        <v>5308.8</v>
      </c>
      <c r="BX55" s="100">
        <v>3.563388383297414</v>
      </c>
      <c r="BY55" s="100">
        <v>2364.6645311561642</v>
      </c>
      <c r="BZ55" s="100">
        <v>4.6223687221675105</v>
      </c>
      <c r="CA55" s="100">
        <v>3067.4038840303601</v>
      </c>
      <c r="CB55" s="100">
        <v>3.3230252885531759</v>
      </c>
      <c r="CC55" s="100">
        <v>2205.1595814838875</v>
      </c>
      <c r="CD55" s="100">
        <v>3.9366284032930254</v>
      </c>
      <c r="CE55" s="100">
        <v>2612.3466084252518</v>
      </c>
      <c r="CF55" s="100">
        <v>9</v>
      </c>
      <c r="CG55" s="100">
        <v>5972.4000000000005</v>
      </c>
      <c r="CH55" s="100">
        <v>9</v>
      </c>
      <c r="CI55" s="100">
        <v>5972.4000000000005</v>
      </c>
      <c r="CJ55" s="100">
        <v>5.1107014060440354</v>
      </c>
      <c r="CK55" s="100">
        <v>3391.461453050822</v>
      </c>
      <c r="CL55" s="100">
        <v>11</v>
      </c>
      <c r="CM55" s="100">
        <v>7299.6</v>
      </c>
      <c r="CN55" s="100">
        <v>8</v>
      </c>
      <c r="CO55" s="100">
        <v>5308.8</v>
      </c>
      <c r="CP55" s="100">
        <v>4.280736087031582</v>
      </c>
      <c r="CQ55" s="100">
        <v>2840.6964673541579</v>
      </c>
      <c r="CR55" s="100">
        <v>9.8770294754055659</v>
      </c>
      <c r="CS55" s="100">
        <v>6554.3967598791342</v>
      </c>
      <c r="CT55" s="100">
        <v>8.3272091592149042</v>
      </c>
      <c r="CU55" s="100">
        <v>5525.9359980550107</v>
      </c>
    </row>
    <row r="56" spans="2:99">
      <c r="C56" s="99" t="s">
        <v>222</v>
      </c>
      <c r="D56" s="100">
        <v>7</v>
      </c>
      <c r="E56" s="100">
        <v>6871.1999999999989</v>
      </c>
      <c r="F56" s="100">
        <v>7</v>
      </c>
      <c r="G56" s="100">
        <v>6871.1999999999989</v>
      </c>
      <c r="H56" s="100">
        <v>10</v>
      </c>
      <c r="I56" s="100">
        <v>9816</v>
      </c>
      <c r="J56" s="100">
        <v>6</v>
      </c>
      <c r="K56" s="100">
        <v>5889.5999999999995</v>
      </c>
      <c r="L56" s="100">
        <v>8</v>
      </c>
      <c r="M56" s="100">
        <v>7852.7999999999993</v>
      </c>
      <c r="N56" s="100">
        <v>5.0564226687197547</v>
      </c>
      <c r="O56" s="100">
        <v>4963.3844916153112</v>
      </c>
      <c r="P56" s="100">
        <v>6.4399109526784564</v>
      </c>
      <c r="Q56" s="100">
        <v>6321.4165911491718</v>
      </c>
      <c r="R56" s="100">
        <v>4.5204653166413076</v>
      </c>
      <c r="S56" s="100">
        <v>4437.2887548151075</v>
      </c>
      <c r="T56" s="100">
        <v>4.6558171035660552</v>
      </c>
      <c r="U56" s="100">
        <v>4570.1500688604392</v>
      </c>
      <c r="V56" s="100">
        <v>9</v>
      </c>
      <c r="W56" s="100">
        <v>8834.4</v>
      </c>
      <c r="X56" s="100">
        <v>4.268446556797266</v>
      </c>
      <c r="Y56" s="100">
        <v>4189.907140152196</v>
      </c>
      <c r="Z56" s="100">
        <v>2.2953018694890917</v>
      </c>
      <c r="AA56" s="100">
        <v>2253.068315090492</v>
      </c>
      <c r="AB56" s="100">
        <v>8</v>
      </c>
      <c r="AC56" s="100">
        <v>7852.7999999999993</v>
      </c>
      <c r="AD56" s="100">
        <v>2.142223341821075</v>
      </c>
      <c r="AE56" s="100">
        <v>2102.8064323315671</v>
      </c>
      <c r="AF56" s="100">
        <v>10</v>
      </c>
      <c r="AG56" s="100">
        <v>9816</v>
      </c>
      <c r="AH56" s="100">
        <v>6.3263559186003056</v>
      </c>
      <c r="AI56" s="100">
        <v>6209.9509696980595</v>
      </c>
      <c r="AJ56" s="100">
        <v>2.2754477333353096</v>
      </c>
      <c r="AK56" s="100">
        <v>2233.5794950419395</v>
      </c>
      <c r="AL56" s="100">
        <v>5.5351086489406223</v>
      </c>
      <c r="AM56" s="100">
        <v>5433.2626498001146</v>
      </c>
      <c r="AN56" s="100">
        <v>6.1881309898549963</v>
      </c>
      <c r="AO56" s="100">
        <v>6074.2693796416643</v>
      </c>
      <c r="AP56" s="100">
        <v>7</v>
      </c>
      <c r="AQ56" s="100">
        <v>6871.1999999999989</v>
      </c>
      <c r="AR56" s="100">
        <v>8.0603160556542921</v>
      </c>
      <c r="AS56" s="100">
        <v>7912.0062402302528</v>
      </c>
      <c r="AT56" s="100">
        <v>8</v>
      </c>
      <c r="AU56" s="100">
        <v>7852.7999999999993</v>
      </c>
      <c r="AV56" s="100">
        <v>10</v>
      </c>
      <c r="AW56" s="100">
        <v>9816</v>
      </c>
      <c r="AX56" s="100">
        <v>7.6018221497254768</v>
      </c>
      <c r="AY56" s="100">
        <v>7461.9486221705274</v>
      </c>
      <c r="AZ56" s="100">
        <v>0</v>
      </c>
      <c r="BA56" s="100">
        <v>0</v>
      </c>
      <c r="BB56" s="100">
        <v>6.0096593032334749</v>
      </c>
      <c r="BC56" s="100">
        <v>5899.0815720539786</v>
      </c>
      <c r="BD56" s="100">
        <v>9</v>
      </c>
      <c r="BE56" s="100">
        <v>8834.4</v>
      </c>
      <c r="BF56" s="100">
        <v>6.5484831953044278</v>
      </c>
      <c r="BG56" s="100">
        <v>6427.9911045108256</v>
      </c>
      <c r="BH56" s="100">
        <v>0.43867623463247996</v>
      </c>
      <c r="BI56" s="100">
        <v>430.60459191524228</v>
      </c>
      <c r="BJ56" s="100">
        <v>9.1712787156773583</v>
      </c>
      <c r="BK56" s="100">
        <v>9002.5271873088932</v>
      </c>
      <c r="BL56" s="100">
        <v>10.310567997127963</v>
      </c>
      <c r="BM56" s="100">
        <v>10120.853545980808</v>
      </c>
      <c r="BN56" s="100">
        <v>8</v>
      </c>
      <c r="BO56" s="100">
        <v>7852.7999999999993</v>
      </c>
      <c r="BP56" s="100">
        <v>7</v>
      </c>
      <c r="BQ56" s="100">
        <v>6871.1999999999989</v>
      </c>
      <c r="BR56" s="100">
        <v>9</v>
      </c>
      <c r="BS56" s="100">
        <v>8834.4</v>
      </c>
      <c r="BT56" s="100">
        <v>3.3791626153475818</v>
      </c>
      <c r="BU56" s="100">
        <v>3316.9860232251858</v>
      </c>
      <c r="BV56" s="100">
        <v>3.9260935935848686</v>
      </c>
      <c r="BW56" s="100">
        <v>3853.8534714629068</v>
      </c>
      <c r="BX56" s="100">
        <v>1.5614445806027955</v>
      </c>
      <c r="BY56" s="100">
        <v>1532.7140003197039</v>
      </c>
      <c r="BZ56" s="100">
        <v>2.80970850394502</v>
      </c>
      <c r="CA56" s="100">
        <v>2758.0098674724313</v>
      </c>
      <c r="CB56" s="100">
        <v>2.2787365990003607</v>
      </c>
      <c r="CC56" s="100">
        <v>2236.807845578754</v>
      </c>
      <c r="CD56" s="100">
        <v>1.8251788941636011</v>
      </c>
      <c r="CE56" s="100">
        <v>1791.5956025109906</v>
      </c>
      <c r="CF56" s="100">
        <v>7.1016104707490992</v>
      </c>
      <c r="CG56" s="100">
        <v>6970.9408380873156</v>
      </c>
      <c r="CH56" s="100">
        <v>4.1630130345770588</v>
      </c>
      <c r="CI56" s="100">
        <v>4086.4135947408404</v>
      </c>
      <c r="CJ56" s="100">
        <v>5.3603157442372336</v>
      </c>
      <c r="CK56" s="100">
        <v>5261.6859345432676</v>
      </c>
      <c r="CL56" s="100">
        <v>6.9787188628512276</v>
      </c>
      <c r="CM56" s="100">
        <v>6850.3104357747643</v>
      </c>
      <c r="CN56" s="100">
        <v>8</v>
      </c>
      <c r="CO56" s="100">
        <v>7852.7999999999993</v>
      </c>
      <c r="CP56" s="100">
        <v>5.1952739773309951</v>
      </c>
      <c r="CQ56" s="100">
        <v>5099.6809361481046</v>
      </c>
      <c r="CR56" s="100">
        <v>7.3975109070303118</v>
      </c>
      <c r="CS56" s="100">
        <v>7261.3967063409536</v>
      </c>
      <c r="CT56" s="100">
        <v>6.4767906653827625</v>
      </c>
      <c r="CU56" s="100">
        <v>6357.6177171397194</v>
      </c>
    </row>
    <row r="57" spans="2:99">
      <c r="C57" s="99" t="s">
        <v>223</v>
      </c>
      <c r="D57" s="100">
        <v>5.1904691576021822</v>
      </c>
      <c r="E57" s="100">
        <v>7324.7900752081996</v>
      </c>
      <c r="F57" s="100">
        <v>5.5187819657637656</v>
      </c>
      <c r="G57" s="100">
        <v>7788.1051100858258</v>
      </c>
      <c r="H57" s="100">
        <v>9</v>
      </c>
      <c r="I57" s="100">
        <v>12700.800000000001</v>
      </c>
      <c r="J57" s="100">
        <v>5</v>
      </c>
      <c r="K57" s="100">
        <v>7056</v>
      </c>
      <c r="L57" s="100">
        <v>5.2949623810238124</v>
      </c>
      <c r="M57" s="100">
        <v>7472.2509121008043</v>
      </c>
      <c r="N57" s="100">
        <v>4.1709373872233595</v>
      </c>
      <c r="O57" s="100">
        <v>5886.0268408496049</v>
      </c>
      <c r="P57" s="100">
        <v>10</v>
      </c>
      <c r="Q57" s="100">
        <v>14112</v>
      </c>
      <c r="R57" s="100">
        <v>6</v>
      </c>
      <c r="S57" s="100">
        <v>8467.2000000000007</v>
      </c>
      <c r="T57" s="100">
        <v>7</v>
      </c>
      <c r="U57" s="100">
        <v>9878.4</v>
      </c>
      <c r="V57" s="100">
        <v>8</v>
      </c>
      <c r="W57" s="100">
        <v>11289.6</v>
      </c>
      <c r="X57" s="100">
        <v>7</v>
      </c>
      <c r="Y57" s="100">
        <v>9878.4</v>
      </c>
      <c r="Z57" s="100">
        <v>8</v>
      </c>
      <c r="AA57" s="100">
        <v>11289.6</v>
      </c>
      <c r="AB57" s="100">
        <v>7</v>
      </c>
      <c r="AC57" s="100">
        <v>9878.4</v>
      </c>
      <c r="AD57" s="100">
        <v>6</v>
      </c>
      <c r="AE57" s="100">
        <v>8467.2000000000007</v>
      </c>
      <c r="AF57" s="100">
        <v>9</v>
      </c>
      <c r="AG57" s="100">
        <v>12700.800000000001</v>
      </c>
      <c r="AH57" s="100">
        <v>7</v>
      </c>
      <c r="AI57" s="100">
        <v>9878.4</v>
      </c>
      <c r="AJ57" s="100">
        <v>6</v>
      </c>
      <c r="AK57" s="100">
        <v>8467.2000000000007</v>
      </c>
      <c r="AL57" s="100">
        <v>9</v>
      </c>
      <c r="AM57" s="100">
        <v>12700.800000000001</v>
      </c>
      <c r="AN57" s="100">
        <v>8</v>
      </c>
      <c r="AO57" s="100">
        <v>11289.6</v>
      </c>
      <c r="AP57" s="100">
        <v>7</v>
      </c>
      <c r="AQ57" s="100">
        <v>9878.4</v>
      </c>
      <c r="AR57" s="100">
        <v>10</v>
      </c>
      <c r="AS57" s="100">
        <v>14112</v>
      </c>
      <c r="AT57" s="100">
        <v>4.6051902874175701</v>
      </c>
      <c r="AU57" s="100">
        <v>6498.8445336036748</v>
      </c>
      <c r="AV57" s="100">
        <v>10</v>
      </c>
      <c r="AW57" s="100">
        <v>14112</v>
      </c>
      <c r="AX57" s="100">
        <v>10</v>
      </c>
      <c r="AY57" s="100">
        <v>14112</v>
      </c>
      <c r="AZ57" s="100">
        <v>7.2307438166688982</v>
      </c>
      <c r="BA57" s="100">
        <v>10204.02567408315</v>
      </c>
      <c r="BB57" s="100">
        <v>0</v>
      </c>
      <c r="BC57" s="100">
        <v>0</v>
      </c>
      <c r="BD57" s="100">
        <v>8.46900374242135</v>
      </c>
      <c r="BE57" s="100">
        <v>11951.458081305009</v>
      </c>
      <c r="BF57" s="100">
        <v>6.1190688360809995</v>
      </c>
      <c r="BG57" s="100">
        <v>8635.2299414775061</v>
      </c>
      <c r="BH57" s="100">
        <v>7</v>
      </c>
      <c r="BI57" s="100">
        <v>9878.4</v>
      </c>
      <c r="BJ57" s="100">
        <v>7.8592939809140452</v>
      </c>
      <c r="BK57" s="100">
        <v>11091.0356658659</v>
      </c>
      <c r="BL57" s="100">
        <v>7.9151857893579169</v>
      </c>
      <c r="BM57" s="100">
        <v>11169.910185941893</v>
      </c>
      <c r="BN57" s="100">
        <v>7</v>
      </c>
      <c r="BO57" s="100">
        <v>9878.4</v>
      </c>
      <c r="BP57" s="100">
        <v>7</v>
      </c>
      <c r="BQ57" s="100">
        <v>9878.4</v>
      </c>
      <c r="BR57" s="100">
        <v>9</v>
      </c>
      <c r="BS57" s="100">
        <v>12700.800000000001</v>
      </c>
      <c r="BT57" s="100">
        <v>5</v>
      </c>
      <c r="BU57" s="100">
        <v>7056</v>
      </c>
      <c r="BV57" s="100">
        <v>8</v>
      </c>
      <c r="BW57" s="100">
        <v>11289.6</v>
      </c>
      <c r="BX57" s="100">
        <v>3.563388383297414</v>
      </c>
      <c r="BY57" s="100">
        <v>5028.6536865093112</v>
      </c>
      <c r="BZ57" s="100">
        <v>4.6223687221675105</v>
      </c>
      <c r="CA57" s="100">
        <v>6523.0867407227906</v>
      </c>
      <c r="CB57" s="100">
        <v>3.3230252885531759</v>
      </c>
      <c r="CC57" s="100">
        <v>4689.4532872062418</v>
      </c>
      <c r="CD57" s="100">
        <v>3.9366284032930254</v>
      </c>
      <c r="CE57" s="100">
        <v>5555.3700027271179</v>
      </c>
      <c r="CF57" s="100">
        <v>9</v>
      </c>
      <c r="CG57" s="100">
        <v>12700.800000000001</v>
      </c>
      <c r="CH57" s="100">
        <v>8</v>
      </c>
      <c r="CI57" s="100">
        <v>11289.6</v>
      </c>
      <c r="CJ57" s="100">
        <v>5.1107014060440354</v>
      </c>
      <c r="CK57" s="100">
        <v>7212.2218242093431</v>
      </c>
      <c r="CL57" s="100">
        <v>10</v>
      </c>
      <c r="CM57" s="100">
        <v>14112</v>
      </c>
      <c r="CN57" s="100">
        <v>8</v>
      </c>
      <c r="CO57" s="100">
        <v>11289.6</v>
      </c>
      <c r="CP57" s="100">
        <v>4.9941921015368456</v>
      </c>
      <c r="CQ57" s="100">
        <v>7047.803893688797</v>
      </c>
      <c r="CR57" s="100">
        <v>9.8770294754055659</v>
      </c>
      <c r="CS57" s="100">
        <v>13938.463995692335</v>
      </c>
      <c r="CT57" s="100">
        <v>9.1599300751363959</v>
      </c>
      <c r="CU57" s="100">
        <v>12926.493322032482</v>
      </c>
    </row>
    <row r="58" spans="2:99">
      <c r="C58" s="99" t="s">
        <v>224</v>
      </c>
      <c r="D58" s="100">
        <v>7</v>
      </c>
      <c r="E58" s="100">
        <v>8240.4</v>
      </c>
      <c r="F58" s="100">
        <v>4.3628480579108837</v>
      </c>
      <c r="G58" s="100">
        <v>5135.9447337726924</v>
      </c>
      <c r="H58" s="100">
        <v>6.6339186016428497</v>
      </c>
      <c r="I58" s="100">
        <v>7809.4489778539628</v>
      </c>
      <c r="J58" s="100">
        <v>5.6409752796949215</v>
      </c>
      <c r="K58" s="100">
        <v>6640.5560992568617</v>
      </c>
      <c r="L58" s="100">
        <v>4.9522497359928641</v>
      </c>
      <c r="M58" s="100">
        <v>5829.7883892108002</v>
      </c>
      <c r="N58" s="100">
        <v>3.4882471633571868</v>
      </c>
      <c r="O58" s="100">
        <v>4106.3645607040808</v>
      </c>
      <c r="P58" s="100">
        <v>8</v>
      </c>
      <c r="Q58" s="100">
        <v>9417.6</v>
      </c>
      <c r="R58" s="100">
        <v>6</v>
      </c>
      <c r="S58" s="100">
        <v>7063.2000000000007</v>
      </c>
      <c r="T58" s="100">
        <v>7</v>
      </c>
      <c r="U58" s="100">
        <v>8240.4</v>
      </c>
      <c r="V58" s="100">
        <v>8</v>
      </c>
      <c r="W58" s="100">
        <v>9417.6</v>
      </c>
      <c r="X58" s="100">
        <v>7</v>
      </c>
      <c r="Y58" s="100">
        <v>8240.4</v>
      </c>
      <c r="Z58" s="100">
        <v>7</v>
      </c>
      <c r="AA58" s="100">
        <v>8240.4</v>
      </c>
      <c r="AB58" s="100">
        <v>5.4924812562710565</v>
      </c>
      <c r="AC58" s="100">
        <v>6465.7489348822883</v>
      </c>
      <c r="AD58" s="100">
        <v>1.4748242454905538</v>
      </c>
      <c r="AE58" s="100">
        <v>1736.1631017914799</v>
      </c>
      <c r="AF58" s="100">
        <v>11</v>
      </c>
      <c r="AG58" s="100">
        <v>12949.2</v>
      </c>
      <c r="AH58" s="100">
        <v>5.9251977991989362</v>
      </c>
      <c r="AI58" s="100">
        <v>6975.142849216988</v>
      </c>
      <c r="AJ58" s="100">
        <v>6</v>
      </c>
      <c r="AK58" s="100">
        <v>7063.2000000000007</v>
      </c>
      <c r="AL58" s="100">
        <v>6.5229194720384207</v>
      </c>
      <c r="AM58" s="100">
        <v>7678.7808024836295</v>
      </c>
      <c r="AN58" s="100">
        <v>9</v>
      </c>
      <c r="AO58" s="100">
        <v>10594.800000000001</v>
      </c>
      <c r="AP58" s="100">
        <v>7</v>
      </c>
      <c r="AQ58" s="100">
        <v>8240.4</v>
      </c>
      <c r="AR58" s="100">
        <v>6.8947115161637278</v>
      </c>
      <c r="AS58" s="100">
        <v>8116.4543968279404</v>
      </c>
      <c r="AT58" s="100">
        <v>3.6550519493717943</v>
      </c>
      <c r="AU58" s="100">
        <v>4302.7271548004765</v>
      </c>
      <c r="AV58" s="100">
        <v>9</v>
      </c>
      <c r="AW58" s="100">
        <v>10594.800000000001</v>
      </c>
      <c r="AX58" s="100">
        <v>5.9001683682805073</v>
      </c>
      <c r="AY58" s="100">
        <v>6945.6782031398134</v>
      </c>
      <c r="AZ58" s="100">
        <v>0.91145945154760544</v>
      </c>
      <c r="BA58" s="100">
        <v>1072.9700663618412</v>
      </c>
      <c r="BB58" s="100">
        <v>8.0478599270534712</v>
      </c>
      <c r="BC58" s="100">
        <v>9473.9407061273469</v>
      </c>
      <c r="BD58" s="100">
        <v>5.8148960377332939</v>
      </c>
      <c r="BE58" s="100">
        <v>6845.2956156196342</v>
      </c>
      <c r="BF58" s="100">
        <v>6.9707257829384766</v>
      </c>
      <c r="BG58" s="100">
        <v>8205.9383916751758</v>
      </c>
      <c r="BH58" s="100">
        <v>4.7238075559974089</v>
      </c>
      <c r="BI58" s="100">
        <v>5560.8662549201499</v>
      </c>
      <c r="BJ58" s="100">
        <v>9</v>
      </c>
      <c r="BK58" s="100">
        <v>10594.800000000001</v>
      </c>
      <c r="BL58" s="100">
        <v>0.1765891611814368</v>
      </c>
      <c r="BM58" s="100">
        <v>207.88076054278741</v>
      </c>
      <c r="BN58" s="100">
        <v>7</v>
      </c>
      <c r="BO58" s="100">
        <v>8240.4</v>
      </c>
      <c r="BP58" s="100">
        <v>6</v>
      </c>
      <c r="BQ58" s="100">
        <v>7063.2000000000007</v>
      </c>
      <c r="BR58" s="100">
        <v>8</v>
      </c>
      <c r="BS58" s="100">
        <v>9417.6</v>
      </c>
      <c r="BT58" s="100">
        <v>5</v>
      </c>
      <c r="BU58" s="100">
        <v>5886</v>
      </c>
      <c r="BV58" s="100">
        <v>6.4595724191647896</v>
      </c>
      <c r="BW58" s="100">
        <v>7604.2086518407905</v>
      </c>
      <c r="BX58" s="100">
        <v>1.5018394101572641</v>
      </c>
      <c r="BY58" s="100">
        <v>1767.9653536371313</v>
      </c>
      <c r="BZ58" s="100">
        <v>1.6970463173393187</v>
      </c>
      <c r="CA58" s="100">
        <v>1997.762924771846</v>
      </c>
      <c r="CB58" s="100">
        <v>4.951136291661685</v>
      </c>
      <c r="CC58" s="100">
        <v>5828.477642544136</v>
      </c>
      <c r="CD58" s="100">
        <v>1.9736776348941012</v>
      </c>
      <c r="CE58" s="100">
        <v>2323.4133117973361</v>
      </c>
      <c r="CF58" s="100">
        <v>4.7592264986510129</v>
      </c>
      <c r="CG58" s="100">
        <v>5602.5614342119725</v>
      </c>
      <c r="CH58" s="100">
        <v>3.6587815942180919</v>
      </c>
      <c r="CI58" s="100">
        <v>4307.1176927135375</v>
      </c>
      <c r="CJ58" s="100">
        <v>6.5649743714583435</v>
      </c>
      <c r="CK58" s="100">
        <v>7728.2878300807624</v>
      </c>
      <c r="CL58" s="100">
        <v>10</v>
      </c>
      <c r="CM58" s="100">
        <v>11772</v>
      </c>
      <c r="CN58" s="100">
        <v>8</v>
      </c>
      <c r="CO58" s="100">
        <v>9417.6</v>
      </c>
      <c r="CP58" s="100">
        <v>4.1934978256507227</v>
      </c>
      <c r="CQ58" s="100">
        <v>4936.585640356031</v>
      </c>
      <c r="CR58" s="100">
        <v>11</v>
      </c>
      <c r="CS58" s="100">
        <v>12949.2</v>
      </c>
      <c r="CT58" s="100">
        <v>9</v>
      </c>
      <c r="CU58" s="100">
        <v>10594.800000000001</v>
      </c>
    </row>
    <row r="59" spans="2:99">
      <c r="C59" s="99" t="s">
        <v>225</v>
      </c>
      <c r="D59" s="100">
        <v>6.9206255434695763</v>
      </c>
      <c r="E59" s="100">
        <v>2101.1019149973631</v>
      </c>
      <c r="F59" s="100">
        <v>6.4385789600577263</v>
      </c>
      <c r="G59" s="100">
        <v>1954.7525722735254</v>
      </c>
      <c r="H59" s="100">
        <v>10</v>
      </c>
      <c r="I59" s="100">
        <v>3035.9999999999995</v>
      </c>
      <c r="J59" s="100">
        <v>6</v>
      </c>
      <c r="K59" s="100">
        <v>1821.6</v>
      </c>
      <c r="L59" s="100">
        <v>6.0513855783129289</v>
      </c>
      <c r="M59" s="100">
        <v>1837.200661575805</v>
      </c>
      <c r="N59" s="100">
        <v>4.1709373872233595</v>
      </c>
      <c r="O59" s="100">
        <v>1266.2965907610119</v>
      </c>
      <c r="P59" s="100">
        <v>9</v>
      </c>
      <c r="Q59" s="100">
        <v>2732.3999999999996</v>
      </c>
      <c r="R59" s="100">
        <v>6</v>
      </c>
      <c r="S59" s="100">
        <v>1821.6</v>
      </c>
      <c r="T59" s="100">
        <v>9</v>
      </c>
      <c r="U59" s="100">
        <v>2732.3999999999996</v>
      </c>
      <c r="V59" s="100">
        <v>9</v>
      </c>
      <c r="W59" s="100">
        <v>2732.3999999999996</v>
      </c>
      <c r="X59" s="100">
        <v>7</v>
      </c>
      <c r="Y59" s="100">
        <v>2125.1999999999998</v>
      </c>
      <c r="Z59" s="100">
        <v>8</v>
      </c>
      <c r="AA59" s="100">
        <v>2428.7999999999997</v>
      </c>
      <c r="AB59" s="100">
        <v>8</v>
      </c>
      <c r="AC59" s="100">
        <v>2428.7999999999997</v>
      </c>
      <c r="AD59" s="100">
        <v>7</v>
      </c>
      <c r="AE59" s="100">
        <v>2125.1999999999998</v>
      </c>
      <c r="AF59" s="100">
        <v>11</v>
      </c>
      <c r="AG59" s="100">
        <v>3339.5999999999995</v>
      </c>
      <c r="AH59" s="100">
        <v>8</v>
      </c>
      <c r="AI59" s="100">
        <v>2428.7999999999997</v>
      </c>
      <c r="AJ59" s="100">
        <v>6</v>
      </c>
      <c r="AK59" s="100">
        <v>1821.6</v>
      </c>
      <c r="AL59" s="100">
        <v>10</v>
      </c>
      <c r="AM59" s="100">
        <v>3035.9999999999995</v>
      </c>
      <c r="AN59" s="100">
        <v>10</v>
      </c>
      <c r="AO59" s="100">
        <v>3035.9999999999995</v>
      </c>
      <c r="AP59" s="100">
        <v>7</v>
      </c>
      <c r="AQ59" s="100">
        <v>2125.1999999999998</v>
      </c>
      <c r="AR59" s="100">
        <v>9</v>
      </c>
      <c r="AS59" s="100">
        <v>2732.3999999999996</v>
      </c>
      <c r="AT59" s="100">
        <v>5.2630746141915088</v>
      </c>
      <c r="AU59" s="100">
        <v>1597.8694528685419</v>
      </c>
      <c r="AV59" s="100">
        <v>10</v>
      </c>
      <c r="AW59" s="100">
        <v>3035.9999999999995</v>
      </c>
      <c r="AX59" s="100">
        <v>11</v>
      </c>
      <c r="AY59" s="100">
        <v>3339.5999999999995</v>
      </c>
      <c r="AZ59" s="100">
        <v>8.1345867937525096</v>
      </c>
      <c r="BA59" s="100">
        <v>2469.6605505832617</v>
      </c>
      <c r="BB59" s="100">
        <v>0</v>
      </c>
      <c r="BC59" s="100">
        <v>0</v>
      </c>
      <c r="BD59" s="100">
        <v>8.46900374242135</v>
      </c>
      <c r="BE59" s="100">
        <v>2571.1895361991214</v>
      </c>
      <c r="BF59" s="100">
        <v>6.1190688360809995</v>
      </c>
      <c r="BG59" s="100">
        <v>1857.7492986341913</v>
      </c>
      <c r="BH59" s="100">
        <v>6</v>
      </c>
      <c r="BI59" s="100">
        <v>1821.6</v>
      </c>
      <c r="BJ59" s="100">
        <v>8.7325488676822722</v>
      </c>
      <c r="BK59" s="100">
        <v>2651.2018362283375</v>
      </c>
      <c r="BL59" s="100">
        <v>7.1236672104221253</v>
      </c>
      <c r="BM59" s="100">
        <v>2162.7453650841571</v>
      </c>
      <c r="BN59" s="100">
        <v>9</v>
      </c>
      <c r="BO59" s="100">
        <v>2732.3999999999996</v>
      </c>
      <c r="BP59" s="100">
        <v>7</v>
      </c>
      <c r="BQ59" s="100">
        <v>2125.1999999999998</v>
      </c>
      <c r="BR59" s="100">
        <v>10</v>
      </c>
      <c r="BS59" s="100">
        <v>3035.9999999999995</v>
      </c>
      <c r="BT59" s="100">
        <v>6</v>
      </c>
      <c r="BU59" s="100">
        <v>1821.6</v>
      </c>
      <c r="BV59" s="100">
        <v>8</v>
      </c>
      <c r="BW59" s="100">
        <v>2428.7999999999997</v>
      </c>
      <c r="BX59" s="100">
        <v>3.563388383297414</v>
      </c>
      <c r="BY59" s="100">
        <v>1081.8447131690948</v>
      </c>
      <c r="BZ59" s="100">
        <v>5.282707111048583</v>
      </c>
      <c r="CA59" s="100">
        <v>1603.8298789143496</v>
      </c>
      <c r="CB59" s="100">
        <v>3.7384034496223224</v>
      </c>
      <c r="CC59" s="100">
        <v>1134.979287305337</v>
      </c>
      <c r="CD59" s="100">
        <v>3.9366284032930254</v>
      </c>
      <c r="CE59" s="100">
        <v>1195.1603832397625</v>
      </c>
      <c r="CF59" s="100">
        <v>8</v>
      </c>
      <c r="CG59" s="100">
        <v>2428.7999999999997</v>
      </c>
      <c r="CH59" s="100">
        <v>9</v>
      </c>
      <c r="CI59" s="100">
        <v>2732.3999999999996</v>
      </c>
      <c r="CJ59" s="100">
        <v>6.1328416872528422</v>
      </c>
      <c r="CK59" s="100">
        <v>1861.9307362499626</v>
      </c>
      <c r="CL59" s="100">
        <v>11</v>
      </c>
      <c r="CM59" s="100">
        <v>3339.5999999999995</v>
      </c>
      <c r="CN59" s="100">
        <v>8</v>
      </c>
      <c r="CO59" s="100">
        <v>2428.7999999999997</v>
      </c>
      <c r="CP59" s="100">
        <v>4.9941921015368456</v>
      </c>
      <c r="CQ59" s="100">
        <v>1516.2367220265862</v>
      </c>
      <c r="CR59" s="100">
        <v>10.774941245896981</v>
      </c>
      <c r="CS59" s="100">
        <v>3271.2721622543231</v>
      </c>
      <c r="CT59" s="100">
        <v>8.3272091592149042</v>
      </c>
      <c r="CU59" s="100">
        <v>2528.1407007376447</v>
      </c>
    </row>
    <row r="60" spans="2:99">
      <c r="C60" s="99" t="s">
        <v>226</v>
      </c>
      <c r="D60" s="100">
        <v>6.9206255434695763</v>
      </c>
      <c r="E60" s="100">
        <v>4509.4796041247764</v>
      </c>
      <c r="F60" s="100">
        <v>6.4385789600577263</v>
      </c>
      <c r="G60" s="100">
        <v>4195.3780503736143</v>
      </c>
      <c r="H60" s="100">
        <v>9</v>
      </c>
      <c r="I60" s="100">
        <v>5864.4000000000005</v>
      </c>
      <c r="J60" s="100">
        <v>6</v>
      </c>
      <c r="K60" s="100">
        <v>3909.6000000000004</v>
      </c>
      <c r="L60" s="100">
        <v>6.0513855783129289</v>
      </c>
      <c r="M60" s="100">
        <v>3943.0828428287045</v>
      </c>
      <c r="N60" s="100">
        <v>4.1709373872233595</v>
      </c>
      <c r="O60" s="100">
        <v>2717.7828015147411</v>
      </c>
      <c r="P60" s="100">
        <v>9</v>
      </c>
      <c r="Q60" s="100">
        <v>5864.4000000000005</v>
      </c>
      <c r="R60" s="100">
        <v>6</v>
      </c>
      <c r="S60" s="100">
        <v>3909.6000000000004</v>
      </c>
      <c r="T60" s="100">
        <v>8</v>
      </c>
      <c r="U60" s="100">
        <v>5212.8</v>
      </c>
      <c r="V60" s="100">
        <v>8</v>
      </c>
      <c r="W60" s="100">
        <v>5212.8</v>
      </c>
      <c r="X60" s="100">
        <v>6</v>
      </c>
      <c r="Y60" s="100">
        <v>3909.6000000000004</v>
      </c>
      <c r="Z60" s="100">
        <v>9</v>
      </c>
      <c r="AA60" s="100">
        <v>5864.4000000000005</v>
      </c>
      <c r="AB60" s="100">
        <v>8</v>
      </c>
      <c r="AC60" s="100">
        <v>5212.8</v>
      </c>
      <c r="AD60" s="100">
        <v>6</v>
      </c>
      <c r="AE60" s="100">
        <v>3909.6000000000004</v>
      </c>
      <c r="AF60" s="100">
        <v>9</v>
      </c>
      <c r="AG60" s="100">
        <v>5864.4000000000005</v>
      </c>
      <c r="AH60" s="100">
        <v>7</v>
      </c>
      <c r="AI60" s="100">
        <v>4561.2</v>
      </c>
      <c r="AJ60" s="100">
        <v>7</v>
      </c>
      <c r="AK60" s="100">
        <v>4561.2</v>
      </c>
      <c r="AL60" s="100">
        <v>11</v>
      </c>
      <c r="AM60" s="100">
        <v>7167.6</v>
      </c>
      <c r="AN60" s="100">
        <v>9</v>
      </c>
      <c r="AO60" s="100">
        <v>5864.4000000000005</v>
      </c>
      <c r="AP60" s="100">
        <v>7</v>
      </c>
      <c r="AQ60" s="100">
        <v>4561.2</v>
      </c>
      <c r="AR60" s="100">
        <v>10</v>
      </c>
      <c r="AS60" s="100">
        <v>6516</v>
      </c>
      <c r="AT60" s="100">
        <v>5.2630746141915088</v>
      </c>
      <c r="AU60" s="100">
        <v>3429.4194186071873</v>
      </c>
      <c r="AV60" s="100">
        <v>10</v>
      </c>
      <c r="AW60" s="100">
        <v>6516</v>
      </c>
      <c r="AX60" s="100">
        <v>11</v>
      </c>
      <c r="AY60" s="100">
        <v>7167.6</v>
      </c>
      <c r="AZ60" s="100">
        <v>8.1345867937525096</v>
      </c>
      <c r="BA60" s="100">
        <v>5300.4967548091354</v>
      </c>
      <c r="BB60" s="100">
        <v>0</v>
      </c>
      <c r="BC60" s="100">
        <v>0</v>
      </c>
      <c r="BD60" s="100">
        <v>8.46900374242135</v>
      </c>
      <c r="BE60" s="100">
        <v>5518.4028385617521</v>
      </c>
      <c r="BF60" s="100">
        <v>6.7989653734233331</v>
      </c>
      <c r="BG60" s="100">
        <v>4430.2058373226437</v>
      </c>
      <c r="BH60" s="100">
        <v>6</v>
      </c>
      <c r="BI60" s="100">
        <v>3909.6000000000004</v>
      </c>
      <c r="BJ60" s="100">
        <v>8.7325488676822722</v>
      </c>
      <c r="BK60" s="100">
        <v>5690.128842181769</v>
      </c>
      <c r="BL60" s="100">
        <v>7.9151857893579169</v>
      </c>
      <c r="BM60" s="100">
        <v>5157.5350603456191</v>
      </c>
      <c r="BN60" s="100">
        <v>8</v>
      </c>
      <c r="BO60" s="100">
        <v>5212.8</v>
      </c>
      <c r="BP60" s="100">
        <v>7</v>
      </c>
      <c r="BQ60" s="100">
        <v>4561.2</v>
      </c>
      <c r="BR60" s="100">
        <v>9</v>
      </c>
      <c r="BS60" s="100">
        <v>5864.4000000000005</v>
      </c>
      <c r="BT60" s="100">
        <v>5</v>
      </c>
      <c r="BU60" s="100">
        <v>3258</v>
      </c>
      <c r="BV60" s="100">
        <v>8</v>
      </c>
      <c r="BW60" s="100">
        <v>5212.8</v>
      </c>
      <c r="BX60" s="100">
        <v>3.563388383297414</v>
      </c>
      <c r="BY60" s="100">
        <v>2321.9038705565949</v>
      </c>
      <c r="BZ60" s="100">
        <v>5.282707111048583</v>
      </c>
      <c r="CA60" s="100">
        <v>3442.2119535592569</v>
      </c>
      <c r="CB60" s="100">
        <v>3.7384034496223224</v>
      </c>
      <c r="CC60" s="100">
        <v>2435.9436877739054</v>
      </c>
      <c r="CD60" s="100">
        <v>3.9366284032930254</v>
      </c>
      <c r="CE60" s="100">
        <v>2565.1070675857354</v>
      </c>
      <c r="CF60" s="100">
        <v>8</v>
      </c>
      <c r="CG60" s="100">
        <v>5212.8</v>
      </c>
      <c r="CH60" s="100">
        <v>8</v>
      </c>
      <c r="CI60" s="100">
        <v>5212.8</v>
      </c>
      <c r="CJ60" s="100">
        <v>5.6217715466484393</v>
      </c>
      <c r="CK60" s="100">
        <v>3663.1463397961234</v>
      </c>
      <c r="CL60" s="100">
        <v>11</v>
      </c>
      <c r="CM60" s="100">
        <v>7167.6</v>
      </c>
      <c r="CN60" s="100">
        <v>8</v>
      </c>
      <c r="CO60" s="100">
        <v>5212.8</v>
      </c>
      <c r="CP60" s="100">
        <v>4.9941921015368456</v>
      </c>
      <c r="CQ60" s="100">
        <v>3254.2155733614086</v>
      </c>
      <c r="CR60" s="100">
        <v>9.8770294754055659</v>
      </c>
      <c r="CS60" s="100">
        <v>6435.8724061742669</v>
      </c>
      <c r="CT60" s="100">
        <v>7.4944882432934135</v>
      </c>
      <c r="CU60" s="100">
        <v>4883.4085393299883</v>
      </c>
    </row>
    <row r="61" spans="2:99">
      <c r="C61" s="99" t="s">
        <v>227</v>
      </c>
      <c r="D61" s="100">
        <v>6.0555473505358783</v>
      </c>
      <c r="E61" s="100">
        <v>5762.4588587699409</v>
      </c>
      <c r="F61" s="100">
        <v>6.4385789600577263</v>
      </c>
      <c r="G61" s="100">
        <v>6126.9517383909315</v>
      </c>
      <c r="H61" s="100">
        <v>9</v>
      </c>
      <c r="I61" s="100">
        <v>8564.4</v>
      </c>
      <c r="J61" s="100">
        <v>6</v>
      </c>
      <c r="K61" s="100">
        <v>5709.5999999999995</v>
      </c>
      <c r="L61" s="100">
        <v>6.0513855783129289</v>
      </c>
      <c r="M61" s="100">
        <v>5758.4985163225829</v>
      </c>
      <c r="N61" s="100">
        <v>4.1709373872233595</v>
      </c>
      <c r="O61" s="100">
        <v>3969.0640176817487</v>
      </c>
      <c r="P61" s="100">
        <v>9</v>
      </c>
      <c r="Q61" s="100">
        <v>8564.4</v>
      </c>
      <c r="R61" s="100">
        <v>6</v>
      </c>
      <c r="S61" s="100">
        <v>5709.5999999999995</v>
      </c>
      <c r="T61" s="100">
        <v>7</v>
      </c>
      <c r="U61" s="100">
        <v>6661.1999999999989</v>
      </c>
      <c r="V61" s="100">
        <v>8</v>
      </c>
      <c r="W61" s="100">
        <v>7612.7999999999993</v>
      </c>
      <c r="X61" s="100">
        <v>7</v>
      </c>
      <c r="Y61" s="100">
        <v>6661.1999999999989</v>
      </c>
      <c r="Z61" s="100">
        <v>7</v>
      </c>
      <c r="AA61" s="100">
        <v>6661.1999999999989</v>
      </c>
      <c r="AB61" s="100">
        <v>8</v>
      </c>
      <c r="AC61" s="100">
        <v>7612.7999999999993</v>
      </c>
      <c r="AD61" s="100">
        <v>6</v>
      </c>
      <c r="AE61" s="100">
        <v>5709.5999999999995</v>
      </c>
      <c r="AF61" s="100">
        <v>10</v>
      </c>
      <c r="AG61" s="100">
        <v>9516</v>
      </c>
      <c r="AH61" s="100">
        <v>7</v>
      </c>
      <c r="AI61" s="100">
        <v>6661.1999999999989</v>
      </c>
      <c r="AJ61" s="100">
        <v>6</v>
      </c>
      <c r="AK61" s="100">
        <v>5709.5999999999995</v>
      </c>
      <c r="AL61" s="100">
        <v>9</v>
      </c>
      <c r="AM61" s="100">
        <v>8564.4</v>
      </c>
      <c r="AN61" s="100">
        <v>9</v>
      </c>
      <c r="AO61" s="100">
        <v>8564.4</v>
      </c>
      <c r="AP61" s="100">
        <v>7</v>
      </c>
      <c r="AQ61" s="100">
        <v>6661.1999999999989</v>
      </c>
      <c r="AR61" s="100">
        <v>10</v>
      </c>
      <c r="AS61" s="100">
        <v>9516</v>
      </c>
      <c r="AT61" s="100">
        <v>5.2630746141915088</v>
      </c>
      <c r="AU61" s="100">
        <v>5008.3418028646392</v>
      </c>
      <c r="AV61" s="100">
        <v>10</v>
      </c>
      <c r="AW61" s="100">
        <v>9516</v>
      </c>
      <c r="AX61" s="100">
        <v>9</v>
      </c>
      <c r="AY61" s="100">
        <v>8564.4</v>
      </c>
      <c r="AZ61" s="100">
        <v>9.0384297708361228</v>
      </c>
      <c r="BA61" s="100">
        <v>8600.969769927653</v>
      </c>
      <c r="BB61" s="100">
        <v>0</v>
      </c>
      <c r="BC61" s="100">
        <v>0</v>
      </c>
      <c r="BD61" s="100">
        <v>8.46900374242135</v>
      </c>
      <c r="BE61" s="100">
        <v>8059.1039612881559</v>
      </c>
      <c r="BF61" s="100">
        <v>7.4788619107656666</v>
      </c>
      <c r="BG61" s="100">
        <v>7116.8849942846073</v>
      </c>
      <c r="BH61" s="100">
        <v>6</v>
      </c>
      <c r="BI61" s="100">
        <v>5709.5999999999995</v>
      </c>
      <c r="BJ61" s="100">
        <v>9.6058037544504984</v>
      </c>
      <c r="BK61" s="100">
        <v>9140.8828527350943</v>
      </c>
      <c r="BL61" s="100">
        <v>8.7067043682937086</v>
      </c>
      <c r="BM61" s="100">
        <v>8285.2998768682919</v>
      </c>
      <c r="BN61" s="100">
        <v>8</v>
      </c>
      <c r="BO61" s="100">
        <v>7612.7999999999993</v>
      </c>
      <c r="BP61" s="100">
        <v>6</v>
      </c>
      <c r="BQ61" s="100">
        <v>5709.5999999999995</v>
      </c>
      <c r="BR61" s="100">
        <v>8</v>
      </c>
      <c r="BS61" s="100">
        <v>7612.7999999999993</v>
      </c>
      <c r="BT61" s="100">
        <v>6</v>
      </c>
      <c r="BU61" s="100">
        <v>5709.5999999999995</v>
      </c>
      <c r="BV61" s="100">
        <v>7</v>
      </c>
      <c r="BW61" s="100">
        <v>6661.1999999999989</v>
      </c>
      <c r="BX61" s="100">
        <v>3.563388383297414</v>
      </c>
      <c r="BY61" s="100">
        <v>3390.920385545819</v>
      </c>
      <c r="BZ61" s="100">
        <v>4.6223687221675105</v>
      </c>
      <c r="CA61" s="100">
        <v>4398.6460760146028</v>
      </c>
      <c r="CB61" s="100">
        <v>3.3230252885531759</v>
      </c>
      <c r="CC61" s="100">
        <v>3162.1908645872018</v>
      </c>
      <c r="CD61" s="100">
        <v>3.9366284032930254</v>
      </c>
      <c r="CE61" s="100">
        <v>3746.0955885736425</v>
      </c>
      <c r="CF61" s="100">
        <v>8</v>
      </c>
      <c r="CG61" s="100">
        <v>7612.7999999999993</v>
      </c>
      <c r="CH61" s="100">
        <v>8</v>
      </c>
      <c r="CI61" s="100">
        <v>7612.7999999999993</v>
      </c>
      <c r="CJ61" s="100">
        <v>6.1328416872528422</v>
      </c>
      <c r="CK61" s="100">
        <v>5836.0121495898038</v>
      </c>
      <c r="CL61" s="100">
        <v>11</v>
      </c>
      <c r="CM61" s="100">
        <v>10467.599999999999</v>
      </c>
      <c r="CN61" s="100">
        <v>9</v>
      </c>
      <c r="CO61" s="100">
        <v>8564.4</v>
      </c>
      <c r="CP61" s="100">
        <v>4.280736087031582</v>
      </c>
      <c r="CQ61" s="100">
        <v>4073.5484604192529</v>
      </c>
      <c r="CR61" s="100">
        <v>9.8770294754055659</v>
      </c>
      <c r="CS61" s="100">
        <v>9398.9812487959352</v>
      </c>
      <c r="CT61" s="100">
        <v>7.4944882432934135</v>
      </c>
      <c r="CU61" s="100">
        <v>7131.7550123180117</v>
      </c>
    </row>
    <row r="62" spans="2:99">
      <c r="C62" s="99" t="s">
        <v>228</v>
      </c>
      <c r="D62" s="100">
        <v>6</v>
      </c>
      <c r="E62" s="100">
        <v>10015.200000000001</v>
      </c>
      <c r="F62" s="100">
        <v>6</v>
      </c>
      <c r="G62" s="100">
        <v>10015.200000000001</v>
      </c>
      <c r="H62" s="100">
        <v>8</v>
      </c>
      <c r="I62" s="100">
        <v>13353.6</v>
      </c>
      <c r="J62" s="100">
        <v>6</v>
      </c>
      <c r="K62" s="100">
        <v>10015.200000000001</v>
      </c>
      <c r="L62" s="100">
        <v>8</v>
      </c>
      <c r="M62" s="100">
        <v>13353.6</v>
      </c>
      <c r="N62" s="100">
        <v>4.2136855572664622</v>
      </c>
      <c r="O62" s="100">
        <v>7033.4839321891786</v>
      </c>
      <c r="P62" s="100">
        <v>7.155456614087174</v>
      </c>
      <c r="Q62" s="100">
        <v>11943.888180234311</v>
      </c>
      <c r="R62" s="100">
        <v>5.4245583799695689</v>
      </c>
      <c r="S62" s="100">
        <v>9054.6728478452042</v>
      </c>
      <c r="T62" s="100">
        <v>4.0738399656202979</v>
      </c>
      <c r="U62" s="100">
        <v>6800.0536706134017</v>
      </c>
      <c r="V62" s="100">
        <v>9</v>
      </c>
      <c r="W62" s="100">
        <v>15022.800000000001</v>
      </c>
      <c r="X62" s="100">
        <v>4.268446556797266</v>
      </c>
      <c r="Y62" s="100">
        <v>7124.8909926059969</v>
      </c>
      <c r="Z62" s="100">
        <v>2.2953018694890917</v>
      </c>
      <c r="AA62" s="100">
        <v>3831.317880551192</v>
      </c>
      <c r="AB62" s="100">
        <v>7</v>
      </c>
      <c r="AC62" s="100">
        <v>11684.4</v>
      </c>
      <c r="AD62" s="100">
        <v>2.142223341821075</v>
      </c>
      <c r="AE62" s="100">
        <v>3575.7992021677383</v>
      </c>
      <c r="AF62" s="100">
        <v>9</v>
      </c>
      <c r="AG62" s="100">
        <v>15022.800000000001</v>
      </c>
      <c r="AH62" s="100">
        <v>6.3263559186003056</v>
      </c>
      <c r="AI62" s="100">
        <v>10559.95329932763</v>
      </c>
      <c r="AJ62" s="100">
        <v>2.2754477333353096</v>
      </c>
      <c r="AK62" s="100">
        <v>3798.1773564832988</v>
      </c>
      <c r="AL62" s="100">
        <v>4.98159778404656</v>
      </c>
      <c r="AM62" s="100">
        <v>8315.2830211305172</v>
      </c>
      <c r="AN62" s="100">
        <v>6.1881309898549963</v>
      </c>
      <c r="AO62" s="100">
        <v>10329.228248265959</v>
      </c>
      <c r="AP62" s="100">
        <v>7</v>
      </c>
      <c r="AQ62" s="100">
        <v>11684.4</v>
      </c>
      <c r="AR62" s="100">
        <v>7.3275600505948111</v>
      </c>
      <c r="AS62" s="100">
        <v>12231.16323645286</v>
      </c>
      <c r="AT62" s="100">
        <v>8</v>
      </c>
      <c r="AU62" s="100">
        <v>13353.6</v>
      </c>
      <c r="AV62" s="100">
        <v>10</v>
      </c>
      <c r="AW62" s="100">
        <v>16692</v>
      </c>
      <c r="AX62" s="100">
        <v>6.8416399347529291</v>
      </c>
      <c r="AY62" s="100">
        <v>11420.06537908959</v>
      </c>
      <c r="AZ62" s="100">
        <v>0</v>
      </c>
      <c r="BA62" s="100">
        <v>0</v>
      </c>
      <c r="BB62" s="100">
        <v>6.0096593032334749</v>
      </c>
      <c r="BC62" s="100">
        <v>10031.323308957317</v>
      </c>
      <c r="BD62" s="100">
        <v>8</v>
      </c>
      <c r="BE62" s="100">
        <v>13353.6</v>
      </c>
      <c r="BF62" s="100">
        <v>6.5484831953044278</v>
      </c>
      <c r="BG62" s="100">
        <v>10930.728149602151</v>
      </c>
      <c r="BH62" s="100">
        <v>0.43867623463247996</v>
      </c>
      <c r="BI62" s="100">
        <v>732.23837084853551</v>
      </c>
      <c r="BJ62" s="100">
        <v>7.5037734946451113</v>
      </c>
      <c r="BK62" s="100">
        <v>12525.298717261619</v>
      </c>
      <c r="BL62" s="100">
        <v>9.3732436337526934</v>
      </c>
      <c r="BM62" s="100">
        <v>15645.818273459996</v>
      </c>
      <c r="BN62" s="100">
        <v>7</v>
      </c>
      <c r="BO62" s="100">
        <v>11684.4</v>
      </c>
      <c r="BP62" s="100">
        <v>6</v>
      </c>
      <c r="BQ62" s="100">
        <v>10015.200000000001</v>
      </c>
      <c r="BR62" s="100">
        <v>9</v>
      </c>
      <c r="BS62" s="100">
        <v>15022.800000000001</v>
      </c>
      <c r="BT62" s="100">
        <v>4.0549951384170981</v>
      </c>
      <c r="BU62" s="100">
        <v>6768.5978850458205</v>
      </c>
      <c r="BV62" s="100">
        <v>3.9260935935848686</v>
      </c>
      <c r="BW62" s="100">
        <v>6553.4354264118629</v>
      </c>
      <c r="BX62" s="100">
        <v>1.8216853440365948</v>
      </c>
      <c r="BY62" s="100">
        <v>3040.757176265884</v>
      </c>
      <c r="BZ62" s="100">
        <v>2.1072813779587651</v>
      </c>
      <c r="CA62" s="100">
        <v>3517.4740760887707</v>
      </c>
      <c r="CB62" s="100">
        <v>2.2787365990003607</v>
      </c>
      <c r="CC62" s="100">
        <v>3803.6671310514021</v>
      </c>
      <c r="CD62" s="100">
        <v>1.8251788941636011</v>
      </c>
      <c r="CE62" s="100">
        <v>3046.5886101378833</v>
      </c>
      <c r="CF62" s="100">
        <v>6.3125426406658667</v>
      </c>
      <c r="CG62" s="100">
        <v>10536.896175799466</v>
      </c>
      <c r="CH62" s="100">
        <v>3.6426364052549265</v>
      </c>
      <c r="CI62" s="100">
        <v>6080.2886876515231</v>
      </c>
      <c r="CJ62" s="100">
        <v>4.3857128816486464</v>
      </c>
      <c r="CK62" s="100">
        <v>7320.6319420479203</v>
      </c>
      <c r="CL62" s="100">
        <v>6.3442898753192978</v>
      </c>
      <c r="CM62" s="100">
        <v>10589.888659882972</v>
      </c>
      <c r="CN62" s="100">
        <v>8</v>
      </c>
      <c r="CO62" s="100">
        <v>13353.6</v>
      </c>
      <c r="CP62" s="100">
        <v>5.1952739773309951</v>
      </c>
      <c r="CQ62" s="100">
        <v>8671.9513229608965</v>
      </c>
      <c r="CR62" s="100">
        <v>7.3975109070303118</v>
      </c>
      <c r="CS62" s="100">
        <v>12347.925206014997</v>
      </c>
      <c r="CT62" s="100">
        <v>5.829111598844487</v>
      </c>
      <c r="CU62" s="100">
        <v>9729.9530807912179</v>
      </c>
    </row>
    <row r="63" spans="2:99">
      <c r="C63" s="99" t="s">
        <v>229</v>
      </c>
      <c r="D63" s="100">
        <v>6.0555473505358783</v>
      </c>
      <c r="E63" s="100">
        <v>4817.793472086345</v>
      </c>
      <c r="F63" s="100">
        <v>6.4385789600577263</v>
      </c>
      <c r="G63" s="100">
        <v>5122.5334206219268</v>
      </c>
      <c r="H63" s="100">
        <v>9</v>
      </c>
      <c r="I63" s="100">
        <v>7160.4000000000005</v>
      </c>
      <c r="J63" s="100">
        <v>6</v>
      </c>
      <c r="K63" s="100">
        <v>4773.6000000000004</v>
      </c>
      <c r="L63" s="100">
        <v>5.2949623810238124</v>
      </c>
      <c r="M63" s="100">
        <v>4212.6720703425453</v>
      </c>
      <c r="N63" s="100">
        <v>4.8660936184272519</v>
      </c>
      <c r="O63" s="100">
        <v>3871.4640828207216</v>
      </c>
      <c r="P63" s="100">
        <v>9</v>
      </c>
      <c r="Q63" s="100">
        <v>7160.4000000000005</v>
      </c>
      <c r="R63" s="100">
        <v>6</v>
      </c>
      <c r="S63" s="100">
        <v>4773.6000000000004</v>
      </c>
      <c r="T63" s="100">
        <v>8</v>
      </c>
      <c r="U63" s="100">
        <v>6364.8</v>
      </c>
      <c r="V63" s="100">
        <v>9</v>
      </c>
      <c r="W63" s="100">
        <v>7160.4000000000005</v>
      </c>
      <c r="X63" s="100">
        <v>6</v>
      </c>
      <c r="Y63" s="100">
        <v>4773.6000000000004</v>
      </c>
      <c r="Z63" s="100">
        <v>7</v>
      </c>
      <c r="AA63" s="100">
        <v>5569.2</v>
      </c>
      <c r="AB63" s="100">
        <v>7</v>
      </c>
      <c r="AC63" s="100">
        <v>5569.2</v>
      </c>
      <c r="AD63" s="100">
        <v>7</v>
      </c>
      <c r="AE63" s="100">
        <v>5569.2</v>
      </c>
      <c r="AF63" s="100">
        <v>11</v>
      </c>
      <c r="AG63" s="100">
        <v>8751.6</v>
      </c>
      <c r="AH63" s="100">
        <v>7</v>
      </c>
      <c r="AI63" s="100">
        <v>5569.2</v>
      </c>
      <c r="AJ63" s="100">
        <v>6</v>
      </c>
      <c r="AK63" s="100">
        <v>4773.6000000000004</v>
      </c>
      <c r="AL63" s="100">
        <v>10</v>
      </c>
      <c r="AM63" s="100">
        <v>7956</v>
      </c>
      <c r="AN63" s="100">
        <v>9</v>
      </c>
      <c r="AO63" s="100">
        <v>7160.4000000000005</v>
      </c>
      <c r="AP63" s="100">
        <v>7</v>
      </c>
      <c r="AQ63" s="100">
        <v>5569.2</v>
      </c>
      <c r="AR63" s="100">
        <v>10</v>
      </c>
      <c r="AS63" s="100">
        <v>7956</v>
      </c>
      <c r="AT63" s="100">
        <v>4.6051902874175701</v>
      </c>
      <c r="AU63" s="100">
        <v>3663.8893926694191</v>
      </c>
      <c r="AV63" s="100">
        <v>9</v>
      </c>
      <c r="AW63" s="100">
        <v>7160.4000000000005</v>
      </c>
      <c r="AX63" s="100">
        <v>9</v>
      </c>
      <c r="AY63" s="100">
        <v>7160.4000000000005</v>
      </c>
      <c r="AZ63" s="100">
        <v>8.1345867937525096</v>
      </c>
      <c r="BA63" s="100">
        <v>6471.8772531094965</v>
      </c>
      <c r="BB63" s="100">
        <v>0</v>
      </c>
      <c r="BC63" s="100">
        <v>0</v>
      </c>
      <c r="BD63" s="100">
        <v>8.46900374242135</v>
      </c>
      <c r="BE63" s="100">
        <v>6737.9393774704258</v>
      </c>
      <c r="BF63" s="100">
        <v>6.7989653734233331</v>
      </c>
      <c r="BG63" s="100">
        <v>5409.2568510956044</v>
      </c>
      <c r="BH63" s="100">
        <v>7</v>
      </c>
      <c r="BI63" s="100">
        <v>5569.2</v>
      </c>
      <c r="BJ63" s="100">
        <v>7.8592939809140452</v>
      </c>
      <c r="BK63" s="100">
        <v>6252.8542912152143</v>
      </c>
      <c r="BL63" s="100">
        <v>7.1236672104221253</v>
      </c>
      <c r="BM63" s="100">
        <v>5667.5896326118427</v>
      </c>
      <c r="BN63" s="100">
        <v>8</v>
      </c>
      <c r="BO63" s="100">
        <v>6364.8</v>
      </c>
      <c r="BP63" s="100">
        <v>7</v>
      </c>
      <c r="BQ63" s="100">
        <v>5569.2</v>
      </c>
      <c r="BR63" s="100">
        <v>10</v>
      </c>
      <c r="BS63" s="100">
        <v>7956</v>
      </c>
      <c r="BT63" s="100">
        <v>6</v>
      </c>
      <c r="BU63" s="100">
        <v>4773.6000000000004</v>
      </c>
      <c r="BV63" s="100">
        <v>8</v>
      </c>
      <c r="BW63" s="100">
        <v>6364.8</v>
      </c>
      <c r="BX63" s="100">
        <v>3.563388383297414</v>
      </c>
      <c r="BY63" s="100">
        <v>2835.0317977514228</v>
      </c>
      <c r="BZ63" s="100">
        <v>5.282707111048583</v>
      </c>
      <c r="CA63" s="100">
        <v>4202.921777550253</v>
      </c>
      <c r="CB63" s="100">
        <v>3.3230252885531759</v>
      </c>
      <c r="CC63" s="100">
        <v>2643.7989195729069</v>
      </c>
      <c r="CD63" s="100">
        <v>3.9366284032930254</v>
      </c>
      <c r="CE63" s="100">
        <v>3131.9815576599312</v>
      </c>
      <c r="CF63" s="100">
        <v>8</v>
      </c>
      <c r="CG63" s="100">
        <v>6364.8</v>
      </c>
      <c r="CH63" s="100">
        <v>9</v>
      </c>
      <c r="CI63" s="100">
        <v>7160.4000000000005</v>
      </c>
      <c r="CJ63" s="100">
        <v>5.6217715466484393</v>
      </c>
      <c r="CK63" s="100">
        <v>4472.681442513498</v>
      </c>
      <c r="CL63" s="100">
        <v>10</v>
      </c>
      <c r="CM63" s="100">
        <v>7956</v>
      </c>
      <c r="CN63" s="100">
        <v>8</v>
      </c>
      <c r="CO63" s="100">
        <v>6364.8</v>
      </c>
      <c r="CP63" s="100">
        <v>4.9941921015368456</v>
      </c>
      <c r="CQ63" s="100">
        <v>3973.3792359827144</v>
      </c>
      <c r="CR63" s="100">
        <v>10.774941245896981</v>
      </c>
      <c r="CS63" s="100">
        <v>8572.5432552356378</v>
      </c>
      <c r="CT63" s="100">
        <v>8.3272091592149042</v>
      </c>
      <c r="CU63" s="100">
        <v>6625.1276070713784</v>
      </c>
    </row>
    <row r="64" spans="2:99">
      <c r="C64" s="99" t="s">
        <v>230</v>
      </c>
      <c r="D64" s="100">
        <v>5.1904691576021822</v>
      </c>
      <c r="E64" s="100">
        <v>5238.2214738521216</v>
      </c>
      <c r="F64" s="100">
        <v>5.5187819657637656</v>
      </c>
      <c r="G64" s="100">
        <v>5569.554759848791</v>
      </c>
      <c r="H64" s="100">
        <v>8</v>
      </c>
      <c r="I64" s="100">
        <v>8073.5999999999985</v>
      </c>
      <c r="J64" s="100">
        <v>6</v>
      </c>
      <c r="K64" s="100">
        <v>6055.1999999999989</v>
      </c>
      <c r="L64" s="100">
        <v>6.0513855783129289</v>
      </c>
      <c r="M64" s="100">
        <v>6107.0583256334066</v>
      </c>
      <c r="N64" s="100">
        <v>4.1709373872233595</v>
      </c>
      <c r="O64" s="100">
        <v>4209.3100111858139</v>
      </c>
      <c r="P64" s="100">
        <v>10</v>
      </c>
      <c r="Q64" s="100">
        <v>10091.999999999998</v>
      </c>
      <c r="R64" s="100">
        <v>6</v>
      </c>
      <c r="S64" s="100">
        <v>6055.1999999999989</v>
      </c>
      <c r="T64" s="100">
        <v>8</v>
      </c>
      <c r="U64" s="100">
        <v>8073.5999999999985</v>
      </c>
      <c r="V64" s="100">
        <v>10</v>
      </c>
      <c r="W64" s="100">
        <v>10091.999999999998</v>
      </c>
      <c r="X64" s="100">
        <v>6</v>
      </c>
      <c r="Y64" s="100">
        <v>6055.1999999999989</v>
      </c>
      <c r="Z64" s="100">
        <v>7</v>
      </c>
      <c r="AA64" s="100">
        <v>7064.3999999999987</v>
      </c>
      <c r="AB64" s="100">
        <v>7</v>
      </c>
      <c r="AC64" s="100">
        <v>7064.3999999999987</v>
      </c>
      <c r="AD64" s="100">
        <v>6</v>
      </c>
      <c r="AE64" s="100">
        <v>6055.1999999999989</v>
      </c>
      <c r="AF64" s="100">
        <v>10</v>
      </c>
      <c r="AG64" s="100">
        <v>10091.999999999998</v>
      </c>
      <c r="AH64" s="100">
        <v>8</v>
      </c>
      <c r="AI64" s="100">
        <v>8073.5999999999985</v>
      </c>
      <c r="AJ64" s="100">
        <v>7</v>
      </c>
      <c r="AK64" s="100">
        <v>7064.3999999999987</v>
      </c>
      <c r="AL64" s="100">
        <v>10</v>
      </c>
      <c r="AM64" s="100">
        <v>10091.999999999998</v>
      </c>
      <c r="AN64" s="100">
        <v>10</v>
      </c>
      <c r="AO64" s="100">
        <v>10091.999999999998</v>
      </c>
      <c r="AP64" s="100">
        <v>7</v>
      </c>
      <c r="AQ64" s="100">
        <v>7064.3999999999987</v>
      </c>
      <c r="AR64" s="100">
        <v>10</v>
      </c>
      <c r="AS64" s="100">
        <v>10091.999999999998</v>
      </c>
      <c r="AT64" s="100">
        <v>5.2630746141915088</v>
      </c>
      <c r="AU64" s="100">
        <v>5311.4949006420693</v>
      </c>
      <c r="AV64" s="100">
        <v>10</v>
      </c>
      <c r="AW64" s="100">
        <v>10091.999999999998</v>
      </c>
      <c r="AX64" s="100">
        <v>11</v>
      </c>
      <c r="AY64" s="100">
        <v>11101.199999999997</v>
      </c>
      <c r="AZ64" s="100">
        <v>8.1345867937525096</v>
      </c>
      <c r="BA64" s="100">
        <v>8209.4249922550316</v>
      </c>
      <c r="BB64" s="100">
        <v>0</v>
      </c>
      <c r="BC64" s="100">
        <v>0</v>
      </c>
      <c r="BD64" s="100">
        <v>7.5280033265967559</v>
      </c>
      <c r="BE64" s="100">
        <v>7597.2609572014444</v>
      </c>
      <c r="BF64" s="100">
        <v>6.7989653734233331</v>
      </c>
      <c r="BG64" s="100">
        <v>6861.5158548588261</v>
      </c>
      <c r="BH64" s="100">
        <v>6</v>
      </c>
      <c r="BI64" s="100">
        <v>6055.1999999999989</v>
      </c>
      <c r="BJ64" s="100">
        <v>7.8592939809140452</v>
      </c>
      <c r="BK64" s="100">
        <v>7931.5994855384533</v>
      </c>
      <c r="BL64" s="100">
        <v>8.7067043682937086</v>
      </c>
      <c r="BM64" s="100">
        <v>8786.8060484820089</v>
      </c>
      <c r="BN64" s="100">
        <v>8</v>
      </c>
      <c r="BO64" s="100">
        <v>8073.5999999999985</v>
      </c>
      <c r="BP64" s="100">
        <v>6</v>
      </c>
      <c r="BQ64" s="100">
        <v>6055.1999999999989</v>
      </c>
      <c r="BR64" s="100">
        <v>9</v>
      </c>
      <c r="BS64" s="100">
        <v>9082.7999999999993</v>
      </c>
      <c r="BT64" s="100">
        <v>6</v>
      </c>
      <c r="BU64" s="100">
        <v>6055.1999999999989</v>
      </c>
      <c r="BV64" s="100">
        <v>7</v>
      </c>
      <c r="BW64" s="100">
        <v>7064.3999999999987</v>
      </c>
      <c r="BX64" s="100">
        <v>3.563388383297414</v>
      </c>
      <c r="BY64" s="100">
        <v>3596.1715564237497</v>
      </c>
      <c r="BZ64" s="100">
        <v>5.282707111048583</v>
      </c>
      <c r="CA64" s="100">
        <v>5331.3080164702287</v>
      </c>
      <c r="CB64" s="100">
        <v>3.3230252885531759</v>
      </c>
      <c r="CC64" s="100">
        <v>3353.5971212078643</v>
      </c>
      <c r="CD64" s="100">
        <v>3.9366284032930254</v>
      </c>
      <c r="CE64" s="100">
        <v>3972.8453846033203</v>
      </c>
      <c r="CF64" s="100">
        <v>9</v>
      </c>
      <c r="CG64" s="100">
        <v>9082.7999999999993</v>
      </c>
      <c r="CH64" s="100">
        <v>9</v>
      </c>
      <c r="CI64" s="100">
        <v>9082.7999999999993</v>
      </c>
      <c r="CJ64" s="100">
        <v>5.6217715466484393</v>
      </c>
      <c r="CK64" s="100">
        <v>5673.4918448776043</v>
      </c>
      <c r="CL64" s="100">
        <v>11</v>
      </c>
      <c r="CM64" s="100">
        <v>11101.199999999997</v>
      </c>
      <c r="CN64" s="100">
        <v>8</v>
      </c>
      <c r="CO64" s="100">
        <v>8073.5999999999985</v>
      </c>
      <c r="CP64" s="100">
        <v>4.280736087031582</v>
      </c>
      <c r="CQ64" s="100">
        <v>4320.1188590322718</v>
      </c>
      <c r="CR64" s="100">
        <v>10.774941245896981</v>
      </c>
      <c r="CS64" s="100">
        <v>10874.07070535923</v>
      </c>
      <c r="CT64" s="100">
        <v>8.3272091592149042</v>
      </c>
      <c r="CU64" s="100">
        <v>8403.8194834796795</v>
      </c>
    </row>
    <row r="65" spans="2:99">
      <c r="C65" s="99" t="s">
        <v>231</v>
      </c>
      <c r="D65" s="100">
        <v>6.0555473505358783</v>
      </c>
      <c r="E65" s="100">
        <v>6212.9915816498115</v>
      </c>
      <c r="F65" s="100">
        <v>5.5187819657637656</v>
      </c>
      <c r="G65" s="100">
        <v>5662.2702968736239</v>
      </c>
      <c r="H65" s="100">
        <v>10</v>
      </c>
      <c r="I65" s="100">
        <v>10260</v>
      </c>
      <c r="J65" s="100">
        <v>6</v>
      </c>
      <c r="K65" s="100">
        <v>6156</v>
      </c>
      <c r="L65" s="100">
        <v>5.2949623810238124</v>
      </c>
      <c r="M65" s="100">
        <v>5432.6314029304312</v>
      </c>
      <c r="N65" s="100">
        <v>4.1709373872233595</v>
      </c>
      <c r="O65" s="100">
        <v>4279.3817592911664</v>
      </c>
      <c r="P65" s="100">
        <v>9</v>
      </c>
      <c r="Q65" s="100">
        <v>9234</v>
      </c>
      <c r="R65" s="100">
        <v>6</v>
      </c>
      <c r="S65" s="100">
        <v>6156</v>
      </c>
      <c r="T65" s="100">
        <v>7</v>
      </c>
      <c r="U65" s="100">
        <v>7182</v>
      </c>
      <c r="V65" s="100">
        <v>8</v>
      </c>
      <c r="W65" s="100">
        <v>8208</v>
      </c>
      <c r="X65" s="100">
        <v>7</v>
      </c>
      <c r="Y65" s="100">
        <v>7182</v>
      </c>
      <c r="Z65" s="100">
        <v>8</v>
      </c>
      <c r="AA65" s="100">
        <v>8208</v>
      </c>
      <c r="AB65" s="100">
        <v>7</v>
      </c>
      <c r="AC65" s="100">
        <v>7182</v>
      </c>
      <c r="AD65" s="100">
        <v>6</v>
      </c>
      <c r="AE65" s="100">
        <v>6156</v>
      </c>
      <c r="AF65" s="100">
        <v>9</v>
      </c>
      <c r="AG65" s="100">
        <v>9234</v>
      </c>
      <c r="AH65" s="100">
        <v>8</v>
      </c>
      <c r="AI65" s="100">
        <v>8208</v>
      </c>
      <c r="AJ65" s="100">
        <v>6</v>
      </c>
      <c r="AK65" s="100">
        <v>6156</v>
      </c>
      <c r="AL65" s="100">
        <v>10</v>
      </c>
      <c r="AM65" s="100">
        <v>10260</v>
      </c>
      <c r="AN65" s="100">
        <v>9</v>
      </c>
      <c r="AO65" s="100">
        <v>9234</v>
      </c>
      <c r="AP65" s="100">
        <v>7</v>
      </c>
      <c r="AQ65" s="100">
        <v>7182</v>
      </c>
      <c r="AR65" s="100">
        <v>10</v>
      </c>
      <c r="AS65" s="100">
        <v>10260</v>
      </c>
      <c r="AT65" s="100">
        <v>4.6051902874175701</v>
      </c>
      <c r="AU65" s="100">
        <v>4724.9252348904265</v>
      </c>
      <c r="AV65" s="100">
        <v>11</v>
      </c>
      <c r="AW65" s="100">
        <v>11286</v>
      </c>
      <c r="AX65" s="100">
        <v>10</v>
      </c>
      <c r="AY65" s="100">
        <v>10260</v>
      </c>
      <c r="AZ65" s="100">
        <v>8.1345867937525096</v>
      </c>
      <c r="BA65" s="100">
        <v>8346.0860503900749</v>
      </c>
      <c r="BB65" s="100">
        <v>0</v>
      </c>
      <c r="BC65" s="100">
        <v>0</v>
      </c>
      <c r="BD65" s="100">
        <v>8.46900374242135</v>
      </c>
      <c r="BE65" s="100">
        <v>8689.1978397243056</v>
      </c>
      <c r="BF65" s="100">
        <v>6.1190688360809995</v>
      </c>
      <c r="BG65" s="100">
        <v>6278.1646258191058</v>
      </c>
      <c r="BH65" s="100">
        <v>6</v>
      </c>
      <c r="BI65" s="100">
        <v>6156</v>
      </c>
      <c r="BJ65" s="100">
        <v>7.8592939809140452</v>
      </c>
      <c r="BK65" s="100">
        <v>8063.6356244178105</v>
      </c>
      <c r="BL65" s="100">
        <v>7.9151857893579169</v>
      </c>
      <c r="BM65" s="100">
        <v>8120.980619881223</v>
      </c>
      <c r="BN65" s="100">
        <v>8</v>
      </c>
      <c r="BO65" s="100">
        <v>8208</v>
      </c>
      <c r="BP65" s="100">
        <v>6</v>
      </c>
      <c r="BQ65" s="100">
        <v>6156</v>
      </c>
      <c r="BR65" s="100">
        <v>10</v>
      </c>
      <c r="BS65" s="100">
        <v>10260</v>
      </c>
      <c r="BT65" s="100">
        <v>5</v>
      </c>
      <c r="BU65" s="100">
        <v>5130</v>
      </c>
      <c r="BV65" s="100">
        <v>9</v>
      </c>
      <c r="BW65" s="100">
        <v>9234</v>
      </c>
      <c r="BX65" s="100">
        <v>3.0543328999692121</v>
      </c>
      <c r="BY65" s="100">
        <v>3133.7455553684117</v>
      </c>
      <c r="BZ65" s="100">
        <v>4.6223687221675105</v>
      </c>
      <c r="CA65" s="100">
        <v>4742.5503089438662</v>
      </c>
      <c r="CB65" s="100">
        <v>2.907647127484029</v>
      </c>
      <c r="CC65" s="100">
        <v>2983.2459527986139</v>
      </c>
      <c r="CD65" s="100">
        <v>3.9366284032930254</v>
      </c>
      <c r="CE65" s="100">
        <v>4038.9807417786442</v>
      </c>
      <c r="CF65" s="100">
        <v>9</v>
      </c>
      <c r="CG65" s="100">
        <v>9234</v>
      </c>
      <c r="CH65" s="100">
        <v>8</v>
      </c>
      <c r="CI65" s="100">
        <v>8208</v>
      </c>
      <c r="CJ65" s="100">
        <v>5.1107014060440354</v>
      </c>
      <c r="CK65" s="100">
        <v>5243.5796426011802</v>
      </c>
      <c r="CL65" s="100">
        <v>9</v>
      </c>
      <c r="CM65" s="100">
        <v>9234</v>
      </c>
      <c r="CN65" s="100">
        <v>9</v>
      </c>
      <c r="CO65" s="100">
        <v>9234</v>
      </c>
      <c r="CP65" s="100">
        <v>4.280736087031582</v>
      </c>
      <c r="CQ65" s="100">
        <v>4392.0352252944031</v>
      </c>
      <c r="CR65" s="100">
        <v>8.9791177049141506</v>
      </c>
      <c r="CS65" s="100">
        <v>9212.5747652419177</v>
      </c>
      <c r="CT65" s="100">
        <v>8.3272091592149042</v>
      </c>
      <c r="CU65" s="100">
        <v>8543.7165973544925</v>
      </c>
    </row>
    <row r="66" spans="2:99">
      <c r="C66" s="99" t="s">
        <v>232</v>
      </c>
      <c r="D66" s="100">
        <v>6.0555473505358783</v>
      </c>
      <c r="E66" s="100">
        <v>7208.523566077909</v>
      </c>
      <c r="F66" s="100">
        <v>5.5187819657637656</v>
      </c>
      <c r="G66" s="100">
        <v>6569.5580520451858</v>
      </c>
      <c r="H66" s="100">
        <v>9</v>
      </c>
      <c r="I66" s="100">
        <v>10713.599999999999</v>
      </c>
      <c r="J66" s="100">
        <v>5</v>
      </c>
      <c r="K66" s="100">
        <v>5951.9999999999991</v>
      </c>
      <c r="L66" s="100">
        <v>5.2949623810238124</v>
      </c>
      <c r="M66" s="100">
        <v>6303.1232183707452</v>
      </c>
      <c r="N66" s="100">
        <v>3.4757811560194654</v>
      </c>
      <c r="O66" s="100">
        <v>4137.5698881255712</v>
      </c>
      <c r="P66" s="100">
        <v>9</v>
      </c>
      <c r="Q66" s="100">
        <v>10713.599999999999</v>
      </c>
      <c r="R66" s="100">
        <v>6</v>
      </c>
      <c r="S66" s="100">
        <v>7142.4</v>
      </c>
      <c r="T66" s="100">
        <v>7</v>
      </c>
      <c r="U66" s="100">
        <v>8332.7999999999993</v>
      </c>
      <c r="V66" s="100">
        <v>8</v>
      </c>
      <c r="W66" s="100">
        <v>9523.1999999999989</v>
      </c>
      <c r="X66" s="100">
        <v>7</v>
      </c>
      <c r="Y66" s="100">
        <v>8332.7999999999993</v>
      </c>
      <c r="Z66" s="100">
        <v>8</v>
      </c>
      <c r="AA66" s="100">
        <v>9523.1999999999989</v>
      </c>
      <c r="AB66" s="100">
        <v>7</v>
      </c>
      <c r="AC66" s="100">
        <v>8332.7999999999993</v>
      </c>
      <c r="AD66" s="100">
        <v>6</v>
      </c>
      <c r="AE66" s="100">
        <v>7142.4</v>
      </c>
      <c r="AF66" s="100">
        <v>10</v>
      </c>
      <c r="AG66" s="100">
        <v>11903.999999999998</v>
      </c>
      <c r="AH66" s="100">
        <v>8</v>
      </c>
      <c r="AI66" s="100">
        <v>9523.1999999999989</v>
      </c>
      <c r="AJ66" s="100">
        <v>6</v>
      </c>
      <c r="AK66" s="100">
        <v>7142.4</v>
      </c>
      <c r="AL66" s="100">
        <v>9</v>
      </c>
      <c r="AM66" s="100">
        <v>10713.599999999999</v>
      </c>
      <c r="AN66" s="100">
        <v>9</v>
      </c>
      <c r="AO66" s="100">
        <v>10713.599999999999</v>
      </c>
      <c r="AP66" s="100">
        <v>7</v>
      </c>
      <c r="AQ66" s="100">
        <v>8332.7999999999993</v>
      </c>
      <c r="AR66" s="100">
        <v>10</v>
      </c>
      <c r="AS66" s="100">
        <v>11903.999999999998</v>
      </c>
      <c r="AT66" s="100">
        <v>5.2630746141915088</v>
      </c>
      <c r="AU66" s="100">
        <v>6265.1640207335713</v>
      </c>
      <c r="AV66" s="100">
        <v>9</v>
      </c>
      <c r="AW66" s="100">
        <v>10713.599999999999</v>
      </c>
      <c r="AX66" s="100">
        <v>10</v>
      </c>
      <c r="AY66" s="100">
        <v>11903.999999999998</v>
      </c>
      <c r="AZ66" s="100">
        <v>8.1345867937525096</v>
      </c>
      <c r="BA66" s="100">
        <v>9683.4121192829862</v>
      </c>
      <c r="BB66" s="100">
        <v>0</v>
      </c>
      <c r="BC66" s="100">
        <v>0</v>
      </c>
      <c r="BD66" s="100">
        <v>7.5280033265967559</v>
      </c>
      <c r="BE66" s="100">
        <v>8961.3351599807775</v>
      </c>
      <c r="BF66" s="100">
        <v>6.7989653734233331</v>
      </c>
      <c r="BG66" s="100">
        <v>8093.4883805231348</v>
      </c>
      <c r="BH66" s="100">
        <v>6</v>
      </c>
      <c r="BI66" s="100">
        <v>7142.4</v>
      </c>
      <c r="BJ66" s="100">
        <v>7.8592939809140452</v>
      </c>
      <c r="BK66" s="100">
        <v>9355.7035548800777</v>
      </c>
      <c r="BL66" s="100">
        <v>7.1236672104221253</v>
      </c>
      <c r="BM66" s="100">
        <v>8480.0134472864975</v>
      </c>
      <c r="BN66" s="100">
        <v>7</v>
      </c>
      <c r="BO66" s="100">
        <v>8332.7999999999993</v>
      </c>
      <c r="BP66" s="100">
        <v>6</v>
      </c>
      <c r="BQ66" s="100">
        <v>7142.4</v>
      </c>
      <c r="BR66" s="100">
        <v>10</v>
      </c>
      <c r="BS66" s="100">
        <v>11903.999999999998</v>
      </c>
      <c r="BT66" s="100">
        <v>6</v>
      </c>
      <c r="BU66" s="100">
        <v>7142.4</v>
      </c>
      <c r="BV66" s="100">
        <v>7</v>
      </c>
      <c r="BW66" s="100">
        <v>8332.7999999999993</v>
      </c>
      <c r="BX66" s="100">
        <v>3.563388383297414</v>
      </c>
      <c r="BY66" s="100">
        <v>4241.8575314772415</v>
      </c>
      <c r="BZ66" s="100">
        <v>4.6223687221675105</v>
      </c>
      <c r="CA66" s="100">
        <v>5502.4677268682035</v>
      </c>
      <c r="CB66" s="100">
        <v>3.3230252885531759</v>
      </c>
      <c r="CC66" s="100">
        <v>3955.7293034937002</v>
      </c>
      <c r="CD66" s="100">
        <v>3.2805236694108544</v>
      </c>
      <c r="CE66" s="100">
        <v>3905.1353760666807</v>
      </c>
      <c r="CF66" s="100">
        <v>9</v>
      </c>
      <c r="CG66" s="100">
        <v>10713.599999999999</v>
      </c>
      <c r="CH66" s="100">
        <v>8</v>
      </c>
      <c r="CI66" s="100">
        <v>9523.1999999999989</v>
      </c>
      <c r="CJ66" s="100">
        <v>5.6217715466484393</v>
      </c>
      <c r="CK66" s="100">
        <v>6692.1568491303015</v>
      </c>
      <c r="CL66" s="100">
        <v>10</v>
      </c>
      <c r="CM66" s="100">
        <v>11903.999999999998</v>
      </c>
      <c r="CN66" s="100">
        <v>8</v>
      </c>
      <c r="CO66" s="100">
        <v>9523.1999999999989</v>
      </c>
      <c r="CP66" s="100">
        <v>4.280736087031582</v>
      </c>
      <c r="CQ66" s="100">
        <v>5095.7882380023948</v>
      </c>
      <c r="CR66" s="100">
        <v>9.8770294754055659</v>
      </c>
      <c r="CS66" s="100">
        <v>11757.615887522785</v>
      </c>
      <c r="CT66" s="100">
        <v>9.1599300751363959</v>
      </c>
      <c r="CU66" s="100">
        <v>10903.980761442364</v>
      </c>
    </row>
    <row r="67" spans="2:99">
      <c r="C67" s="99" t="s">
        <v>233</v>
      </c>
      <c r="D67" s="100">
        <v>6.9206255434695763</v>
      </c>
      <c r="E67" s="100">
        <v>7773.2466104250279</v>
      </c>
      <c r="F67" s="100">
        <v>5.5187819657637656</v>
      </c>
      <c r="G67" s="100">
        <v>6198.6959039458616</v>
      </c>
      <c r="H67" s="100">
        <v>10</v>
      </c>
      <c r="I67" s="100">
        <v>11232</v>
      </c>
      <c r="J67" s="100">
        <v>6</v>
      </c>
      <c r="K67" s="100">
        <v>6739.2000000000007</v>
      </c>
      <c r="L67" s="100">
        <v>6.0513855783129289</v>
      </c>
      <c r="M67" s="100">
        <v>6796.9162815610816</v>
      </c>
      <c r="N67" s="100">
        <v>4.1709373872233595</v>
      </c>
      <c r="O67" s="100">
        <v>4684.7968733292773</v>
      </c>
      <c r="P67" s="100">
        <v>9</v>
      </c>
      <c r="Q67" s="100">
        <v>10108.800000000001</v>
      </c>
      <c r="R67" s="100">
        <v>5</v>
      </c>
      <c r="S67" s="100">
        <v>5616</v>
      </c>
      <c r="T67" s="100">
        <v>7</v>
      </c>
      <c r="U67" s="100">
        <v>7862.4000000000005</v>
      </c>
      <c r="V67" s="100">
        <v>8</v>
      </c>
      <c r="W67" s="100">
        <v>8985.6</v>
      </c>
      <c r="X67" s="100">
        <v>6</v>
      </c>
      <c r="Y67" s="100">
        <v>6739.2000000000007</v>
      </c>
      <c r="Z67" s="100">
        <v>7</v>
      </c>
      <c r="AA67" s="100">
        <v>7862.4000000000005</v>
      </c>
      <c r="AB67" s="100">
        <v>8</v>
      </c>
      <c r="AC67" s="100">
        <v>8985.6</v>
      </c>
      <c r="AD67" s="100">
        <v>6</v>
      </c>
      <c r="AE67" s="100">
        <v>6739.2000000000007</v>
      </c>
      <c r="AF67" s="100">
        <v>10</v>
      </c>
      <c r="AG67" s="100">
        <v>11232</v>
      </c>
      <c r="AH67" s="100">
        <v>7</v>
      </c>
      <c r="AI67" s="100">
        <v>7862.4000000000005</v>
      </c>
      <c r="AJ67" s="100">
        <v>6</v>
      </c>
      <c r="AK67" s="100">
        <v>6739.2000000000007</v>
      </c>
      <c r="AL67" s="100">
        <v>11</v>
      </c>
      <c r="AM67" s="100">
        <v>12355.2</v>
      </c>
      <c r="AN67" s="100">
        <v>8</v>
      </c>
      <c r="AO67" s="100">
        <v>8985.6</v>
      </c>
      <c r="AP67" s="100">
        <v>7</v>
      </c>
      <c r="AQ67" s="100">
        <v>7862.4000000000005</v>
      </c>
      <c r="AR67" s="100">
        <v>10</v>
      </c>
      <c r="AS67" s="100">
        <v>11232</v>
      </c>
      <c r="AT67" s="100">
        <v>5.2630746141915088</v>
      </c>
      <c r="AU67" s="100">
        <v>5911.4854066599028</v>
      </c>
      <c r="AV67" s="100">
        <v>10</v>
      </c>
      <c r="AW67" s="100">
        <v>11232</v>
      </c>
      <c r="AX67" s="100">
        <v>10</v>
      </c>
      <c r="AY67" s="100">
        <v>11232</v>
      </c>
      <c r="AZ67" s="100">
        <v>9.0384297708361228</v>
      </c>
      <c r="BA67" s="100">
        <v>10151.964318603134</v>
      </c>
      <c r="BB67" s="100">
        <v>0</v>
      </c>
      <c r="BC67" s="100">
        <v>0</v>
      </c>
      <c r="BD67" s="100">
        <v>8.46900374242135</v>
      </c>
      <c r="BE67" s="100">
        <v>9512.3850034876614</v>
      </c>
      <c r="BF67" s="100">
        <v>6.1190688360809995</v>
      </c>
      <c r="BG67" s="100">
        <v>6872.9381166861785</v>
      </c>
      <c r="BH67" s="100">
        <v>6</v>
      </c>
      <c r="BI67" s="100">
        <v>6739.2000000000007</v>
      </c>
      <c r="BJ67" s="100">
        <v>8.7325488676822722</v>
      </c>
      <c r="BK67" s="100">
        <v>9808.398888180729</v>
      </c>
      <c r="BL67" s="100">
        <v>7.1236672104221253</v>
      </c>
      <c r="BM67" s="100">
        <v>8001.3030107461318</v>
      </c>
      <c r="BN67" s="100">
        <v>9</v>
      </c>
      <c r="BO67" s="100">
        <v>10108.800000000001</v>
      </c>
      <c r="BP67" s="100">
        <v>7</v>
      </c>
      <c r="BQ67" s="100">
        <v>7862.4000000000005</v>
      </c>
      <c r="BR67" s="100">
        <v>10</v>
      </c>
      <c r="BS67" s="100">
        <v>11232</v>
      </c>
      <c r="BT67" s="100">
        <v>5</v>
      </c>
      <c r="BU67" s="100">
        <v>5616</v>
      </c>
      <c r="BV67" s="100">
        <v>8</v>
      </c>
      <c r="BW67" s="100">
        <v>8985.6</v>
      </c>
      <c r="BX67" s="100">
        <v>3.563388383297414</v>
      </c>
      <c r="BY67" s="100">
        <v>4002.3978321196555</v>
      </c>
      <c r="BZ67" s="100">
        <v>4.6223687221675105</v>
      </c>
      <c r="CA67" s="100">
        <v>5191.8445487385479</v>
      </c>
      <c r="CB67" s="100">
        <v>3.3230252885531759</v>
      </c>
      <c r="CC67" s="100">
        <v>3732.4220041029275</v>
      </c>
      <c r="CD67" s="100">
        <v>3.9366284032930254</v>
      </c>
      <c r="CE67" s="100">
        <v>4421.6210225787263</v>
      </c>
      <c r="CF67" s="100">
        <v>8</v>
      </c>
      <c r="CG67" s="100">
        <v>8985.6</v>
      </c>
      <c r="CH67" s="100">
        <v>9</v>
      </c>
      <c r="CI67" s="100">
        <v>10108.800000000001</v>
      </c>
      <c r="CJ67" s="100">
        <v>5.6217715466484393</v>
      </c>
      <c r="CK67" s="100">
        <v>6314.3738011955274</v>
      </c>
      <c r="CL67" s="100">
        <v>10</v>
      </c>
      <c r="CM67" s="100">
        <v>11232</v>
      </c>
      <c r="CN67" s="100">
        <v>8</v>
      </c>
      <c r="CO67" s="100">
        <v>8985.6</v>
      </c>
      <c r="CP67" s="100">
        <v>4.280736087031582</v>
      </c>
      <c r="CQ67" s="100">
        <v>4808.1227729538732</v>
      </c>
      <c r="CR67" s="100">
        <v>8.9791177049141506</v>
      </c>
      <c r="CS67" s="100">
        <v>10085.345006159574</v>
      </c>
      <c r="CT67" s="100">
        <v>8.3272091592149042</v>
      </c>
      <c r="CU67" s="100">
        <v>9353.1213276301805</v>
      </c>
    </row>
    <row r="68" spans="2:99">
      <c r="C68" s="99" t="s">
        <v>234</v>
      </c>
      <c r="D68" s="100">
        <v>6.0555473505358783</v>
      </c>
      <c r="E68" s="100">
        <v>6256.5915225736699</v>
      </c>
      <c r="F68" s="100">
        <v>6.4385789600577263</v>
      </c>
      <c r="G68" s="100">
        <v>6652.339781531643</v>
      </c>
      <c r="H68" s="100">
        <v>9</v>
      </c>
      <c r="I68" s="100">
        <v>9298.8000000000011</v>
      </c>
      <c r="J68" s="100">
        <v>5</v>
      </c>
      <c r="K68" s="100">
        <v>5166</v>
      </c>
      <c r="L68" s="100">
        <v>5.2949623810238124</v>
      </c>
      <c r="M68" s="100">
        <v>5470.755132073803</v>
      </c>
      <c r="N68" s="100">
        <v>4.1709373872233595</v>
      </c>
      <c r="O68" s="100">
        <v>4309.4125084791749</v>
      </c>
      <c r="P68" s="100">
        <v>9</v>
      </c>
      <c r="Q68" s="100">
        <v>9298.8000000000011</v>
      </c>
      <c r="R68" s="100">
        <v>5</v>
      </c>
      <c r="S68" s="100">
        <v>5166</v>
      </c>
      <c r="T68" s="100">
        <v>8</v>
      </c>
      <c r="U68" s="100">
        <v>8265.6</v>
      </c>
      <c r="V68" s="100">
        <v>8</v>
      </c>
      <c r="W68" s="100">
        <v>8265.6</v>
      </c>
      <c r="X68" s="100">
        <v>7</v>
      </c>
      <c r="Y68" s="100">
        <v>7232.4000000000005</v>
      </c>
      <c r="Z68" s="100">
        <v>8</v>
      </c>
      <c r="AA68" s="100">
        <v>8265.6</v>
      </c>
      <c r="AB68" s="100">
        <v>7</v>
      </c>
      <c r="AC68" s="100">
        <v>7232.4000000000005</v>
      </c>
      <c r="AD68" s="100">
        <v>7</v>
      </c>
      <c r="AE68" s="100">
        <v>7232.4000000000005</v>
      </c>
      <c r="AF68" s="100">
        <v>9</v>
      </c>
      <c r="AG68" s="100">
        <v>9298.8000000000011</v>
      </c>
      <c r="AH68" s="100">
        <v>7</v>
      </c>
      <c r="AI68" s="100">
        <v>7232.4000000000005</v>
      </c>
      <c r="AJ68" s="100">
        <v>6</v>
      </c>
      <c r="AK68" s="100">
        <v>6199.2000000000007</v>
      </c>
      <c r="AL68" s="100">
        <v>10</v>
      </c>
      <c r="AM68" s="100">
        <v>10332</v>
      </c>
      <c r="AN68" s="100">
        <v>9</v>
      </c>
      <c r="AO68" s="100">
        <v>9298.8000000000011</v>
      </c>
      <c r="AP68" s="100">
        <v>7</v>
      </c>
      <c r="AQ68" s="100">
        <v>7232.4000000000005</v>
      </c>
      <c r="AR68" s="100">
        <v>11</v>
      </c>
      <c r="AS68" s="100">
        <v>11365.2</v>
      </c>
      <c r="AT68" s="100">
        <v>5.2630746141915088</v>
      </c>
      <c r="AU68" s="100">
        <v>5437.8086913826673</v>
      </c>
      <c r="AV68" s="100">
        <v>9</v>
      </c>
      <c r="AW68" s="100">
        <v>9298.8000000000011</v>
      </c>
      <c r="AX68" s="100">
        <v>10</v>
      </c>
      <c r="AY68" s="100">
        <v>10332</v>
      </c>
      <c r="AZ68" s="100">
        <v>7.2307438166688982</v>
      </c>
      <c r="BA68" s="100">
        <v>7470.8045113823064</v>
      </c>
      <c r="BB68" s="100">
        <v>0</v>
      </c>
      <c r="BC68" s="100">
        <v>0</v>
      </c>
      <c r="BD68" s="100">
        <v>8.46900374242135</v>
      </c>
      <c r="BE68" s="100">
        <v>8750.17466666974</v>
      </c>
      <c r="BF68" s="100">
        <v>6.7989653734233331</v>
      </c>
      <c r="BG68" s="100">
        <v>7024.6910238209884</v>
      </c>
      <c r="BH68" s="100">
        <v>6</v>
      </c>
      <c r="BI68" s="100">
        <v>6199.2000000000007</v>
      </c>
      <c r="BJ68" s="100">
        <v>8.7325488676822722</v>
      </c>
      <c r="BK68" s="100">
        <v>9022.4694900893246</v>
      </c>
      <c r="BL68" s="100">
        <v>8.7067043682937086</v>
      </c>
      <c r="BM68" s="100">
        <v>8995.766953321061</v>
      </c>
      <c r="BN68" s="100">
        <v>7</v>
      </c>
      <c r="BO68" s="100">
        <v>7232.4000000000005</v>
      </c>
      <c r="BP68" s="100">
        <v>7</v>
      </c>
      <c r="BQ68" s="100">
        <v>7232.4000000000005</v>
      </c>
      <c r="BR68" s="100">
        <v>8</v>
      </c>
      <c r="BS68" s="100">
        <v>8265.6</v>
      </c>
      <c r="BT68" s="100">
        <v>5</v>
      </c>
      <c r="BU68" s="100">
        <v>5166</v>
      </c>
      <c r="BV68" s="100">
        <v>8</v>
      </c>
      <c r="BW68" s="100">
        <v>8265.6</v>
      </c>
      <c r="BX68" s="100">
        <v>3.563388383297414</v>
      </c>
      <c r="BY68" s="100">
        <v>3681.6928776228883</v>
      </c>
      <c r="BZ68" s="100">
        <v>5.282707111048583</v>
      </c>
      <c r="CA68" s="100">
        <v>5458.0929871353965</v>
      </c>
      <c r="CB68" s="100">
        <v>3.7384034496223224</v>
      </c>
      <c r="CC68" s="100">
        <v>3862.5184441497836</v>
      </c>
      <c r="CD68" s="100">
        <v>3.9366284032930254</v>
      </c>
      <c r="CE68" s="100">
        <v>4067.324466282354</v>
      </c>
      <c r="CF68" s="100">
        <v>8</v>
      </c>
      <c r="CG68" s="100">
        <v>8265.6</v>
      </c>
      <c r="CH68" s="100">
        <v>8</v>
      </c>
      <c r="CI68" s="100">
        <v>8265.6</v>
      </c>
      <c r="CJ68" s="100">
        <v>5.6217715466484393</v>
      </c>
      <c r="CK68" s="100">
        <v>5808.4143619971674</v>
      </c>
      <c r="CL68" s="100">
        <v>9</v>
      </c>
      <c r="CM68" s="100">
        <v>9298.8000000000011</v>
      </c>
      <c r="CN68" s="100">
        <v>8</v>
      </c>
      <c r="CO68" s="100">
        <v>8265.6</v>
      </c>
      <c r="CP68" s="100">
        <v>4.9941921015368456</v>
      </c>
      <c r="CQ68" s="100">
        <v>5159.9992793078691</v>
      </c>
      <c r="CR68" s="100">
        <v>9.8770294754055659</v>
      </c>
      <c r="CS68" s="100">
        <v>10204.946853989031</v>
      </c>
      <c r="CT68" s="100">
        <v>9.1599300751363959</v>
      </c>
      <c r="CU68" s="100">
        <v>9464.0397536309247</v>
      </c>
    </row>
    <row r="69" spans="2:99">
      <c r="C69" s="99" t="s">
        <v>235</v>
      </c>
      <c r="D69" s="100">
        <v>6.0555473505358783</v>
      </c>
      <c r="E69" s="100">
        <v>4592.5271106464097</v>
      </c>
      <c r="F69" s="100">
        <v>5.5187819657637656</v>
      </c>
      <c r="G69" s="100">
        <v>4185.4442428352395</v>
      </c>
      <c r="H69" s="100">
        <v>10</v>
      </c>
      <c r="I69" s="100">
        <v>7584</v>
      </c>
      <c r="J69" s="100">
        <v>6</v>
      </c>
      <c r="K69" s="100">
        <v>4550.3999999999996</v>
      </c>
      <c r="L69" s="100">
        <v>6.0513855783129289</v>
      </c>
      <c r="M69" s="100">
        <v>4589.3708225925247</v>
      </c>
      <c r="N69" s="100">
        <v>4.1709373872233595</v>
      </c>
      <c r="O69" s="100">
        <v>3163.2389144701956</v>
      </c>
      <c r="P69" s="100">
        <v>10</v>
      </c>
      <c r="Q69" s="100">
        <v>7584</v>
      </c>
      <c r="R69" s="100">
        <v>5</v>
      </c>
      <c r="S69" s="100">
        <v>3792</v>
      </c>
      <c r="T69" s="100">
        <v>8</v>
      </c>
      <c r="U69" s="100">
        <v>6067.2</v>
      </c>
      <c r="V69" s="100">
        <v>8</v>
      </c>
      <c r="W69" s="100">
        <v>6067.2</v>
      </c>
      <c r="X69" s="100">
        <v>7</v>
      </c>
      <c r="Y69" s="100">
        <v>5308.8</v>
      </c>
      <c r="Z69" s="100">
        <v>8</v>
      </c>
      <c r="AA69" s="100">
        <v>6067.2</v>
      </c>
      <c r="AB69" s="100">
        <v>8</v>
      </c>
      <c r="AC69" s="100">
        <v>6067.2</v>
      </c>
      <c r="AD69" s="100">
        <v>6</v>
      </c>
      <c r="AE69" s="100">
        <v>4550.3999999999996</v>
      </c>
      <c r="AF69" s="100">
        <v>10</v>
      </c>
      <c r="AG69" s="100">
        <v>7584</v>
      </c>
      <c r="AH69" s="100">
        <v>7</v>
      </c>
      <c r="AI69" s="100">
        <v>5308.8</v>
      </c>
      <c r="AJ69" s="100">
        <v>6</v>
      </c>
      <c r="AK69" s="100">
        <v>4550.3999999999996</v>
      </c>
      <c r="AL69" s="100">
        <v>11</v>
      </c>
      <c r="AM69" s="100">
        <v>8342.4</v>
      </c>
      <c r="AN69" s="100">
        <v>9</v>
      </c>
      <c r="AO69" s="100">
        <v>6825.5999999999995</v>
      </c>
      <c r="AP69" s="100">
        <v>7</v>
      </c>
      <c r="AQ69" s="100">
        <v>5308.8</v>
      </c>
      <c r="AR69" s="100">
        <v>11</v>
      </c>
      <c r="AS69" s="100">
        <v>8342.4</v>
      </c>
      <c r="AT69" s="100">
        <v>4.6051902874175701</v>
      </c>
      <c r="AU69" s="100">
        <v>3492.5763139774849</v>
      </c>
      <c r="AV69" s="100">
        <v>10</v>
      </c>
      <c r="AW69" s="100">
        <v>7584</v>
      </c>
      <c r="AX69" s="100">
        <v>10</v>
      </c>
      <c r="AY69" s="100">
        <v>7584</v>
      </c>
      <c r="AZ69" s="100">
        <v>9.0384297708361228</v>
      </c>
      <c r="BA69" s="100">
        <v>6854.7451382021154</v>
      </c>
      <c r="BB69" s="100">
        <v>0</v>
      </c>
      <c r="BC69" s="100">
        <v>0</v>
      </c>
      <c r="BD69" s="100">
        <v>8.46900374242135</v>
      </c>
      <c r="BE69" s="100">
        <v>6422.8924382523519</v>
      </c>
      <c r="BF69" s="100">
        <v>6.7989653734233331</v>
      </c>
      <c r="BG69" s="100">
        <v>5156.3353392042554</v>
      </c>
      <c r="BH69" s="100">
        <v>7</v>
      </c>
      <c r="BI69" s="100">
        <v>5308.8</v>
      </c>
      <c r="BJ69" s="100">
        <v>7.8592939809140452</v>
      </c>
      <c r="BK69" s="100">
        <v>5960.4885551252119</v>
      </c>
      <c r="BL69" s="100">
        <v>7.9151857893579169</v>
      </c>
      <c r="BM69" s="100">
        <v>6002.8769026490436</v>
      </c>
      <c r="BN69" s="100">
        <v>8</v>
      </c>
      <c r="BO69" s="100">
        <v>6067.2</v>
      </c>
      <c r="BP69" s="100">
        <v>7</v>
      </c>
      <c r="BQ69" s="100">
        <v>5308.8</v>
      </c>
      <c r="BR69" s="100">
        <v>10</v>
      </c>
      <c r="BS69" s="100">
        <v>7584</v>
      </c>
      <c r="BT69" s="100">
        <v>6</v>
      </c>
      <c r="BU69" s="100">
        <v>4550.3999999999996</v>
      </c>
      <c r="BV69" s="100">
        <v>8</v>
      </c>
      <c r="BW69" s="100">
        <v>6067.2</v>
      </c>
      <c r="BX69" s="100">
        <v>4.0724438666256164</v>
      </c>
      <c r="BY69" s="100">
        <v>3088.5414284488675</v>
      </c>
      <c r="BZ69" s="100">
        <v>5.282707111048583</v>
      </c>
      <c r="CA69" s="100">
        <v>4006.4050730192453</v>
      </c>
      <c r="CB69" s="100">
        <v>3.7384034496223224</v>
      </c>
      <c r="CC69" s="100">
        <v>2835.2051761935691</v>
      </c>
      <c r="CD69" s="100">
        <v>3.9366284032930254</v>
      </c>
      <c r="CE69" s="100">
        <v>2985.5389810574302</v>
      </c>
      <c r="CF69" s="100">
        <v>9</v>
      </c>
      <c r="CG69" s="100">
        <v>6825.5999999999995</v>
      </c>
      <c r="CH69" s="100">
        <v>8</v>
      </c>
      <c r="CI69" s="100">
        <v>6067.2</v>
      </c>
      <c r="CJ69" s="100">
        <v>5.6217715466484393</v>
      </c>
      <c r="CK69" s="100">
        <v>4263.5515409781765</v>
      </c>
      <c r="CL69" s="100">
        <v>10</v>
      </c>
      <c r="CM69" s="100">
        <v>7584</v>
      </c>
      <c r="CN69" s="100">
        <v>8</v>
      </c>
      <c r="CO69" s="100">
        <v>6067.2</v>
      </c>
      <c r="CP69" s="100">
        <v>4.9941921015368456</v>
      </c>
      <c r="CQ69" s="100">
        <v>3787.5952898055434</v>
      </c>
      <c r="CR69" s="100">
        <v>9.8770294754055659</v>
      </c>
      <c r="CS69" s="100">
        <v>7490.7391541475808</v>
      </c>
      <c r="CT69" s="100">
        <v>9.1599300751363959</v>
      </c>
      <c r="CU69" s="100">
        <v>6946.8909689834427</v>
      </c>
    </row>
    <row r="70" spans="2:99">
      <c r="C70" s="99" t="s">
        <v>236</v>
      </c>
      <c r="D70" s="100">
        <v>6.0555473505358783</v>
      </c>
      <c r="E70" s="100">
        <v>3240.9289420068017</v>
      </c>
      <c r="F70" s="100">
        <v>5.5187819657637656</v>
      </c>
      <c r="G70" s="100">
        <v>2953.652108076767</v>
      </c>
      <c r="H70" s="100">
        <v>9</v>
      </c>
      <c r="I70" s="100">
        <v>4816.7999999999993</v>
      </c>
      <c r="J70" s="100">
        <v>6</v>
      </c>
      <c r="K70" s="100">
        <v>3211.2</v>
      </c>
      <c r="L70" s="100">
        <v>6.0513855783129289</v>
      </c>
      <c r="M70" s="100">
        <v>3238.701561513079</v>
      </c>
      <c r="N70" s="100">
        <v>4.1709373872233595</v>
      </c>
      <c r="O70" s="100">
        <v>2232.2856896419416</v>
      </c>
      <c r="P70" s="100">
        <v>10</v>
      </c>
      <c r="Q70" s="100">
        <v>5351.9999999999991</v>
      </c>
      <c r="R70" s="100">
        <v>6</v>
      </c>
      <c r="S70" s="100">
        <v>3211.2</v>
      </c>
      <c r="T70" s="100">
        <v>8</v>
      </c>
      <c r="U70" s="100">
        <v>4281.5999999999995</v>
      </c>
      <c r="V70" s="100">
        <v>10</v>
      </c>
      <c r="W70" s="100">
        <v>5351.9999999999991</v>
      </c>
      <c r="X70" s="100">
        <v>7</v>
      </c>
      <c r="Y70" s="100">
        <v>3746.3999999999996</v>
      </c>
      <c r="Z70" s="100">
        <v>9</v>
      </c>
      <c r="AA70" s="100">
        <v>4816.7999999999993</v>
      </c>
      <c r="AB70" s="100">
        <v>8</v>
      </c>
      <c r="AC70" s="100">
        <v>4281.5999999999995</v>
      </c>
      <c r="AD70" s="100">
        <v>6</v>
      </c>
      <c r="AE70" s="100">
        <v>3211.2</v>
      </c>
      <c r="AF70" s="100">
        <v>11</v>
      </c>
      <c r="AG70" s="100">
        <v>5887.1999999999989</v>
      </c>
      <c r="AH70" s="100">
        <v>8</v>
      </c>
      <c r="AI70" s="100">
        <v>4281.5999999999995</v>
      </c>
      <c r="AJ70" s="100">
        <v>6</v>
      </c>
      <c r="AK70" s="100">
        <v>3211.2</v>
      </c>
      <c r="AL70" s="100">
        <v>10</v>
      </c>
      <c r="AM70" s="100">
        <v>5351.9999999999991</v>
      </c>
      <c r="AN70" s="100">
        <v>9</v>
      </c>
      <c r="AO70" s="100">
        <v>4816.7999999999993</v>
      </c>
      <c r="AP70" s="100">
        <v>7</v>
      </c>
      <c r="AQ70" s="100">
        <v>3746.3999999999996</v>
      </c>
      <c r="AR70" s="100">
        <v>11</v>
      </c>
      <c r="AS70" s="100">
        <v>5887.1999999999989</v>
      </c>
      <c r="AT70" s="100">
        <v>5.2630746141915088</v>
      </c>
      <c r="AU70" s="100">
        <v>2816.7975335152951</v>
      </c>
      <c r="AV70" s="100">
        <v>10</v>
      </c>
      <c r="AW70" s="100">
        <v>5351.9999999999991</v>
      </c>
      <c r="AX70" s="100">
        <v>10</v>
      </c>
      <c r="AY70" s="100">
        <v>5351.9999999999991</v>
      </c>
      <c r="AZ70" s="100">
        <v>8.1345867937525096</v>
      </c>
      <c r="BA70" s="100">
        <v>4353.6308520163429</v>
      </c>
      <c r="BB70" s="100">
        <v>0</v>
      </c>
      <c r="BC70" s="100">
        <v>0</v>
      </c>
      <c r="BD70" s="100">
        <v>7.5280033265967559</v>
      </c>
      <c r="BE70" s="100">
        <v>4028.9873803945834</v>
      </c>
      <c r="BF70" s="100">
        <v>7.4788619107656666</v>
      </c>
      <c r="BG70" s="100">
        <v>4002.6868946417844</v>
      </c>
      <c r="BH70" s="100">
        <v>7</v>
      </c>
      <c r="BI70" s="100">
        <v>3746.3999999999996</v>
      </c>
      <c r="BJ70" s="100">
        <v>7.8592939809140452</v>
      </c>
      <c r="BK70" s="100">
        <v>4206.2941385851964</v>
      </c>
      <c r="BL70" s="100">
        <v>8.7067043682937086</v>
      </c>
      <c r="BM70" s="100">
        <v>4659.828177910792</v>
      </c>
      <c r="BN70" s="100">
        <v>8</v>
      </c>
      <c r="BO70" s="100">
        <v>4281.5999999999995</v>
      </c>
      <c r="BP70" s="100">
        <v>7</v>
      </c>
      <c r="BQ70" s="100">
        <v>3746.3999999999996</v>
      </c>
      <c r="BR70" s="100">
        <v>10</v>
      </c>
      <c r="BS70" s="100">
        <v>5351.9999999999991</v>
      </c>
      <c r="BT70" s="100">
        <v>5</v>
      </c>
      <c r="BU70" s="100">
        <v>2675.9999999999995</v>
      </c>
      <c r="BV70" s="100">
        <v>8</v>
      </c>
      <c r="BW70" s="100">
        <v>4281.5999999999995</v>
      </c>
      <c r="BX70" s="100">
        <v>3.563388383297414</v>
      </c>
      <c r="BY70" s="100">
        <v>1907.1254627407757</v>
      </c>
      <c r="BZ70" s="100">
        <v>5.282707111048583</v>
      </c>
      <c r="CA70" s="100">
        <v>2827.3048458332014</v>
      </c>
      <c r="CB70" s="100">
        <v>3.7384034496223224</v>
      </c>
      <c r="CC70" s="100">
        <v>2000.7935262378667</v>
      </c>
      <c r="CD70" s="100">
        <v>3.9366284032930254</v>
      </c>
      <c r="CE70" s="100">
        <v>2106.8835214424271</v>
      </c>
      <c r="CF70" s="100">
        <v>9</v>
      </c>
      <c r="CG70" s="100">
        <v>4816.7999999999993</v>
      </c>
      <c r="CH70" s="100">
        <v>9</v>
      </c>
      <c r="CI70" s="100">
        <v>4816.7999999999993</v>
      </c>
      <c r="CJ70" s="100">
        <v>5.6217715466484393</v>
      </c>
      <c r="CK70" s="100">
        <v>3008.7721317662445</v>
      </c>
      <c r="CL70" s="100">
        <v>11</v>
      </c>
      <c r="CM70" s="100">
        <v>5887.1999999999989</v>
      </c>
      <c r="CN70" s="100">
        <v>8</v>
      </c>
      <c r="CO70" s="100">
        <v>4281.5999999999995</v>
      </c>
      <c r="CP70" s="100">
        <v>4.280736087031582</v>
      </c>
      <c r="CQ70" s="100">
        <v>2291.0499537793025</v>
      </c>
      <c r="CR70" s="100">
        <v>8.9791177049141506</v>
      </c>
      <c r="CS70" s="100">
        <v>4805.6237956700525</v>
      </c>
      <c r="CT70" s="100">
        <v>7.4944882432934135</v>
      </c>
      <c r="CU70" s="100">
        <v>4011.0501078106345</v>
      </c>
    </row>
    <row r="71" spans="2:99">
      <c r="B71" s="99" t="s">
        <v>130</v>
      </c>
      <c r="C71" s="99" t="s">
        <v>237</v>
      </c>
      <c r="D71" s="100">
        <v>9</v>
      </c>
      <c r="E71" s="100">
        <v>5076</v>
      </c>
      <c r="F71" s="100">
        <v>7.4791680992758005</v>
      </c>
      <c r="G71" s="100">
        <v>4218.2508079915515</v>
      </c>
      <c r="H71" s="100">
        <v>8.6240941821357051</v>
      </c>
      <c r="I71" s="100">
        <v>4863.9891187245375</v>
      </c>
      <c r="J71" s="100">
        <v>11.281950559389843</v>
      </c>
      <c r="K71" s="100">
        <v>6363.0201154958713</v>
      </c>
      <c r="L71" s="100">
        <v>8.0474058209884038</v>
      </c>
      <c r="M71" s="100">
        <v>4538.7368830374598</v>
      </c>
      <c r="N71" s="100">
        <v>4.6509962178095821</v>
      </c>
      <c r="O71" s="100">
        <v>2623.1618668446044</v>
      </c>
      <c r="P71" s="100">
        <v>9</v>
      </c>
      <c r="Q71" s="100">
        <v>5076</v>
      </c>
      <c r="R71" s="100">
        <v>10</v>
      </c>
      <c r="S71" s="100">
        <v>5640</v>
      </c>
      <c r="T71" s="100">
        <v>9</v>
      </c>
      <c r="U71" s="100">
        <v>5076</v>
      </c>
      <c r="V71" s="100">
        <v>8</v>
      </c>
      <c r="W71" s="100">
        <v>4512</v>
      </c>
      <c r="X71" s="100">
        <v>14</v>
      </c>
      <c r="Y71" s="100">
        <v>7896</v>
      </c>
      <c r="Z71" s="100">
        <v>13</v>
      </c>
      <c r="AA71" s="100">
        <v>7332</v>
      </c>
      <c r="AB71" s="100">
        <v>10.200322333074819</v>
      </c>
      <c r="AC71" s="100">
        <v>5752.981795854198</v>
      </c>
      <c r="AD71" s="100">
        <v>3.6870606137263842</v>
      </c>
      <c r="AE71" s="100">
        <v>2079.5021861416808</v>
      </c>
      <c r="AF71" s="100">
        <v>8</v>
      </c>
      <c r="AG71" s="100">
        <v>4512</v>
      </c>
      <c r="AH71" s="100">
        <v>9.6284464236982714</v>
      </c>
      <c r="AI71" s="100">
        <v>5430.4437829658254</v>
      </c>
      <c r="AJ71" s="100">
        <v>12</v>
      </c>
      <c r="AK71" s="100">
        <v>6768</v>
      </c>
      <c r="AL71" s="100">
        <v>8.4797953136499462</v>
      </c>
      <c r="AM71" s="100">
        <v>4782.6045568985701</v>
      </c>
      <c r="AN71" s="100">
        <v>8</v>
      </c>
      <c r="AO71" s="100">
        <v>4512</v>
      </c>
      <c r="AP71" s="100">
        <v>12</v>
      </c>
      <c r="AQ71" s="100">
        <v>6768</v>
      </c>
      <c r="AR71" s="100">
        <v>8.9631249710128476</v>
      </c>
      <c r="AS71" s="100">
        <v>5055.2024836512464</v>
      </c>
      <c r="AT71" s="100">
        <v>7.3101038987435887</v>
      </c>
      <c r="AU71" s="100">
        <v>4122.8985988913837</v>
      </c>
      <c r="AV71" s="100">
        <v>12</v>
      </c>
      <c r="AW71" s="100">
        <v>6768</v>
      </c>
      <c r="AX71" s="100">
        <v>7.2113168945650639</v>
      </c>
      <c r="AY71" s="100">
        <v>4067.1827285346958</v>
      </c>
      <c r="AZ71" s="100">
        <v>1.184897287011887</v>
      </c>
      <c r="BA71" s="100">
        <v>668.28206987470423</v>
      </c>
      <c r="BB71" s="100">
        <v>11.624686561299457</v>
      </c>
      <c r="BC71" s="100">
        <v>6556.3232205728937</v>
      </c>
      <c r="BD71" s="100">
        <v>10.902930070749925</v>
      </c>
      <c r="BE71" s="100">
        <v>6149.2525599029577</v>
      </c>
      <c r="BF71" s="100">
        <v>9.0619435178200192</v>
      </c>
      <c r="BG71" s="100">
        <v>5110.9361440504908</v>
      </c>
      <c r="BH71" s="100">
        <v>8.772785461138044</v>
      </c>
      <c r="BI71" s="100">
        <v>4947.8510000818569</v>
      </c>
      <c r="BJ71" s="100">
        <v>11</v>
      </c>
      <c r="BK71" s="100">
        <v>6204</v>
      </c>
      <c r="BL71" s="100">
        <v>0.27469425072667947</v>
      </c>
      <c r="BM71" s="100">
        <v>154.92755740984722</v>
      </c>
      <c r="BN71" s="100">
        <v>13</v>
      </c>
      <c r="BO71" s="100">
        <v>7332</v>
      </c>
      <c r="BP71" s="100">
        <v>8</v>
      </c>
      <c r="BQ71" s="100">
        <v>4512</v>
      </c>
      <c r="BR71" s="100">
        <v>9</v>
      </c>
      <c r="BS71" s="100">
        <v>5076</v>
      </c>
      <c r="BT71" s="100">
        <v>13</v>
      </c>
      <c r="BU71" s="100">
        <v>7332</v>
      </c>
      <c r="BV71" s="100">
        <v>10.496805181142784</v>
      </c>
      <c r="BW71" s="100">
        <v>5920.1981221645301</v>
      </c>
      <c r="BX71" s="100">
        <v>3.5042919570336162</v>
      </c>
      <c r="BY71" s="100">
        <v>1976.4206637669595</v>
      </c>
      <c r="BZ71" s="100">
        <v>3.95977474045841</v>
      </c>
      <c r="CA71" s="100">
        <v>2233.3129536185434</v>
      </c>
      <c r="CB71" s="100">
        <v>6.8078124010348171</v>
      </c>
      <c r="CC71" s="100">
        <v>3839.6061941836369</v>
      </c>
      <c r="CD71" s="100">
        <v>3.9473552697882024</v>
      </c>
      <c r="CE71" s="100">
        <v>2226.3083721605462</v>
      </c>
      <c r="CF71" s="100">
        <v>9.5184529973020258</v>
      </c>
      <c r="CG71" s="100">
        <v>5368.4074904783429</v>
      </c>
      <c r="CH71" s="100">
        <v>3.6587815942180919</v>
      </c>
      <c r="CI71" s="100">
        <v>2063.552819139004</v>
      </c>
      <c r="CJ71" s="100">
        <v>9.8474615571875148</v>
      </c>
      <c r="CK71" s="100">
        <v>5553.9683182537583</v>
      </c>
      <c r="CL71" s="100">
        <v>9</v>
      </c>
      <c r="CM71" s="100">
        <v>5076</v>
      </c>
      <c r="CN71" s="100">
        <v>12</v>
      </c>
      <c r="CO71" s="100">
        <v>6768</v>
      </c>
      <c r="CP71" s="100">
        <v>5.5913304342009633</v>
      </c>
      <c r="CQ71" s="100">
        <v>3153.5103648893432</v>
      </c>
      <c r="CR71" s="100">
        <v>10</v>
      </c>
      <c r="CS71" s="100">
        <v>5640</v>
      </c>
      <c r="CT71" s="100">
        <v>8</v>
      </c>
      <c r="CU71" s="100">
        <v>4512</v>
      </c>
    </row>
    <row r="72" spans="2:99">
      <c r="C72" s="99" t="s">
        <v>238</v>
      </c>
      <c r="D72" s="100">
        <v>10</v>
      </c>
      <c r="E72" s="100">
        <v>743.99999999999989</v>
      </c>
      <c r="F72" s="100">
        <v>8.1024321075487826</v>
      </c>
      <c r="G72" s="100">
        <v>602.82094880162936</v>
      </c>
      <c r="H72" s="100">
        <v>9.2874860422999905</v>
      </c>
      <c r="I72" s="100">
        <v>690.98896154711917</v>
      </c>
      <c r="J72" s="100">
        <v>10.341788012774023</v>
      </c>
      <c r="K72" s="100">
        <v>769.42902815038724</v>
      </c>
      <c r="L72" s="100">
        <v>8.666437037987512</v>
      </c>
      <c r="M72" s="100">
        <v>644.78291562627078</v>
      </c>
      <c r="N72" s="100">
        <v>5.2323707450357801</v>
      </c>
      <c r="O72" s="100">
        <v>389.28838343066201</v>
      </c>
      <c r="P72" s="100">
        <v>10</v>
      </c>
      <c r="Q72" s="100">
        <v>743.99999999999989</v>
      </c>
      <c r="R72" s="100">
        <v>11</v>
      </c>
      <c r="S72" s="100">
        <v>818.39999999999986</v>
      </c>
      <c r="T72" s="100">
        <v>10</v>
      </c>
      <c r="U72" s="100">
        <v>743.99999999999989</v>
      </c>
      <c r="V72" s="100">
        <v>8</v>
      </c>
      <c r="W72" s="100">
        <v>595.19999999999993</v>
      </c>
      <c r="X72" s="100">
        <v>15</v>
      </c>
      <c r="Y72" s="100">
        <v>1115.9999999999998</v>
      </c>
      <c r="Z72" s="100">
        <v>13</v>
      </c>
      <c r="AA72" s="100">
        <v>967.19999999999993</v>
      </c>
      <c r="AB72" s="100">
        <v>11.769602692009407</v>
      </c>
      <c r="AC72" s="100">
        <v>875.65844028549975</v>
      </c>
      <c r="AD72" s="100">
        <v>3.4412565728112918</v>
      </c>
      <c r="AE72" s="100">
        <v>256.02948901716007</v>
      </c>
      <c r="AF72" s="100">
        <v>10</v>
      </c>
      <c r="AG72" s="100">
        <v>743.99999999999989</v>
      </c>
      <c r="AH72" s="100">
        <v>9.6284464236982714</v>
      </c>
      <c r="AI72" s="100">
        <v>716.35641392315131</v>
      </c>
      <c r="AJ72" s="100">
        <v>11</v>
      </c>
      <c r="AK72" s="100">
        <v>818.39999999999986</v>
      </c>
      <c r="AL72" s="100">
        <v>9.7843792080576311</v>
      </c>
      <c r="AM72" s="100">
        <v>727.95781307948766</v>
      </c>
      <c r="AN72" s="100">
        <v>9</v>
      </c>
      <c r="AO72" s="100">
        <v>669.59999999999991</v>
      </c>
      <c r="AP72" s="100">
        <v>14</v>
      </c>
      <c r="AQ72" s="100">
        <v>1041.5999999999999</v>
      </c>
      <c r="AR72" s="100">
        <v>9.6525961226292196</v>
      </c>
      <c r="AS72" s="100">
        <v>718.15315152361381</v>
      </c>
      <c r="AT72" s="100">
        <v>6.2658033417802184</v>
      </c>
      <c r="AU72" s="100">
        <v>466.17576862844817</v>
      </c>
      <c r="AV72" s="100">
        <v>12</v>
      </c>
      <c r="AW72" s="100">
        <v>892.8</v>
      </c>
      <c r="AX72" s="100">
        <v>7.2113168945650639</v>
      </c>
      <c r="AY72" s="100">
        <v>536.52197695564064</v>
      </c>
      <c r="AZ72" s="100">
        <v>1.184897287011887</v>
      </c>
      <c r="BA72" s="100">
        <v>88.15635815368438</v>
      </c>
      <c r="BB72" s="100">
        <v>11.624686561299457</v>
      </c>
      <c r="BC72" s="100">
        <v>864.87668016067948</v>
      </c>
      <c r="BD72" s="100">
        <v>9.4492060613166018</v>
      </c>
      <c r="BE72" s="100">
        <v>703.02093096195506</v>
      </c>
      <c r="BF72" s="100">
        <v>10.456088674407715</v>
      </c>
      <c r="BG72" s="100">
        <v>777.93299737593395</v>
      </c>
      <c r="BH72" s="100">
        <v>8.772785461138044</v>
      </c>
      <c r="BI72" s="100">
        <v>652.69523830867035</v>
      </c>
      <c r="BJ72" s="100">
        <v>9</v>
      </c>
      <c r="BK72" s="100">
        <v>669.59999999999991</v>
      </c>
      <c r="BL72" s="100">
        <v>0.27469425072667947</v>
      </c>
      <c r="BM72" s="100">
        <v>20.437252254064951</v>
      </c>
      <c r="BN72" s="100">
        <v>12</v>
      </c>
      <c r="BO72" s="100">
        <v>892.8</v>
      </c>
      <c r="BP72" s="100">
        <v>10</v>
      </c>
      <c r="BQ72" s="100">
        <v>743.99999999999989</v>
      </c>
      <c r="BR72" s="100">
        <v>10</v>
      </c>
      <c r="BS72" s="100">
        <v>743.99999999999989</v>
      </c>
      <c r="BT72" s="100">
        <v>14</v>
      </c>
      <c r="BU72" s="100">
        <v>1041.5999999999999</v>
      </c>
      <c r="BV72" s="100">
        <v>11.304251733538383</v>
      </c>
      <c r="BW72" s="100">
        <v>841.03632897525563</v>
      </c>
      <c r="BX72" s="100">
        <v>3.5042919570336162</v>
      </c>
      <c r="BY72" s="100">
        <v>260.71932160330101</v>
      </c>
      <c r="BZ72" s="100">
        <v>3.95977474045841</v>
      </c>
      <c r="CA72" s="100">
        <v>294.6072406901057</v>
      </c>
      <c r="CB72" s="100">
        <v>6.1889203645771067</v>
      </c>
      <c r="CC72" s="100">
        <v>460.4556751245367</v>
      </c>
      <c r="CD72" s="100">
        <v>3.6184089973058522</v>
      </c>
      <c r="CE72" s="100">
        <v>269.20962939955535</v>
      </c>
      <c r="CF72" s="100">
        <v>8.9235496849706486</v>
      </c>
      <c r="CG72" s="100">
        <v>663.91209656181616</v>
      </c>
      <c r="CH72" s="100">
        <v>3.6587815942180919</v>
      </c>
      <c r="CI72" s="100">
        <v>272.21335060982602</v>
      </c>
      <c r="CJ72" s="100">
        <v>9.1909641200416807</v>
      </c>
      <c r="CK72" s="100">
        <v>683.80773053110102</v>
      </c>
      <c r="CL72" s="100">
        <v>10</v>
      </c>
      <c r="CM72" s="100">
        <v>743.99999999999989</v>
      </c>
      <c r="CN72" s="100">
        <v>11</v>
      </c>
      <c r="CO72" s="100">
        <v>818.39999999999986</v>
      </c>
      <c r="CP72" s="100">
        <v>5.5913304342009633</v>
      </c>
      <c r="CQ72" s="100">
        <v>415.99498430455162</v>
      </c>
      <c r="CR72" s="100">
        <v>11</v>
      </c>
      <c r="CS72" s="100">
        <v>818.39999999999986</v>
      </c>
      <c r="CT72" s="100">
        <v>8</v>
      </c>
      <c r="CU72" s="100">
        <v>595.19999999999993</v>
      </c>
    </row>
    <row r="73" spans="2:99">
      <c r="C73" s="99" t="s">
        <v>239</v>
      </c>
      <c r="D73" s="100">
        <v>10</v>
      </c>
      <c r="E73" s="100">
        <v>5591.9999999999991</v>
      </c>
      <c r="F73" s="100">
        <v>7.4791680992758005</v>
      </c>
      <c r="G73" s="100">
        <v>4182.350801115027</v>
      </c>
      <c r="H73" s="100">
        <v>9.9508779024642742</v>
      </c>
      <c r="I73" s="100">
        <v>5564.5309230580215</v>
      </c>
      <c r="J73" s="100">
        <v>10.341788012774023</v>
      </c>
      <c r="K73" s="100">
        <v>5783.1278567432328</v>
      </c>
      <c r="L73" s="100">
        <v>8.0474058209884038</v>
      </c>
      <c r="M73" s="100">
        <v>4500.1093350967149</v>
      </c>
      <c r="N73" s="100">
        <v>5.2323707450357801</v>
      </c>
      <c r="O73" s="100">
        <v>2925.9417206240078</v>
      </c>
      <c r="P73" s="100">
        <v>9</v>
      </c>
      <c r="Q73" s="100">
        <v>5032.7999999999993</v>
      </c>
      <c r="R73" s="100">
        <v>12</v>
      </c>
      <c r="S73" s="100">
        <v>6710.4</v>
      </c>
      <c r="T73" s="100">
        <v>10</v>
      </c>
      <c r="U73" s="100">
        <v>5591.9999999999991</v>
      </c>
      <c r="V73" s="100">
        <v>8</v>
      </c>
      <c r="W73" s="100">
        <v>4473.5999999999995</v>
      </c>
      <c r="X73" s="100">
        <v>14</v>
      </c>
      <c r="Y73" s="100">
        <v>7828.7999999999993</v>
      </c>
      <c r="Z73" s="100">
        <v>13</v>
      </c>
      <c r="AA73" s="100">
        <v>7269.5999999999995</v>
      </c>
      <c r="AB73" s="100">
        <v>10.984962512542113</v>
      </c>
      <c r="AC73" s="100">
        <v>6142.7910370135487</v>
      </c>
      <c r="AD73" s="100">
        <v>3.6870606137263842</v>
      </c>
      <c r="AE73" s="100">
        <v>2061.8042951957937</v>
      </c>
      <c r="AF73" s="100">
        <v>9</v>
      </c>
      <c r="AG73" s="100">
        <v>5032.7999999999993</v>
      </c>
      <c r="AH73" s="100">
        <v>10.369096148598139</v>
      </c>
      <c r="AI73" s="100">
        <v>5798.3985662960786</v>
      </c>
      <c r="AJ73" s="100">
        <v>10</v>
      </c>
      <c r="AK73" s="100">
        <v>5591.9999999999991</v>
      </c>
      <c r="AL73" s="100">
        <v>9.7843792080576311</v>
      </c>
      <c r="AM73" s="100">
        <v>5471.424853145827</v>
      </c>
      <c r="AN73" s="100">
        <v>9</v>
      </c>
      <c r="AO73" s="100">
        <v>5032.7999999999993</v>
      </c>
      <c r="AP73" s="100">
        <v>14</v>
      </c>
      <c r="AQ73" s="100">
        <v>7828.7999999999993</v>
      </c>
      <c r="AR73" s="100">
        <v>9.6525961226292196</v>
      </c>
      <c r="AS73" s="100">
        <v>5397.7317517742586</v>
      </c>
      <c r="AT73" s="100">
        <v>6.2658033417802184</v>
      </c>
      <c r="AU73" s="100">
        <v>3503.8372287234979</v>
      </c>
      <c r="AV73" s="100">
        <v>12</v>
      </c>
      <c r="AW73" s="100">
        <v>6710.4</v>
      </c>
      <c r="AX73" s="100">
        <v>6.5557426314227856</v>
      </c>
      <c r="AY73" s="100">
        <v>3665.9712794916213</v>
      </c>
      <c r="AZ73" s="100">
        <v>1.184897287011887</v>
      </c>
      <c r="BA73" s="100">
        <v>662.59456289704713</v>
      </c>
      <c r="BB73" s="100">
        <v>12.518893219860955</v>
      </c>
      <c r="BC73" s="100">
        <v>7000.5650885462446</v>
      </c>
      <c r="BD73" s="100">
        <v>10.176068066033263</v>
      </c>
      <c r="BE73" s="100">
        <v>5690.4572625257997</v>
      </c>
      <c r="BF73" s="100">
        <v>9.7590160961138679</v>
      </c>
      <c r="BG73" s="100">
        <v>5457.2418009468738</v>
      </c>
      <c r="BH73" s="100">
        <v>9.4476151119948177</v>
      </c>
      <c r="BI73" s="100">
        <v>5283.1063706275017</v>
      </c>
      <c r="BJ73" s="100">
        <v>9</v>
      </c>
      <c r="BK73" s="100">
        <v>5032.7999999999993</v>
      </c>
      <c r="BL73" s="100">
        <v>0.23545221490858237</v>
      </c>
      <c r="BM73" s="100">
        <v>131.66487857687923</v>
      </c>
      <c r="BN73" s="100">
        <v>14</v>
      </c>
      <c r="BO73" s="100">
        <v>7828.7999999999993</v>
      </c>
      <c r="BP73" s="100">
        <v>9</v>
      </c>
      <c r="BQ73" s="100">
        <v>5032.7999999999993</v>
      </c>
      <c r="BR73" s="100">
        <v>8</v>
      </c>
      <c r="BS73" s="100">
        <v>4473.5999999999995</v>
      </c>
      <c r="BT73" s="100">
        <v>14</v>
      </c>
      <c r="BU73" s="100">
        <v>7828.7999999999993</v>
      </c>
      <c r="BV73" s="100">
        <v>10.496805181142784</v>
      </c>
      <c r="BW73" s="100">
        <v>5869.8134572950439</v>
      </c>
      <c r="BX73" s="100">
        <v>3.2539853886740722</v>
      </c>
      <c r="BY73" s="100">
        <v>1819.6286293465409</v>
      </c>
      <c r="BZ73" s="100">
        <v>3.3940926346786373</v>
      </c>
      <c r="CA73" s="100">
        <v>1897.9766013122937</v>
      </c>
      <c r="CB73" s="100">
        <v>6.8078124010348171</v>
      </c>
      <c r="CC73" s="100">
        <v>3806.9286946586694</v>
      </c>
      <c r="CD73" s="100">
        <v>3.6184089973058522</v>
      </c>
      <c r="CE73" s="100">
        <v>2023.4143112934323</v>
      </c>
      <c r="CF73" s="100">
        <v>8.9235496849706486</v>
      </c>
      <c r="CG73" s="100">
        <v>4990.0489838355861</v>
      </c>
      <c r="CH73" s="100">
        <v>3.6587815942180919</v>
      </c>
      <c r="CI73" s="100">
        <v>2045.9906674867568</v>
      </c>
      <c r="CJ73" s="100">
        <v>9.1909641200416807</v>
      </c>
      <c r="CK73" s="100">
        <v>5139.5871359273069</v>
      </c>
      <c r="CL73" s="100">
        <v>9</v>
      </c>
      <c r="CM73" s="100">
        <v>5032.7999999999993</v>
      </c>
      <c r="CN73" s="100">
        <v>11</v>
      </c>
      <c r="CO73" s="100">
        <v>6151.1999999999989</v>
      </c>
      <c r="CP73" s="100">
        <v>5.5913304342009633</v>
      </c>
      <c r="CQ73" s="100">
        <v>3126.6719788051782</v>
      </c>
      <c r="CR73" s="100">
        <v>11</v>
      </c>
      <c r="CS73" s="100">
        <v>6151.1999999999989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9</v>
      </c>
      <c r="E74" s="100">
        <v>3628.7999999999997</v>
      </c>
      <c r="F74" s="100">
        <v>7.4791680992758005</v>
      </c>
      <c r="G74" s="100">
        <v>3015.6005776280026</v>
      </c>
      <c r="H74" s="100">
        <v>8.6240941821357051</v>
      </c>
      <c r="I74" s="100">
        <v>3477.2347742371162</v>
      </c>
      <c r="J74" s="100">
        <v>11.281950559389843</v>
      </c>
      <c r="K74" s="100">
        <v>4548.8824655459848</v>
      </c>
      <c r="L74" s="100">
        <v>8.666437037987512</v>
      </c>
      <c r="M74" s="100">
        <v>3494.307413716565</v>
      </c>
      <c r="N74" s="100">
        <v>5.2323707450357801</v>
      </c>
      <c r="O74" s="100">
        <v>2109.6918843984263</v>
      </c>
      <c r="P74" s="100">
        <v>9</v>
      </c>
      <c r="Q74" s="100">
        <v>3628.7999999999997</v>
      </c>
      <c r="R74" s="100">
        <v>11</v>
      </c>
      <c r="S74" s="100">
        <v>4435.2</v>
      </c>
      <c r="T74" s="100">
        <v>10</v>
      </c>
      <c r="U74" s="100">
        <v>4032</v>
      </c>
      <c r="V74" s="100">
        <v>8</v>
      </c>
      <c r="W74" s="100">
        <v>3225.6</v>
      </c>
      <c r="X74" s="100">
        <v>15</v>
      </c>
      <c r="Y74" s="100">
        <v>6048</v>
      </c>
      <c r="Z74" s="100">
        <v>12</v>
      </c>
      <c r="AA74" s="100">
        <v>4838.3999999999996</v>
      </c>
      <c r="AB74" s="100">
        <v>11.769602692009407</v>
      </c>
      <c r="AC74" s="100">
        <v>4745.5038054181932</v>
      </c>
      <c r="AD74" s="100">
        <v>3.6870606137263842</v>
      </c>
      <c r="AE74" s="100">
        <v>1486.622839454478</v>
      </c>
      <c r="AF74" s="100">
        <v>9</v>
      </c>
      <c r="AG74" s="100">
        <v>3628.7999999999997</v>
      </c>
      <c r="AH74" s="100">
        <v>9.6284464236982714</v>
      </c>
      <c r="AI74" s="100">
        <v>3882.1895980351428</v>
      </c>
      <c r="AJ74" s="100">
        <v>12</v>
      </c>
      <c r="AK74" s="100">
        <v>4838.3999999999996</v>
      </c>
      <c r="AL74" s="100">
        <v>9.7843792080576311</v>
      </c>
      <c r="AM74" s="100">
        <v>3945.0616966888369</v>
      </c>
      <c r="AN74" s="100">
        <v>8</v>
      </c>
      <c r="AO74" s="100">
        <v>3225.6</v>
      </c>
      <c r="AP74" s="100">
        <v>12</v>
      </c>
      <c r="AQ74" s="100">
        <v>4838.3999999999996</v>
      </c>
      <c r="AR74" s="100">
        <v>9.6525961226292196</v>
      </c>
      <c r="AS74" s="100">
        <v>3891.9267566441013</v>
      </c>
      <c r="AT74" s="100">
        <v>6.7879536202619031</v>
      </c>
      <c r="AU74" s="100">
        <v>2736.9028996895991</v>
      </c>
      <c r="AV74" s="100">
        <v>12</v>
      </c>
      <c r="AW74" s="100">
        <v>4838.3999999999996</v>
      </c>
      <c r="AX74" s="100">
        <v>7.2113168945650639</v>
      </c>
      <c r="AY74" s="100">
        <v>2907.6029718886339</v>
      </c>
      <c r="AZ74" s="100">
        <v>1.2760432321666475</v>
      </c>
      <c r="BA74" s="100">
        <v>514.50063120959226</v>
      </c>
      <c r="BB74" s="100">
        <v>13.41309987842245</v>
      </c>
      <c r="BC74" s="100">
        <v>5408.1618709799313</v>
      </c>
      <c r="BD74" s="100">
        <v>9.4492060613166018</v>
      </c>
      <c r="BE74" s="100">
        <v>3809.9198839228538</v>
      </c>
      <c r="BF74" s="100">
        <v>9.0619435178200192</v>
      </c>
      <c r="BG74" s="100">
        <v>3653.7756263850315</v>
      </c>
      <c r="BH74" s="100">
        <v>8.772785461138044</v>
      </c>
      <c r="BI74" s="100">
        <v>3537.1870979308592</v>
      </c>
      <c r="BJ74" s="100">
        <v>9</v>
      </c>
      <c r="BK74" s="100">
        <v>3628.7999999999997</v>
      </c>
      <c r="BL74" s="100">
        <v>0.25507323281763089</v>
      </c>
      <c r="BM74" s="100">
        <v>102.84552747206877</v>
      </c>
      <c r="BN74" s="100">
        <v>12</v>
      </c>
      <c r="BO74" s="100">
        <v>4838.3999999999996</v>
      </c>
      <c r="BP74" s="100">
        <v>10</v>
      </c>
      <c r="BQ74" s="100">
        <v>4032</v>
      </c>
      <c r="BR74" s="100">
        <v>9</v>
      </c>
      <c r="BS74" s="100">
        <v>3628.7999999999997</v>
      </c>
      <c r="BT74" s="100">
        <v>13</v>
      </c>
      <c r="BU74" s="100">
        <v>5241.5999999999995</v>
      </c>
      <c r="BV74" s="100">
        <v>10.496805181142784</v>
      </c>
      <c r="BW74" s="100">
        <v>4232.3118490367706</v>
      </c>
      <c r="BX74" s="100">
        <v>3.5042919570336162</v>
      </c>
      <c r="BY74" s="100">
        <v>1412.930517075954</v>
      </c>
      <c r="BZ74" s="100">
        <v>3.3940926346786373</v>
      </c>
      <c r="CA74" s="100">
        <v>1368.4981503024264</v>
      </c>
      <c r="CB74" s="100">
        <v>7.4267044374925293</v>
      </c>
      <c r="CC74" s="100">
        <v>2994.4472291969878</v>
      </c>
      <c r="CD74" s="100">
        <v>3.6184089973058522</v>
      </c>
      <c r="CE74" s="100">
        <v>1458.9425077137196</v>
      </c>
      <c r="CF74" s="100">
        <v>8.9235496849706486</v>
      </c>
      <c r="CG74" s="100">
        <v>3597.9752329801654</v>
      </c>
      <c r="CH74" s="100">
        <v>3.6587815942180919</v>
      </c>
      <c r="CI74" s="100">
        <v>1475.2207387887347</v>
      </c>
      <c r="CJ74" s="100">
        <v>10.503958994333351</v>
      </c>
      <c r="CK74" s="100">
        <v>4235.1962665152068</v>
      </c>
      <c r="CL74" s="100">
        <v>10</v>
      </c>
      <c r="CM74" s="100">
        <v>4032</v>
      </c>
      <c r="CN74" s="100">
        <v>12</v>
      </c>
      <c r="CO74" s="100">
        <v>4838.3999999999996</v>
      </c>
      <c r="CP74" s="100">
        <v>5.5913304342009633</v>
      </c>
      <c r="CQ74" s="100">
        <v>2254.4244310698282</v>
      </c>
      <c r="CR74" s="100">
        <v>9</v>
      </c>
      <c r="CS74" s="100">
        <v>3628.7999999999997</v>
      </c>
      <c r="CT74" s="100">
        <v>8</v>
      </c>
      <c r="CU74" s="100">
        <v>3225.6</v>
      </c>
    </row>
    <row r="75" spans="2:99">
      <c r="C75" s="99" t="s">
        <v>241</v>
      </c>
      <c r="D75" s="100">
        <v>9</v>
      </c>
      <c r="E75" s="100">
        <v>5788.7999999999993</v>
      </c>
      <c r="F75" s="100">
        <v>8.1024321075487826</v>
      </c>
      <c r="G75" s="100">
        <v>5211.484331575376</v>
      </c>
      <c r="H75" s="100">
        <v>7.9607023219714206</v>
      </c>
      <c r="I75" s="100">
        <v>5120.3237334920168</v>
      </c>
      <c r="J75" s="100">
        <v>10.341788012774023</v>
      </c>
      <c r="K75" s="100">
        <v>6651.8380498162505</v>
      </c>
      <c r="L75" s="100">
        <v>8.0474058209884038</v>
      </c>
      <c r="M75" s="100">
        <v>5176.0914240597413</v>
      </c>
      <c r="N75" s="100">
        <v>5.2323707450357801</v>
      </c>
      <c r="O75" s="100">
        <v>3365.4608632070135</v>
      </c>
      <c r="P75" s="100">
        <v>9</v>
      </c>
      <c r="Q75" s="100">
        <v>5788.7999999999993</v>
      </c>
      <c r="R75" s="100">
        <v>10</v>
      </c>
      <c r="S75" s="100">
        <v>6431.9999999999991</v>
      </c>
      <c r="T75" s="100">
        <v>9</v>
      </c>
      <c r="U75" s="100">
        <v>5788.7999999999993</v>
      </c>
      <c r="V75" s="100">
        <v>7</v>
      </c>
      <c r="W75" s="100">
        <v>4502.3999999999996</v>
      </c>
      <c r="X75" s="100">
        <v>14</v>
      </c>
      <c r="Y75" s="100">
        <v>9004.7999999999993</v>
      </c>
      <c r="Z75" s="100">
        <v>13</v>
      </c>
      <c r="AA75" s="100">
        <v>8361.5999999999985</v>
      </c>
      <c r="AB75" s="100">
        <v>10.984962512542113</v>
      </c>
      <c r="AC75" s="100">
        <v>7065.5278880670867</v>
      </c>
      <c r="AD75" s="100">
        <v>3.9328646546414765</v>
      </c>
      <c r="AE75" s="100">
        <v>2529.6185458653972</v>
      </c>
      <c r="AF75" s="100">
        <v>9</v>
      </c>
      <c r="AG75" s="100">
        <v>5788.7999999999993</v>
      </c>
      <c r="AH75" s="100">
        <v>10.369096148598139</v>
      </c>
      <c r="AI75" s="100">
        <v>6669.4026427783219</v>
      </c>
      <c r="AJ75" s="100">
        <v>10</v>
      </c>
      <c r="AK75" s="100">
        <v>6431.9999999999991</v>
      </c>
      <c r="AL75" s="100">
        <v>9.7843792080576311</v>
      </c>
      <c r="AM75" s="100">
        <v>6293.312706622668</v>
      </c>
      <c r="AN75" s="100">
        <v>9</v>
      </c>
      <c r="AO75" s="100">
        <v>5788.7999999999993</v>
      </c>
      <c r="AP75" s="100">
        <v>12</v>
      </c>
      <c r="AQ75" s="100">
        <v>7718.4</v>
      </c>
      <c r="AR75" s="100">
        <v>11.031538425861966</v>
      </c>
      <c r="AS75" s="100">
        <v>7095.4855155144151</v>
      </c>
      <c r="AT75" s="100">
        <v>6.7879536202619031</v>
      </c>
      <c r="AU75" s="100">
        <v>4366.0117685524556</v>
      </c>
      <c r="AV75" s="100">
        <v>13</v>
      </c>
      <c r="AW75" s="100">
        <v>8361.5999999999985</v>
      </c>
      <c r="AX75" s="100">
        <v>7.2113168945650639</v>
      </c>
      <c r="AY75" s="100">
        <v>4638.3190265842486</v>
      </c>
      <c r="AZ75" s="100">
        <v>1.184897287011887</v>
      </c>
      <c r="BA75" s="100">
        <v>762.12593500604567</v>
      </c>
      <c r="BB75" s="100">
        <v>12.518893219860955</v>
      </c>
      <c r="BC75" s="100">
        <v>8052.152119014565</v>
      </c>
      <c r="BD75" s="100">
        <v>9.4492060613166018</v>
      </c>
      <c r="BE75" s="100">
        <v>6077.7293386388374</v>
      </c>
      <c r="BF75" s="100">
        <v>9.0619435178200192</v>
      </c>
      <c r="BG75" s="100">
        <v>5828.6420706618355</v>
      </c>
      <c r="BH75" s="100">
        <v>8.772785461138044</v>
      </c>
      <c r="BI75" s="100">
        <v>5642.6556086039891</v>
      </c>
      <c r="BJ75" s="100">
        <v>10</v>
      </c>
      <c r="BK75" s="100">
        <v>6431.9999999999991</v>
      </c>
      <c r="BL75" s="100">
        <v>0.25507323281763089</v>
      </c>
      <c r="BM75" s="100">
        <v>164.06310334830016</v>
      </c>
      <c r="BN75" s="100">
        <v>13</v>
      </c>
      <c r="BO75" s="100">
        <v>8361.5999999999985</v>
      </c>
      <c r="BP75" s="100">
        <v>9</v>
      </c>
      <c r="BQ75" s="100">
        <v>5788.7999999999993</v>
      </c>
      <c r="BR75" s="100">
        <v>9</v>
      </c>
      <c r="BS75" s="100">
        <v>5788.7999999999993</v>
      </c>
      <c r="BT75" s="100">
        <v>12</v>
      </c>
      <c r="BU75" s="100">
        <v>7718.4</v>
      </c>
      <c r="BV75" s="100">
        <v>11.304251733538383</v>
      </c>
      <c r="BW75" s="100">
        <v>7270.8947150118875</v>
      </c>
      <c r="BX75" s="100">
        <v>3.7545985253931602</v>
      </c>
      <c r="BY75" s="100">
        <v>2414.9577715328805</v>
      </c>
      <c r="BZ75" s="100">
        <v>3.6769336875685235</v>
      </c>
      <c r="CA75" s="100">
        <v>2365.003747844074</v>
      </c>
      <c r="CB75" s="100">
        <v>6.1889203645771067</v>
      </c>
      <c r="CC75" s="100">
        <v>3980.7135784959946</v>
      </c>
      <c r="CD75" s="100">
        <v>3.9473552697882024</v>
      </c>
      <c r="CE75" s="100">
        <v>2538.9389095277716</v>
      </c>
      <c r="CF75" s="100">
        <v>8.9235496849706486</v>
      </c>
      <c r="CG75" s="100">
        <v>5739.627157373121</v>
      </c>
      <c r="CH75" s="100">
        <v>4.0653128824645464</v>
      </c>
      <c r="CI75" s="100">
        <v>2614.8092460011958</v>
      </c>
      <c r="CJ75" s="100">
        <v>9.1909641200416807</v>
      </c>
      <c r="CK75" s="100">
        <v>5911.6281220108085</v>
      </c>
      <c r="CL75" s="100">
        <v>9</v>
      </c>
      <c r="CM75" s="100">
        <v>5788.7999999999993</v>
      </c>
      <c r="CN75" s="100">
        <v>12</v>
      </c>
      <c r="CO75" s="100">
        <v>7718.4</v>
      </c>
      <c r="CP75" s="100">
        <v>5.5913304342009633</v>
      </c>
      <c r="CQ75" s="100">
        <v>3596.3437352780593</v>
      </c>
      <c r="CR75" s="100">
        <v>10</v>
      </c>
      <c r="CS75" s="100">
        <v>6431.9999999999991</v>
      </c>
      <c r="CT75" s="100">
        <v>9</v>
      </c>
      <c r="CU75" s="100">
        <v>5788.7999999999993</v>
      </c>
    </row>
    <row r="76" spans="2:99">
      <c r="C76" s="99" t="s">
        <v>242</v>
      </c>
      <c r="D76" s="100">
        <v>9</v>
      </c>
      <c r="E76" s="100">
        <v>7009.2</v>
      </c>
      <c r="F76" s="100">
        <v>7.4791680992758005</v>
      </c>
      <c r="G76" s="100">
        <v>5824.776115715993</v>
      </c>
      <c r="H76" s="100">
        <v>9.2874860422999905</v>
      </c>
      <c r="I76" s="100">
        <v>7233.0941297432319</v>
      </c>
      <c r="J76" s="100">
        <v>11.281950559389843</v>
      </c>
      <c r="K76" s="100">
        <v>8786.3830956528091</v>
      </c>
      <c r="L76" s="100">
        <v>8.0474058209884038</v>
      </c>
      <c r="M76" s="100">
        <v>6267.3196533857681</v>
      </c>
      <c r="N76" s="100">
        <v>4.6509962178095821</v>
      </c>
      <c r="O76" s="100">
        <v>3622.1958544301024</v>
      </c>
      <c r="P76" s="100">
        <v>8</v>
      </c>
      <c r="Q76" s="100">
        <v>6230.4</v>
      </c>
      <c r="R76" s="100">
        <v>10</v>
      </c>
      <c r="S76" s="100">
        <v>7788</v>
      </c>
      <c r="T76" s="100">
        <v>9</v>
      </c>
      <c r="U76" s="100">
        <v>7009.2</v>
      </c>
      <c r="V76" s="100">
        <v>8</v>
      </c>
      <c r="W76" s="100">
        <v>6230.4</v>
      </c>
      <c r="X76" s="100">
        <v>14</v>
      </c>
      <c r="Y76" s="100">
        <v>10903.199999999999</v>
      </c>
      <c r="Z76" s="100">
        <v>11</v>
      </c>
      <c r="AA76" s="100">
        <v>8566.7999999999993</v>
      </c>
      <c r="AB76" s="100">
        <v>10.984962512542113</v>
      </c>
      <c r="AC76" s="100">
        <v>8555.0888047677963</v>
      </c>
      <c r="AD76" s="100">
        <v>3.6870606137263842</v>
      </c>
      <c r="AE76" s="100">
        <v>2871.4828059701076</v>
      </c>
      <c r="AF76" s="100">
        <v>9</v>
      </c>
      <c r="AG76" s="100">
        <v>7009.2</v>
      </c>
      <c r="AH76" s="100">
        <v>9.6284464236982714</v>
      </c>
      <c r="AI76" s="100">
        <v>7498.6340747762133</v>
      </c>
      <c r="AJ76" s="100">
        <v>11</v>
      </c>
      <c r="AK76" s="100">
        <v>8566.7999999999993</v>
      </c>
      <c r="AL76" s="100">
        <v>9.1320872608537886</v>
      </c>
      <c r="AM76" s="100">
        <v>7112.0695587529299</v>
      </c>
      <c r="AN76" s="100">
        <v>8</v>
      </c>
      <c r="AO76" s="100">
        <v>6230.4</v>
      </c>
      <c r="AP76" s="100">
        <v>13</v>
      </c>
      <c r="AQ76" s="100">
        <v>10124.4</v>
      </c>
      <c r="AR76" s="100">
        <v>9.6525961226292196</v>
      </c>
      <c r="AS76" s="100">
        <v>7517.4418603036356</v>
      </c>
      <c r="AT76" s="100">
        <v>6.2658033417802184</v>
      </c>
      <c r="AU76" s="100">
        <v>4879.8076425784338</v>
      </c>
      <c r="AV76" s="100">
        <v>12</v>
      </c>
      <c r="AW76" s="100">
        <v>9345.5999999999985</v>
      </c>
      <c r="AX76" s="100">
        <v>7.2113168945650639</v>
      </c>
      <c r="AY76" s="100">
        <v>5616.1735974872718</v>
      </c>
      <c r="AZ76" s="100">
        <v>1.2760432321666475</v>
      </c>
      <c r="BA76" s="100">
        <v>993.78246921138498</v>
      </c>
      <c r="BB76" s="100">
        <v>12.518893219860955</v>
      </c>
      <c r="BC76" s="100">
        <v>9749.71403962771</v>
      </c>
      <c r="BD76" s="100">
        <v>9.4492060613166018</v>
      </c>
      <c r="BE76" s="100">
        <v>7359.0416805533687</v>
      </c>
      <c r="BF76" s="100">
        <v>10.456088674407715</v>
      </c>
      <c r="BG76" s="100">
        <v>8143.201859628728</v>
      </c>
      <c r="BH76" s="100">
        <v>8.772785461138044</v>
      </c>
      <c r="BI76" s="100">
        <v>6832.2453171343086</v>
      </c>
      <c r="BJ76" s="100">
        <v>11</v>
      </c>
      <c r="BK76" s="100">
        <v>8566.7999999999993</v>
      </c>
      <c r="BL76" s="100">
        <v>0.27469425072667947</v>
      </c>
      <c r="BM76" s="100">
        <v>213.93188246593795</v>
      </c>
      <c r="BN76" s="100">
        <v>12</v>
      </c>
      <c r="BO76" s="100">
        <v>9345.5999999999985</v>
      </c>
      <c r="BP76" s="100">
        <v>10</v>
      </c>
      <c r="BQ76" s="100">
        <v>7788</v>
      </c>
      <c r="BR76" s="100">
        <v>9</v>
      </c>
      <c r="BS76" s="100">
        <v>7009.2</v>
      </c>
      <c r="BT76" s="100">
        <v>12</v>
      </c>
      <c r="BU76" s="100">
        <v>9345.5999999999985</v>
      </c>
      <c r="BV76" s="100">
        <v>10.496805181142784</v>
      </c>
      <c r="BW76" s="100">
        <v>8174.9118750739999</v>
      </c>
      <c r="BX76" s="100">
        <v>3.5042919570336162</v>
      </c>
      <c r="BY76" s="100">
        <v>2729.14257613778</v>
      </c>
      <c r="BZ76" s="100">
        <v>3.95977474045841</v>
      </c>
      <c r="CA76" s="100">
        <v>3083.8725678690093</v>
      </c>
      <c r="CB76" s="100">
        <v>6.1889203645771067</v>
      </c>
      <c r="CC76" s="100">
        <v>4819.9311799326506</v>
      </c>
      <c r="CD76" s="100">
        <v>3.9473552697882024</v>
      </c>
      <c r="CE76" s="100">
        <v>3074.200284111052</v>
      </c>
      <c r="CF76" s="100">
        <v>7.733743060307896</v>
      </c>
      <c r="CG76" s="100">
        <v>6023.0390953677888</v>
      </c>
      <c r="CH76" s="100">
        <v>3.2522503059716374</v>
      </c>
      <c r="CI76" s="100">
        <v>2532.852538290711</v>
      </c>
      <c r="CJ76" s="100">
        <v>10.503958994333351</v>
      </c>
      <c r="CK76" s="100">
        <v>8180.4832647868134</v>
      </c>
      <c r="CL76" s="100">
        <v>10</v>
      </c>
      <c r="CM76" s="100">
        <v>7788</v>
      </c>
      <c r="CN76" s="100">
        <v>12</v>
      </c>
      <c r="CO76" s="100">
        <v>9345.5999999999985</v>
      </c>
      <c r="CP76" s="100">
        <v>4.892414129925843</v>
      </c>
      <c r="CQ76" s="100">
        <v>3810.2121243862462</v>
      </c>
      <c r="CR76" s="100">
        <v>10</v>
      </c>
      <c r="CS76" s="100">
        <v>7788</v>
      </c>
      <c r="CT76" s="100">
        <v>8</v>
      </c>
      <c r="CU76" s="100">
        <v>6230.4</v>
      </c>
    </row>
    <row r="77" spans="2:99">
      <c r="C77" s="99" t="s">
        <v>243</v>
      </c>
      <c r="D77" s="100">
        <v>9</v>
      </c>
      <c r="E77" s="100">
        <v>2505.6</v>
      </c>
      <c r="F77" s="100">
        <v>7.4791680992758005</v>
      </c>
      <c r="G77" s="100">
        <v>2082.2003988383826</v>
      </c>
      <c r="H77" s="100">
        <v>8.6240941821357051</v>
      </c>
      <c r="I77" s="100">
        <v>2400.9478203065801</v>
      </c>
      <c r="J77" s="100">
        <v>10.341788012774023</v>
      </c>
      <c r="K77" s="100">
        <v>2879.1537827562879</v>
      </c>
      <c r="L77" s="100">
        <v>8.0474058209884038</v>
      </c>
      <c r="M77" s="100">
        <v>2240.3977805631716</v>
      </c>
      <c r="N77" s="100">
        <v>5.2323707450357801</v>
      </c>
      <c r="O77" s="100">
        <v>1456.6920154179611</v>
      </c>
      <c r="P77" s="100">
        <v>9</v>
      </c>
      <c r="Q77" s="100">
        <v>2505.6</v>
      </c>
      <c r="R77" s="100">
        <v>10</v>
      </c>
      <c r="S77" s="100">
        <v>2784</v>
      </c>
      <c r="T77" s="100">
        <v>10</v>
      </c>
      <c r="U77" s="100">
        <v>2784</v>
      </c>
      <c r="V77" s="100">
        <v>8</v>
      </c>
      <c r="W77" s="100">
        <v>2227.1999999999998</v>
      </c>
      <c r="X77" s="100">
        <v>13</v>
      </c>
      <c r="Y77" s="100">
        <v>3619.2</v>
      </c>
      <c r="Z77" s="100">
        <v>13</v>
      </c>
      <c r="AA77" s="100">
        <v>3619.2</v>
      </c>
      <c r="AB77" s="100">
        <v>11.769602692009407</v>
      </c>
      <c r="AC77" s="100">
        <v>3276.6573894554185</v>
      </c>
      <c r="AD77" s="100">
        <v>3.1954525318961999</v>
      </c>
      <c r="AE77" s="100">
        <v>889.61398487990198</v>
      </c>
      <c r="AF77" s="100">
        <v>9</v>
      </c>
      <c r="AG77" s="100">
        <v>2505.6</v>
      </c>
      <c r="AH77" s="100">
        <v>9.6284464236982714</v>
      </c>
      <c r="AI77" s="100">
        <v>2680.5594843575986</v>
      </c>
      <c r="AJ77" s="100">
        <v>11</v>
      </c>
      <c r="AK77" s="100">
        <v>3062.3999999999996</v>
      </c>
      <c r="AL77" s="100">
        <v>9.1320872608537886</v>
      </c>
      <c r="AM77" s="100">
        <v>2542.3730934216946</v>
      </c>
      <c r="AN77" s="100">
        <v>9</v>
      </c>
      <c r="AO77" s="100">
        <v>2505.6</v>
      </c>
      <c r="AP77" s="100">
        <v>14</v>
      </c>
      <c r="AQ77" s="100">
        <v>3897.5999999999995</v>
      </c>
      <c r="AR77" s="100">
        <v>11.031538425861966</v>
      </c>
      <c r="AS77" s="100">
        <v>3071.1802977599709</v>
      </c>
      <c r="AT77" s="100">
        <v>7.3101038987435887</v>
      </c>
      <c r="AU77" s="100">
        <v>2035.132925410215</v>
      </c>
      <c r="AV77" s="100">
        <v>13</v>
      </c>
      <c r="AW77" s="100">
        <v>3619.2</v>
      </c>
      <c r="AX77" s="100">
        <v>7.8668911577073422</v>
      </c>
      <c r="AY77" s="100">
        <v>2190.1424983057241</v>
      </c>
      <c r="AZ77" s="100">
        <v>1.367189177321408</v>
      </c>
      <c r="BA77" s="100">
        <v>380.62546696627993</v>
      </c>
      <c r="BB77" s="100">
        <v>13.41309987842245</v>
      </c>
      <c r="BC77" s="100">
        <v>3734.2070061528098</v>
      </c>
      <c r="BD77" s="100">
        <v>10.902930070749925</v>
      </c>
      <c r="BE77" s="100">
        <v>3035.375731696779</v>
      </c>
      <c r="BF77" s="100">
        <v>10.456088674407715</v>
      </c>
      <c r="BG77" s="100">
        <v>2910.9750869551076</v>
      </c>
      <c r="BH77" s="100">
        <v>8.772785461138044</v>
      </c>
      <c r="BI77" s="100">
        <v>2442.3434723808314</v>
      </c>
      <c r="BJ77" s="100">
        <v>11</v>
      </c>
      <c r="BK77" s="100">
        <v>3062.3999999999996</v>
      </c>
      <c r="BL77" s="100">
        <v>0.29431526863572799</v>
      </c>
      <c r="BM77" s="100">
        <v>81.937370788186669</v>
      </c>
      <c r="BN77" s="100">
        <v>12</v>
      </c>
      <c r="BO77" s="100">
        <v>3340.7999999999997</v>
      </c>
      <c r="BP77" s="100">
        <v>8</v>
      </c>
      <c r="BQ77" s="100">
        <v>2227.1999999999998</v>
      </c>
      <c r="BR77" s="100">
        <v>9</v>
      </c>
      <c r="BS77" s="100">
        <v>2505.6</v>
      </c>
      <c r="BT77" s="100">
        <v>14</v>
      </c>
      <c r="BU77" s="100">
        <v>3897.5999999999995</v>
      </c>
      <c r="BV77" s="100">
        <v>12.111698285933981</v>
      </c>
      <c r="BW77" s="100">
        <v>3371.8968028040199</v>
      </c>
      <c r="BX77" s="100">
        <v>3.2539853886740722</v>
      </c>
      <c r="BY77" s="100">
        <v>905.90953220686163</v>
      </c>
      <c r="BZ77" s="100">
        <v>3.95977474045841</v>
      </c>
      <c r="CA77" s="100">
        <v>1102.4012877436212</v>
      </c>
      <c r="CB77" s="100">
        <v>6.8078124010348171</v>
      </c>
      <c r="CC77" s="100">
        <v>1895.2949724480929</v>
      </c>
      <c r="CD77" s="100">
        <v>3.289462724823502</v>
      </c>
      <c r="CE77" s="100">
        <v>915.78642259086291</v>
      </c>
      <c r="CF77" s="100">
        <v>8.3286463726392732</v>
      </c>
      <c r="CG77" s="100">
        <v>2318.6951501427734</v>
      </c>
      <c r="CH77" s="100">
        <v>3.6587815942180919</v>
      </c>
      <c r="CI77" s="100">
        <v>1018.6047958303167</v>
      </c>
      <c r="CJ77" s="100">
        <v>9.1909641200416807</v>
      </c>
      <c r="CK77" s="100">
        <v>2558.7644110196038</v>
      </c>
      <c r="CL77" s="100">
        <v>10</v>
      </c>
      <c r="CM77" s="100">
        <v>2784</v>
      </c>
      <c r="CN77" s="100">
        <v>12</v>
      </c>
      <c r="CO77" s="100">
        <v>3340.7999999999997</v>
      </c>
      <c r="CP77" s="100">
        <v>6.2902467384760845</v>
      </c>
      <c r="CQ77" s="100">
        <v>1751.2046919917418</v>
      </c>
      <c r="CR77" s="100">
        <v>10</v>
      </c>
      <c r="CS77" s="100">
        <v>2784</v>
      </c>
      <c r="CT77" s="100">
        <v>8</v>
      </c>
      <c r="CU77" s="100">
        <v>2227.1999999999998</v>
      </c>
    </row>
    <row r="78" spans="2:99">
      <c r="C78" s="99" t="s">
        <v>244</v>
      </c>
      <c r="D78" s="100">
        <v>10</v>
      </c>
      <c r="E78" s="100">
        <v>5520</v>
      </c>
      <c r="F78" s="100">
        <v>8.1024321075487826</v>
      </c>
      <c r="G78" s="100">
        <v>4472.5425233669284</v>
      </c>
      <c r="H78" s="100">
        <v>9.2874860422999905</v>
      </c>
      <c r="I78" s="100">
        <v>5126.692295349595</v>
      </c>
      <c r="J78" s="100">
        <v>10.341788012774023</v>
      </c>
      <c r="K78" s="100">
        <v>5708.666983051261</v>
      </c>
      <c r="L78" s="100">
        <v>8.666437037987512</v>
      </c>
      <c r="M78" s="100">
        <v>4783.873244969107</v>
      </c>
      <c r="N78" s="100">
        <v>4.6509962178095821</v>
      </c>
      <c r="O78" s="100">
        <v>2567.3499122308895</v>
      </c>
      <c r="P78" s="100">
        <v>10</v>
      </c>
      <c r="Q78" s="100">
        <v>5520</v>
      </c>
      <c r="R78" s="100">
        <v>12</v>
      </c>
      <c r="S78" s="100">
        <v>6624</v>
      </c>
      <c r="T78" s="100">
        <v>10</v>
      </c>
      <c r="U78" s="100">
        <v>5520</v>
      </c>
      <c r="V78" s="100">
        <v>7</v>
      </c>
      <c r="W78" s="100">
        <v>3864</v>
      </c>
      <c r="X78" s="100">
        <v>14</v>
      </c>
      <c r="Y78" s="100">
        <v>7728</v>
      </c>
      <c r="Z78" s="100">
        <v>13</v>
      </c>
      <c r="AA78" s="100">
        <v>7176</v>
      </c>
      <c r="AB78" s="100">
        <v>11.769602692009407</v>
      </c>
      <c r="AC78" s="100">
        <v>6496.8206859891925</v>
      </c>
      <c r="AD78" s="100">
        <v>3.4412565728112918</v>
      </c>
      <c r="AE78" s="100">
        <v>1899.573628191833</v>
      </c>
      <c r="AF78" s="100">
        <v>9</v>
      </c>
      <c r="AG78" s="100">
        <v>4968</v>
      </c>
      <c r="AH78" s="100">
        <v>10.369096148598139</v>
      </c>
      <c r="AI78" s="100">
        <v>5723.741074026173</v>
      </c>
      <c r="AJ78" s="100">
        <v>11</v>
      </c>
      <c r="AK78" s="100">
        <v>6072</v>
      </c>
      <c r="AL78" s="100">
        <v>8.4797953136499462</v>
      </c>
      <c r="AM78" s="100">
        <v>4680.8470131347704</v>
      </c>
      <c r="AN78" s="100">
        <v>8</v>
      </c>
      <c r="AO78" s="100">
        <v>4416</v>
      </c>
      <c r="AP78" s="100">
        <v>14</v>
      </c>
      <c r="AQ78" s="100">
        <v>7728</v>
      </c>
      <c r="AR78" s="100">
        <v>10.342067274245592</v>
      </c>
      <c r="AS78" s="100">
        <v>5708.8211353835668</v>
      </c>
      <c r="AT78" s="100">
        <v>7.3101038987435887</v>
      </c>
      <c r="AU78" s="100">
        <v>4035.1773521064611</v>
      </c>
      <c r="AV78" s="100">
        <v>12</v>
      </c>
      <c r="AW78" s="100">
        <v>6624</v>
      </c>
      <c r="AX78" s="100">
        <v>7.2113168945650639</v>
      </c>
      <c r="AY78" s="100">
        <v>3980.6469257999152</v>
      </c>
      <c r="AZ78" s="100">
        <v>1.184897287011887</v>
      </c>
      <c r="BA78" s="100">
        <v>654.06330243056163</v>
      </c>
      <c r="BB78" s="100">
        <v>12.518893219860955</v>
      </c>
      <c r="BC78" s="100">
        <v>6910.429057363247</v>
      </c>
      <c r="BD78" s="100">
        <v>10.902930070749925</v>
      </c>
      <c r="BE78" s="100">
        <v>6018.4173990539584</v>
      </c>
      <c r="BF78" s="100">
        <v>9.7590160961138679</v>
      </c>
      <c r="BG78" s="100">
        <v>5386.9768850548553</v>
      </c>
      <c r="BH78" s="100">
        <v>10.122444762851591</v>
      </c>
      <c r="BI78" s="100">
        <v>5587.5895090940785</v>
      </c>
      <c r="BJ78" s="100">
        <v>10</v>
      </c>
      <c r="BK78" s="100">
        <v>5520</v>
      </c>
      <c r="BL78" s="100">
        <v>0.23545221490858237</v>
      </c>
      <c r="BM78" s="100">
        <v>129.96962262953747</v>
      </c>
      <c r="BN78" s="100">
        <v>13</v>
      </c>
      <c r="BO78" s="100">
        <v>7176</v>
      </c>
      <c r="BP78" s="100">
        <v>8</v>
      </c>
      <c r="BQ78" s="100">
        <v>4416</v>
      </c>
      <c r="BR78" s="100">
        <v>9</v>
      </c>
      <c r="BS78" s="100">
        <v>4968</v>
      </c>
      <c r="BT78" s="100">
        <v>14</v>
      </c>
      <c r="BU78" s="100">
        <v>7728</v>
      </c>
      <c r="BV78" s="100">
        <v>11.304251733538383</v>
      </c>
      <c r="BW78" s="100">
        <v>6239.946956913187</v>
      </c>
      <c r="BX78" s="100">
        <v>3.7545985253931602</v>
      </c>
      <c r="BY78" s="100">
        <v>2072.5383860170245</v>
      </c>
      <c r="BZ78" s="100">
        <v>3.3940926346786373</v>
      </c>
      <c r="CA78" s="100">
        <v>1873.5391343426079</v>
      </c>
      <c r="CB78" s="100">
        <v>7.4267044374925293</v>
      </c>
      <c r="CC78" s="100">
        <v>4099.5408494958765</v>
      </c>
      <c r="CD78" s="100">
        <v>3.6184089973058522</v>
      </c>
      <c r="CE78" s="100">
        <v>1997.3617665128304</v>
      </c>
      <c r="CF78" s="100">
        <v>8.3286463726392732</v>
      </c>
      <c r="CG78" s="100">
        <v>4597.4127976968784</v>
      </c>
      <c r="CH78" s="100">
        <v>3.6587815942180919</v>
      </c>
      <c r="CI78" s="100">
        <v>2019.6474400083866</v>
      </c>
      <c r="CJ78" s="100">
        <v>9.1909641200416807</v>
      </c>
      <c r="CK78" s="100">
        <v>5073.4121942630081</v>
      </c>
      <c r="CL78" s="100">
        <v>11</v>
      </c>
      <c r="CM78" s="100">
        <v>6072</v>
      </c>
      <c r="CN78" s="100">
        <v>12</v>
      </c>
      <c r="CO78" s="100">
        <v>6624</v>
      </c>
      <c r="CP78" s="100">
        <v>6.2902467384760845</v>
      </c>
      <c r="CQ78" s="100">
        <v>3472.2161996387986</v>
      </c>
      <c r="CR78" s="100">
        <v>9</v>
      </c>
      <c r="CS78" s="100">
        <v>4968</v>
      </c>
      <c r="CT78" s="100">
        <v>8</v>
      </c>
      <c r="CU78" s="100">
        <v>4416</v>
      </c>
    </row>
    <row r="79" spans="2:99">
      <c r="C79" s="99" t="s">
        <v>245</v>
      </c>
      <c r="D79" s="100">
        <v>9</v>
      </c>
      <c r="E79" s="100">
        <v>6814.7999999999993</v>
      </c>
      <c r="F79" s="100">
        <v>7.4791680992758005</v>
      </c>
      <c r="G79" s="100">
        <v>5663.2260847716352</v>
      </c>
      <c r="H79" s="100">
        <v>9.2874860422999905</v>
      </c>
      <c r="I79" s="100">
        <v>7032.4844312295518</v>
      </c>
      <c r="J79" s="100">
        <v>10.341788012774023</v>
      </c>
      <c r="K79" s="100">
        <v>7830.8018832724892</v>
      </c>
      <c r="L79" s="100">
        <v>8.666437037987512</v>
      </c>
      <c r="M79" s="100">
        <v>6562.2261251641439</v>
      </c>
      <c r="N79" s="100">
        <v>5.2323707450357801</v>
      </c>
      <c r="O79" s="100">
        <v>3961.9511281410923</v>
      </c>
      <c r="P79" s="100">
        <v>9</v>
      </c>
      <c r="Q79" s="100">
        <v>6814.7999999999993</v>
      </c>
      <c r="R79" s="100">
        <v>10</v>
      </c>
      <c r="S79" s="100">
        <v>7571.9999999999991</v>
      </c>
      <c r="T79" s="100">
        <v>10</v>
      </c>
      <c r="U79" s="100">
        <v>7571.9999999999991</v>
      </c>
      <c r="V79" s="100">
        <v>8</v>
      </c>
      <c r="W79" s="100">
        <v>6057.5999999999995</v>
      </c>
      <c r="X79" s="100">
        <v>13</v>
      </c>
      <c r="Y79" s="100">
        <v>9843.5999999999985</v>
      </c>
      <c r="Z79" s="100">
        <v>12</v>
      </c>
      <c r="AA79" s="100">
        <v>9086.4</v>
      </c>
      <c r="AB79" s="100">
        <v>11.769602692009407</v>
      </c>
      <c r="AC79" s="100">
        <v>8911.9431583895221</v>
      </c>
      <c r="AD79" s="100">
        <v>3.1954525318961999</v>
      </c>
      <c r="AE79" s="100">
        <v>2419.5966571518024</v>
      </c>
      <c r="AF79" s="100">
        <v>9</v>
      </c>
      <c r="AG79" s="100">
        <v>6814.7999999999993</v>
      </c>
      <c r="AH79" s="100">
        <v>9.6284464236982714</v>
      </c>
      <c r="AI79" s="100">
        <v>7290.6596320243307</v>
      </c>
      <c r="AJ79" s="100">
        <v>11</v>
      </c>
      <c r="AK79" s="100">
        <v>8329.1999999999989</v>
      </c>
      <c r="AL79" s="100">
        <v>9.7843792080576311</v>
      </c>
      <c r="AM79" s="100">
        <v>7408.731936341238</v>
      </c>
      <c r="AN79" s="100">
        <v>8</v>
      </c>
      <c r="AO79" s="100">
        <v>6057.5999999999995</v>
      </c>
      <c r="AP79" s="100">
        <v>12</v>
      </c>
      <c r="AQ79" s="100">
        <v>9086.4</v>
      </c>
      <c r="AR79" s="100">
        <v>10.342067274245592</v>
      </c>
      <c r="AS79" s="100">
        <v>7831.0133400587611</v>
      </c>
      <c r="AT79" s="100">
        <v>6.2658033417802184</v>
      </c>
      <c r="AU79" s="100">
        <v>4744.4662903959806</v>
      </c>
      <c r="AV79" s="100">
        <v>11</v>
      </c>
      <c r="AW79" s="100">
        <v>8329.1999999999989</v>
      </c>
      <c r="AX79" s="100">
        <v>6.5557426314227856</v>
      </c>
      <c r="AY79" s="100">
        <v>4964.0083205133324</v>
      </c>
      <c r="AZ79" s="100">
        <v>1.367189177321408</v>
      </c>
      <c r="BA79" s="100">
        <v>1035.2356450677701</v>
      </c>
      <c r="BB79" s="100">
        <v>11.624686561299457</v>
      </c>
      <c r="BC79" s="100">
        <v>8802.2126642159474</v>
      </c>
      <c r="BD79" s="100">
        <v>10.176068066033263</v>
      </c>
      <c r="BE79" s="100">
        <v>7705.3187396003859</v>
      </c>
      <c r="BF79" s="100">
        <v>9.0619435178200192</v>
      </c>
      <c r="BG79" s="100">
        <v>6861.7036316933181</v>
      </c>
      <c r="BH79" s="100">
        <v>9.4476151119948177</v>
      </c>
      <c r="BI79" s="100">
        <v>7153.7341628024751</v>
      </c>
      <c r="BJ79" s="100">
        <v>9</v>
      </c>
      <c r="BK79" s="100">
        <v>6814.7999999999993</v>
      </c>
      <c r="BL79" s="100">
        <v>0.27469425072667947</v>
      </c>
      <c r="BM79" s="100">
        <v>207.99848665024169</v>
      </c>
      <c r="BN79" s="100">
        <v>13</v>
      </c>
      <c r="BO79" s="100">
        <v>9843.5999999999985</v>
      </c>
      <c r="BP79" s="100">
        <v>10</v>
      </c>
      <c r="BQ79" s="100">
        <v>7571.9999999999991</v>
      </c>
      <c r="BR79" s="100">
        <v>9</v>
      </c>
      <c r="BS79" s="100">
        <v>6814.7999999999993</v>
      </c>
      <c r="BT79" s="100">
        <v>14</v>
      </c>
      <c r="BU79" s="100">
        <v>10600.8</v>
      </c>
      <c r="BV79" s="100">
        <v>11.304251733538383</v>
      </c>
      <c r="BW79" s="100">
        <v>8559.579412635263</v>
      </c>
      <c r="BX79" s="100">
        <v>3.5042919570336162</v>
      </c>
      <c r="BY79" s="100">
        <v>2653.449869865854</v>
      </c>
      <c r="BZ79" s="100">
        <v>3.6769336875685235</v>
      </c>
      <c r="CA79" s="100">
        <v>2784.1741882268857</v>
      </c>
      <c r="CB79" s="100">
        <v>6.1889203645771067</v>
      </c>
      <c r="CC79" s="100">
        <v>4686.2505000577848</v>
      </c>
      <c r="CD79" s="100">
        <v>3.6184089973058522</v>
      </c>
      <c r="CE79" s="100">
        <v>2739.8592927599911</v>
      </c>
      <c r="CF79" s="100">
        <v>8.3286463726392732</v>
      </c>
      <c r="CG79" s="100">
        <v>6306.4510333624567</v>
      </c>
      <c r="CH79" s="100">
        <v>4.0653128824645464</v>
      </c>
      <c r="CI79" s="100">
        <v>3078.2549146021543</v>
      </c>
      <c r="CJ79" s="100">
        <v>9.1909641200416807</v>
      </c>
      <c r="CK79" s="100">
        <v>6959.3980316955603</v>
      </c>
      <c r="CL79" s="100">
        <v>10</v>
      </c>
      <c r="CM79" s="100">
        <v>7571.9999999999991</v>
      </c>
      <c r="CN79" s="100">
        <v>12</v>
      </c>
      <c r="CO79" s="100">
        <v>9086.4</v>
      </c>
      <c r="CP79" s="100">
        <v>5.5913304342009633</v>
      </c>
      <c r="CQ79" s="100">
        <v>4233.755404776969</v>
      </c>
      <c r="CR79" s="100">
        <v>10</v>
      </c>
      <c r="CS79" s="100">
        <v>7571.9999999999991</v>
      </c>
      <c r="CT79" s="100">
        <v>7</v>
      </c>
      <c r="CU79" s="100">
        <v>5300.4</v>
      </c>
    </row>
    <row r="80" spans="2:99">
      <c r="C80" s="99" t="s">
        <v>246</v>
      </c>
      <c r="D80" s="100">
        <v>10</v>
      </c>
      <c r="E80" s="100">
        <v>8051.9999999999991</v>
      </c>
      <c r="F80" s="100">
        <v>8.1024321075487826</v>
      </c>
      <c r="G80" s="100">
        <v>6524.0783329982796</v>
      </c>
      <c r="H80" s="100">
        <v>9.9508779024642742</v>
      </c>
      <c r="I80" s="100">
        <v>8012.4468870642331</v>
      </c>
      <c r="J80" s="100">
        <v>11.281950559389843</v>
      </c>
      <c r="K80" s="100">
        <v>9084.2265904207015</v>
      </c>
      <c r="L80" s="100">
        <v>7.4283746039892957</v>
      </c>
      <c r="M80" s="100">
        <v>5981.3272311321807</v>
      </c>
      <c r="N80" s="100">
        <v>5.2323707450357801</v>
      </c>
      <c r="O80" s="100">
        <v>4213.1049239028098</v>
      </c>
      <c r="P80" s="100">
        <v>9</v>
      </c>
      <c r="Q80" s="100">
        <v>7246.7999999999993</v>
      </c>
      <c r="R80" s="100">
        <v>11</v>
      </c>
      <c r="S80" s="100">
        <v>8857.1999999999989</v>
      </c>
      <c r="T80" s="100">
        <v>9</v>
      </c>
      <c r="U80" s="100">
        <v>7246.7999999999993</v>
      </c>
      <c r="V80" s="100">
        <v>8</v>
      </c>
      <c r="W80" s="100">
        <v>6441.5999999999995</v>
      </c>
      <c r="X80" s="100">
        <v>13</v>
      </c>
      <c r="Y80" s="100">
        <v>10467.599999999999</v>
      </c>
      <c r="Z80" s="100">
        <v>13</v>
      </c>
      <c r="AA80" s="100">
        <v>10467.599999999999</v>
      </c>
      <c r="AB80" s="100">
        <v>10.200322333074819</v>
      </c>
      <c r="AC80" s="100">
        <v>8213.2995425918434</v>
      </c>
      <c r="AD80" s="100">
        <v>3.1954525318961999</v>
      </c>
      <c r="AE80" s="100">
        <v>2572.9783786828198</v>
      </c>
      <c r="AF80" s="100">
        <v>8</v>
      </c>
      <c r="AG80" s="100">
        <v>6441.5999999999995</v>
      </c>
      <c r="AH80" s="100">
        <v>8.8877966987984056</v>
      </c>
      <c r="AI80" s="100">
        <v>7156.4539018724754</v>
      </c>
      <c r="AJ80" s="100">
        <v>10</v>
      </c>
      <c r="AK80" s="100">
        <v>8051.9999999999991</v>
      </c>
      <c r="AL80" s="100">
        <v>9.7843792080576311</v>
      </c>
      <c r="AM80" s="100">
        <v>7878.3821383280037</v>
      </c>
      <c r="AN80" s="100">
        <v>8</v>
      </c>
      <c r="AO80" s="100">
        <v>6441.5999999999995</v>
      </c>
      <c r="AP80" s="100">
        <v>14</v>
      </c>
      <c r="AQ80" s="100">
        <v>11272.8</v>
      </c>
      <c r="AR80" s="100">
        <v>8.9631249710128476</v>
      </c>
      <c r="AS80" s="100">
        <v>7217.108226659544</v>
      </c>
      <c r="AT80" s="100">
        <v>6.2658033417802184</v>
      </c>
      <c r="AU80" s="100">
        <v>5045.2248508014318</v>
      </c>
      <c r="AV80" s="100">
        <v>12</v>
      </c>
      <c r="AW80" s="100">
        <v>9662.4</v>
      </c>
      <c r="AX80" s="100">
        <v>6.5557426314227856</v>
      </c>
      <c r="AY80" s="100">
        <v>5278.6839668216262</v>
      </c>
      <c r="AZ80" s="100">
        <v>1.184897287011887</v>
      </c>
      <c r="BA80" s="100">
        <v>954.07929550197139</v>
      </c>
      <c r="BB80" s="100">
        <v>12.518893219860955</v>
      </c>
      <c r="BC80" s="100">
        <v>10080.212820632039</v>
      </c>
      <c r="BD80" s="100">
        <v>9.4492060613166018</v>
      </c>
      <c r="BE80" s="100">
        <v>7608.5007205721267</v>
      </c>
      <c r="BF80" s="100">
        <v>10.456088674407715</v>
      </c>
      <c r="BG80" s="100">
        <v>8419.2426006330916</v>
      </c>
      <c r="BH80" s="100">
        <v>9.4476151119948177</v>
      </c>
      <c r="BI80" s="100">
        <v>7607.2196881782265</v>
      </c>
      <c r="BJ80" s="100">
        <v>10</v>
      </c>
      <c r="BK80" s="100">
        <v>8051.9999999999991</v>
      </c>
      <c r="BL80" s="100">
        <v>0.27469425072667947</v>
      </c>
      <c r="BM80" s="100">
        <v>221.1838106851223</v>
      </c>
      <c r="BN80" s="100">
        <v>12</v>
      </c>
      <c r="BO80" s="100">
        <v>9662.4</v>
      </c>
      <c r="BP80" s="100">
        <v>8</v>
      </c>
      <c r="BQ80" s="100">
        <v>6441.5999999999995</v>
      </c>
      <c r="BR80" s="100">
        <v>9</v>
      </c>
      <c r="BS80" s="100">
        <v>7246.7999999999993</v>
      </c>
      <c r="BT80" s="100">
        <v>12</v>
      </c>
      <c r="BU80" s="100">
        <v>9662.4</v>
      </c>
      <c r="BV80" s="100">
        <v>11.304251733538383</v>
      </c>
      <c r="BW80" s="100">
        <v>9102.1834958451054</v>
      </c>
      <c r="BX80" s="100">
        <v>3.7545985253931602</v>
      </c>
      <c r="BY80" s="100">
        <v>3023.2027326465723</v>
      </c>
      <c r="BZ80" s="100">
        <v>3.3940926346786373</v>
      </c>
      <c r="CA80" s="100">
        <v>2732.9233894432386</v>
      </c>
      <c r="CB80" s="100">
        <v>6.1889203645771067</v>
      </c>
      <c r="CC80" s="100">
        <v>4983.3186775574859</v>
      </c>
      <c r="CD80" s="100">
        <v>3.6184089973058522</v>
      </c>
      <c r="CE80" s="100">
        <v>2913.5429246306721</v>
      </c>
      <c r="CF80" s="100">
        <v>9.5184529973020258</v>
      </c>
      <c r="CG80" s="100">
        <v>7664.2583534275909</v>
      </c>
      <c r="CH80" s="100">
        <v>3.6587815942180919</v>
      </c>
      <c r="CI80" s="100">
        <v>2946.0509396644075</v>
      </c>
      <c r="CJ80" s="100">
        <v>9.8474615571875148</v>
      </c>
      <c r="CK80" s="100">
        <v>7929.1760458473864</v>
      </c>
      <c r="CL80" s="100">
        <v>10</v>
      </c>
      <c r="CM80" s="100">
        <v>8051.9999999999991</v>
      </c>
      <c r="CN80" s="100">
        <v>12</v>
      </c>
      <c r="CO80" s="100">
        <v>9662.4</v>
      </c>
      <c r="CP80" s="100">
        <v>5.5913304342009633</v>
      </c>
      <c r="CQ80" s="100">
        <v>4502.1392656186154</v>
      </c>
      <c r="CR80" s="100">
        <v>9</v>
      </c>
      <c r="CS80" s="100">
        <v>7246.7999999999993</v>
      </c>
      <c r="CT80" s="100">
        <v>7</v>
      </c>
      <c r="CU80" s="100">
        <v>5636.4</v>
      </c>
    </row>
    <row r="81" spans="2:99">
      <c r="C81" s="99" t="s">
        <v>247</v>
      </c>
      <c r="D81" s="100">
        <v>9</v>
      </c>
      <c r="E81" s="100">
        <v>6782.4000000000005</v>
      </c>
      <c r="F81" s="100">
        <v>7.4791680992758005</v>
      </c>
      <c r="G81" s="100">
        <v>5636.3010796142435</v>
      </c>
      <c r="H81" s="100">
        <v>8.6240941821357051</v>
      </c>
      <c r="I81" s="100">
        <v>6499.1173756574672</v>
      </c>
      <c r="J81" s="100">
        <v>10.341788012774023</v>
      </c>
      <c r="K81" s="100">
        <v>7793.5714464265038</v>
      </c>
      <c r="L81" s="100">
        <v>8.666437037987512</v>
      </c>
      <c r="M81" s="100">
        <v>6531.026951827389</v>
      </c>
      <c r="N81" s="100">
        <v>4.6509962178095821</v>
      </c>
      <c r="O81" s="100">
        <v>3504.990749741301</v>
      </c>
      <c r="P81" s="100">
        <v>9</v>
      </c>
      <c r="Q81" s="100">
        <v>6782.4000000000005</v>
      </c>
      <c r="R81" s="100">
        <v>12</v>
      </c>
      <c r="S81" s="100">
        <v>9043.2000000000007</v>
      </c>
      <c r="T81" s="100">
        <v>10</v>
      </c>
      <c r="U81" s="100">
        <v>7536</v>
      </c>
      <c r="V81" s="100">
        <v>7</v>
      </c>
      <c r="W81" s="100">
        <v>5275.2</v>
      </c>
      <c r="X81" s="100">
        <v>14</v>
      </c>
      <c r="Y81" s="100">
        <v>10550.4</v>
      </c>
      <c r="Z81" s="100">
        <v>13</v>
      </c>
      <c r="AA81" s="100">
        <v>9796.8000000000011</v>
      </c>
      <c r="AB81" s="100">
        <v>10.984962512542113</v>
      </c>
      <c r="AC81" s="100">
        <v>8278.2677494517375</v>
      </c>
      <c r="AD81" s="100">
        <v>3.6870606137263842</v>
      </c>
      <c r="AE81" s="100">
        <v>2778.568878504203</v>
      </c>
      <c r="AF81" s="100">
        <v>9</v>
      </c>
      <c r="AG81" s="100">
        <v>6782.4000000000005</v>
      </c>
      <c r="AH81" s="100">
        <v>9.6284464236982714</v>
      </c>
      <c r="AI81" s="100">
        <v>7255.997224899018</v>
      </c>
      <c r="AJ81" s="100">
        <v>10</v>
      </c>
      <c r="AK81" s="100">
        <v>7536</v>
      </c>
      <c r="AL81" s="100">
        <v>9.1320872608537886</v>
      </c>
      <c r="AM81" s="100">
        <v>6881.9409597794156</v>
      </c>
      <c r="AN81" s="100">
        <v>9</v>
      </c>
      <c r="AO81" s="100">
        <v>6782.4000000000005</v>
      </c>
      <c r="AP81" s="100">
        <v>13</v>
      </c>
      <c r="AQ81" s="100">
        <v>9796.8000000000011</v>
      </c>
      <c r="AR81" s="100">
        <v>8.9631249710128476</v>
      </c>
      <c r="AS81" s="100">
        <v>6754.6109781552823</v>
      </c>
      <c r="AT81" s="100">
        <v>6.7879536202619031</v>
      </c>
      <c r="AU81" s="100">
        <v>5115.4018482293704</v>
      </c>
      <c r="AV81" s="100">
        <v>11</v>
      </c>
      <c r="AW81" s="100">
        <v>8289.6</v>
      </c>
      <c r="AX81" s="100">
        <v>7.8668911577073422</v>
      </c>
      <c r="AY81" s="100">
        <v>5928.4891764482536</v>
      </c>
      <c r="AZ81" s="100">
        <v>1.184897287011887</v>
      </c>
      <c r="BA81" s="100">
        <v>892.93859549215813</v>
      </c>
      <c r="BB81" s="100">
        <v>10.73047990273796</v>
      </c>
      <c r="BC81" s="100">
        <v>8086.4896547033268</v>
      </c>
      <c r="BD81" s="100">
        <v>8.7223440565999404</v>
      </c>
      <c r="BE81" s="100">
        <v>6573.1584810537151</v>
      </c>
      <c r="BF81" s="100">
        <v>9.7590160961138679</v>
      </c>
      <c r="BG81" s="100">
        <v>7354.3945300314108</v>
      </c>
      <c r="BH81" s="100">
        <v>8.0979558102812721</v>
      </c>
      <c r="BI81" s="100">
        <v>6102.619498627967</v>
      </c>
      <c r="BJ81" s="100">
        <v>9</v>
      </c>
      <c r="BK81" s="100">
        <v>6782.4000000000005</v>
      </c>
      <c r="BL81" s="100">
        <v>0.25507323281763089</v>
      </c>
      <c r="BM81" s="100">
        <v>192.22318825136665</v>
      </c>
      <c r="BN81" s="100">
        <v>13</v>
      </c>
      <c r="BO81" s="100">
        <v>9796.8000000000011</v>
      </c>
      <c r="BP81" s="100">
        <v>8</v>
      </c>
      <c r="BQ81" s="100">
        <v>6028.8</v>
      </c>
      <c r="BR81" s="100">
        <v>10</v>
      </c>
      <c r="BS81" s="100">
        <v>7536</v>
      </c>
      <c r="BT81" s="100">
        <v>14</v>
      </c>
      <c r="BU81" s="100">
        <v>10550.4</v>
      </c>
      <c r="BV81" s="100">
        <v>10.496805181142784</v>
      </c>
      <c r="BW81" s="100">
        <v>7910.3923845092022</v>
      </c>
      <c r="BX81" s="100">
        <v>3.2539853886740722</v>
      </c>
      <c r="BY81" s="100">
        <v>2452.2033889047807</v>
      </c>
      <c r="BZ81" s="100">
        <v>3.6769336875685235</v>
      </c>
      <c r="CA81" s="100">
        <v>2770.9372269516393</v>
      </c>
      <c r="CB81" s="100">
        <v>6.8078124010348171</v>
      </c>
      <c r="CC81" s="100">
        <v>5130.3674254198386</v>
      </c>
      <c r="CD81" s="100">
        <v>3.9473552697882024</v>
      </c>
      <c r="CE81" s="100">
        <v>2974.7269313123893</v>
      </c>
      <c r="CF81" s="100">
        <v>7.733743060307896</v>
      </c>
      <c r="CG81" s="100">
        <v>5828.1487702480308</v>
      </c>
      <c r="CH81" s="100">
        <v>3.6587815942180919</v>
      </c>
      <c r="CI81" s="100">
        <v>2757.257809402754</v>
      </c>
      <c r="CJ81" s="100">
        <v>9.1909641200416807</v>
      </c>
      <c r="CK81" s="100">
        <v>6926.3105608634105</v>
      </c>
      <c r="CL81" s="100">
        <v>10</v>
      </c>
      <c r="CM81" s="100">
        <v>7536</v>
      </c>
      <c r="CN81" s="100">
        <v>12</v>
      </c>
      <c r="CO81" s="100">
        <v>9043.2000000000007</v>
      </c>
      <c r="CP81" s="100">
        <v>6.2902467384760845</v>
      </c>
      <c r="CQ81" s="100">
        <v>4740.3299421155771</v>
      </c>
      <c r="CR81" s="100">
        <v>9</v>
      </c>
      <c r="CS81" s="100">
        <v>6782.4000000000005</v>
      </c>
      <c r="CT81" s="100">
        <v>7</v>
      </c>
      <c r="CU81" s="100">
        <v>5275.2</v>
      </c>
    </row>
    <row r="82" spans="2:99">
      <c r="C82" s="99" t="s">
        <v>248</v>
      </c>
      <c r="D82" s="100">
        <v>10</v>
      </c>
      <c r="E82" s="100">
        <v>5087.9999999999991</v>
      </c>
      <c r="F82" s="100">
        <v>7.4791680992758005</v>
      </c>
      <c r="G82" s="100">
        <v>3805.4007289115266</v>
      </c>
      <c r="H82" s="100">
        <v>9.2874860422999905</v>
      </c>
      <c r="I82" s="100">
        <v>4725.472898322234</v>
      </c>
      <c r="J82" s="100">
        <v>9.4016254661582028</v>
      </c>
      <c r="K82" s="100">
        <v>4783.5470371812926</v>
      </c>
      <c r="L82" s="100">
        <v>8.666437037987512</v>
      </c>
      <c r="M82" s="100">
        <v>4409.483164928045</v>
      </c>
      <c r="N82" s="100">
        <v>4.6509962178095821</v>
      </c>
      <c r="O82" s="100">
        <v>2366.4268756215147</v>
      </c>
      <c r="P82" s="100">
        <v>10</v>
      </c>
      <c r="Q82" s="100">
        <v>5087.9999999999991</v>
      </c>
      <c r="R82" s="100">
        <v>10</v>
      </c>
      <c r="S82" s="100">
        <v>5087.9999999999991</v>
      </c>
      <c r="T82" s="100">
        <v>9</v>
      </c>
      <c r="U82" s="100">
        <v>4579.1999999999989</v>
      </c>
      <c r="V82" s="100">
        <v>7</v>
      </c>
      <c r="W82" s="100">
        <v>3561.5999999999995</v>
      </c>
      <c r="X82" s="100">
        <v>13</v>
      </c>
      <c r="Y82" s="100">
        <v>6614.3999999999987</v>
      </c>
      <c r="Z82" s="100">
        <v>13</v>
      </c>
      <c r="AA82" s="100">
        <v>6614.3999999999987</v>
      </c>
      <c r="AB82" s="100">
        <v>11.769602692009407</v>
      </c>
      <c r="AC82" s="100">
        <v>5988.3738496943852</v>
      </c>
      <c r="AD82" s="100">
        <v>3.1954525318961999</v>
      </c>
      <c r="AE82" s="100">
        <v>1625.8462482287862</v>
      </c>
      <c r="AF82" s="100">
        <v>8</v>
      </c>
      <c r="AG82" s="100">
        <v>4070.3999999999992</v>
      </c>
      <c r="AH82" s="100">
        <v>9.6284464236982714</v>
      </c>
      <c r="AI82" s="100">
        <v>4898.9535403776799</v>
      </c>
      <c r="AJ82" s="100">
        <v>10</v>
      </c>
      <c r="AK82" s="100">
        <v>5087.9999999999991</v>
      </c>
      <c r="AL82" s="100">
        <v>9.7843792080576311</v>
      </c>
      <c r="AM82" s="100">
        <v>4978.2921410597219</v>
      </c>
      <c r="AN82" s="100">
        <v>8</v>
      </c>
      <c r="AO82" s="100">
        <v>4070.3999999999992</v>
      </c>
      <c r="AP82" s="100">
        <v>14</v>
      </c>
      <c r="AQ82" s="100">
        <v>7123.1999999999989</v>
      </c>
      <c r="AR82" s="100">
        <v>8.9631249710128476</v>
      </c>
      <c r="AS82" s="100">
        <v>4560.4379852513357</v>
      </c>
      <c r="AT82" s="100">
        <v>6.2658033417802184</v>
      </c>
      <c r="AU82" s="100">
        <v>3188.0407402977744</v>
      </c>
      <c r="AV82" s="100">
        <v>13</v>
      </c>
      <c r="AW82" s="100">
        <v>6614.3999999999987</v>
      </c>
      <c r="AX82" s="100">
        <v>7.2113168945650639</v>
      </c>
      <c r="AY82" s="100">
        <v>3669.1180359547038</v>
      </c>
      <c r="AZ82" s="100">
        <v>1.184897287011887</v>
      </c>
      <c r="BA82" s="100">
        <v>602.875739631648</v>
      </c>
      <c r="BB82" s="100">
        <v>10.73047990273796</v>
      </c>
      <c r="BC82" s="100">
        <v>5459.6681745130727</v>
      </c>
      <c r="BD82" s="100">
        <v>9.4492060613166018</v>
      </c>
      <c r="BE82" s="100">
        <v>4807.7560439978861</v>
      </c>
      <c r="BF82" s="100">
        <v>9.0619435178200192</v>
      </c>
      <c r="BG82" s="100">
        <v>4610.7168618668247</v>
      </c>
      <c r="BH82" s="100">
        <v>10.122444762851591</v>
      </c>
      <c r="BI82" s="100">
        <v>5150.2998953388887</v>
      </c>
      <c r="BJ82" s="100">
        <v>11</v>
      </c>
      <c r="BK82" s="100">
        <v>5596.7999999999993</v>
      </c>
      <c r="BL82" s="100">
        <v>0.25507323281763089</v>
      </c>
      <c r="BM82" s="100">
        <v>129.78126085761056</v>
      </c>
      <c r="BN82" s="100">
        <v>12</v>
      </c>
      <c r="BO82" s="100">
        <v>6105.5999999999985</v>
      </c>
      <c r="BP82" s="100">
        <v>10</v>
      </c>
      <c r="BQ82" s="100">
        <v>5087.9999999999991</v>
      </c>
      <c r="BR82" s="100">
        <v>8</v>
      </c>
      <c r="BS82" s="100">
        <v>4070.3999999999992</v>
      </c>
      <c r="BT82" s="100">
        <v>13</v>
      </c>
      <c r="BU82" s="100">
        <v>6614.3999999999987</v>
      </c>
      <c r="BV82" s="100">
        <v>11.304251733538383</v>
      </c>
      <c r="BW82" s="100">
        <v>5751.6032820243281</v>
      </c>
      <c r="BX82" s="100">
        <v>3.5042919570336162</v>
      </c>
      <c r="BY82" s="100">
        <v>1782.9837477387036</v>
      </c>
      <c r="BZ82" s="100">
        <v>3.6769336875685235</v>
      </c>
      <c r="CA82" s="100">
        <v>1870.8238602348645</v>
      </c>
      <c r="CB82" s="100">
        <v>6.1889203645771067</v>
      </c>
      <c r="CC82" s="100">
        <v>3148.922681496831</v>
      </c>
      <c r="CD82" s="100">
        <v>3.6184089973058522</v>
      </c>
      <c r="CE82" s="100">
        <v>1841.0464978292173</v>
      </c>
      <c r="CF82" s="100">
        <v>8.3286463726392732</v>
      </c>
      <c r="CG82" s="100">
        <v>4237.6152743988614</v>
      </c>
      <c r="CH82" s="100">
        <v>3.6587815942180919</v>
      </c>
      <c r="CI82" s="100">
        <v>1861.5880751381649</v>
      </c>
      <c r="CJ82" s="100">
        <v>9.1909641200416807</v>
      </c>
      <c r="CK82" s="100">
        <v>4676.3625442772063</v>
      </c>
      <c r="CL82" s="100">
        <v>9</v>
      </c>
      <c r="CM82" s="100">
        <v>4579.1999999999989</v>
      </c>
      <c r="CN82" s="100">
        <v>12</v>
      </c>
      <c r="CO82" s="100">
        <v>6105.5999999999985</v>
      </c>
      <c r="CP82" s="100">
        <v>5.5913304342009633</v>
      </c>
      <c r="CQ82" s="100">
        <v>2844.8689249214494</v>
      </c>
      <c r="CR82" s="100">
        <v>11</v>
      </c>
      <c r="CS82" s="100">
        <v>5596.7999999999993</v>
      </c>
      <c r="CT82" s="100">
        <v>9</v>
      </c>
      <c r="CU82" s="100">
        <v>4579.1999999999989</v>
      </c>
    </row>
    <row r="83" spans="2:99">
      <c r="C83" s="99" t="s">
        <v>249</v>
      </c>
      <c r="D83" s="100">
        <v>8</v>
      </c>
      <c r="E83" s="100">
        <v>6883.2</v>
      </c>
      <c r="F83" s="100">
        <v>7.4791680992758005</v>
      </c>
      <c r="G83" s="100">
        <v>6435.0762326168988</v>
      </c>
      <c r="H83" s="100">
        <v>8.6240941821357051</v>
      </c>
      <c r="I83" s="100">
        <v>7420.1706343095602</v>
      </c>
      <c r="J83" s="100">
        <v>10.341788012774023</v>
      </c>
      <c r="K83" s="100">
        <v>8898.0744061907699</v>
      </c>
      <c r="L83" s="100">
        <v>8.666437037987512</v>
      </c>
      <c r="M83" s="100">
        <v>7456.6024274844549</v>
      </c>
      <c r="N83" s="100">
        <v>4.6509962178095821</v>
      </c>
      <c r="O83" s="100">
        <v>4001.7171458033645</v>
      </c>
      <c r="P83" s="100">
        <v>8</v>
      </c>
      <c r="Q83" s="100">
        <v>6883.2</v>
      </c>
      <c r="R83" s="100">
        <v>11</v>
      </c>
      <c r="S83" s="100">
        <v>9464.4</v>
      </c>
      <c r="T83" s="100">
        <v>10</v>
      </c>
      <c r="U83" s="100">
        <v>8604</v>
      </c>
      <c r="V83" s="100">
        <v>8</v>
      </c>
      <c r="W83" s="100">
        <v>6883.2</v>
      </c>
      <c r="X83" s="100">
        <v>14</v>
      </c>
      <c r="Y83" s="100">
        <v>12045.6</v>
      </c>
      <c r="Z83" s="100">
        <v>13</v>
      </c>
      <c r="AA83" s="100">
        <v>11185.199999999999</v>
      </c>
      <c r="AB83" s="100">
        <v>10.200322333074819</v>
      </c>
      <c r="AC83" s="100">
        <v>8776.3573353775737</v>
      </c>
      <c r="AD83" s="100">
        <v>3.4412565728112918</v>
      </c>
      <c r="AE83" s="100">
        <v>2960.8571552468352</v>
      </c>
      <c r="AF83" s="100">
        <v>8</v>
      </c>
      <c r="AG83" s="100">
        <v>6883.2</v>
      </c>
      <c r="AH83" s="100">
        <v>10.369096148598139</v>
      </c>
      <c r="AI83" s="100">
        <v>8921.5703262538391</v>
      </c>
      <c r="AJ83" s="100">
        <v>11</v>
      </c>
      <c r="AK83" s="100">
        <v>9464.4</v>
      </c>
      <c r="AL83" s="100">
        <v>9.7843792080576311</v>
      </c>
      <c r="AM83" s="100">
        <v>8418.4798706127858</v>
      </c>
      <c r="AN83" s="100">
        <v>9</v>
      </c>
      <c r="AO83" s="100">
        <v>7743.5999999999995</v>
      </c>
      <c r="AP83" s="100">
        <v>14</v>
      </c>
      <c r="AQ83" s="100">
        <v>12045.6</v>
      </c>
      <c r="AR83" s="100">
        <v>10.342067274245592</v>
      </c>
      <c r="AS83" s="100">
        <v>8898.3146827609071</v>
      </c>
      <c r="AT83" s="100">
        <v>5.7436530632985336</v>
      </c>
      <c r="AU83" s="100">
        <v>4941.8390956620578</v>
      </c>
      <c r="AV83" s="100">
        <v>13</v>
      </c>
      <c r="AW83" s="100">
        <v>11185.199999999999</v>
      </c>
      <c r="AX83" s="100">
        <v>7.8668911577073422</v>
      </c>
      <c r="AY83" s="100">
        <v>6768.6731520913972</v>
      </c>
      <c r="AZ83" s="100">
        <v>1.0937513418571263</v>
      </c>
      <c r="BA83" s="100">
        <v>941.0636545338715</v>
      </c>
      <c r="BB83" s="100">
        <v>12.518893219860955</v>
      </c>
      <c r="BC83" s="100">
        <v>10771.255726368365</v>
      </c>
      <c r="BD83" s="100">
        <v>10.176068066033263</v>
      </c>
      <c r="BE83" s="100">
        <v>8755.4889640150195</v>
      </c>
      <c r="BF83" s="100">
        <v>9.0619435178200192</v>
      </c>
      <c r="BG83" s="100">
        <v>7796.8962027323441</v>
      </c>
      <c r="BH83" s="100">
        <v>9.4476151119948177</v>
      </c>
      <c r="BI83" s="100">
        <v>8128.7280423603406</v>
      </c>
      <c r="BJ83" s="100">
        <v>10</v>
      </c>
      <c r="BK83" s="100">
        <v>8604</v>
      </c>
      <c r="BL83" s="100">
        <v>0.25507323281763089</v>
      </c>
      <c r="BM83" s="100">
        <v>219.46500951628963</v>
      </c>
      <c r="BN83" s="100">
        <v>12</v>
      </c>
      <c r="BO83" s="100">
        <v>10324.799999999999</v>
      </c>
      <c r="BP83" s="100">
        <v>8</v>
      </c>
      <c r="BQ83" s="100">
        <v>6883.2</v>
      </c>
      <c r="BR83" s="100">
        <v>9</v>
      </c>
      <c r="BS83" s="100">
        <v>7743.5999999999995</v>
      </c>
      <c r="BT83" s="100">
        <v>12</v>
      </c>
      <c r="BU83" s="100">
        <v>10324.799999999999</v>
      </c>
      <c r="BV83" s="100">
        <v>11.304251733538383</v>
      </c>
      <c r="BW83" s="100">
        <v>9726.1781915364245</v>
      </c>
      <c r="BX83" s="100">
        <v>3.7545985253931602</v>
      </c>
      <c r="BY83" s="100">
        <v>3230.4565712482749</v>
      </c>
      <c r="BZ83" s="100">
        <v>3.3940926346786373</v>
      </c>
      <c r="CA83" s="100">
        <v>2920.2773028774996</v>
      </c>
      <c r="CB83" s="100">
        <v>6.1889203645771067</v>
      </c>
      <c r="CC83" s="100">
        <v>5324.9470816821422</v>
      </c>
      <c r="CD83" s="100">
        <v>3.6184089973058522</v>
      </c>
      <c r="CE83" s="100">
        <v>3113.2791012819553</v>
      </c>
      <c r="CF83" s="100">
        <v>8.3286463726392732</v>
      </c>
      <c r="CG83" s="100">
        <v>7165.9673390188309</v>
      </c>
      <c r="CH83" s="100">
        <v>3.2522503059716374</v>
      </c>
      <c r="CI83" s="100">
        <v>2798.2361632579969</v>
      </c>
      <c r="CJ83" s="100">
        <v>9.8474615571875148</v>
      </c>
      <c r="CK83" s="100">
        <v>8472.7559238041376</v>
      </c>
      <c r="CL83" s="100">
        <v>9</v>
      </c>
      <c r="CM83" s="100">
        <v>7743.5999999999995</v>
      </c>
      <c r="CN83" s="100">
        <v>12</v>
      </c>
      <c r="CO83" s="100">
        <v>10324.799999999999</v>
      </c>
      <c r="CP83" s="100">
        <v>5.5913304342009633</v>
      </c>
      <c r="CQ83" s="100">
        <v>4810.7807055865087</v>
      </c>
      <c r="CR83" s="100">
        <v>10</v>
      </c>
      <c r="CS83" s="100">
        <v>8604</v>
      </c>
      <c r="CT83" s="100">
        <v>7</v>
      </c>
      <c r="CU83" s="100">
        <v>6022.8</v>
      </c>
    </row>
    <row r="84" spans="2:99">
      <c r="C84" s="99" t="s">
        <v>250</v>
      </c>
      <c r="D84" s="100">
        <v>9</v>
      </c>
      <c r="E84" s="100">
        <v>7030.7999999999993</v>
      </c>
      <c r="F84" s="100">
        <v>8.1024321075487826</v>
      </c>
      <c r="G84" s="100">
        <v>6329.6199624171086</v>
      </c>
      <c r="H84" s="100">
        <v>8.6240941821357051</v>
      </c>
      <c r="I84" s="100">
        <v>6737.1423750844124</v>
      </c>
      <c r="J84" s="100">
        <v>10.341788012774023</v>
      </c>
      <c r="K84" s="100">
        <v>8079.004795579066</v>
      </c>
      <c r="L84" s="100">
        <v>8.666437037987512</v>
      </c>
      <c r="M84" s="100">
        <v>6770.2206140758435</v>
      </c>
      <c r="N84" s="100">
        <v>5.2323707450357801</v>
      </c>
      <c r="O84" s="100">
        <v>4087.5280260219511</v>
      </c>
      <c r="P84" s="100">
        <v>9</v>
      </c>
      <c r="Q84" s="100">
        <v>7030.7999999999993</v>
      </c>
      <c r="R84" s="100">
        <v>10</v>
      </c>
      <c r="S84" s="100">
        <v>7811.9999999999991</v>
      </c>
      <c r="T84" s="100">
        <v>9</v>
      </c>
      <c r="U84" s="100">
        <v>7030.7999999999993</v>
      </c>
      <c r="V84" s="100">
        <v>8</v>
      </c>
      <c r="W84" s="100">
        <v>6249.5999999999995</v>
      </c>
      <c r="X84" s="100">
        <v>14</v>
      </c>
      <c r="Y84" s="100">
        <v>10936.8</v>
      </c>
      <c r="Z84" s="100">
        <v>11</v>
      </c>
      <c r="AA84" s="100">
        <v>8593.1999999999989</v>
      </c>
      <c r="AB84" s="100">
        <v>10.200322333074819</v>
      </c>
      <c r="AC84" s="100">
        <v>7968.4918065980482</v>
      </c>
      <c r="AD84" s="100">
        <v>3.4412565728112918</v>
      </c>
      <c r="AE84" s="100">
        <v>2688.3096346801808</v>
      </c>
      <c r="AF84" s="100">
        <v>8</v>
      </c>
      <c r="AG84" s="100">
        <v>6249.5999999999995</v>
      </c>
      <c r="AH84" s="100">
        <v>8.8877966987984056</v>
      </c>
      <c r="AI84" s="100">
        <v>6943.1467811013135</v>
      </c>
      <c r="AJ84" s="100">
        <v>11</v>
      </c>
      <c r="AK84" s="100">
        <v>8593.1999999999989</v>
      </c>
      <c r="AL84" s="100">
        <v>9.1320872608537886</v>
      </c>
      <c r="AM84" s="100">
        <v>7133.9865681789788</v>
      </c>
      <c r="AN84" s="100">
        <v>9</v>
      </c>
      <c r="AO84" s="100">
        <v>7030.7999999999993</v>
      </c>
      <c r="AP84" s="100">
        <v>13</v>
      </c>
      <c r="AQ84" s="100">
        <v>10155.599999999999</v>
      </c>
      <c r="AR84" s="100">
        <v>10.342067274245592</v>
      </c>
      <c r="AS84" s="100">
        <v>8079.2229546406552</v>
      </c>
      <c r="AT84" s="100">
        <v>6.7879536202619031</v>
      </c>
      <c r="AU84" s="100">
        <v>5302.7493681485985</v>
      </c>
      <c r="AV84" s="100">
        <v>11</v>
      </c>
      <c r="AW84" s="100">
        <v>8593.1999999999989</v>
      </c>
      <c r="AX84" s="100">
        <v>7.2113168945650639</v>
      </c>
      <c r="AY84" s="100">
        <v>5633.4807580342276</v>
      </c>
      <c r="AZ84" s="100">
        <v>1.2760432321666475</v>
      </c>
      <c r="BA84" s="100">
        <v>996.8449729685849</v>
      </c>
      <c r="BB84" s="100">
        <v>12.518893219860955</v>
      </c>
      <c r="BC84" s="100">
        <v>9779.7593833553765</v>
      </c>
      <c r="BD84" s="100">
        <v>9.4492060613166018</v>
      </c>
      <c r="BE84" s="100">
        <v>7381.7197751005288</v>
      </c>
      <c r="BF84" s="100">
        <v>9.7590160961138679</v>
      </c>
      <c r="BG84" s="100">
        <v>7623.7433742841531</v>
      </c>
      <c r="BH84" s="100">
        <v>10.122444762851591</v>
      </c>
      <c r="BI84" s="100">
        <v>7907.6538487396629</v>
      </c>
      <c r="BJ84" s="100">
        <v>10</v>
      </c>
      <c r="BK84" s="100">
        <v>7811.9999999999991</v>
      </c>
      <c r="BL84" s="100">
        <v>0.25507323281763089</v>
      </c>
      <c r="BM84" s="100">
        <v>199.26320947713324</v>
      </c>
      <c r="BN84" s="100">
        <v>11</v>
      </c>
      <c r="BO84" s="100">
        <v>8593.1999999999989</v>
      </c>
      <c r="BP84" s="100">
        <v>8</v>
      </c>
      <c r="BQ84" s="100">
        <v>6249.5999999999995</v>
      </c>
      <c r="BR84" s="100">
        <v>9</v>
      </c>
      <c r="BS84" s="100">
        <v>7030.7999999999993</v>
      </c>
      <c r="BT84" s="100">
        <v>12</v>
      </c>
      <c r="BU84" s="100">
        <v>9374.4</v>
      </c>
      <c r="BV84" s="100">
        <v>10.496805181142784</v>
      </c>
      <c r="BW84" s="100">
        <v>8200.1042075087425</v>
      </c>
      <c r="BX84" s="100">
        <v>3.2539853886740722</v>
      </c>
      <c r="BY84" s="100">
        <v>2542.013385632185</v>
      </c>
      <c r="BZ84" s="100">
        <v>3.3940926346786373</v>
      </c>
      <c r="CA84" s="100">
        <v>2651.4651662109513</v>
      </c>
      <c r="CB84" s="100">
        <v>6.8078124010348171</v>
      </c>
      <c r="CC84" s="100">
        <v>5318.2630476883987</v>
      </c>
      <c r="CD84" s="100">
        <v>3.289462724823502</v>
      </c>
      <c r="CE84" s="100">
        <v>2569.7282806321195</v>
      </c>
      <c r="CF84" s="100">
        <v>8.3286463726392732</v>
      </c>
      <c r="CG84" s="100">
        <v>6506.3385463057994</v>
      </c>
      <c r="CH84" s="100">
        <v>3.2522503059716374</v>
      </c>
      <c r="CI84" s="100">
        <v>2540.6579390250431</v>
      </c>
      <c r="CJ84" s="100">
        <v>10.503958994333351</v>
      </c>
      <c r="CK84" s="100">
        <v>8205.6927663732131</v>
      </c>
      <c r="CL84" s="100">
        <v>9</v>
      </c>
      <c r="CM84" s="100">
        <v>7030.7999999999993</v>
      </c>
      <c r="CN84" s="100">
        <v>11</v>
      </c>
      <c r="CO84" s="100">
        <v>8593.1999999999989</v>
      </c>
      <c r="CP84" s="100">
        <v>6.2902467384760845</v>
      </c>
      <c r="CQ84" s="100">
        <v>4913.9407520975165</v>
      </c>
      <c r="CR84" s="100">
        <v>10</v>
      </c>
      <c r="CS84" s="100">
        <v>7811.9999999999991</v>
      </c>
      <c r="CT84" s="100">
        <v>7</v>
      </c>
      <c r="CU84" s="100">
        <v>5468.4</v>
      </c>
    </row>
    <row r="85" spans="2:99">
      <c r="C85" s="99" t="s">
        <v>251</v>
      </c>
      <c r="D85" s="100">
        <v>9</v>
      </c>
      <c r="E85" s="100">
        <v>1350</v>
      </c>
      <c r="F85" s="100">
        <v>7.4791680992758005</v>
      </c>
      <c r="G85" s="100">
        <v>1121.87521489137</v>
      </c>
      <c r="H85" s="100">
        <v>9.2874860422999905</v>
      </c>
      <c r="I85" s="100">
        <v>1393.1229063449987</v>
      </c>
      <c r="J85" s="100">
        <v>11.281950559389843</v>
      </c>
      <c r="K85" s="100">
        <v>1692.2925839084764</v>
      </c>
      <c r="L85" s="100">
        <v>8.666437037987512</v>
      </c>
      <c r="M85" s="100">
        <v>1299.9655556981268</v>
      </c>
      <c r="N85" s="100">
        <v>4.6509962178095821</v>
      </c>
      <c r="O85" s="100">
        <v>697.64943267143735</v>
      </c>
      <c r="P85" s="100">
        <v>10</v>
      </c>
      <c r="Q85" s="100">
        <v>1500</v>
      </c>
      <c r="R85" s="100">
        <v>11</v>
      </c>
      <c r="S85" s="100">
        <v>1650</v>
      </c>
      <c r="T85" s="100">
        <v>10</v>
      </c>
      <c r="U85" s="100">
        <v>1500</v>
      </c>
      <c r="V85" s="100">
        <v>8</v>
      </c>
      <c r="W85" s="100">
        <v>1200</v>
      </c>
      <c r="X85" s="100">
        <v>14</v>
      </c>
      <c r="Y85" s="100">
        <v>2100</v>
      </c>
      <c r="Z85" s="100">
        <v>13</v>
      </c>
      <c r="AA85" s="100">
        <v>1950</v>
      </c>
      <c r="AB85" s="100">
        <v>11.769602692009407</v>
      </c>
      <c r="AC85" s="100">
        <v>1765.4404038014111</v>
      </c>
      <c r="AD85" s="100">
        <v>3.4412565728112918</v>
      </c>
      <c r="AE85" s="100">
        <v>516.18848592169377</v>
      </c>
      <c r="AF85" s="100">
        <v>8</v>
      </c>
      <c r="AG85" s="100">
        <v>1200</v>
      </c>
      <c r="AH85" s="100">
        <v>9.6284464236982714</v>
      </c>
      <c r="AI85" s="100">
        <v>1444.2669635547406</v>
      </c>
      <c r="AJ85" s="100">
        <v>11</v>
      </c>
      <c r="AK85" s="100">
        <v>1650</v>
      </c>
      <c r="AL85" s="100">
        <v>9.1320872608537886</v>
      </c>
      <c r="AM85" s="100">
        <v>1369.8130891280682</v>
      </c>
      <c r="AN85" s="100">
        <v>10</v>
      </c>
      <c r="AO85" s="100">
        <v>1500</v>
      </c>
      <c r="AP85" s="100">
        <v>13</v>
      </c>
      <c r="AQ85" s="100">
        <v>1950</v>
      </c>
      <c r="AR85" s="100">
        <v>8.9631249710128476</v>
      </c>
      <c r="AS85" s="100">
        <v>1344.4687456519271</v>
      </c>
      <c r="AT85" s="100">
        <v>6.2658033417802184</v>
      </c>
      <c r="AU85" s="100">
        <v>939.87050126703275</v>
      </c>
      <c r="AV85" s="100">
        <v>11</v>
      </c>
      <c r="AW85" s="100">
        <v>1650</v>
      </c>
      <c r="AX85" s="100">
        <v>7.8668911577073422</v>
      </c>
      <c r="AY85" s="100">
        <v>1180.0336736561014</v>
      </c>
      <c r="AZ85" s="100">
        <v>1.367189177321408</v>
      </c>
      <c r="BA85" s="100">
        <v>205.07837659821121</v>
      </c>
      <c r="BB85" s="100">
        <v>12.518893219860955</v>
      </c>
      <c r="BC85" s="100">
        <v>1877.8339829791432</v>
      </c>
      <c r="BD85" s="100">
        <v>9.4492060613166018</v>
      </c>
      <c r="BE85" s="100">
        <v>1417.3809091974904</v>
      </c>
      <c r="BF85" s="100">
        <v>9.7590160961138679</v>
      </c>
      <c r="BG85" s="100">
        <v>1463.8524144170801</v>
      </c>
      <c r="BH85" s="100">
        <v>10.122444762851591</v>
      </c>
      <c r="BI85" s="100">
        <v>1518.3667144277388</v>
      </c>
      <c r="BJ85" s="100">
        <v>11</v>
      </c>
      <c r="BK85" s="100">
        <v>1650</v>
      </c>
      <c r="BL85" s="100">
        <v>0.27469425072667947</v>
      </c>
      <c r="BM85" s="100">
        <v>41.204137609001918</v>
      </c>
      <c r="BN85" s="100">
        <v>13</v>
      </c>
      <c r="BO85" s="100">
        <v>1950</v>
      </c>
      <c r="BP85" s="100">
        <v>10</v>
      </c>
      <c r="BQ85" s="100">
        <v>1500</v>
      </c>
      <c r="BR85" s="100">
        <v>9</v>
      </c>
      <c r="BS85" s="100">
        <v>1350</v>
      </c>
      <c r="BT85" s="100">
        <v>13</v>
      </c>
      <c r="BU85" s="100">
        <v>1950</v>
      </c>
      <c r="BV85" s="100">
        <v>12.111698285933981</v>
      </c>
      <c r="BW85" s="100">
        <v>1816.7547428900971</v>
      </c>
      <c r="BX85" s="100">
        <v>3.7545985253931602</v>
      </c>
      <c r="BY85" s="100">
        <v>563.18977880897398</v>
      </c>
      <c r="BZ85" s="100">
        <v>3.95977474045841</v>
      </c>
      <c r="CA85" s="100">
        <v>593.96621106876148</v>
      </c>
      <c r="CB85" s="100">
        <v>7.4267044374925293</v>
      </c>
      <c r="CC85" s="100">
        <v>1114.0056656238794</v>
      </c>
      <c r="CD85" s="100">
        <v>3.6184089973058522</v>
      </c>
      <c r="CE85" s="100">
        <v>542.76134959587785</v>
      </c>
      <c r="CF85" s="100">
        <v>8.9235496849706486</v>
      </c>
      <c r="CG85" s="100">
        <v>1338.5324527455973</v>
      </c>
      <c r="CH85" s="100">
        <v>3.6587815942180919</v>
      </c>
      <c r="CI85" s="100">
        <v>548.81723913271378</v>
      </c>
      <c r="CJ85" s="100">
        <v>9.8474615571875148</v>
      </c>
      <c r="CK85" s="100">
        <v>1477.1192335781273</v>
      </c>
      <c r="CL85" s="100">
        <v>11</v>
      </c>
      <c r="CM85" s="100">
        <v>1650</v>
      </c>
      <c r="CN85" s="100">
        <v>11</v>
      </c>
      <c r="CO85" s="100">
        <v>1650</v>
      </c>
      <c r="CP85" s="100">
        <v>5.5913304342009633</v>
      </c>
      <c r="CQ85" s="100">
        <v>838.69956513014449</v>
      </c>
      <c r="CR85" s="100">
        <v>11</v>
      </c>
      <c r="CS85" s="100">
        <v>1650</v>
      </c>
      <c r="CT85" s="100">
        <v>8</v>
      </c>
      <c r="CU85" s="100">
        <v>1200</v>
      </c>
    </row>
    <row r="86" spans="2:99">
      <c r="C86" s="99" t="s">
        <v>252</v>
      </c>
      <c r="D86" s="100">
        <v>9</v>
      </c>
      <c r="E86" s="100">
        <v>4860</v>
      </c>
      <c r="F86" s="100">
        <v>8.7256961158217674</v>
      </c>
      <c r="G86" s="100">
        <v>4711.8759025437548</v>
      </c>
      <c r="H86" s="100">
        <v>9.2874860422999905</v>
      </c>
      <c r="I86" s="100">
        <v>5015.2424628419949</v>
      </c>
      <c r="J86" s="100">
        <v>10.341788012774023</v>
      </c>
      <c r="K86" s="100">
        <v>5584.5655268979726</v>
      </c>
      <c r="L86" s="100">
        <v>8.0474058209884038</v>
      </c>
      <c r="M86" s="100">
        <v>4345.5991433337376</v>
      </c>
      <c r="N86" s="100">
        <v>4.6509962178095821</v>
      </c>
      <c r="O86" s="100">
        <v>2511.5379576171745</v>
      </c>
      <c r="P86" s="100">
        <v>9</v>
      </c>
      <c r="Q86" s="100">
        <v>4860</v>
      </c>
      <c r="R86" s="100">
        <v>12</v>
      </c>
      <c r="S86" s="100">
        <v>6480</v>
      </c>
      <c r="T86" s="100">
        <v>10</v>
      </c>
      <c r="U86" s="100">
        <v>5400</v>
      </c>
      <c r="V86" s="100">
        <v>8</v>
      </c>
      <c r="W86" s="100">
        <v>4320</v>
      </c>
      <c r="X86" s="100">
        <v>15</v>
      </c>
      <c r="Y86" s="100">
        <v>8100</v>
      </c>
      <c r="Z86" s="100">
        <v>12</v>
      </c>
      <c r="AA86" s="100">
        <v>6480</v>
      </c>
      <c r="AB86" s="100">
        <v>10.984962512542113</v>
      </c>
      <c r="AC86" s="100">
        <v>5931.8797567727406</v>
      </c>
      <c r="AD86" s="100">
        <v>3.6870606137263842</v>
      </c>
      <c r="AE86" s="100">
        <v>1991.0127314122474</v>
      </c>
      <c r="AF86" s="100">
        <v>8</v>
      </c>
      <c r="AG86" s="100">
        <v>4320</v>
      </c>
      <c r="AH86" s="100">
        <v>9.6284464236982714</v>
      </c>
      <c r="AI86" s="100">
        <v>5199.3610687970668</v>
      </c>
      <c r="AJ86" s="100">
        <v>12</v>
      </c>
      <c r="AK86" s="100">
        <v>6480</v>
      </c>
      <c r="AL86" s="100">
        <v>10.436671155261473</v>
      </c>
      <c r="AM86" s="100">
        <v>5635.8024238411954</v>
      </c>
      <c r="AN86" s="100">
        <v>9</v>
      </c>
      <c r="AO86" s="100">
        <v>4860</v>
      </c>
      <c r="AP86" s="100">
        <v>14</v>
      </c>
      <c r="AQ86" s="100">
        <v>7560</v>
      </c>
      <c r="AR86" s="100">
        <v>11.031538425861966</v>
      </c>
      <c r="AS86" s="100">
        <v>5957.0307499654618</v>
      </c>
      <c r="AT86" s="100">
        <v>7.3101038987435887</v>
      </c>
      <c r="AU86" s="100">
        <v>3947.456105321538</v>
      </c>
      <c r="AV86" s="100">
        <v>11</v>
      </c>
      <c r="AW86" s="100">
        <v>5940</v>
      </c>
      <c r="AX86" s="100">
        <v>7.2113168945650639</v>
      </c>
      <c r="AY86" s="100">
        <v>3894.1111230651345</v>
      </c>
      <c r="AZ86" s="100">
        <v>1.367189177321408</v>
      </c>
      <c r="BA86" s="100">
        <v>738.28215575356035</v>
      </c>
      <c r="BB86" s="100">
        <v>11.624686561299457</v>
      </c>
      <c r="BC86" s="100">
        <v>6277.3307431017065</v>
      </c>
      <c r="BD86" s="100">
        <v>10.176068066033263</v>
      </c>
      <c r="BE86" s="100">
        <v>5495.0767556579622</v>
      </c>
      <c r="BF86" s="100">
        <v>10.456088674407715</v>
      </c>
      <c r="BG86" s="100">
        <v>5646.2878841801657</v>
      </c>
      <c r="BH86" s="100">
        <v>8.772785461138044</v>
      </c>
      <c r="BI86" s="100">
        <v>4737.3041490145433</v>
      </c>
      <c r="BJ86" s="100">
        <v>10</v>
      </c>
      <c r="BK86" s="100">
        <v>5400</v>
      </c>
      <c r="BL86" s="100">
        <v>0.27469425072667947</v>
      </c>
      <c r="BM86" s="100">
        <v>148.33489539240691</v>
      </c>
      <c r="BN86" s="100">
        <v>13</v>
      </c>
      <c r="BO86" s="100">
        <v>7020</v>
      </c>
      <c r="BP86" s="100">
        <v>9</v>
      </c>
      <c r="BQ86" s="100">
        <v>4860</v>
      </c>
      <c r="BR86" s="100">
        <v>8</v>
      </c>
      <c r="BS86" s="100">
        <v>4320</v>
      </c>
      <c r="BT86" s="100">
        <v>14</v>
      </c>
      <c r="BU86" s="100">
        <v>7560</v>
      </c>
      <c r="BV86" s="100">
        <v>12.111698285933981</v>
      </c>
      <c r="BW86" s="100">
        <v>6540.31707440435</v>
      </c>
      <c r="BX86" s="100">
        <v>3.5042919570336162</v>
      </c>
      <c r="BY86" s="100">
        <v>1892.3176567981527</v>
      </c>
      <c r="BZ86" s="100">
        <v>3.3940926346786373</v>
      </c>
      <c r="CA86" s="100">
        <v>1832.8100227264642</v>
      </c>
      <c r="CB86" s="100">
        <v>6.1889203645771067</v>
      </c>
      <c r="CC86" s="100">
        <v>3342.0169968716377</v>
      </c>
      <c r="CD86" s="100">
        <v>3.289462724823502</v>
      </c>
      <c r="CE86" s="100">
        <v>1776.309871404691</v>
      </c>
      <c r="CF86" s="100">
        <v>8.3286463726392732</v>
      </c>
      <c r="CG86" s="100">
        <v>4497.4690412252075</v>
      </c>
      <c r="CH86" s="100">
        <v>3.6587815942180919</v>
      </c>
      <c r="CI86" s="100">
        <v>1975.7420608777695</v>
      </c>
      <c r="CJ86" s="100">
        <v>9.8474615571875148</v>
      </c>
      <c r="CK86" s="100">
        <v>5317.6292408812578</v>
      </c>
      <c r="CL86" s="100">
        <v>11</v>
      </c>
      <c r="CM86" s="100">
        <v>5940</v>
      </c>
      <c r="CN86" s="100">
        <v>11</v>
      </c>
      <c r="CO86" s="100">
        <v>5940</v>
      </c>
      <c r="CP86" s="100">
        <v>4.892414129925843</v>
      </c>
      <c r="CQ86" s="100">
        <v>2641.9036301599554</v>
      </c>
      <c r="CR86" s="100">
        <v>9</v>
      </c>
      <c r="CS86" s="100">
        <v>4860</v>
      </c>
      <c r="CT86" s="100">
        <v>8</v>
      </c>
      <c r="CU86" s="100">
        <v>4320</v>
      </c>
    </row>
    <row r="87" spans="2:99">
      <c r="B87" s="99" t="s">
        <v>131</v>
      </c>
      <c r="C87" s="99" t="s">
        <v>253</v>
      </c>
      <c r="D87" s="100">
        <v>8</v>
      </c>
      <c r="E87" s="100">
        <v>8592</v>
      </c>
      <c r="F87" s="100">
        <v>7</v>
      </c>
      <c r="G87" s="100">
        <v>7518</v>
      </c>
      <c r="H87" s="100">
        <v>8</v>
      </c>
      <c r="I87" s="100">
        <v>8592</v>
      </c>
      <c r="J87" s="100">
        <v>5</v>
      </c>
      <c r="K87" s="100">
        <v>5370</v>
      </c>
      <c r="L87" s="100">
        <v>7</v>
      </c>
      <c r="M87" s="100">
        <v>7518</v>
      </c>
      <c r="N87" s="100">
        <v>7.584634003079632</v>
      </c>
      <c r="O87" s="100">
        <v>8145.8969193075245</v>
      </c>
      <c r="P87" s="100">
        <v>5.7243652912697396</v>
      </c>
      <c r="Q87" s="100">
        <v>6147.9683228237</v>
      </c>
      <c r="R87" s="100">
        <v>8.1368375699543538</v>
      </c>
      <c r="S87" s="100">
        <v>8738.9635501309767</v>
      </c>
      <c r="T87" s="100">
        <v>6.401748517403326</v>
      </c>
      <c r="U87" s="100">
        <v>6875.4779076911718</v>
      </c>
      <c r="V87" s="100">
        <v>6</v>
      </c>
      <c r="W87" s="100">
        <v>6444</v>
      </c>
      <c r="X87" s="100">
        <v>7.8254853541283209</v>
      </c>
      <c r="Y87" s="100">
        <v>8404.5712703338158</v>
      </c>
      <c r="Z87" s="100">
        <v>2.2953018694890917</v>
      </c>
      <c r="AA87" s="100">
        <v>2465.1542078312846</v>
      </c>
      <c r="AB87" s="100">
        <v>11</v>
      </c>
      <c r="AC87" s="100">
        <v>11814</v>
      </c>
      <c r="AD87" s="100">
        <v>2.7542871537699529</v>
      </c>
      <c r="AE87" s="100">
        <v>2958.1044031489296</v>
      </c>
      <c r="AF87" s="100">
        <v>11</v>
      </c>
      <c r="AG87" s="100">
        <v>11814</v>
      </c>
      <c r="AH87" s="100">
        <v>9.037651312286151</v>
      </c>
      <c r="AI87" s="100">
        <v>9706.4375093953258</v>
      </c>
      <c r="AJ87" s="100">
        <v>2.6546890222245279</v>
      </c>
      <c r="AK87" s="100">
        <v>2851.136009869143</v>
      </c>
      <c r="AL87" s="100">
        <v>5.5351086489406223</v>
      </c>
      <c r="AM87" s="100">
        <v>5944.7066889622283</v>
      </c>
      <c r="AN87" s="100">
        <v>5.5005608798711076</v>
      </c>
      <c r="AO87" s="100">
        <v>5907.6023849815692</v>
      </c>
      <c r="AP87" s="100">
        <v>8</v>
      </c>
      <c r="AQ87" s="100">
        <v>8592</v>
      </c>
      <c r="AR87" s="100">
        <v>5.1292920354163671</v>
      </c>
      <c r="AS87" s="100">
        <v>5508.8596460371782</v>
      </c>
      <c r="AT87" s="100">
        <v>9</v>
      </c>
      <c r="AU87" s="100">
        <v>9666</v>
      </c>
      <c r="AV87" s="100">
        <v>10</v>
      </c>
      <c r="AW87" s="100">
        <v>10740</v>
      </c>
      <c r="AX87" s="100">
        <v>9.1221865796705721</v>
      </c>
      <c r="AY87" s="100">
        <v>9797.2283865661939</v>
      </c>
      <c r="AZ87" s="100">
        <v>0</v>
      </c>
      <c r="BA87" s="100">
        <v>0</v>
      </c>
      <c r="BB87" s="100">
        <v>6.6773992258149715</v>
      </c>
      <c r="BC87" s="100">
        <v>7171.5267685252793</v>
      </c>
      <c r="BD87" s="100">
        <v>6</v>
      </c>
      <c r="BE87" s="100">
        <v>6444</v>
      </c>
      <c r="BF87" s="100">
        <v>6.5484831953044278</v>
      </c>
      <c r="BG87" s="100">
        <v>7033.0709517569558</v>
      </c>
      <c r="BH87" s="100">
        <v>0.43867623463247996</v>
      </c>
      <c r="BI87" s="100">
        <v>471.13827599528349</v>
      </c>
      <c r="BJ87" s="100">
        <v>5.8362682736128644</v>
      </c>
      <c r="BK87" s="100">
        <v>6268.1521258602161</v>
      </c>
      <c r="BL87" s="100">
        <v>6.5612705436268852</v>
      </c>
      <c r="BM87" s="100">
        <v>7046.8045638552749</v>
      </c>
      <c r="BN87" s="100">
        <v>10</v>
      </c>
      <c r="BO87" s="100">
        <v>10740</v>
      </c>
      <c r="BP87" s="100">
        <v>7</v>
      </c>
      <c r="BQ87" s="100">
        <v>7518</v>
      </c>
      <c r="BR87" s="100">
        <v>7</v>
      </c>
      <c r="BS87" s="100">
        <v>7518</v>
      </c>
      <c r="BT87" s="100">
        <v>6.7583252306951636</v>
      </c>
      <c r="BU87" s="100">
        <v>7258.4412977666052</v>
      </c>
      <c r="BV87" s="100">
        <v>4.9076169919810848</v>
      </c>
      <c r="BW87" s="100">
        <v>5270.7806493876851</v>
      </c>
      <c r="BX87" s="100">
        <v>2.3421668709041934</v>
      </c>
      <c r="BY87" s="100">
        <v>2515.4872193511037</v>
      </c>
      <c r="BZ87" s="100">
        <v>3.5121356299312749</v>
      </c>
      <c r="CA87" s="100">
        <v>3772.0336665461891</v>
      </c>
      <c r="CB87" s="100">
        <v>2.8484207487504505</v>
      </c>
      <c r="CC87" s="100">
        <v>3059.2038841579838</v>
      </c>
      <c r="CD87" s="100">
        <v>1.8251788941636011</v>
      </c>
      <c r="CE87" s="100">
        <v>1960.2421323317076</v>
      </c>
      <c r="CF87" s="100">
        <v>5.5234748105826332</v>
      </c>
      <c r="CG87" s="100">
        <v>5932.2119465657479</v>
      </c>
      <c r="CH87" s="100">
        <v>5.2037662932213236</v>
      </c>
      <c r="CI87" s="100">
        <v>5588.8449989197015</v>
      </c>
      <c r="CJ87" s="100">
        <v>3.8984114503543519</v>
      </c>
      <c r="CK87" s="100">
        <v>4186.8938976805739</v>
      </c>
      <c r="CL87" s="100">
        <v>4.4410029127235084</v>
      </c>
      <c r="CM87" s="100">
        <v>4769.637128265048</v>
      </c>
      <c r="CN87" s="100">
        <v>7</v>
      </c>
      <c r="CO87" s="100">
        <v>7518</v>
      </c>
      <c r="CP87" s="100">
        <v>7.7929109659964917</v>
      </c>
      <c r="CQ87" s="100">
        <v>8369.5863774802328</v>
      </c>
      <c r="CR87" s="100">
        <v>5.178257634921219</v>
      </c>
      <c r="CS87" s="100">
        <v>5561.4486999053888</v>
      </c>
      <c r="CT87" s="100">
        <v>6.4767906653827625</v>
      </c>
      <c r="CU87" s="100">
        <v>6956.0731746210868</v>
      </c>
    </row>
    <row r="88" spans="2:99">
      <c r="C88" s="99" t="s">
        <v>254</v>
      </c>
      <c r="D88" s="100">
        <v>7</v>
      </c>
      <c r="E88" s="100">
        <v>6946.8</v>
      </c>
      <c r="F88" s="100">
        <v>8</v>
      </c>
      <c r="G88" s="100">
        <v>7939.2</v>
      </c>
      <c r="H88" s="100">
        <v>8</v>
      </c>
      <c r="I88" s="100">
        <v>7939.2</v>
      </c>
      <c r="J88" s="100">
        <v>6</v>
      </c>
      <c r="K88" s="100">
        <v>5954.4</v>
      </c>
      <c r="L88" s="100">
        <v>7</v>
      </c>
      <c r="M88" s="100">
        <v>6946.8</v>
      </c>
      <c r="N88" s="100">
        <v>6.7418968916263404</v>
      </c>
      <c r="O88" s="100">
        <v>6690.6584752499803</v>
      </c>
      <c r="P88" s="100">
        <v>6.4399109526784564</v>
      </c>
      <c r="Q88" s="100">
        <v>6390.9676294380997</v>
      </c>
      <c r="R88" s="100">
        <v>7.2327445066260925</v>
      </c>
      <c r="S88" s="100">
        <v>7177.7756483757339</v>
      </c>
      <c r="T88" s="100">
        <v>6.401748517403326</v>
      </c>
      <c r="U88" s="100">
        <v>6353.0952286710608</v>
      </c>
      <c r="V88" s="100">
        <v>7</v>
      </c>
      <c r="W88" s="100">
        <v>6946.8</v>
      </c>
      <c r="X88" s="100">
        <v>7.8254853541283209</v>
      </c>
      <c r="Y88" s="100">
        <v>7766.0116654369458</v>
      </c>
      <c r="Z88" s="100">
        <v>1.9674016024192216</v>
      </c>
      <c r="AA88" s="100">
        <v>1952.4493502408354</v>
      </c>
      <c r="AB88" s="100">
        <v>10</v>
      </c>
      <c r="AC88" s="100">
        <v>9924</v>
      </c>
      <c r="AD88" s="100">
        <v>3.0603190597443923</v>
      </c>
      <c r="AE88" s="100">
        <v>3037.0606348903348</v>
      </c>
      <c r="AF88" s="100">
        <v>10</v>
      </c>
      <c r="AG88" s="100">
        <v>9924</v>
      </c>
      <c r="AH88" s="100">
        <v>9.9414164435147665</v>
      </c>
      <c r="AI88" s="100">
        <v>9865.8616785440536</v>
      </c>
      <c r="AJ88" s="100">
        <v>2.6546890222245279</v>
      </c>
      <c r="AK88" s="100">
        <v>2634.5133856556213</v>
      </c>
      <c r="AL88" s="100">
        <v>5.5351086489406223</v>
      </c>
      <c r="AM88" s="100">
        <v>5493.0418232086731</v>
      </c>
      <c r="AN88" s="100">
        <v>4.812990769887219</v>
      </c>
      <c r="AO88" s="100">
        <v>4776.4120400360762</v>
      </c>
      <c r="AP88" s="100">
        <v>8</v>
      </c>
      <c r="AQ88" s="100">
        <v>7939.2</v>
      </c>
      <c r="AR88" s="100">
        <v>5.8620480404758482</v>
      </c>
      <c r="AS88" s="100">
        <v>5817.4964753682316</v>
      </c>
      <c r="AT88" s="100">
        <v>8</v>
      </c>
      <c r="AU88" s="100">
        <v>7939.2</v>
      </c>
      <c r="AV88" s="100">
        <v>10</v>
      </c>
      <c r="AW88" s="100">
        <v>9924</v>
      </c>
      <c r="AX88" s="100">
        <v>9.1221865796705721</v>
      </c>
      <c r="AY88" s="100">
        <v>9052.857961665075</v>
      </c>
      <c r="AZ88" s="100">
        <v>0</v>
      </c>
      <c r="BA88" s="100">
        <v>0</v>
      </c>
      <c r="BB88" s="100">
        <v>7.345139148396469</v>
      </c>
      <c r="BC88" s="100">
        <v>7289.3160908686559</v>
      </c>
      <c r="BD88" s="100">
        <v>6</v>
      </c>
      <c r="BE88" s="100">
        <v>5954.4</v>
      </c>
      <c r="BF88" s="100">
        <v>6.5484831953044278</v>
      </c>
      <c r="BG88" s="100">
        <v>6498.7147230201144</v>
      </c>
      <c r="BH88" s="100">
        <v>0.43867623463247996</v>
      </c>
      <c r="BI88" s="100">
        <v>435.34229524927309</v>
      </c>
      <c r="BJ88" s="100">
        <v>5.8362682736128644</v>
      </c>
      <c r="BK88" s="100">
        <v>5791.9126347334068</v>
      </c>
      <c r="BL88" s="100">
        <v>6.5612705436268852</v>
      </c>
      <c r="BM88" s="100">
        <v>6511.4048874953205</v>
      </c>
      <c r="BN88" s="100">
        <v>11</v>
      </c>
      <c r="BO88" s="100">
        <v>10916.4</v>
      </c>
      <c r="BP88" s="100">
        <v>8</v>
      </c>
      <c r="BQ88" s="100">
        <v>7939.2</v>
      </c>
      <c r="BR88" s="100">
        <v>6</v>
      </c>
      <c r="BS88" s="100">
        <v>5954.4</v>
      </c>
      <c r="BT88" s="100">
        <v>6.0824927076256472</v>
      </c>
      <c r="BU88" s="100">
        <v>6036.2657630476924</v>
      </c>
      <c r="BV88" s="100">
        <v>4.9076169919810848</v>
      </c>
      <c r="BW88" s="100">
        <v>4870.3191028420288</v>
      </c>
      <c r="BX88" s="100">
        <v>2.3421668709041934</v>
      </c>
      <c r="BY88" s="100">
        <v>2324.3664026853216</v>
      </c>
      <c r="BZ88" s="100">
        <v>3.5121356299312749</v>
      </c>
      <c r="CA88" s="100">
        <v>3485.4433991437973</v>
      </c>
      <c r="CB88" s="100">
        <v>2.8484207487504505</v>
      </c>
      <c r="CC88" s="100">
        <v>2826.772751059947</v>
      </c>
      <c r="CD88" s="100">
        <v>2.1293753765242012</v>
      </c>
      <c r="CE88" s="100">
        <v>2113.1921236626172</v>
      </c>
      <c r="CF88" s="100">
        <v>5.5234748105826332</v>
      </c>
      <c r="CG88" s="100">
        <v>5481.4964020222051</v>
      </c>
      <c r="CH88" s="100">
        <v>5.2037662932213236</v>
      </c>
      <c r="CI88" s="100">
        <v>5164.2176693928413</v>
      </c>
      <c r="CJ88" s="100">
        <v>3.8984114503543519</v>
      </c>
      <c r="CK88" s="100">
        <v>3868.7835233316587</v>
      </c>
      <c r="CL88" s="100">
        <v>4.4410029127235084</v>
      </c>
      <c r="CM88" s="100">
        <v>4407.2512905868098</v>
      </c>
      <c r="CN88" s="100">
        <v>7</v>
      </c>
      <c r="CO88" s="100">
        <v>6946.8</v>
      </c>
      <c r="CP88" s="100">
        <v>7.7929109659964917</v>
      </c>
      <c r="CQ88" s="100">
        <v>7733.6848426549186</v>
      </c>
      <c r="CR88" s="100">
        <v>4.4385065442181872</v>
      </c>
      <c r="CS88" s="100">
        <v>4404.7738944821285</v>
      </c>
      <c r="CT88" s="100">
        <v>6.4767906653827625</v>
      </c>
      <c r="CU88" s="100">
        <v>6427.5670563258536</v>
      </c>
    </row>
    <row r="89" spans="2:99">
      <c r="C89" s="99" t="s">
        <v>255</v>
      </c>
      <c r="D89" s="100">
        <v>7</v>
      </c>
      <c r="E89" s="100">
        <v>7434</v>
      </c>
      <c r="F89" s="100">
        <v>7</v>
      </c>
      <c r="G89" s="100">
        <v>7434</v>
      </c>
      <c r="H89" s="100">
        <v>8</v>
      </c>
      <c r="I89" s="100">
        <v>8496</v>
      </c>
      <c r="J89" s="100">
        <v>6</v>
      </c>
      <c r="K89" s="100">
        <v>6372</v>
      </c>
      <c r="L89" s="100">
        <v>6</v>
      </c>
      <c r="M89" s="100">
        <v>6372</v>
      </c>
      <c r="N89" s="100">
        <v>7.584634003079632</v>
      </c>
      <c r="O89" s="100">
        <v>8054.8813112705693</v>
      </c>
      <c r="P89" s="100">
        <v>6.4399109526784564</v>
      </c>
      <c r="Q89" s="100">
        <v>6839.1854317445204</v>
      </c>
      <c r="R89" s="100">
        <v>8.1368375699543538</v>
      </c>
      <c r="S89" s="100">
        <v>8641.3214992915237</v>
      </c>
      <c r="T89" s="100">
        <v>5.2377942415118115</v>
      </c>
      <c r="U89" s="100">
        <v>5562.5374844855442</v>
      </c>
      <c r="V89" s="100">
        <v>7</v>
      </c>
      <c r="W89" s="100">
        <v>7434</v>
      </c>
      <c r="X89" s="100">
        <v>7.1140775946621106</v>
      </c>
      <c r="Y89" s="100">
        <v>7555.1504055311616</v>
      </c>
      <c r="Z89" s="100">
        <v>2.2953018694890917</v>
      </c>
      <c r="AA89" s="100">
        <v>2437.6105853974154</v>
      </c>
      <c r="AB89" s="100">
        <v>9</v>
      </c>
      <c r="AC89" s="100">
        <v>9558</v>
      </c>
      <c r="AD89" s="100">
        <v>3.0603190597443923</v>
      </c>
      <c r="AE89" s="100">
        <v>3250.0588414485446</v>
      </c>
      <c r="AF89" s="100">
        <v>10</v>
      </c>
      <c r="AG89" s="100">
        <v>10620</v>
      </c>
      <c r="AH89" s="100">
        <v>8.1338861810575356</v>
      </c>
      <c r="AI89" s="100">
        <v>8638.1871242831021</v>
      </c>
      <c r="AJ89" s="100">
        <v>2.6546890222245279</v>
      </c>
      <c r="AK89" s="100">
        <v>2819.2797416024487</v>
      </c>
      <c r="AL89" s="100">
        <v>5.5351086489406223</v>
      </c>
      <c r="AM89" s="100">
        <v>5878.2853851749405</v>
      </c>
      <c r="AN89" s="100">
        <v>4.812990769887219</v>
      </c>
      <c r="AO89" s="100">
        <v>5111.3961976202263</v>
      </c>
      <c r="AP89" s="100">
        <v>7</v>
      </c>
      <c r="AQ89" s="100">
        <v>7434</v>
      </c>
      <c r="AR89" s="100">
        <v>5.1292920354163671</v>
      </c>
      <c r="AS89" s="100">
        <v>5447.3081416121822</v>
      </c>
      <c r="AT89" s="100">
        <v>9</v>
      </c>
      <c r="AU89" s="100">
        <v>9558</v>
      </c>
      <c r="AV89" s="100">
        <v>10</v>
      </c>
      <c r="AW89" s="100">
        <v>10620</v>
      </c>
      <c r="AX89" s="100">
        <v>8.3620043646980253</v>
      </c>
      <c r="AY89" s="100">
        <v>8880.4486353093034</v>
      </c>
      <c r="AZ89" s="100">
        <v>0</v>
      </c>
      <c r="BA89" s="100">
        <v>0</v>
      </c>
      <c r="BB89" s="100">
        <v>6.6773992258149715</v>
      </c>
      <c r="BC89" s="100">
        <v>7091.3979778154999</v>
      </c>
      <c r="BD89" s="100">
        <v>6</v>
      </c>
      <c r="BE89" s="100">
        <v>6372</v>
      </c>
      <c r="BF89" s="100">
        <v>5.8936348757739854</v>
      </c>
      <c r="BG89" s="100">
        <v>6259.0402380719725</v>
      </c>
      <c r="BH89" s="100">
        <v>0.43867623463247996</v>
      </c>
      <c r="BI89" s="100">
        <v>465.87416117969371</v>
      </c>
      <c r="BJ89" s="100">
        <v>5.8362682736128644</v>
      </c>
      <c r="BK89" s="100">
        <v>6198.1169065768618</v>
      </c>
      <c r="BL89" s="100">
        <v>6.5612705436268852</v>
      </c>
      <c r="BM89" s="100">
        <v>6968.0693173317522</v>
      </c>
      <c r="BN89" s="100">
        <v>10</v>
      </c>
      <c r="BO89" s="100">
        <v>10620</v>
      </c>
      <c r="BP89" s="100">
        <v>8</v>
      </c>
      <c r="BQ89" s="100">
        <v>8496</v>
      </c>
      <c r="BR89" s="100">
        <v>6</v>
      </c>
      <c r="BS89" s="100">
        <v>6372</v>
      </c>
      <c r="BT89" s="100">
        <v>6.0824927076256472</v>
      </c>
      <c r="BU89" s="100">
        <v>6459.6072554984376</v>
      </c>
      <c r="BV89" s="100">
        <v>4.9076169919810848</v>
      </c>
      <c r="BW89" s="100">
        <v>5211.8892454839124</v>
      </c>
      <c r="BX89" s="100">
        <v>2.3421668709041934</v>
      </c>
      <c r="BY89" s="100">
        <v>2487.3812169002535</v>
      </c>
      <c r="BZ89" s="100">
        <v>3.5121356299312749</v>
      </c>
      <c r="CA89" s="100">
        <v>3729.8880389870142</v>
      </c>
      <c r="CB89" s="100">
        <v>2.5635786738754058</v>
      </c>
      <c r="CC89" s="100">
        <v>2722.5205516556812</v>
      </c>
      <c r="CD89" s="100">
        <v>1.8251788941636011</v>
      </c>
      <c r="CE89" s="100">
        <v>1938.3399856017445</v>
      </c>
      <c r="CF89" s="100">
        <v>5.5234748105826332</v>
      </c>
      <c r="CG89" s="100">
        <v>5865.9302488387566</v>
      </c>
      <c r="CH89" s="100">
        <v>5.2037662932213236</v>
      </c>
      <c r="CI89" s="100">
        <v>5526.3998034010456</v>
      </c>
      <c r="CJ89" s="100">
        <v>3.4111100190600583</v>
      </c>
      <c r="CK89" s="100">
        <v>3622.598840241782</v>
      </c>
      <c r="CL89" s="100">
        <v>4.4410029127235084</v>
      </c>
      <c r="CM89" s="100">
        <v>4716.3450933123659</v>
      </c>
      <c r="CN89" s="100">
        <v>6</v>
      </c>
      <c r="CO89" s="100">
        <v>6372</v>
      </c>
      <c r="CP89" s="100">
        <v>7.7929109659964917</v>
      </c>
      <c r="CQ89" s="100">
        <v>8276.071445888274</v>
      </c>
      <c r="CR89" s="100">
        <v>5.178257634921219</v>
      </c>
      <c r="CS89" s="100">
        <v>5499.3096082863349</v>
      </c>
      <c r="CT89" s="100">
        <v>7.1244697319210388</v>
      </c>
      <c r="CU89" s="100">
        <v>7566.1868553001432</v>
      </c>
    </row>
    <row r="90" spans="2:99">
      <c r="C90" s="99" t="s">
        <v>256</v>
      </c>
      <c r="D90" s="100">
        <v>8</v>
      </c>
      <c r="E90" s="100">
        <v>8870.4</v>
      </c>
      <c r="F90" s="100">
        <v>7</v>
      </c>
      <c r="G90" s="100">
        <v>7761.5999999999995</v>
      </c>
      <c r="H90" s="100">
        <v>8</v>
      </c>
      <c r="I90" s="100">
        <v>8870.4</v>
      </c>
      <c r="J90" s="100">
        <v>6</v>
      </c>
      <c r="K90" s="100">
        <v>6652.7999999999993</v>
      </c>
      <c r="L90" s="100">
        <v>8</v>
      </c>
      <c r="M90" s="100">
        <v>8870.4</v>
      </c>
      <c r="N90" s="100">
        <v>7.584634003079632</v>
      </c>
      <c r="O90" s="100">
        <v>8409.842182614695</v>
      </c>
      <c r="P90" s="100">
        <v>6.4399109526784564</v>
      </c>
      <c r="Q90" s="100">
        <v>7140.5732643298725</v>
      </c>
      <c r="R90" s="100">
        <v>7.2327445066260925</v>
      </c>
      <c r="S90" s="100">
        <v>8019.667108947011</v>
      </c>
      <c r="T90" s="100">
        <v>5.8197713794575687</v>
      </c>
      <c r="U90" s="100">
        <v>6452.9625055425522</v>
      </c>
      <c r="V90" s="100">
        <v>7</v>
      </c>
      <c r="W90" s="100">
        <v>7761.5999999999995</v>
      </c>
      <c r="X90" s="100">
        <v>7.1140775946621106</v>
      </c>
      <c r="Y90" s="100">
        <v>7888.0892369613475</v>
      </c>
      <c r="Z90" s="100">
        <v>2.2953018694890917</v>
      </c>
      <c r="AA90" s="100">
        <v>2545.0307128895047</v>
      </c>
      <c r="AB90" s="100">
        <v>9</v>
      </c>
      <c r="AC90" s="100">
        <v>9979.1999999999989</v>
      </c>
      <c r="AD90" s="100">
        <v>2.7542871537699529</v>
      </c>
      <c r="AE90" s="100">
        <v>3053.9535961001238</v>
      </c>
      <c r="AF90" s="100">
        <v>11</v>
      </c>
      <c r="AG90" s="100">
        <v>12196.8</v>
      </c>
      <c r="AH90" s="100">
        <v>9.037651312286151</v>
      </c>
      <c r="AI90" s="100">
        <v>10020.947775062883</v>
      </c>
      <c r="AJ90" s="100">
        <v>2.2754477333353096</v>
      </c>
      <c r="AK90" s="100">
        <v>2523.0164467221912</v>
      </c>
      <c r="AL90" s="100">
        <v>5.5351086489406223</v>
      </c>
      <c r="AM90" s="100">
        <v>6137.3284699453616</v>
      </c>
      <c r="AN90" s="100">
        <v>5.5005608798711076</v>
      </c>
      <c r="AO90" s="100">
        <v>6099.021903601084</v>
      </c>
      <c r="AP90" s="100">
        <v>8</v>
      </c>
      <c r="AQ90" s="100">
        <v>8870.4</v>
      </c>
      <c r="AR90" s="100">
        <v>5.1292920354163671</v>
      </c>
      <c r="AS90" s="100">
        <v>5687.3590088696674</v>
      </c>
      <c r="AT90" s="100">
        <v>8</v>
      </c>
      <c r="AU90" s="100">
        <v>8870.4</v>
      </c>
      <c r="AV90" s="100">
        <v>11</v>
      </c>
      <c r="AW90" s="100">
        <v>12196.8</v>
      </c>
      <c r="AX90" s="100">
        <v>8.3620043646980253</v>
      </c>
      <c r="AY90" s="100">
        <v>9271.7904395771693</v>
      </c>
      <c r="AZ90" s="100">
        <v>0</v>
      </c>
      <c r="BA90" s="100">
        <v>0</v>
      </c>
      <c r="BB90" s="100">
        <v>7.345139148396469</v>
      </c>
      <c r="BC90" s="100">
        <v>8144.2902877420047</v>
      </c>
      <c r="BD90" s="100">
        <v>6</v>
      </c>
      <c r="BE90" s="100">
        <v>6652.7999999999993</v>
      </c>
      <c r="BF90" s="100">
        <v>6.5484831953044278</v>
      </c>
      <c r="BG90" s="100">
        <v>7260.9581669535492</v>
      </c>
      <c r="BH90" s="100">
        <v>0.43867623463247996</v>
      </c>
      <c r="BI90" s="100">
        <v>486.40420896049375</v>
      </c>
      <c r="BJ90" s="100">
        <v>5.8362682736128644</v>
      </c>
      <c r="BK90" s="100">
        <v>6471.2542617819436</v>
      </c>
      <c r="BL90" s="100">
        <v>6.5612705436268852</v>
      </c>
      <c r="BM90" s="100">
        <v>7275.1367787734898</v>
      </c>
      <c r="BN90" s="100">
        <v>11</v>
      </c>
      <c r="BO90" s="100">
        <v>12196.8</v>
      </c>
      <c r="BP90" s="100">
        <v>8</v>
      </c>
      <c r="BQ90" s="100">
        <v>8870.4</v>
      </c>
      <c r="BR90" s="100">
        <v>6</v>
      </c>
      <c r="BS90" s="100">
        <v>6652.7999999999993</v>
      </c>
      <c r="BT90" s="100">
        <v>6.0824927076256472</v>
      </c>
      <c r="BU90" s="100">
        <v>6744.2679142153174</v>
      </c>
      <c r="BV90" s="100">
        <v>4.9076169919810848</v>
      </c>
      <c r="BW90" s="100">
        <v>5441.5657207086269</v>
      </c>
      <c r="BX90" s="100">
        <v>2.3421668709041934</v>
      </c>
      <c r="BY90" s="100">
        <v>2596.9946264585697</v>
      </c>
      <c r="BZ90" s="100">
        <v>3.863349192924403</v>
      </c>
      <c r="CA90" s="100">
        <v>4283.6815851145775</v>
      </c>
      <c r="CB90" s="100">
        <v>3.133262823625496</v>
      </c>
      <c r="CC90" s="100">
        <v>3474.1618188359498</v>
      </c>
      <c r="CD90" s="100">
        <v>2.1293753765242012</v>
      </c>
      <c r="CE90" s="100">
        <v>2361.0514174900341</v>
      </c>
      <c r="CF90" s="100">
        <v>5.5234748105826332</v>
      </c>
      <c r="CG90" s="100">
        <v>6124.4288699740237</v>
      </c>
      <c r="CH90" s="100">
        <v>4.6833896638991908</v>
      </c>
      <c r="CI90" s="100">
        <v>5192.9424593314225</v>
      </c>
      <c r="CJ90" s="100">
        <v>3.4111100190600583</v>
      </c>
      <c r="CK90" s="100">
        <v>3782.2387891337926</v>
      </c>
      <c r="CL90" s="100">
        <v>4.4410029127235084</v>
      </c>
      <c r="CM90" s="100">
        <v>4924.184029627826</v>
      </c>
      <c r="CN90" s="100">
        <v>7</v>
      </c>
      <c r="CO90" s="100">
        <v>7761.5999999999995</v>
      </c>
      <c r="CP90" s="100">
        <v>7.7929109659964917</v>
      </c>
      <c r="CQ90" s="100">
        <v>8640.7796790969096</v>
      </c>
      <c r="CR90" s="100">
        <v>5.178257634921219</v>
      </c>
      <c r="CS90" s="100">
        <v>5741.6520656006478</v>
      </c>
      <c r="CT90" s="100">
        <v>6.4767906653827625</v>
      </c>
      <c r="CU90" s="100">
        <v>7181.4654897764067</v>
      </c>
    </row>
    <row r="91" spans="2:99">
      <c r="C91" s="99" t="s">
        <v>257</v>
      </c>
      <c r="D91" s="100">
        <v>7</v>
      </c>
      <c r="E91" s="100">
        <v>7954.7999999999993</v>
      </c>
      <c r="F91" s="100">
        <v>8</v>
      </c>
      <c r="G91" s="100">
        <v>9091.1999999999989</v>
      </c>
      <c r="H91" s="100">
        <v>8</v>
      </c>
      <c r="I91" s="100">
        <v>9091.1999999999989</v>
      </c>
      <c r="J91" s="100">
        <v>6</v>
      </c>
      <c r="K91" s="100">
        <v>6818.4</v>
      </c>
      <c r="L91" s="100">
        <v>8</v>
      </c>
      <c r="M91" s="100">
        <v>9091.1999999999989</v>
      </c>
      <c r="N91" s="100">
        <v>7.584634003079632</v>
      </c>
      <c r="O91" s="100">
        <v>8619.1780810996934</v>
      </c>
      <c r="P91" s="100">
        <v>5.7243652912697396</v>
      </c>
      <c r="Q91" s="100">
        <v>6505.1687169989309</v>
      </c>
      <c r="R91" s="100">
        <v>8.1368375699543538</v>
      </c>
      <c r="S91" s="100">
        <v>9246.7022144961265</v>
      </c>
      <c r="T91" s="100">
        <v>6.401748517403326</v>
      </c>
      <c r="U91" s="100">
        <v>7274.9470151771384</v>
      </c>
      <c r="V91" s="100">
        <v>7</v>
      </c>
      <c r="W91" s="100">
        <v>7954.7999999999993</v>
      </c>
      <c r="X91" s="100">
        <v>7.8254853541283209</v>
      </c>
      <c r="Y91" s="100">
        <v>8892.8815564314227</v>
      </c>
      <c r="Z91" s="100">
        <v>2.2953018694890917</v>
      </c>
      <c r="AA91" s="100">
        <v>2608.3810444874034</v>
      </c>
      <c r="AB91" s="100">
        <v>10</v>
      </c>
      <c r="AC91" s="100">
        <v>11363.999999999998</v>
      </c>
      <c r="AD91" s="100">
        <v>3.0603190597443923</v>
      </c>
      <c r="AE91" s="100">
        <v>3477.746579493527</v>
      </c>
      <c r="AF91" s="100">
        <v>10</v>
      </c>
      <c r="AG91" s="100">
        <v>11363.999999999998</v>
      </c>
      <c r="AH91" s="100">
        <v>9.9414164435147665</v>
      </c>
      <c r="AI91" s="100">
        <v>11297.42564641018</v>
      </c>
      <c r="AJ91" s="100">
        <v>2.6546890222245279</v>
      </c>
      <c r="AK91" s="100">
        <v>3016.7886048559531</v>
      </c>
      <c r="AL91" s="100">
        <v>5.5351086489406223</v>
      </c>
      <c r="AM91" s="100">
        <v>6290.0974686561221</v>
      </c>
      <c r="AN91" s="100">
        <v>4.812990769887219</v>
      </c>
      <c r="AO91" s="100">
        <v>5469.4827108998352</v>
      </c>
      <c r="AP91" s="100">
        <v>7</v>
      </c>
      <c r="AQ91" s="100">
        <v>7954.7999999999993</v>
      </c>
      <c r="AR91" s="100">
        <v>5.1292920354163671</v>
      </c>
      <c r="AS91" s="100">
        <v>5828.9274690471593</v>
      </c>
      <c r="AT91" s="100">
        <v>9</v>
      </c>
      <c r="AU91" s="100">
        <v>10227.599999999999</v>
      </c>
      <c r="AV91" s="100">
        <v>10</v>
      </c>
      <c r="AW91" s="100">
        <v>11363.999999999998</v>
      </c>
      <c r="AX91" s="100">
        <v>7.6018221497254768</v>
      </c>
      <c r="AY91" s="100">
        <v>8638.7106909480299</v>
      </c>
      <c r="AZ91" s="100">
        <v>0</v>
      </c>
      <c r="BA91" s="100">
        <v>0</v>
      </c>
      <c r="BB91" s="100">
        <v>6.6773992258149715</v>
      </c>
      <c r="BC91" s="100">
        <v>7588.1964802161328</v>
      </c>
      <c r="BD91" s="100">
        <v>6</v>
      </c>
      <c r="BE91" s="100">
        <v>6818.4</v>
      </c>
      <c r="BF91" s="100">
        <v>6.5484831953044278</v>
      </c>
      <c r="BG91" s="100">
        <v>7441.6963031439509</v>
      </c>
      <c r="BH91" s="100">
        <v>0.43867623463247996</v>
      </c>
      <c r="BI91" s="100">
        <v>498.51167303635015</v>
      </c>
      <c r="BJ91" s="100">
        <v>5.8362682736128644</v>
      </c>
      <c r="BK91" s="100">
        <v>6632.3352661336585</v>
      </c>
      <c r="BL91" s="100">
        <v>6.5612705436268852</v>
      </c>
      <c r="BM91" s="100">
        <v>7456.227845777591</v>
      </c>
      <c r="BN91" s="100">
        <v>11</v>
      </c>
      <c r="BO91" s="100">
        <v>12500.399999999998</v>
      </c>
      <c r="BP91" s="100">
        <v>8</v>
      </c>
      <c r="BQ91" s="100">
        <v>9091.1999999999989</v>
      </c>
      <c r="BR91" s="100">
        <v>7</v>
      </c>
      <c r="BS91" s="100">
        <v>7954.7999999999993</v>
      </c>
      <c r="BT91" s="100">
        <v>6.0824927076256472</v>
      </c>
      <c r="BU91" s="100">
        <v>6912.1447129457847</v>
      </c>
      <c r="BV91" s="100">
        <v>5.398378691179194</v>
      </c>
      <c r="BW91" s="100">
        <v>6134.717544656035</v>
      </c>
      <c r="BX91" s="100">
        <v>2.6024076343379923</v>
      </c>
      <c r="BY91" s="100">
        <v>2957.376035661694</v>
      </c>
      <c r="BZ91" s="100">
        <v>3.863349192924403</v>
      </c>
      <c r="CA91" s="100">
        <v>4390.3100228392914</v>
      </c>
      <c r="CB91" s="100">
        <v>2.8484207487504505</v>
      </c>
      <c r="CC91" s="100">
        <v>3236.9453388800116</v>
      </c>
      <c r="CD91" s="100">
        <v>2.1293753765242012</v>
      </c>
      <c r="CE91" s="100">
        <v>2419.8221778821021</v>
      </c>
      <c r="CF91" s="100">
        <v>5.5234748105826332</v>
      </c>
      <c r="CG91" s="100">
        <v>6276.8767747461034</v>
      </c>
      <c r="CH91" s="100">
        <v>4.6833896638991908</v>
      </c>
      <c r="CI91" s="100">
        <v>5322.2040140550398</v>
      </c>
      <c r="CJ91" s="100">
        <v>3.4111100190600583</v>
      </c>
      <c r="CK91" s="100">
        <v>3876.3854256598497</v>
      </c>
      <c r="CL91" s="100">
        <v>5.0754319002554382</v>
      </c>
      <c r="CM91" s="100">
        <v>5767.7208114502791</v>
      </c>
      <c r="CN91" s="100">
        <v>7</v>
      </c>
      <c r="CO91" s="100">
        <v>7954.7999999999993</v>
      </c>
      <c r="CP91" s="100">
        <v>6.9270319697746592</v>
      </c>
      <c r="CQ91" s="100">
        <v>7871.8791304519218</v>
      </c>
      <c r="CR91" s="100">
        <v>5.9180087256242491</v>
      </c>
      <c r="CS91" s="100">
        <v>6725.225115799396</v>
      </c>
      <c r="CT91" s="100">
        <v>7.1244697319210388</v>
      </c>
      <c r="CU91" s="100">
        <v>8096.2474033550679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7</v>
      </c>
      <c r="G92" s="100">
        <v>5493.5999999999995</v>
      </c>
      <c r="H92" s="100">
        <v>8</v>
      </c>
      <c r="I92" s="100">
        <v>6278.4</v>
      </c>
      <c r="J92" s="100">
        <v>5</v>
      </c>
      <c r="K92" s="100">
        <v>3924</v>
      </c>
      <c r="L92" s="100">
        <v>7</v>
      </c>
      <c r="M92" s="100">
        <v>5493.5999999999995</v>
      </c>
      <c r="N92" s="100">
        <v>7.584634003079632</v>
      </c>
      <c r="O92" s="100">
        <v>5952.4207656168946</v>
      </c>
      <c r="P92" s="100">
        <v>7.155456614087174</v>
      </c>
      <c r="Q92" s="100">
        <v>5615.602350735614</v>
      </c>
      <c r="R92" s="100">
        <v>8.1368375699543538</v>
      </c>
      <c r="S92" s="100">
        <v>6385.7901249001761</v>
      </c>
      <c r="T92" s="100">
        <v>5.8197713794575687</v>
      </c>
      <c r="U92" s="100">
        <v>4567.3565785983001</v>
      </c>
      <c r="V92" s="100">
        <v>7</v>
      </c>
      <c r="W92" s="100">
        <v>5493.5999999999995</v>
      </c>
      <c r="X92" s="100">
        <v>7.1140775946621106</v>
      </c>
      <c r="Y92" s="100">
        <v>5583.128096290824</v>
      </c>
      <c r="Z92" s="100">
        <v>1.9674016024192216</v>
      </c>
      <c r="AA92" s="100">
        <v>1544.0167775786049</v>
      </c>
      <c r="AB92" s="100">
        <v>9</v>
      </c>
      <c r="AC92" s="100">
        <v>7063.2</v>
      </c>
      <c r="AD92" s="100">
        <v>3.0603190597443923</v>
      </c>
      <c r="AE92" s="100">
        <v>2401.7383980873988</v>
      </c>
      <c r="AF92" s="100">
        <v>10</v>
      </c>
      <c r="AG92" s="100">
        <v>7848</v>
      </c>
      <c r="AH92" s="100">
        <v>9.037651312286151</v>
      </c>
      <c r="AI92" s="100">
        <v>7092.7487498821711</v>
      </c>
      <c r="AJ92" s="100">
        <v>3.0339303111137461</v>
      </c>
      <c r="AK92" s="100">
        <v>2381.0285081620677</v>
      </c>
      <c r="AL92" s="100">
        <v>6.0886195138346846</v>
      </c>
      <c r="AM92" s="100">
        <v>4778.3485944574604</v>
      </c>
      <c r="AN92" s="100">
        <v>5.5005608798711076</v>
      </c>
      <c r="AO92" s="100">
        <v>4316.8401785228452</v>
      </c>
      <c r="AP92" s="100">
        <v>8</v>
      </c>
      <c r="AQ92" s="100">
        <v>6278.4</v>
      </c>
      <c r="AR92" s="100">
        <v>5.8620480404758482</v>
      </c>
      <c r="AS92" s="100">
        <v>4600.5353021654455</v>
      </c>
      <c r="AT92" s="100">
        <v>9</v>
      </c>
      <c r="AU92" s="100">
        <v>7063.2</v>
      </c>
      <c r="AV92" s="100">
        <v>9</v>
      </c>
      <c r="AW92" s="100">
        <v>7063.2</v>
      </c>
      <c r="AX92" s="100">
        <v>8.3620043646980253</v>
      </c>
      <c r="AY92" s="100">
        <v>6562.5010254150102</v>
      </c>
      <c r="AZ92" s="100">
        <v>0</v>
      </c>
      <c r="BA92" s="100">
        <v>0</v>
      </c>
      <c r="BB92" s="100">
        <v>7.345139148396469</v>
      </c>
      <c r="BC92" s="100">
        <v>5764.4652036615489</v>
      </c>
      <c r="BD92" s="100">
        <v>6</v>
      </c>
      <c r="BE92" s="100">
        <v>4708.7999999999993</v>
      </c>
      <c r="BF92" s="100">
        <v>7.2033315148348711</v>
      </c>
      <c r="BG92" s="100">
        <v>5653.1745728424066</v>
      </c>
      <c r="BH92" s="100">
        <v>0.51178894040455991</v>
      </c>
      <c r="BI92" s="100">
        <v>401.65196042949862</v>
      </c>
      <c r="BJ92" s="100">
        <v>5.8362682736128644</v>
      </c>
      <c r="BK92" s="100">
        <v>4580.3033411313754</v>
      </c>
      <c r="BL92" s="100">
        <v>6.5612705436268852</v>
      </c>
      <c r="BM92" s="100">
        <v>5149.2851226383791</v>
      </c>
      <c r="BN92" s="100">
        <v>12</v>
      </c>
      <c r="BO92" s="100">
        <v>9417.5999999999985</v>
      </c>
      <c r="BP92" s="100">
        <v>8</v>
      </c>
      <c r="BQ92" s="100">
        <v>6278.4</v>
      </c>
      <c r="BR92" s="100">
        <v>6</v>
      </c>
      <c r="BS92" s="100">
        <v>4708.7999999999993</v>
      </c>
      <c r="BT92" s="100">
        <v>5.4066601845561317</v>
      </c>
      <c r="BU92" s="100">
        <v>4243.146912839652</v>
      </c>
      <c r="BV92" s="100">
        <v>4.9076169919810848</v>
      </c>
      <c r="BW92" s="100">
        <v>3851.497815306755</v>
      </c>
      <c r="BX92" s="100">
        <v>2.3421668709041934</v>
      </c>
      <c r="BY92" s="100">
        <v>1838.1325602856109</v>
      </c>
      <c r="BZ92" s="100">
        <v>3.5121356299312749</v>
      </c>
      <c r="CA92" s="100">
        <v>2756.3240423700645</v>
      </c>
      <c r="CB92" s="100">
        <v>3.133262823625496</v>
      </c>
      <c r="CC92" s="100">
        <v>2458.984663981289</v>
      </c>
      <c r="CD92" s="100">
        <v>1.8251788941636011</v>
      </c>
      <c r="CE92" s="100">
        <v>1432.400396139594</v>
      </c>
      <c r="CF92" s="100">
        <v>5.5234748105826332</v>
      </c>
      <c r="CG92" s="100">
        <v>4334.8230313452505</v>
      </c>
      <c r="CH92" s="100">
        <v>4.6833896638991908</v>
      </c>
      <c r="CI92" s="100">
        <v>3675.5242082280847</v>
      </c>
      <c r="CJ92" s="100">
        <v>3.8984114503543519</v>
      </c>
      <c r="CK92" s="100">
        <v>3059.4733062380951</v>
      </c>
      <c r="CL92" s="100">
        <v>4.4410029127235084</v>
      </c>
      <c r="CM92" s="100">
        <v>3485.2990859054094</v>
      </c>
      <c r="CN92" s="100">
        <v>7</v>
      </c>
      <c r="CO92" s="100">
        <v>5493.5999999999995</v>
      </c>
      <c r="CP92" s="100">
        <v>6.9270319697746592</v>
      </c>
      <c r="CQ92" s="100">
        <v>5436.3346898791524</v>
      </c>
      <c r="CR92" s="100">
        <v>4.4385065442181872</v>
      </c>
      <c r="CS92" s="100">
        <v>3483.3399359024334</v>
      </c>
      <c r="CT92" s="100">
        <v>7.1244697319210388</v>
      </c>
      <c r="CU92" s="100">
        <v>5591.2838456116306</v>
      </c>
    </row>
    <row r="93" spans="2:99">
      <c r="C93" s="99" t="s">
        <v>259</v>
      </c>
      <c r="D93" s="100">
        <v>7</v>
      </c>
      <c r="E93" s="100">
        <v>4855.2</v>
      </c>
      <c r="F93" s="100">
        <v>8</v>
      </c>
      <c r="G93" s="100">
        <v>5548.8</v>
      </c>
      <c r="H93" s="100">
        <v>7</v>
      </c>
      <c r="I93" s="100">
        <v>4855.2</v>
      </c>
      <c r="J93" s="100">
        <v>6</v>
      </c>
      <c r="K93" s="100">
        <v>4161.6000000000004</v>
      </c>
      <c r="L93" s="100">
        <v>7</v>
      </c>
      <c r="M93" s="100">
        <v>4855.2</v>
      </c>
      <c r="N93" s="100">
        <v>7.584634003079632</v>
      </c>
      <c r="O93" s="100">
        <v>5260.7021445360333</v>
      </c>
      <c r="P93" s="100">
        <v>7.155456614087174</v>
      </c>
      <c r="Q93" s="100">
        <v>4963.0247075308644</v>
      </c>
      <c r="R93" s="100">
        <v>8.1368375699543538</v>
      </c>
      <c r="S93" s="100">
        <v>5643.7105385203404</v>
      </c>
      <c r="T93" s="100">
        <v>5.8197713794575687</v>
      </c>
      <c r="U93" s="100">
        <v>4036.5934287917698</v>
      </c>
      <c r="V93" s="100">
        <v>6</v>
      </c>
      <c r="W93" s="100">
        <v>4161.6000000000004</v>
      </c>
      <c r="X93" s="100">
        <v>7.8254853541283209</v>
      </c>
      <c r="Y93" s="100">
        <v>5427.756641623404</v>
      </c>
      <c r="Z93" s="100">
        <v>2.2953018694890917</v>
      </c>
      <c r="AA93" s="100">
        <v>1592.021376677634</v>
      </c>
      <c r="AB93" s="100">
        <v>11</v>
      </c>
      <c r="AC93" s="100">
        <v>7629.6</v>
      </c>
      <c r="AD93" s="100">
        <v>2.7542871537699529</v>
      </c>
      <c r="AE93" s="100">
        <v>1910.3735698548394</v>
      </c>
      <c r="AF93" s="100">
        <v>12</v>
      </c>
      <c r="AG93" s="100">
        <v>8323.2000000000007</v>
      </c>
      <c r="AH93" s="100">
        <v>9.9414164435147665</v>
      </c>
      <c r="AI93" s="100">
        <v>6895.3664452218427</v>
      </c>
      <c r="AJ93" s="100">
        <v>2.2754477333353096</v>
      </c>
      <c r="AK93" s="100">
        <v>1578.2505478413707</v>
      </c>
      <c r="AL93" s="100">
        <v>6.0886195138346846</v>
      </c>
      <c r="AM93" s="100">
        <v>4223.0664947957375</v>
      </c>
      <c r="AN93" s="100">
        <v>5.5005608798711076</v>
      </c>
      <c r="AO93" s="100">
        <v>3815.1890262786005</v>
      </c>
      <c r="AP93" s="100">
        <v>7</v>
      </c>
      <c r="AQ93" s="100">
        <v>4855.2</v>
      </c>
      <c r="AR93" s="100">
        <v>5.1292920354163671</v>
      </c>
      <c r="AS93" s="100">
        <v>3557.6769557647922</v>
      </c>
      <c r="AT93" s="100">
        <v>9</v>
      </c>
      <c r="AU93" s="100">
        <v>6242.4000000000005</v>
      </c>
      <c r="AV93" s="100">
        <v>10</v>
      </c>
      <c r="AW93" s="100">
        <v>6936</v>
      </c>
      <c r="AX93" s="100">
        <v>8.3620043646980253</v>
      </c>
      <c r="AY93" s="100">
        <v>5799.886227354551</v>
      </c>
      <c r="AZ93" s="100">
        <v>0</v>
      </c>
      <c r="BA93" s="100">
        <v>0</v>
      </c>
      <c r="BB93" s="100">
        <v>7.345139148396469</v>
      </c>
      <c r="BC93" s="100">
        <v>5094.5885133277907</v>
      </c>
      <c r="BD93" s="100">
        <v>7</v>
      </c>
      <c r="BE93" s="100">
        <v>4855.2</v>
      </c>
      <c r="BF93" s="100">
        <v>6.5484831953044278</v>
      </c>
      <c r="BG93" s="100">
        <v>4542.0279442631509</v>
      </c>
      <c r="BH93" s="100">
        <v>0.51178894040455991</v>
      </c>
      <c r="BI93" s="100">
        <v>354.97680906460278</v>
      </c>
      <c r="BJ93" s="100">
        <v>5.0025156630967409</v>
      </c>
      <c r="BK93" s="100">
        <v>3469.7448639238996</v>
      </c>
      <c r="BL93" s="100">
        <v>5.6239461802516164</v>
      </c>
      <c r="BM93" s="100">
        <v>3900.7690706225212</v>
      </c>
      <c r="BN93" s="100">
        <v>10</v>
      </c>
      <c r="BO93" s="100">
        <v>6936</v>
      </c>
      <c r="BP93" s="100">
        <v>8</v>
      </c>
      <c r="BQ93" s="100">
        <v>5548.8</v>
      </c>
      <c r="BR93" s="100">
        <v>7</v>
      </c>
      <c r="BS93" s="100">
        <v>4855.2</v>
      </c>
      <c r="BT93" s="100">
        <v>6.0824927076256472</v>
      </c>
      <c r="BU93" s="100">
        <v>4218.816942009149</v>
      </c>
      <c r="BV93" s="100">
        <v>5.8891403903773023</v>
      </c>
      <c r="BW93" s="100">
        <v>4084.7077747656972</v>
      </c>
      <c r="BX93" s="100">
        <v>2.3421668709041934</v>
      </c>
      <c r="BY93" s="100">
        <v>1624.5269416591486</v>
      </c>
      <c r="BZ93" s="100">
        <v>3.863349192924403</v>
      </c>
      <c r="CA93" s="100">
        <v>2679.6190002123662</v>
      </c>
      <c r="CB93" s="100">
        <v>3.133262823625496</v>
      </c>
      <c r="CC93" s="100">
        <v>2173.2310944666442</v>
      </c>
      <c r="CD93" s="100">
        <v>1.8251788941636011</v>
      </c>
      <c r="CE93" s="100">
        <v>1265.9440809918738</v>
      </c>
      <c r="CF93" s="100">
        <v>5.5234748105826332</v>
      </c>
      <c r="CG93" s="100">
        <v>3831.0821286201144</v>
      </c>
      <c r="CH93" s="100">
        <v>5.2037662932213236</v>
      </c>
      <c r="CI93" s="100">
        <v>3609.3323009783103</v>
      </c>
      <c r="CJ93" s="100">
        <v>3.4111100190600583</v>
      </c>
      <c r="CK93" s="100">
        <v>2365.9459092200564</v>
      </c>
      <c r="CL93" s="100">
        <v>4.4410029127235084</v>
      </c>
      <c r="CM93" s="100">
        <v>3080.2796202650256</v>
      </c>
      <c r="CN93" s="100">
        <v>7</v>
      </c>
      <c r="CO93" s="100">
        <v>4855.2</v>
      </c>
      <c r="CP93" s="100">
        <v>7.7929109659964917</v>
      </c>
      <c r="CQ93" s="100">
        <v>5405.1630460151664</v>
      </c>
      <c r="CR93" s="100">
        <v>5.178257634921219</v>
      </c>
      <c r="CS93" s="100">
        <v>3591.6394955813576</v>
      </c>
      <c r="CT93" s="100">
        <v>7.1244697319210388</v>
      </c>
      <c r="CU93" s="100">
        <v>4941.5322060604331</v>
      </c>
    </row>
    <row r="94" spans="2:99">
      <c r="C94" s="99" t="s">
        <v>260</v>
      </c>
      <c r="D94" s="100">
        <v>8</v>
      </c>
      <c r="E94" s="100">
        <v>9542.4</v>
      </c>
      <c r="F94" s="100">
        <v>8</v>
      </c>
      <c r="G94" s="100">
        <v>9542.4</v>
      </c>
      <c r="H94" s="100">
        <v>8</v>
      </c>
      <c r="I94" s="100">
        <v>9542.4</v>
      </c>
      <c r="J94" s="100">
        <v>5</v>
      </c>
      <c r="K94" s="100">
        <v>5964</v>
      </c>
      <c r="L94" s="100">
        <v>7</v>
      </c>
      <c r="M94" s="100">
        <v>8349.6</v>
      </c>
      <c r="N94" s="100">
        <v>7.584634003079632</v>
      </c>
      <c r="O94" s="100">
        <v>9046.9514388733842</v>
      </c>
      <c r="P94" s="100">
        <v>5.7243652912697396</v>
      </c>
      <c r="Q94" s="100">
        <v>6828.0229194265448</v>
      </c>
      <c r="R94" s="100">
        <v>7.2327445066260925</v>
      </c>
      <c r="S94" s="100">
        <v>8627.2176475036031</v>
      </c>
      <c r="T94" s="100">
        <v>6.401748517403326</v>
      </c>
      <c r="U94" s="100">
        <v>7636.0056315586871</v>
      </c>
      <c r="V94" s="100">
        <v>6</v>
      </c>
      <c r="W94" s="100">
        <v>7156.7999999999993</v>
      </c>
      <c r="X94" s="100">
        <v>7.1140775946621106</v>
      </c>
      <c r="Y94" s="100">
        <v>8485.6717549129644</v>
      </c>
      <c r="Z94" s="100">
        <v>1.9674016024192216</v>
      </c>
      <c r="AA94" s="100">
        <v>2346.7166313656476</v>
      </c>
      <c r="AB94" s="100">
        <v>10</v>
      </c>
      <c r="AC94" s="100">
        <v>11928</v>
      </c>
      <c r="AD94" s="100">
        <v>2.7542871537699529</v>
      </c>
      <c r="AE94" s="100">
        <v>3285.3137170167997</v>
      </c>
      <c r="AF94" s="100">
        <v>11</v>
      </c>
      <c r="AG94" s="100">
        <v>13120.8</v>
      </c>
      <c r="AH94" s="100">
        <v>9.037651312286151</v>
      </c>
      <c r="AI94" s="100">
        <v>10780.110485294921</v>
      </c>
      <c r="AJ94" s="100">
        <v>2.6546890222245279</v>
      </c>
      <c r="AK94" s="100">
        <v>3166.5130657094169</v>
      </c>
      <c r="AL94" s="100">
        <v>6.0886195138346846</v>
      </c>
      <c r="AM94" s="100">
        <v>7262.5053561020113</v>
      </c>
      <c r="AN94" s="100">
        <v>5.5005608798711076</v>
      </c>
      <c r="AO94" s="100">
        <v>6561.0690175102573</v>
      </c>
      <c r="AP94" s="100">
        <v>8</v>
      </c>
      <c r="AQ94" s="100">
        <v>9542.4</v>
      </c>
      <c r="AR94" s="100">
        <v>5.1292920354163671</v>
      </c>
      <c r="AS94" s="100">
        <v>6118.2195398446429</v>
      </c>
      <c r="AT94" s="100">
        <v>8</v>
      </c>
      <c r="AU94" s="100">
        <v>9542.4</v>
      </c>
      <c r="AV94" s="100">
        <v>11</v>
      </c>
      <c r="AW94" s="100">
        <v>13120.8</v>
      </c>
      <c r="AX94" s="100">
        <v>8.3620043646980253</v>
      </c>
      <c r="AY94" s="100">
        <v>9974.1988062118035</v>
      </c>
      <c r="AZ94" s="100">
        <v>0</v>
      </c>
      <c r="BA94" s="100">
        <v>0</v>
      </c>
      <c r="BB94" s="100">
        <v>7.345139148396469</v>
      </c>
      <c r="BC94" s="100">
        <v>8761.2819762073086</v>
      </c>
      <c r="BD94" s="100">
        <v>6</v>
      </c>
      <c r="BE94" s="100">
        <v>7156.7999999999993</v>
      </c>
      <c r="BF94" s="100">
        <v>5.8936348757739854</v>
      </c>
      <c r="BG94" s="100">
        <v>7029.9276798232095</v>
      </c>
      <c r="BH94" s="100">
        <v>0.43867623463247996</v>
      </c>
      <c r="BI94" s="100">
        <v>523.25301266962208</v>
      </c>
      <c r="BJ94" s="100">
        <v>5.8362682736128644</v>
      </c>
      <c r="BK94" s="100">
        <v>6961.5007967654246</v>
      </c>
      <c r="BL94" s="100">
        <v>6.5612705436268852</v>
      </c>
      <c r="BM94" s="100">
        <v>7826.2835044381482</v>
      </c>
      <c r="BN94" s="100">
        <v>11</v>
      </c>
      <c r="BO94" s="100">
        <v>13120.8</v>
      </c>
      <c r="BP94" s="100">
        <v>8</v>
      </c>
      <c r="BQ94" s="100">
        <v>9542.4</v>
      </c>
      <c r="BR94" s="100">
        <v>7</v>
      </c>
      <c r="BS94" s="100">
        <v>8349.6</v>
      </c>
      <c r="BT94" s="100">
        <v>6.0824927076256472</v>
      </c>
      <c r="BU94" s="100">
        <v>7255.1973016558713</v>
      </c>
      <c r="BV94" s="100">
        <v>4.9076169919810848</v>
      </c>
      <c r="BW94" s="100">
        <v>5853.8055480350376</v>
      </c>
      <c r="BX94" s="100">
        <v>2.3421668709041934</v>
      </c>
      <c r="BY94" s="100">
        <v>2793.7366436145217</v>
      </c>
      <c r="BZ94" s="100">
        <v>3.5121356299312749</v>
      </c>
      <c r="CA94" s="100">
        <v>4189.2753793820248</v>
      </c>
      <c r="CB94" s="100">
        <v>2.8484207487504505</v>
      </c>
      <c r="CC94" s="100">
        <v>3397.5962691095374</v>
      </c>
      <c r="CD94" s="100">
        <v>2.1293753765242012</v>
      </c>
      <c r="CE94" s="100">
        <v>2539.9189491180668</v>
      </c>
      <c r="CF94" s="100">
        <v>5.5234748105826332</v>
      </c>
      <c r="CG94" s="100">
        <v>6588.4007540629646</v>
      </c>
      <c r="CH94" s="100">
        <v>5.2037662932213236</v>
      </c>
      <c r="CI94" s="100">
        <v>6207.0524345543945</v>
      </c>
      <c r="CJ94" s="100">
        <v>3.8984114503543519</v>
      </c>
      <c r="CK94" s="100">
        <v>4650.0251779826704</v>
      </c>
      <c r="CL94" s="100">
        <v>5.0754319002554382</v>
      </c>
      <c r="CM94" s="100">
        <v>6053.9751706246861</v>
      </c>
      <c r="CN94" s="100">
        <v>7</v>
      </c>
      <c r="CO94" s="100">
        <v>8349.6</v>
      </c>
      <c r="CP94" s="100">
        <v>7.7929109659964917</v>
      </c>
      <c r="CQ94" s="100">
        <v>9295.3842002406145</v>
      </c>
      <c r="CR94" s="100">
        <v>5.178257634921219</v>
      </c>
      <c r="CS94" s="100">
        <v>6176.6257069340299</v>
      </c>
      <c r="CT94" s="100">
        <v>7.1244697319210388</v>
      </c>
      <c r="CU94" s="100">
        <v>8498.0674962354151</v>
      </c>
    </row>
    <row r="95" spans="2:99">
      <c r="B95" s="99" t="s">
        <v>132</v>
      </c>
      <c r="C95" s="99" t="s">
        <v>261</v>
      </c>
      <c r="D95" s="100">
        <v>7</v>
      </c>
      <c r="E95" s="100">
        <v>2301.6</v>
      </c>
      <c r="F95" s="100">
        <v>7</v>
      </c>
      <c r="G95" s="100">
        <v>2301.6</v>
      </c>
      <c r="H95" s="100">
        <v>12</v>
      </c>
      <c r="I95" s="100">
        <v>3945.6000000000004</v>
      </c>
      <c r="J95" s="100">
        <v>10</v>
      </c>
      <c r="K95" s="100">
        <v>3288</v>
      </c>
      <c r="L95" s="100">
        <v>11</v>
      </c>
      <c r="M95" s="100">
        <v>3616.8</v>
      </c>
      <c r="N95" s="100">
        <v>9.2701082259862169</v>
      </c>
      <c r="O95" s="100">
        <v>3048.011584704268</v>
      </c>
      <c r="P95" s="100">
        <v>5.7243652912697396</v>
      </c>
      <c r="Q95" s="100">
        <v>1882.1713077694903</v>
      </c>
      <c r="R95" s="100">
        <v>9.0409306332826151</v>
      </c>
      <c r="S95" s="100">
        <v>2972.6579922233241</v>
      </c>
      <c r="T95" s="100">
        <v>6.401748517403326</v>
      </c>
      <c r="U95" s="100">
        <v>2104.8949125222139</v>
      </c>
      <c r="V95" s="100">
        <v>8</v>
      </c>
      <c r="W95" s="100">
        <v>2630.4</v>
      </c>
      <c r="X95" s="100">
        <v>8.5368931135945321</v>
      </c>
      <c r="Y95" s="100">
        <v>2806.9304557498822</v>
      </c>
      <c r="Z95" s="100">
        <v>4.2627034719083126</v>
      </c>
      <c r="AA95" s="100">
        <v>1401.5769015634532</v>
      </c>
      <c r="AB95" s="100">
        <v>12</v>
      </c>
      <c r="AC95" s="100">
        <v>3945.6000000000004</v>
      </c>
      <c r="AD95" s="100">
        <v>3.0603190597443923</v>
      </c>
      <c r="AE95" s="100">
        <v>1006.2329068439562</v>
      </c>
      <c r="AF95" s="100">
        <v>10</v>
      </c>
      <c r="AG95" s="100">
        <v>3288</v>
      </c>
      <c r="AH95" s="100">
        <v>9.037651312286151</v>
      </c>
      <c r="AI95" s="100">
        <v>2971.5797514796864</v>
      </c>
      <c r="AJ95" s="100">
        <v>3.0339303111137461</v>
      </c>
      <c r="AK95" s="100">
        <v>997.55628629419971</v>
      </c>
      <c r="AL95" s="100">
        <v>4.4280869191524976</v>
      </c>
      <c r="AM95" s="100">
        <v>1455.9549790173412</v>
      </c>
      <c r="AN95" s="100">
        <v>4.812990769887219</v>
      </c>
      <c r="AO95" s="100">
        <v>1582.5113651389177</v>
      </c>
      <c r="AP95" s="100">
        <v>8</v>
      </c>
      <c r="AQ95" s="100">
        <v>2630.4</v>
      </c>
      <c r="AR95" s="100">
        <v>8.7930720607137722</v>
      </c>
      <c r="AS95" s="100">
        <v>2891.1620935626884</v>
      </c>
      <c r="AT95" s="100">
        <v>8</v>
      </c>
      <c r="AU95" s="100">
        <v>2630.4</v>
      </c>
      <c r="AV95" s="100">
        <v>11</v>
      </c>
      <c r="AW95" s="100">
        <v>3616.8</v>
      </c>
      <c r="AX95" s="100">
        <v>7.6018221497254768</v>
      </c>
      <c r="AY95" s="100">
        <v>2499.4791228297368</v>
      </c>
      <c r="AZ95" s="100">
        <v>0</v>
      </c>
      <c r="BA95" s="100">
        <v>0</v>
      </c>
      <c r="BB95" s="100">
        <v>8.6806189935594631</v>
      </c>
      <c r="BC95" s="100">
        <v>2854.1875250823514</v>
      </c>
      <c r="BD95" s="100">
        <v>7</v>
      </c>
      <c r="BE95" s="100">
        <v>2301.6</v>
      </c>
      <c r="BF95" s="100">
        <v>9.1678764734261993</v>
      </c>
      <c r="BG95" s="100">
        <v>3014.3977844625342</v>
      </c>
      <c r="BH95" s="100">
        <v>0.87735246926495991</v>
      </c>
      <c r="BI95" s="100">
        <v>288.47349189431884</v>
      </c>
      <c r="BJ95" s="100">
        <v>8.3375261051612348</v>
      </c>
      <c r="BK95" s="100">
        <v>2741.3785833770139</v>
      </c>
      <c r="BL95" s="100">
        <v>7.498594907002154</v>
      </c>
      <c r="BM95" s="100">
        <v>2465.5380054223083</v>
      </c>
      <c r="BN95" s="100">
        <v>7</v>
      </c>
      <c r="BO95" s="100">
        <v>2301.6</v>
      </c>
      <c r="BP95" s="100">
        <v>13</v>
      </c>
      <c r="BQ95" s="100">
        <v>4274.4000000000005</v>
      </c>
      <c r="BR95" s="100">
        <v>9</v>
      </c>
      <c r="BS95" s="100">
        <v>2959.2000000000003</v>
      </c>
      <c r="BT95" s="100">
        <v>6.7583252306951636</v>
      </c>
      <c r="BU95" s="100">
        <v>2222.1373358525698</v>
      </c>
      <c r="BV95" s="100">
        <v>6.8706637887735189</v>
      </c>
      <c r="BW95" s="100">
        <v>2259.0742537487331</v>
      </c>
      <c r="BX95" s="100">
        <v>3.3831299246393902</v>
      </c>
      <c r="BY95" s="100">
        <v>1112.3731192214316</v>
      </c>
      <c r="BZ95" s="100">
        <v>2.1072813779587651</v>
      </c>
      <c r="CA95" s="100">
        <v>692.87411707284195</v>
      </c>
      <c r="CB95" s="100">
        <v>3.133262823625496</v>
      </c>
      <c r="CC95" s="100">
        <v>1030.2168164080631</v>
      </c>
      <c r="CD95" s="100">
        <v>3.9545542706878023</v>
      </c>
      <c r="CE95" s="100">
        <v>1300.2574442021494</v>
      </c>
      <c r="CF95" s="100">
        <v>6.3125426406658667</v>
      </c>
      <c r="CG95" s="100">
        <v>2075.5640202509371</v>
      </c>
      <c r="CH95" s="100">
        <v>6.7648961811877202</v>
      </c>
      <c r="CI95" s="100">
        <v>2224.2978643745223</v>
      </c>
      <c r="CJ95" s="100">
        <v>5.8476171755315285</v>
      </c>
      <c r="CK95" s="100">
        <v>1922.6965273147666</v>
      </c>
      <c r="CL95" s="100">
        <v>6.9787188628512276</v>
      </c>
      <c r="CM95" s="100">
        <v>2294.6027621054836</v>
      </c>
      <c r="CN95" s="100">
        <v>14</v>
      </c>
      <c r="CO95" s="100">
        <v>4603.2</v>
      </c>
      <c r="CP95" s="100">
        <v>9.5246689584401558</v>
      </c>
      <c r="CQ95" s="100">
        <v>3131.7111535351232</v>
      </c>
      <c r="CR95" s="100">
        <v>8.8770130884363745</v>
      </c>
      <c r="CS95" s="100">
        <v>2918.76190347788</v>
      </c>
      <c r="CT95" s="100">
        <v>7.7721487984593152</v>
      </c>
      <c r="CU95" s="100">
        <v>2555.4825249334231</v>
      </c>
    </row>
    <row r="96" spans="2:99">
      <c r="C96" s="99" t="s">
        <v>262</v>
      </c>
      <c r="D96" s="100">
        <v>7</v>
      </c>
      <c r="E96" s="100">
        <v>4863.5999999999995</v>
      </c>
      <c r="F96" s="100">
        <v>7</v>
      </c>
      <c r="G96" s="100">
        <v>4863.5999999999995</v>
      </c>
      <c r="H96" s="100">
        <v>12</v>
      </c>
      <c r="I96" s="100">
        <v>8337.5999999999985</v>
      </c>
      <c r="J96" s="100">
        <v>10</v>
      </c>
      <c r="K96" s="100">
        <v>6948</v>
      </c>
      <c r="L96" s="100">
        <v>11</v>
      </c>
      <c r="M96" s="100">
        <v>7642.7999999999993</v>
      </c>
      <c r="N96" s="100">
        <v>7.584634003079632</v>
      </c>
      <c r="O96" s="100">
        <v>5269.8037053397284</v>
      </c>
      <c r="P96" s="100">
        <v>5.7243652912697396</v>
      </c>
      <c r="Q96" s="100">
        <v>3977.289004374215</v>
      </c>
      <c r="R96" s="100">
        <v>9.9450236966108765</v>
      </c>
      <c r="S96" s="100">
        <v>6909.8024644052366</v>
      </c>
      <c r="T96" s="100">
        <v>6.401748517403326</v>
      </c>
      <c r="U96" s="100">
        <v>4447.9348698918302</v>
      </c>
      <c r="V96" s="100">
        <v>8</v>
      </c>
      <c r="W96" s="100">
        <v>5558.4</v>
      </c>
      <c r="X96" s="100">
        <v>7.8254853541283209</v>
      </c>
      <c r="Y96" s="100">
        <v>5437.1472240483572</v>
      </c>
      <c r="Z96" s="100">
        <v>3.6069029377685724</v>
      </c>
      <c r="AA96" s="100">
        <v>2506.076161161604</v>
      </c>
      <c r="AB96" s="100">
        <v>14</v>
      </c>
      <c r="AC96" s="100">
        <v>9727.1999999999989</v>
      </c>
      <c r="AD96" s="100">
        <v>3.3663509657188317</v>
      </c>
      <c r="AE96" s="100">
        <v>2338.9406509814439</v>
      </c>
      <c r="AF96" s="100">
        <v>12</v>
      </c>
      <c r="AG96" s="100">
        <v>8337.5999999999985</v>
      </c>
      <c r="AH96" s="100">
        <v>9.9414164435147665</v>
      </c>
      <c r="AI96" s="100">
        <v>6907.2961449540589</v>
      </c>
      <c r="AJ96" s="100">
        <v>3.0339303111137461</v>
      </c>
      <c r="AK96" s="100">
        <v>2107.9747801618305</v>
      </c>
      <c r="AL96" s="100">
        <v>4.4280869191524976</v>
      </c>
      <c r="AM96" s="100">
        <v>3076.6347914271551</v>
      </c>
      <c r="AN96" s="100">
        <v>4.812990769887219</v>
      </c>
      <c r="AO96" s="100">
        <v>3344.0659869176393</v>
      </c>
      <c r="AP96" s="100">
        <v>8</v>
      </c>
      <c r="AQ96" s="100">
        <v>5558.4</v>
      </c>
      <c r="AR96" s="100">
        <v>8.0603160556542921</v>
      </c>
      <c r="AS96" s="100">
        <v>5600.3075954686019</v>
      </c>
      <c r="AT96" s="100">
        <v>8</v>
      </c>
      <c r="AU96" s="100">
        <v>5558.4</v>
      </c>
      <c r="AV96" s="100">
        <v>9</v>
      </c>
      <c r="AW96" s="100">
        <v>6253.2</v>
      </c>
      <c r="AX96" s="100">
        <v>7.6018221497254768</v>
      </c>
      <c r="AY96" s="100">
        <v>5281.7460296292611</v>
      </c>
      <c r="AZ96" s="100">
        <v>0</v>
      </c>
      <c r="BA96" s="100">
        <v>0</v>
      </c>
      <c r="BB96" s="100">
        <v>6.6773992258149715</v>
      </c>
      <c r="BC96" s="100">
        <v>4639.4569820962415</v>
      </c>
      <c r="BD96" s="100">
        <v>7</v>
      </c>
      <c r="BE96" s="100">
        <v>4863.5999999999995</v>
      </c>
      <c r="BF96" s="100">
        <v>9.1678764734261993</v>
      </c>
      <c r="BG96" s="100">
        <v>6369.8405737365229</v>
      </c>
      <c r="BH96" s="100">
        <v>0.95046517503703998</v>
      </c>
      <c r="BI96" s="100">
        <v>660.38320361573528</v>
      </c>
      <c r="BJ96" s="100">
        <v>8.3375261051612348</v>
      </c>
      <c r="BK96" s="100">
        <v>5792.9131378660259</v>
      </c>
      <c r="BL96" s="100">
        <v>7.498594907002154</v>
      </c>
      <c r="BM96" s="100">
        <v>5210.0237413850964</v>
      </c>
      <c r="BN96" s="100">
        <v>7</v>
      </c>
      <c r="BO96" s="100">
        <v>4863.5999999999995</v>
      </c>
      <c r="BP96" s="100">
        <v>12</v>
      </c>
      <c r="BQ96" s="100">
        <v>8337.5999999999985</v>
      </c>
      <c r="BR96" s="100">
        <v>10</v>
      </c>
      <c r="BS96" s="100">
        <v>6948</v>
      </c>
      <c r="BT96" s="100">
        <v>7.4341577537646799</v>
      </c>
      <c r="BU96" s="100">
        <v>5165.2528073156991</v>
      </c>
      <c r="BV96" s="100">
        <v>6.8706637887735189</v>
      </c>
      <c r="BW96" s="100">
        <v>4773.7372004398403</v>
      </c>
      <c r="BX96" s="100">
        <v>3.6433706880731895</v>
      </c>
      <c r="BY96" s="100">
        <v>2531.4139540732517</v>
      </c>
      <c r="BZ96" s="100">
        <v>2.4584949409518928</v>
      </c>
      <c r="CA96" s="100">
        <v>1708.1622849733751</v>
      </c>
      <c r="CB96" s="100">
        <v>2.8484207487504505</v>
      </c>
      <c r="CC96" s="100">
        <v>1979.0827362318128</v>
      </c>
      <c r="CD96" s="100">
        <v>3.6503577883272023</v>
      </c>
      <c r="CE96" s="100">
        <v>2536.26859132974</v>
      </c>
      <c r="CF96" s="100">
        <v>5.5234748105826332</v>
      </c>
      <c r="CG96" s="100">
        <v>3837.7102983928135</v>
      </c>
      <c r="CH96" s="100">
        <v>6.2445195518655874</v>
      </c>
      <c r="CI96" s="100">
        <v>4338.6921846362102</v>
      </c>
      <c r="CJ96" s="100">
        <v>5.3603157442372336</v>
      </c>
      <c r="CK96" s="100">
        <v>3724.3473790960297</v>
      </c>
      <c r="CL96" s="100">
        <v>6.3442898753192978</v>
      </c>
      <c r="CM96" s="100">
        <v>4408.0126053718477</v>
      </c>
      <c r="CN96" s="100">
        <v>13</v>
      </c>
      <c r="CO96" s="100">
        <v>9032.4</v>
      </c>
      <c r="CP96" s="100">
        <v>8.6587899622183233</v>
      </c>
      <c r="CQ96" s="100">
        <v>6016.1272657492909</v>
      </c>
      <c r="CR96" s="100">
        <v>8.8770130884363745</v>
      </c>
      <c r="CS96" s="100">
        <v>6167.7486938455922</v>
      </c>
      <c r="CT96" s="100">
        <v>7.1244697319210388</v>
      </c>
      <c r="CU96" s="100">
        <v>4950.081569738737</v>
      </c>
    </row>
    <row r="97" spans="2:99">
      <c r="C97" s="99" t="s">
        <v>263</v>
      </c>
      <c r="D97" s="100">
        <v>7</v>
      </c>
      <c r="E97" s="100">
        <v>2746.7999999999997</v>
      </c>
      <c r="F97" s="100">
        <v>7</v>
      </c>
      <c r="G97" s="100">
        <v>2746.7999999999997</v>
      </c>
      <c r="H97" s="100">
        <v>12</v>
      </c>
      <c r="I97" s="100">
        <v>4708.7999999999993</v>
      </c>
      <c r="J97" s="100">
        <v>10</v>
      </c>
      <c r="K97" s="100">
        <v>3924</v>
      </c>
      <c r="L97" s="100">
        <v>11</v>
      </c>
      <c r="M97" s="100">
        <v>4316.3999999999996</v>
      </c>
      <c r="N97" s="100">
        <v>8.4273711145329244</v>
      </c>
      <c r="O97" s="100">
        <v>3306.9004253427192</v>
      </c>
      <c r="P97" s="100">
        <v>5.7243652912697396</v>
      </c>
      <c r="Q97" s="100">
        <v>2246.2409402942458</v>
      </c>
      <c r="R97" s="100">
        <v>9.9450236966108765</v>
      </c>
      <c r="S97" s="100">
        <v>3902.4272985501075</v>
      </c>
      <c r="T97" s="100">
        <v>6.401748517403326</v>
      </c>
      <c r="U97" s="100">
        <v>2512.0461182290651</v>
      </c>
      <c r="V97" s="100">
        <v>7</v>
      </c>
      <c r="W97" s="100">
        <v>2746.7999999999997</v>
      </c>
      <c r="X97" s="100">
        <v>7.1140775946621106</v>
      </c>
      <c r="Y97" s="100">
        <v>2791.564048145412</v>
      </c>
      <c r="Z97" s="100">
        <v>3.9348032048384431</v>
      </c>
      <c r="AA97" s="100">
        <v>1544.0167775786049</v>
      </c>
      <c r="AB97" s="100">
        <v>14</v>
      </c>
      <c r="AC97" s="100">
        <v>5493.5999999999995</v>
      </c>
      <c r="AD97" s="100">
        <v>3.3663509657188317</v>
      </c>
      <c r="AE97" s="100">
        <v>1320.9561189480694</v>
      </c>
      <c r="AF97" s="100">
        <v>11</v>
      </c>
      <c r="AG97" s="100">
        <v>4316.3999999999996</v>
      </c>
      <c r="AH97" s="100">
        <v>9.037651312286151</v>
      </c>
      <c r="AI97" s="100">
        <v>3546.3743749410855</v>
      </c>
      <c r="AJ97" s="100">
        <v>3.0339303111137461</v>
      </c>
      <c r="AK97" s="100">
        <v>1190.5142540810339</v>
      </c>
      <c r="AL97" s="100">
        <v>3.8745760542584358</v>
      </c>
      <c r="AM97" s="100">
        <v>1520.3836436910101</v>
      </c>
      <c r="AN97" s="100">
        <v>4.812990769887219</v>
      </c>
      <c r="AO97" s="100">
        <v>1888.6175781037446</v>
      </c>
      <c r="AP97" s="100">
        <v>8</v>
      </c>
      <c r="AQ97" s="100">
        <v>3139.2</v>
      </c>
      <c r="AR97" s="100">
        <v>8.0603160556542921</v>
      </c>
      <c r="AS97" s="100">
        <v>3162.8680202387441</v>
      </c>
      <c r="AT97" s="100">
        <v>8</v>
      </c>
      <c r="AU97" s="100">
        <v>3139.2</v>
      </c>
      <c r="AV97" s="100">
        <v>9</v>
      </c>
      <c r="AW97" s="100">
        <v>3531.6</v>
      </c>
      <c r="AX97" s="100">
        <v>7.6018221497254768</v>
      </c>
      <c r="AY97" s="100">
        <v>2982.955011552277</v>
      </c>
      <c r="AZ97" s="100">
        <v>0</v>
      </c>
      <c r="BA97" s="100">
        <v>0</v>
      </c>
      <c r="BB97" s="100">
        <v>7.345139148396469</v>
      </c>
      <c r="BC97" s="100">
        <v>2882.2326018307745</v>
      </c>
      <c r="BD97" s="100">
        <v>7</v>
      </c>
      <c r="BE97" s="100">
        <v>2746.7999999999997</v>
      </c>
      <c r="BF97" s="100">
        <v>9.1678764734261993</v>
      </c>
      <c r="BG97" s="100">
        <v>3597.4747281724403</v>
      </c>
      <c r="BH97" s="100">
        <v>0.95046517503703998</v>
      </c>
      <c r="BI97" s="100">
        <v>372.96253468453449</v>
      </c>
      <c r="BJ97" s="100">
        <v>7.5037734946451113</v>
      </c>
      <c r="BK97" s="100">
        <v>2944.4807192987414</v>
      </c>
      <c r="BL97" s="100">
        <v>7.498594907002154</v>
      </c>
      <c r="BM97" s="100">
        <v>2942.4486415076449</v>
      </c>
      <c r="BN97" s="100">
        <v>7</v>
      </c>
      <c r="BO97" s="100">
        <v>2746.7999999999997</v>
      </c>
      <c r="BP97" s="100">
        <v>13</v>
      </c>
      <c r="BQ97" s="100">
        <v>5101.2</v>
      </c>
      <c r="BR97" s="100">
        <v>10</v>
      </c>
      <c r="BS97" s="100">
        <v>3924</v>
      </c>
      <c r="BT97" s="100">
        <v>6.7583252306951636</v>
      </c>
      <c r="BU97" s="100">
        <v>2651.9668205247822</v>
      </c>
      <c r="BV97" s="100">
        <v>6.8706637887735189</v>
      </c>
      <c r="BW97" s="100">
        <v>2696.0484707147289</v>
      </c>
      <c r="BX97" s="100">
        <v>3.6433706880731895</v>
      </c>
      <c r="BY97" s="100">
        <v>1429.6586579999196</v>
      </c>
      <c r="BZ97" s="100">
        <v>2.4584949409518928</v>
      </c>
      <c r="CA97" s="100">
        <v>964.71341482952266</v>
      </c>
      <c r="CB97" s="100">
        <v>3.133262823625496</v>
      </c>
      <c r="CC97" s="100">
        <v>1229.4923319906445</v>
      </c>
      <c r="CD97" s="100">
        <v>3.6503577883272023</v>
      </c>
      <c r="CE97" s="100">
        <v>1432.400396139594</v>
      </c>
      <c r="CF97" s="100">
        <v>5.5234748105826332</v>
      </c>
      <c r="CG97" s="100">
        <v>2167.4115156726252</v>
      </c>
      <c r="CH97" s="100">
        <v>7.285272810509853</v>
      </c>
      <c r="CI97" s="100">
        <v>2858.7410508440662</v>
      </c>
      <c r="CJ97" s="100">
        <v>5.8476171755315285</v>
      </c>
      <c r="CK97" s="100">
        <v>2294.6049796785715</v>
      </c>
      <c r="CL97" s="100">
        <v>6.3442898753192978</v>
      </c>
      <c r="CM97" s="100">
        <v>2489.4993470752925</v>
      </c>
      <c r="CN97" s="100">
        <v>14</v>
      </c>
      <c r="CO97" s="100">
        <v>5493.5999999999995</v>
      </c>
      <c r="CP97" s="100">
        <v>8.6587899622183233</v>
      </c>
      <c r="CQ97" s="100">
        <v>3397.7091811744699</v>
      </c>
      <c r="CR97" s="100">
        <v>8.8770130884363745</v>
      </c>
      <c r="CS97" s="100">
        <v>3483.3399359024334</v>
      </c>
      <c r="CT97" s="100">
        <v>7.1244697319210388</v>
      </c>
      <c r="CU97" s="100">
        <v>2795.6419228058153</v>
      </c>
    </row>
    <row r="98" spans="2:99">
      <c r="C98" s="99" t="s">
        <v>264</v>
      </c>
      <c r="D98" s="100">
        <v>7</v>
      </c>
      <c r="E98" s="100">
        <v>3679.2000000000003</v>
      </c>
      <c r="F98" s="100">
        <v>7</v>
      </c>
      <c r="G98" s="100">
        <v>3679.2000000000003</v>
      </c>
      <c r="H98" s="100">
        <v>12</v>
      </c>
      <c r="I98" s="100">
        <v>6307.2000000000007</v>
      </c>
      <c r="J98" s="100">
        <v>9</v>
      </c>
      <c r="K98" s="100">
        <v>4730.4000000000005</v>
      </c>
      <c r="L98" s="100">
        <v>12</v>
      </c>
      <c r="M98" s="100">
        <v>6307.2000000000007</v>
      </c>
      <c r="N98" s="100">
        <v>9.2701082259862169</v>
      </c>
      <c r="O98" s="100">
        <v>4872.368883578356</v>
      </c>
      <c r="P98" s="100">
        <v>5.7243652912697396</v>
      </c>
      <c r="Q98" s="100">
        <v>3008.7263970913755</v>
      </c>
      <c r="R98" s="100">
        <v>8.1368375699543538</v>
      </c>
      <c r="S98" s="100">
        <v>4276.7218267680082</v>
      </c>
      <c r="T98" s="100">
        <v>6.401748517403326</v>
      </c>
      <c r="U98" s="100">
        <v>3364.7590207471881</v>
      </c>
      <c r="V98" s="100">
        <v>7</v>
      </c>
      <c r="W98" s="100">
        <v>3679.2000000000003</v>
      </c>
      <c r="X98" s="100">
        <v>7.8254853541283209</v>
      </c>
      <c r="Y98" s="100">
        <v>4113.0751021298456</v>
      </c>
      <c r="Z98" s="100">
        <v>3.9348032048384431</v>
      </c>
      <c r="AA98" s="100">
        <v>2068.1325644630856</v>
      </c>
      <c r="AB98" s="100">
        <v>13</v>
      </c>
      <c r="AC98" s="100">
        <v>6832.8</v>
      </c>
      <c r="AD98" s="100">
        <v>3.0603190597443923</v>
      </c>
      <c r="AE98" s="100">
        <v>1608.5036978016526</v>
      </c>
      <c r="AF98" s="100">
        <v>11</v>
      </c>
      <c r="AG98" s="100">
        <v>5781.6</v>
      </c>
      <c r="AH98" s="100">
        <v>8.1338861810575356</v>
      </c>
      <c r="AI98" s="100">
        <v>4275.1705767638405</v>
      </c>
      <c r="AJ98" s="100">
        <v>3.0339303111137461</v>
      </c>
      <c r="AK98" s="100">
        <v>1594.6337715213849</v>
      </c>
      <c r="AL98" s="100">
        <v>3.8745760542584358</v>
      </c>
      <c r="AM98" s="100">
        <v>2036.477174118234</v>
      </c>
      <c r="AN98" s="100">
        <v>5.5005608798711076</v>
      </c>
      <c r="AO98" s="100">
        <v>2891.0947984602544</v>
      </c>
      <c r="AP98" s="100">
        <v>7</v>
      </c>
      <c r="AQ98" s="100">
        <v>3679.2000000000003</v>
      </c>
      <c r="AR98" s="100">
        <v>8.0603160556542921</v>
      </c>
      <c r="AS98" s="100">
        <v>4236.5021188518958</v>
      </c>
      <c r="AT98" s="100">
        <v>8</v>
      </c>
      <c r="AU98" s="100">
        <v>4204.8</v>
      </c>
      <c r="AV98" s="100">
        <v>10</v>
      </c>
      <c r="AW98" s="100">
        <v>5256</v>
      </c>
      <c r="AX98" s="100">
        <v>8.3620043646980253</v>
      </c>
      <c r="AY98" s="100">
        <v>4395.0694940852827</v>
      </c>
      <c r="AZ98" s="100">
        <v>0</v>
      </c>
      <c r="BA98" s="100">
        <v>0</v>
      </c>
      <c r="BB98" s="100">
        <v>7.345139148396469</v>
      </c>
      <c r="BC98" s="100">
        <v>3860.6051363971842</v>
      </c>
      <c r="BD98" s="100">
        <v>8</v>
      </c>
      <c r="BE98" s="100">
        <v>4204.8</v>
      </c>
      <c r="BF98" s="100">
        <v>8.5130281538957568</v>
      </c>
      <c r="BG98" s="100">
        <v>4474.4475976876101</v>
      </c>
      <c r="BH98" s="100">
        <v>0.95046517503703998</v>
      </c>
      <c r="BI98" s="100">
        <v>499.56449599946825</v>
      </c>
      <c r="BJ98" s="100">
        <v>8.3375261051612348</v>
      </c>
      <c r="BK98" s="100">
        <v>4382.2037208727452</v>
      </c>
      <c r="BL98" s="100">
        <v>7.498594907002154</v>
      </c>
      <c r="BM98" s="100">
        <v>3941.2614831203323</v>
      </c>
      <c r="BN98" s="100">
        <v>7</v>
      </c>
      <c r="BO98" s="100">
        <v>3679.2000000000003</v>
      </c>
      <c r="BP98" s="100">
        <v>14</v>
      </c>
      <c r="BQ98" s="100">
        <v>7358.4000000000005</v>
      </c>
      <c r="BR98" s="100">
        <v>10</v>
      </c>
      <c r="BS98" s="100">
        <v>5256</v>
      </c>
      <c r="BT98" s="100">
        <v>6.7583252306951636</v>
      </c>
      <c r="BU98" s="100">
        <v>3552.175741253378</v>
      </c>
      <c r="BV98" s="100">
        <v>6.8706637887735189</v>
      </c>
      <c r="BW98" s="100">
        <v>3611.2208873793616</v>
      </c>
      <c r="BX98" s="100">
        <v>3.3831299246393902</v>
      </c>
      <c r="BY98" s="100">
        <v>1778.1730883904636</v>
      </c>
      <c r="BZ98" s="100">
        <v>2.4584949409518928</v>
      </c>
      <c r="CA98" s="100">
        <v>1292.1849409643148</v>
      </c>
      <c r="CB98" s="100">
        <v>2.8484207487504505</v>
      </c>
      <c r="CC98" s="100">
        <v>1497.1299455432368</v>
      </c>
      <c r="CD98" s="100">
        <v>3.6503577883272023</v>
      </c>
      <c r="CE98" s="100">
        <v>1918.6280535447777</v>
      </c>
      <c r="CF98" s="100">
        <v>5.5234748105826332</v>
      </c>
      <c r="CG98" s="100">
        <v>2903.1383604422322</v>
      </c>
      <c r="CH98" s="100">
        <v>7.285272810509853</v>
      </c>
      <c r="CI98" s="100">
        <v>3829.1393892039787</v>
      </c>
      <c r="CJ98" s="100">
        <v>5.8476171755315285</v>
      </c>
      <c r="CK98" s="100">
        <v>3073.5075874593713</v>
      </c>
      <c r="CL98" s="100">
        <v>6.3442898753192978</v>
      </c>
      <c r="CM98" s="100">
        <v>3334.5587584678233</v>
      </c>
      <c r="CN98" s="100">
        <v>12</v>
      </c>
      <c r="CO98" s="100">
        <v>6307.2000000000007</v>
      </c>
      <c r="CP98" s="100">
        <v>9.5246689584401558</v>
      </c>
      <c r="CQ98" s="100">
        <v>5006.1660045561457</v>
      </c>
      <c r="CR98" s="100">
        <v>8.8770130884363745</v>
      </c>
      <c r="CS98" s="100">
        <v>4665.7580792821591</v>
      </c>
      <c r="CT98" s="100">
        <v>7.7721487984593152</v>
      </c>
      <c r="CU98" s="100">
        <v>4085.0414084702161</v>
      </c>
    </row>
    <row r="99" spans="2:99">
      <c r="C99" s="99" t="s">
        <v>265</v>
      </c>
      <c r="D99" s="100">
        <v>5</v>
      </c>
      <c r="E99" s="100">
        <v>21042</v>
      </c>
      <c r="F99" s="100">
        <v>6</v>
      </c>
      <c r="G99" s="100">
        <v>25250.399999999998</v>
      </c>
      <c r="H99" s="100">
        <v>10</v>
      </c>
      <c r="I99" s="100">
        <v>42084</v>
      </c>
      <c r="J99" s="100">
        <v>8</v>
      </c>
      <c r="K99" s="100">
        <v>33667.199999999997</v>
      </c>
      <c r="L99" s="100">
        <v>9</v>
      </c>
      <c r="M99" s="100">
        <v>37875.599999999999</v>
      </c>
      <c r="N99" s="100">
        <v>6.7418968916263404</v>
      </c>
      <c r="O99" s="100">
        <v>28372.598878720288</v>
      </c>
      <c r="P99" s="100">
        <v>5.0088196298610219</v>
      </c>
      <c r="Q99" s="100">
        <v>21079.116530307121</v>
      </c>
      <c r="R99" s="100">
        <v>8.1368375699543538</v>
      </c>
      <c r="S99" s="100">
        <v>34243.0672293959</v>
      </c>
      <c r="T99" s="100">
        <v>5.8197713794575687</v>
      </c>
      <c r="U99" s="100">
        <v>24491.925873309228</v>
      </c>
      <c r="V99" s="100">
        <v>6</v>
      </c>
      <c r="W99" s="100">
        <v>25250.399999999998</v>
      </c>
      <c r="X99" s="100">
        <v>5.6912620757296875</v>
      </c>
      <c r="Y99" s="100">
        <v>23951.107319500814</v>
      </c>
      <c r="Z99" s="100">
        <v>2.9511024036288322</v>
      </c>
      <c r="AA99" s="100">
        <v>12419.419355431577</v>
      </c>
      <c r="AB99" s="100">
        <v>11</v>
      </c>
      <c r="AC99" s="100">
        <v>46292.399999999994</v>
      </c>
      <c r="AD99" s="100">
        <v>2.448255247795514</v>
      </c>
      <c r="AE99" s="100">
        <v>10303.23738482264</v>
      </c>
      <c r="AF99" s="100">
        <v>9</v>
      </c>
      <c r="AG99" s="100">
        <v>37875.599999999999</v>
      </c>
      <c r="AH99" s="100">
        <v>8.1338861810575356</v>
      </c>
      <c r="AI99" s="100">
        <v>34230.646604362533</v>
      </c>
      <c r="AJ99" s="100">
        <v>2.2754477333353096</v>
      </c>
      <c r="AK99" s="100">
        <v>9575.9942409683154</v>
      </c>
      <c r="AL99" s="100">
        <v>3.321065189364373</v>
      </c>
      <c r="AM99" s="100">
        <v>13976.370742921026</v>
      </c>
      <c r="AN99" s="100">
        <v>4.1254206599033312</v>
      </c>
      <c r="AO99" s="100">
        <v>17361.420305137177</v>
      </c>
      <c r="AP99" s="100">
        <v>6</v>
      </c>
      <c r="AQ99" s="100">
        <v>25250.399999999998</v>
      </c>
      <c r="AR99" s="100">
        <v>7.3275600505948111</v>
      </c>
      <c r="AS99" s="100">
        <v>30837.303716923201</v>
      </c>
      <c r="AT99" s="100">
        <v>7</v>
      </c>
      <c r="AU99" s="100">
        <v>29458.799999999996</v>
      </c>
      <c r="AV99" s="100">
        <v>9</v>
      </c>
      <c r="AW99" s="100">
        <v>37875.599999999999</v>
      </c>
      <c r="AX99" s="100">
        <v>6.8416399347529291</v>
      </c>
      <c r="AY99" s="100">
        <v>28792.357501414222</v>
      </c>
      <c r="AZ99" s="100">
        <v>0</v>
      </c>
      <c r="BA99" s="100">
        <v>0</v>
      </c>
      <c r="BB99" s="100">
        <v>6.0096593032334749</v>
      </c>
      <c r="BC99" s="100">
        <v>25291.050211727754</v>
      </c>
      <c r="BD99" s="100">
        <v>5</v>
      </c>
      <c r="BE99" s="100">
        <v>21042</v>
      </c>
      <c r="BF99" s="100">
        <v>6.5484831953044278</v>
      </c>
      <c r="BG99" s="100">
        <v>27558.63667911915</v>
      </c>
      <c r="BH99" s="100">
        <v>0.7311270577208</v>
      </c>
      <c r="BI99" s="100">
        <v>3076.8751097122145</v>
      </c>
      <c r="BJ99" s="100">
        <v>6.6700208841289879</v>
      </c>
      <c r="BK99" s="100">
        <v>28070.115888768429</v>
      </c>
      <c r="BL99" s="100">
        <v>6.5612705436268852</v>
      </c>
      <c r="BM99" s="100">
        <v>27612.450955799381</v>
      </c>
      <c r="BN99" s="100">
        <v>6</v>
      </c>
      <c r="BO99" s="100">
        <v>25250.399999999998</v>
      </c>
      <c r="BP99" s="100">
        <v>11</v>
      </c>
      <c r="BQ99" s="100">
        <v>46292.399999999994</v>
      </c>
      <c r="BR99" s="100">
        <v>8</v>
      </c>
      <c r="BS99" s="100">
        <v>33667.199999999997</v>
      </c>
      <c r="BT99" s="100">
        <v>5.4066601845561317</v>
      </c>
      <c r="BU99" s="100">
        <v>22753.388720686024</v>
      </c>
      <c r="BV99" s="100">
        <v>4.9076169919810848</v>
      </c>
      <c r="BW99" s="100">
        <v>20653.215349053196</v>
      </c>
      <c r="BX99" s="100">
        <v>2.862648397771792</v>
      </c>
      <c r="BY99" s="100">
        <v>12047.169517182809</v>
      </c>
      <c r="BZ99" s="100">
        <v>2.1072813779587651</v>
      </c>
      <c r="CA99" s="100">
        <v>8868.2829510016672</v>
      </c>
      <c r="CB99" s="100">
        <v>2.2787365990003607</v>
      </c>
      <c r="CC99" s="100">
        <v>9589.8351032331175</v>
      </c>
      <c r="CD99" s="100">
        <v>3.3461613059666018</v>
      </c>
      <c r="CE99" s="100">
        <v>14081.985240029846</v>
      </c>
      <c r="CF99" s="100">
        <v>4.7344069804993998</v>
      </c>
      <c r="CG99" s="100">
        <v>19924.278336733671</v>
      </c>
      <c r="CH99" s="100">
        <v>5.7241429225434555</v>
      </c>
      <c r="CI99" s="100">
        <v>24089.483075231878</v>
      </c>
      <c r="CJ99" s="100">
        <v>4.3857128816486464</v>
      </c>
      <c r="CK99" s="100">
        <v>18456.83409113016</v>
      </c>
      <c r="CL99" s="100">
        <v>5.709860887787368</v>
      </c>
      <c r="CM99" s="100">
        <v>24029.378560164358</v>
      </c>
      <c r="CN99" s="100">
        <v>10</v>
      </c>
      <c r="CO99" s="100">
        <v>42084</v>
      </c>
      <c r="CP99" s="100">
        <v>6.9270319697746592</v>
      </c>
      <c r="CQ99" s="100">
        <v>29151.721341599674</v>
      </c>
      <c r="CR99" s="100">
        <v>7.3975109070303118</v>
      </c>
      <c r="CS99" s="100">
        <v>31131.68490114636</v>
      </c>
      <c r="CT99" s="100">
        <v>6.4767906653827625</v>
      </c>
      <c r="CU99" s="100">
        <v>27256.925836196817</v>
      </c>
    </row>
    <row r="100" spans="2:99">
      <c r="C100" s="99" t="s">
        <v>266</v>
      </c>
      <c r="D100" s="100">
        <v>7</v>
      </c>
      <c r="E100" s="100">
        <v>2268</v>
      </c>
      <c r="F100" s="100">
        <v>7</v>
      </c>
      <c r="G100" s="100">
        <v>2268</v>
      </c>
      <c r="H100" s="100">
        <v>12</v>
      </c>
      <c r="I100" s="100">
        <v>3888</v>
      </c>
      <c r="J100" s="100">
        <v>9</v>
      </c>
      <c r="K100" s="100">
        <v>2916</v>
      </c>
      <c r="L100" s="100">
        <v>12</v>
      </c>
      <c r="M100" s="100">
        <v>3888</v>
      </c>
      <c r="N100" s="100">
        <v>8.4273711145329244</v>
      </c>
      <c r="O100" s="100">
        <v>2730.4682411086674</v>
      </c>
      <c r="P100" s="100">
        <v>5.7243652912697396</v>
      </c>
      <c r="Q100" s="100">
        <v>1854.6943543713955</v>
      </c>
      <c r="R100" s="100">
        <v>9.0409306332826151</v>
      </c>
      <c r="S100" s="100">
        <v>2929.2615251835673</v>
      </c>
      <c r="T100" s="100">
        <v>6.9837256553490823</v>
      </c>
      <c r="U100" s="100">
        <v>2262.7271123331025</v>
      </c>
      <c r="V100" s="100">
        <v>8</v>
      </c>
      <c r="W100" s="100">
        <v>2592</v>
      </c>
      <c r="X100" s="100">
        <v>7.8254853541283209</v>
      </c>
      <c r="Y100" s="100">
        <v>2535.457254737576</v>
      </c>
      <c r="Z100" s="100">
        <v>3.6069029377685724</v>
      </c>
      <c r="AA100" s="100">
        <v>1168.6365518370174</v>
      </c>
      <c r="AB100" s="100">
        <v>13</v>
      </c>
      <c r="AC100" s="100">
        <v>4212</v>
      </c>
      <c r="AD100" s="100">
        <v>3.0603190597443923</v>
      </c>
      <c r="AE100" s="100">
        <v>991.54337535718309</v>
      </c>
      <c r="AF100" s="100">
        <v>11</v>
      </c>
      <c r="AG100" s="100">
        <v>3564</v>
      </c>
      <c r="AH100" s="100">
        <v>9.9414164435147665</v>
      </c>
      <c r="AI100" s="100">
        <v>3221.0189276987844</v>
      </c>
      <c r="AJ100" s="100">
        <v>2.6546890222245279</v>
      </c>
      <c r="AK100" s="100">
        <v>860.11924320074706</v>
      </c>
      <c r="AL100" s="100">
        <v>3.8745760542584358</v>
      </c>
      <c r="AM100" s="100">
        <v>1255.3626415797332</v>
      </c>
      <c r="AN100" s="100">
        <v>4.812990769887219</v>
      </c>
      <c r="AO100" s="100">
        <v>1559.4090094434589</v>
      </c>
      <c r="AP100" s="100">
        <v>7</v>
      </c>
      <c r="AQ100" s="100">
        <v>2268</v>
      </c>
      <c r="AR100" s="100">
        <v>7.3275600505948111</v>
      </c>
      <c r="AS100" s="100">
        <v>2374.1294563927186</v>
      </c>
      <c r="AT100" s="100">
        <v>8</v>
      </c>
      <c r="AU100" s="100">
        <v>2592</v>
      </c>
      <c r="AV100" s="100">
        <v>11</v>
      </c>
      <c r="AW100" s="100">
        <v>3564</v>
      </c>
      <c r="AX100" s="100">
        <v>7.6018221497254768</v>
      </c>
      <c r="AY100" s="100">
        <v>2462.9903765110544</v>
      </c>
      <c r="AZ100" s="100">
        <v>0</v>
      </c>
      <c r="BA100" s="100">
        <v>0</v>
      </c>
      <c r="BB100" s="100">
        <v>8.6806189935594631</v>
      </c>
      <c r="BC100" s="100">
        <v>2812.5205539132662</v>
      </c>
      <c r="BD100" s="100">
        <v>8</v>
      </c>
      <c r="BE100" s="100">
        <v>2592</v>
      </c>
      <c r="BF100" s="100">
        <v>7.8581798343653135</v>
      </c>
      <c r="BG100" s="100">
        <v>2546.0502663343614</v>
      </c>
      <c r="BH100" s="100">
        <v>0.87735246926495991</v>
      </c>
      <c r="BI100" s="100">
        <v>284.262200041847</v>
      </c>
      <c r="BJ100" s="100">
        <v>8.3375261051612348</v>
      </c>
      <c r="BK100" s="100">
        <v>2701.35845807224</v>
      </c>
      <c r="BL100" s="100">
        <v>7.498594907002154</v>
      </c>
      <c r="BM100" s="100">
        <v>2429.5447498686981</v>
      </c>
      <c r="BN100" s="100">
        <v>7</v>
      </c>
      <c r="BO100" s="100">
        <v>2268</v>
      </c>
      <c r="BP100" s="100">
        <v>14</v>
      </c>
      <c r="BQ100" s="100">
        <v>4536</v>
      </c>
      <c r="BR100" s="100">
        <v>11</v>
      </c>
      <c r="BS100" s="100">
        <v>3564</v>
      </c>
      <c r="BT100" s="100">
        <v>7.4341577537646799</v>
      </c>
      <c r="BU100" s="100">
        <v>2408.6671122197563</v>
      </c>
      <c r="BV100" s="100">
        <v>6.3799020895754115</v>
      </c>
      <c r="BW100" s="100">
        <v>2067.0882770224334</v>
      </c>
      <c r="BX100" s="100">
        <v>3.6433706880731895</v>
      </c>
      <c r="BY100" s="100">
        <v>1180.4521029357134</v>
      </c>
      <c r="BZ100" s="100">
        <v>2.4584949409518928</v>
      </c>
      <c r="CA100" s="100">
        <v>796.5523608684133</v>
      </c>
      <c r="CB100" s="100">
        <v>2.8484207487504505</v>
      </c>
      <c r="CC100" s="100">
        <v>922.88832259514595</v>
      </c>
      <c r="CD100" s="100">
        <v>3.6503577883272023</v>
      </c>
      <c r="CE100" s="100">
        <v>1182.7159234180135</v>
      </c>
      <c r="CF100" s="100">
        <v>6.3125426406658667</v>
      </c>
      <c r="CG100" s="100">
        <v>2045.2638155757409</v>
      </c>
      <c r="CH100" s="100">
        <v>6.2445195518655874</v>
      </c>
      <c r="CI100" s="100">
        <v>2023.2243348044503</v>
      </c>
      <c r="CJ100" s="100">
        <v>5.3603157442372336</v>
      </c>
      <c r="CK100" s="100">
        <v>1736.7423011328638</v>
      </c>
      <c r="CL100" s="100">
        <v>6.9787188628512276</v>
      </c>
      <c r="CM100" s="100">
        <v>2261.1049115637979</v>
      </c>
      <c r="CN100" s="100">
        <v>13</v>
      </c>
      <c r="CO100" s="100">
        <v>4212</v>
      </c>
      <c r="CP100" s="100">
        <v>9.5246689584401558</v>
      </c>
      <c r="CQ100" s="100">
        <v>3085.9927425346104</v>
      </c>
      <c r="CR100" s="100">
        <v>8.1372619977333436</v>
      </c>
      <c r="CS100" s="100">
        <v>2636.4728872656033</v>
      </c>
      <c r="CT100" s="100">
        <v>8.4198278649975915</v>
      </c>
      <c r="CU100" s="100">
        <v>2728.0242282592199</v>
      </c>
    </row>
    <row r="101" spans="2:99">
      <c r="C101" s="99" t="s">
        <v>267</v>
      </c>
      <c r="D101" s="100">
        <v>7</v>
      </c>
      <c r="E101" s="100">
        <v>5065.2</v>
      </c>
      <c r="F101" s="100">
        <v>8</v>
      </c>
      <c r="G101" s="100">
        <v>5788.8</v>
      </c>
      <c r="H101" s="100">
        <v>11</v>
      </c>
      <c r="I101" s="100">
        <v>7959.6</v>
      </c>
      <c r="J101" s="100">
        <v>11</v>
      </c>
      <c r="K101" s="100">
        <v>7959.6</v>
      </c>
      <c r="L101" s="100">
        <v>12</v>
      </c>
      <c r="M101" s="100">
        <v>8683.2000000000007</v>
      </c>
      <c r="N101" s="100">
        <v>8.4273711145329244</v>
      </c>
      <c r="O101" s="100">
        <v>6098.0457384760239</v>
      </c>
      <c r="P101" s="100">
        <v>7.155456614087174</v>
      </c>
      <c r="Q101" s="100">
        <v>5177.6884059534796</v>
      </c>
      <c r="R101" s="100">
        <v>9.0409306332826151</v>
      </c>
      <c r="S101" s="100">
        <v>6542.0174062433007</v>
      </c>
      <c r="T101" s="100">
        <v>6.401748517403326</v>
      </c>
      <c r="U101" s="100">
        <v>4632.3052271930464</v>
      </c>
      <c r="V101" s="100">
        <v>7</v>
      </c>
      <c r="W101" s="100">
        <v>5065.2</v>
      </c>
      <c r="X101" s="100">
        <v>7.8254853541283209</v>
      </c>
      <c r="Y101" s="100">
        <v>5662.5212022472533</v>
      </c>
      <c r="Z101" s="100">
        <v>3.9348032048384431</v>
      </c>
      <c r="AA101" s="100">
        <v>2847.2235990210975</v>
      </c>
      <c r="AB101" s="100">
        <v>14</v>
      </c>
      <c r="AC101" s="100">
        <v>10130.4</v>
      </c>
      <c r="AD101" s="100">
        <v>3.3663509657188317</v>
      </c>
      <c r="AE101" s="100">
        <v>2435.8915587941469</v>
      </c>
      <c r="AF101" s="100">
        <v>10</v>
      </c>
      <c r="AG101" s="100">
        <v>7236</v>
      </c>
      <c r="AH101" s="100">
        <v>9.037651312286151</v>
      </c>
      <c r="AI101" s="100">
        <v>6539.6444895702589</v>
      </c>
      <c r="AJ101" s="100">
        <v>2.6546890222245279</v>
      </c>
      <c r="AK101" s="100">
        <v>1920.9329764816684</v>
      </c>
      <c r="AL101" s="100">
        <v>4.4280869191524976</v>
      </c>
      <c r="AM101" s="100">
        <v>3204.1636946987473</v>
      </c>
      <c r="AN101" s="100">
        <v>4.812990769887219</v>
      </c>
      <c r="AO101" s="100">
        <v>3482.6801210903918</v>
      </c>
      <c r="AP101" s="100">
        <v>8</v>
      </c>
      <c r="AQ101" s="100">
        <v>5788.8</v>
      </c>
      <c r="AR101" s="100">
        <v>7.3275600505948111</v>
      </c>
      <c r="AS101" s="100">
        <v>5302.2224526104055</v>
      </c>
      <c r="AT101" s="100">
        <v>7</v>
      </c>
      <c r="AU101" s="100">
        <v>5065.2</v>
      </c>
      <c r="AV101" s="100">
        <v>11</v>
      </c>
      <c r="AW101" s="100">
        <v>7959.6</v>
      </c>
      <c r="AX101" s="100">
        <v>6.8416399347529291</v>
      </c>
      <c r="AY101" s="100">
        <v>4950.6106567872193</v>
      </c>
      <c r="AZ101" s="100">
        <v>0</v>
      </c>
      <c r="BA101" s="100">
        <v>0</v>
      </c>
      <c r="BB101" s="100">
        <v>7.345139148396469</v>
      </c>
      <c r="BC101" s="100">
        <v>5314.942687779685</v>
      </c>
      <c r="BD101" s="100">
        <v>7</v>
      </c>
      <c r="BE101" s="100">
        <v>5065.2</v>
      </c>
      <c r="BF101" s="100">
        <v>8.5130281538957568</v>
      </c>
      <c r="BG101" s="100">
        <v>6160.0271721589697</v>
      </c>
      <c r="BH101" s="100">
        <v>0.95046517503703998</v>
      </c>
      <c r="BI101" s="100">
        <v>687.75660065680211</v>
      </c>
      <c r="BJ101" s="100">
        <v>7.5037734946451113</v>
      </c>
      <c r="BK101" s="100">
        <v>5429.7305007252025</v>
      </c>
      <c r="BL101" s="100">
        <v>6.5612705436268852</v>
      </c>
      <c r="BM101" s="100">
        <v>4747.735365368414</v>
      </c>
      <c r="BN101" s="100">
        <v>7</v>
      </c>
      <c r="BO101" s="100">
        <v>5065.2</v>
      </c>
      <c r="BP101" s="100">
        <v>14</v>
      </c>
      <c r="BQ101" s="100">
        <v>10130.4</v>
      </c>
      <c r="BR101" s="100">
        <v>9</v>
      </c>
      <c r="BS101" s="100">
        <v>6512.4000000000005</v>
      </c>
      <c r="BT101" s="100">
        <v>7.4341577537646799</v>
      </c>
      <c r="BU101" s="100">
        <v>5379.356550624123</v>
      </c>
      <c r="BV101" s="100">
        <v>6.8706637887735189</v>
      </c>
      <c r="BW101" s="100">
        <v>4971.6123175565181</v>
      </c>
      <c r="BX101" s="100">
        <v>3.1228891612055909</v>
      </c>
      <c r="BY101" s="100">
        <v>2259.7225970483655</v>
      </c>
      <c r="BZ101" s="100">
        <v>2.4584949409518928</v>
      </c>
      <c r="CA101" s="100">
        <v>1778.9669392727897</v>
      </c>
      <c r="CB101" s="100">
        <v>2.8484207487504505</v>
      </c>
      <c r="CC101" s="100">
        <v>2061.1172537958259</v>
      </c>
      <c r="CD101" s="100">
        <v>3.6503577883272023</v>
      </c>
      <c r="CE101" s="100">
        <v>2641.3988956335638</v>
      </c>
      <c r="CF101" s="100">
        <v>6.3125426406658667</v>
      </c>
      <c r="CG101" s="100">
        <v>4567.7558547858216</v>
      </c>
      <c r="CH101" s="100">
        <v>6.2445195518655874</v>
      </c>
      <c r="CI101" s="100">
        <v>4518.5343477299393</v>
      </c>
      <c r="CJ101" s="100">
        <v>5.8476171755315285</v>
      </c>
      <c r="CK101" s="100">
        <v>4231.3357882146138</v>
      </c>
      <c r="CL101" s="100">
        <v>6.3442898753192978</v>
      </c>
      <c r="CM101" s="100">
        <v>4590.7281537810441</v>
      </c>
      <c r="CN101" s="100">
        <v>14</v>
      </c>
      <c r="CO101" s="100">
        <v>10130.4</v>
      </c>
      <c r="CP101" s="100">
        <v>8.6587899622183233</v>
      </c>
      <c r="CQ101" s="100">
        <v>6265.5004166611789</v>
      </c>
      <c r="CR101" s="100">
        <v>8.1372619977333436</v>
      </c>
      <c r="CS101" s="100">
        <v>5888.1227815598477</v>
      </c>
      <c r="CT101" s="100">
        <v>8.4198278649975915</v>
      </c>
      <c r="CU101" s="100">
        <v>6092.5874431122575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7</v>
      </c>
      <c r="G102" s="100">
        <v>3721.2000000000003</v>
      </c>
      <c r="H102" s="100">
        <v>10</v>
      </c>
      <c r="I102" s="100">
        <v>5316</v>
      </c>
      <c r="J102" s="100">
        <v>10</v>
      </c>
      <c r="K102" s="100">
        <v>5316</v>
      </c>
      <c r="L102" s="100">
        <v>12</v>
      </c>
      <c r="M102" s="100">
        <v>6379.2000000000007</v>
      </c>
      <c r="N102" s="100">
        <v>8.4273711145329244</v>
      </c>
      <c r="O102" s="100">
        <v>4479.9904844857028</v>
      </c>
      <c r="P102" s="100">
        <v>7.155456614087174</v>
      </c>
      <c r="Q102" s="100">
        <v>3803.8407360487417</v>
      </c>
      <c r="R102" s="100">
        <v>8.1368375699543538</v>
      </c>
      <c r="S102" s="100">
        <v>4325.5428521877348</v>
      </c>
      <c r="T102" s="100">
        <v>7.5657027932948386</v>
      </c>
      <c r="U102" s="100">
        <v>4021.9276049155364</v>
      </c>
      <c r="V102" s="100">
        <v>7</v>
      </c>
      <c r="W102" s="100">
        <v>3721.2000000000003</v>
      </c>
      <c r="X102" s="100">
        <v>7.8254853541283209</v>
      </c>
      <c r="Y102" s="100">
        <v>4160.0280142546153</v>
      </c>
      <c r="Z102" s="100">
        <v>3.9348032048384431</v>
      </c>
      <c r="AA102" s="100">
        <v>2091.7413836921164</v>
      </c>
      <c r="AB102" s="100">
        <v>13</v>
      </c>
      <c r="AC102" s="100">
        <v>6910.8</v>
      </c>
      <c r="AD102" s="100">
        <v>3.0603190597443923</v>
      </c>
      <c r="AE102" s="100">
        <v>1626.8656121601191</v>
      </c>
      <c r="AF102" s="100">
        <v>11</v>
      </c>
      <c r="AG102" s="100">
        <v>5847.6</v>
      </c>
      <c r="AH102" s="100">
        <v>9.9414164435147665</v>
      </c>
      <c r="AI102" s="100">
        <v>5284.8569813724498</v>
      </c>
      <c r="AJ102" s="100">
        <v>3.0339303111137461</v>
      </c>
      <c r="AK102" s="100">
        <v>1612.8373533880674</v>
      </c>
      <c r="AL102" s="100">
        <v>4.4280869191524976</v>
      </c>
      <c r="AM102" s="100">
        <v>2353.9710062214676</v>
      </c>
      <c r="AN102" s="100">
        <v>4.1254206599033312</v>
      </c>
      <c r="AO102" s="100">
        <v>2193.0736228046107</v>
      </c>
      <c r="AP102" s="100">
        <v>7</v>
      </c>
      <c r="AQ102" s="100">
        <v>3721.2000000000003</v>
      </c>
      <c r="AR102" s="100">
        <v>8.0603160556542921</v>
      </c>
      <c r="AS102" s="100">
        <v>4284.8640151858217</v>
      </c>
      <c r="AT102" s="100">
        <v>8</v>
      </c>
      <c r="AU102" s="100">
        <v>4252.8</v>
      </c>
      <c r="AV102" s="100">
        <v>11</v>
      </c>
      <c r="AW102" s="100">
        <v>5847.6</v>
      </c>
      <c r="AX102" s="100">
        <v>7.6018221497254768</v>
      </c>
      <c r="AY102" s="100">
        <v>4041.1286547940636</v>
      </c>
      <c r="AZ102" s="100">
        <v>0</v>
      </c>
      <c r="BA102" s="100">
        <v>0</v>
      </c>
      <c r="BB102" s="100">
        <v>8.0128790709779665</v>
      </c>
      <c r="BC102" s="100">
        <v>4259.6465141318868</v>
      </c>
      <c r="BD102" s="100">
        <v>8</v>
      </c>
      <c r="BE102" s="100">
        <v>4252.8</v>
      </c>
      <c r="BF102" s="100">
        <v>7.8581798343653135</v>
      </c>
      <c r="BG102" s="100">
        <v>4177.4083999486011</v>
      </c>
      <c r="BH102" s="100">
        <v>0.95046517503703998</v>
      </c>
      <c r="BI102" s="100">
        <v>505.26728704969048</v>
      </c>
      <c r="BJ102" s="100">
        <v>8.3375261051612348</v>
      </c>
      <c r="BK102" s="100">
        <v>4432.2288775037123</v>
      </c>
      <c r="BL102" s="100">
        <v>8.4359192703774237</v>
      </c>
      <c r="BM102" s="100">
        <v>4484.5346841326391</v>
      </c>
      <c r="BN102" s="100">
        <v>8</v>
      </c>
      <c r="BO102" s="100">
        <v>4252.8</v>
      </c>
      <c r="BP102" s="100">
        <v>14</v>
      </c>
      <c r="BQ102" s="100">
        <v>7442.4000000000005</v>
      </c>
      <c r="BR102" s="100">
        <v>10</v>
      </c>
      <c r="BS102" s="100">
        <v>5316</v>
      </c>
      <c r="BT102" s="100">
        <v>8.1099902768341963</v>
      </c>
      <c r="BU102" s="100">
        <v>4311.2708311650586</v>
      </c>
      <c r="BV102" s="100">
        <v>6.3799020895754115</v>
      </c>
      <c r="BW102" s="100">
        <v>3391.5559508182887</v>
      </c>
      <c r="BX102" s="100">
        <v>3.1228891612055909</v>
      </c>
      <c r="BY102" s="100">
        <v>1660.1278780968921</v>
      </c>
      <c r="BZ102" s="100">
        <v>2.4584949409518928</v>
      </c>
      <c r="CA102" s="100">
        <v>1306.9359106100262</v>
      </c>
      <c r="CB102" s="100">
        <v>2.8484207487504505</v>
      </c>
      <c r="CC102" s="100">
        <v>1514.2204700357395</v>
      </c>
      <c r="CD102" s="100">
        <v>3.3461613059666018</v>
      </c>
      <c r="CE102" s="100">
        <v>1778.8193502518457</v>
      </c>
      <c r="CF102" s="100">
        <v>5.5234748105826332</v>
      </c>
      <c r="CG102" s="100">
        <v>2936.2792093057278</v>
      </c>
      <c r="CH102" s="100">
        <v>6.7648961811877202</v>
      </c>
      <c r="CI102" s="100">
        <v>3596.2188099193922</v>
      </c>
      <c r="CJ102" s="100">
        <v>5.8476171755315285</v>
      </c>
      <c r="CK102" s="100">
        <v>3108.5932905125605</v>
      </c>
      <c r="CL102" s="100">
        <v>6.3442898753192978</v>
      </c>
      <c r="CM102" s="100">
        <v>3372.6244977197389</v>
      </c>
      <c r="CN102" s="100">
        <v>12</v>
      </c>
      <c r="CO102" s="100">
        <v>6379.2000000000007</v>
      </c>
      <c r="CP102" s="100">
        <v>9.5246689584401558</v>
      </c>
      <c r="CQ102" s="100">
        <v>5063.3140183067871</v>
      </c>
      <c r="CR102" s="100">
        <v>9.6167641791394054</v>
      </c>
      <c r="CS102" s="100">
        <v>5112.2718376305083</v>
      </c>
      <c r="CT102" s="100">
        <v>7.1244697319210388</v>
      </c>
      <c r="CU102" s="100">
        <v>3787.3681094892245</v>
      </c>
    </row>
    <row r="103" spans="2:99">
      <c r="C103" s="99" t="s">
        <v>269</v>
      </c>
      <c r="D103" s="100">
        <v>6</v>
      </c>
      <c r="E103" s="100">
        <v>3535.2</v>
      </c>
      <c r="F103" s="100">
        <v>7</v>
      </c>
      <c r="G103" s="100">
        <v>4124.3999999999996</v>
      </c>
      <c r="H103" s="100">
        <v>12</v>
      </c>
      <c r="I103" s="100">
        <v>7070.4</v>
      </c>
      <c r="J103" s="100">
        <v>10</v>
      </c>
      <c r="K103" s="100">
        <v>5891.9999999999991</v>
      </c>
      <c r="L103" s="100">
        <v>11</v>
      </c>
      <c r="M103" s="100">
        <v>6481.1999999999989</v>
      </c>
      <c r="N103" s="100">
        <v>8.4273711145329244</v>
      </c>
      <c r="O103" s="100">
        <v>4965.4070606827981</v>
      </c>
      <c r="P103" s="100">
        <v>5.7243652912697396</v>
      </c>
      <c r="Q103" s="100">
        <v>3372.79602961613</v>
      </c>
      <c r="R103" s="100">
        <v>9.9450236966108765</v>
      </c>
      <c r="S103" s="100">
        <v>5859.6079620431274</v>
      </c>
      <c r="T103" s="100">
        <v>6.9837256553490823</v>
      </c>
      <c r="U103" s="100">
        <v>4114.8111561316791</v>
      </c>
      <c r="V103" s="100">
        <v>7</v>
      </c>
      <c r="W103" s="100">
        <v>4124.3999999999996</v>
      </c>
      <c r="X103" s="100">
        <v>7.1140775946621106</v>
      </c>
      <c r="Y103" s="100">
        <v>4191.6145187749153</v>
      </c>
      <c r="Z103" s="100">
        <v>3.6069029377685724</v>
      </c>
      <c r="AA103" s="100">
        <v>2125.1872109332426</v>
      </c>
      <c r="AB103" s="100">
        <v>14</v>
      </c>
      <c r="AC103" s="100">
        <v>8248.7999999999993</v>
      </c>
      <c r="AD103" s="100">
        <v>3.0603190597443923</v>
      </c>
      <c r="AE103" s="100">
        <v>1803.1399900013957</v>
      </c>
      <c r="AF103" s="100">
        <v>10</v>
      </c>
      <c r="AG103" s="100">
        <v>5891.9999999999991</v>
      </c>
      <c r="AH103" s="100">
        <v>9.037651312286151</v>
      </c>
      <c r="AI103" s="100">
        <v>5324.9841531989996</v>
      </c>
      <c r="AJ103" s="100">
        <v>3.0339303111137461</v>
      </c>
      <c r="AK103" s="100">
        <v>1787.5917393082191</v>
      </c>
      <c r="AL103" s="100">
        <v>4.4280869191524976</v>
      </c>
      <c r="AM103" s="100">
        <v>2609.0288127646513</v>
      </c>
      <c r="AN103" s="100">
        <v>5.5005608798711076</v>
      </c>
      <c r="AO103" s="100">
        <v>3240.9304704200563</v>
      </c>
      <c r="AP103" s="100">
        <v>7</v>
      </c>
      <c r="AQ103" s="100">
        <v>4124.3999999999996</v>
      </c>
      <c r="AR103" s="100">
        <v>8.7930720607137722</v>
      </c>
      <c r="AS103" s="100">
        <v>5180.8780581725541</v>
      </c>
      <c r="AT103" s="100">
        <v>8</v>
      </c>
      <c r="AU103" s="100">
        <v>4713.5999999999995</v>
      </c>
      <c r="AV103" s="100">
        <v>11</v>
      </c>
      <c r="AW103" s="100">
        <v>6481.1999999999989</v>
      </c>
      <c r="AX103" s="100">
        <v>6.8416399347529291</v>
      </c>
      <c r="AY103" s="100">
        <v>4031.0942495564254</v>
      </c>
      <c r="AZ103" s="100">
        <v>0</v>
      </c>
      <c r="BA103" s="100">
        <v>0</v>
      </c>
      <c r="BB103" s="100">
        <v>7.345139148396469</v>
      </c>
      <c r="BC103" s="100">
        <v>4327.7559862351991</v>
      </c>
      <c r="BD103" s="100">
        <v>6</v>
      </c>
      <c r="BE103" s="100">
        <v>3535.2</v>
      </c>
      <c r="BF103" s="100">
        <v>8.5130281538957568</v>
      </c>
      <c r="BG103" s="100">
        <v>5015.8761882753797</v>
      </c>
      <c r="BH103" s="100">
        <v>0.95046517503703998</v>
      </c>
      <c r="BI103" s="100">
        <v>560.0140811318239</v>
      </c>
      <c r="BJ103" s="100">
        <v>8.3375261051612348</v>
      </c>
      <c r="BK103" s="100">
        <v>4912.4703811609988</v>
      </c>
      <c r="BL103" s="100">
        <v>6.5612705436268852</v>
      </c>
      <c r="BM103" s="100">
        <v>3865.9006043049603</v>
      </c>
      <c r="BN103" s="100">
        <v>7</v>
      </c>
      <c r="BO103" s="100">
        <v>4124.3999999999996</v>
      </c>
      <c r="BP103" s="100">
        <v>13</v>
      </c>
      <c r="BQ103" s="100">
        <v>7659.5999999999995</v>
      </c>
      <c r="BR103" s="100">
        <v>9</v>
      </c>
      <c r="BS103" s="100">
        <v>5302.7999999999993</v>
      </c>
      <c r="BT103" s="100">
        <v>6.7583252306951636</v>
      </c>
      <c r="BU103" s="100">
        <v>3982.0052259255899</v>
      </c>
      <c r="BV103" s="100">
        <v>6.8706637887735189</v>
      </c>
      <c r="BW103" s="100">
        <v>4048.1951043453569</v>
      </c>
      <c r="BX103" s="100">
        <v>3.3831299246393902</v>
      </c>
      <c r="BY103" s="100">
        <v>1993.3401515975286</v>
      </c>
      <c r="BZ103" s="100">
        <v>2.1072813779587651</v>
      </c>
      <c r="CA103" s="100">
        <v>1241.6101878933043</v>
      </c>
      <c r="CB103" s="100">
        <v>2.8484207487504505</v>
      </c>
      <c r="CC103" s="100">
        <v>1678.2895051637652</v>
      </c>
      <c r="CD103" s="100">
        <v>3.6503577883272023</v>
      </c>
      <c r="CE103" s="100">
        <v>2150.7908088823874</v>
      </c>
      <c r="CF103" s="100">
        <v>6.3125426406658667</v>
      </c>
      <c r="CG103" s="100">
        <v>3719.3501238803283</v>
      </c>
      <c r="CH103" s="100">
        <v>6.7648961811877202</v>
      </c>
      <c r="CI103" s="100">
        <v>3985.8768299558042</v>
      </c>
      <c r="CJ103" s="100">
        <v>6.3349186068258216</v>
      </c>
      <c r="CK103" s="100">
        <v>3732.5340431417735</v>
      </c>
      <c r="CL103" s="100">
        <v>6.3442898753192978</v>
      </c>
      <c r="CM103" s="100">
        <v>3738.0555945381298</v>
      </c>
      <c r="CN103" s="100">
        <v>13</v>
      </c>
      <c r="CO103" s="100">
        <v>7659.5999999999995</v>
      </c>
      <c r="CP103" s="100">
        <v>9.5246689584401558</v>
      </c>
      <c r="CQ103" s="100">
        <v>5611.9349503129388</v>
      </c>
      <c r="CR103" s="100">
        <v>8.8770130884363745</v>
      </c>
      <c r="CS103" s="100">
        <v>5230.3361117067116</v>
      </c>
      <c r="CT103" s="100">
        <v>8.4198278649975915</v>
      </c>
      <c r="CU103" s="100">
        <v>4960.9625780565802</v>
      </c>
    </row>
    <row r="104" spans="2:99">
      <c r="C104" s="99" t="s">
        <v>270</v>
      </c>
      <c r="D104" s="100">
        <v>6</v>
      </c>
      <c r="E104" s="100">
        <v>3794.3999999999996</v>
      </c>
      <c r="F104" s="100">
        <v>8</v>
      </c>
      <c r="G104" s="100">
        <v>5059.2</v>
      </c>
      <c r="H104" s="100">
        <v>12</v>
      </c>
      <c r="I104" s="100">
        <v>7588.7999999999993</v>
      </c>
      <c r="J104" s="100">
        <v>9</v>
      </c>
      <c r="K104" s="100">
        <v>5691.5999999999995</v>
      </c>
      <c r="L104" s="100">
        <v>11</v>
      </c>
      <c r="M104" s="100">
        <v>6956.4</v>
      </c>
      <c r="N104" s="100">
        <v>8.4273711145329244</v>
      </c>
      <c r="O104" s="100">
        <v>5329.4694928306208</v>
      </c>
      <c r="P104" s="100">
        <v>6.4399109526784564</v>
      </c>
      <c r="Q104" s="100">
        <v>4072.5996864738559</v>
      </c>
      <c r="R104" s="100">
        <v>8.1368375699543538</v>
      </c>
      <c r="S104" s="100">
        <v>5145.7360792391328</v>
      </c>
      <c r="T104" s="100">
        <v>7.5657027932948386</v>
      </c>
      <c r="U104" s="100">
        <v>4784.5504464796559</v>
      </c>
      <c r="V104" s="100">
        <v>7</v>
      </c>
      <c r="W104" s="100">
        <v>4426.8</v>
      </c>
      <c r="X104" s="100">
        <v>7.1140775946621106</v>
      </c>
      <c r="Y104" s="100">
        <v>4498.9426708643186</v>
      </c>
      <c r="Z104" s="100">
        <v>3.9348032048384431</v>
      </c>
      <c r="AA104" s="100">
        <v>2488.3695467398315</v>
      </c>
      <c r="AB104" s="100">
        <v>14</v>
      </c>
      <c r="AC104" s="100">
        <v>8853.6</v>
      </c>
      <c r="AD104" s="100">
        <v>3.0603190597443923</v>
      </c>
      <c r="AE104" s="100">
        <v>1935.3457733823536</v>
      </c>
      <c r="AF104" s="100">
        <v>11</v>
      </c>
      <c r="AG104" s="100">
        <v>6956.4</v>
      </c>
      <c r="AH104" s="100">
        <v>8.1338861810575356</v>
      </c>
      <c r="AI104" s="100">
        <v>5143.8696209007849</v>
      </c>
      <c r="AJ104" s="100">
        <v>3.0339303111137461</v>
      </c>
      <c r="AK104" s="100">
        <v>1918.6575287483329</v>
      </c>
      <c r="AL104" s="100">
        <v>4.4280869191524976</v>
      </c>
      <c r="AM104" s="100">
        <v>2800.3221676720395</v>
      </c>
      <c r="AN104" s="100">
        <v>4.812990769887219</v>
      </c>
      <c r="AO104" s="100">
        <v>3043.7353628766773</v>
      </c>
      <c r="AP104" s="100">
        <v>8</v>
      </c>
      <c r="AQ104" s="100">
        <v>5059.2</v>
      </c>
      <c r="AR104" s="100">
        <v>7.3275600505948111</v>
      </c>
      <c r="AS104" s="100">
        <v>4633.948975996158</v>
      </c>
      <c r="AT104" s="100">
        <v>7</v>
      </c>
      <c r="AU104" s="100">
        <v>4426.8</v>
      </c>
      <c r="AV104" s="100">
        <v>10</v>
      </c>
      <c r="AW104" s="100">
        <v>6324</v>
      </c>
      <c r="AX104" s="100">
        <v>6.8416399347529291</v>
      </c>
      <c r="AY104" s="100">
        <v>4326.6530947377523</v>
      </c>
      <c r="AZ104" s="100">
        <v>0</v>
      </c>
      <c r="BA104" s="100">
        <v>0</v>
      </c>
      <c r="BB104" s="100">
        <v>7.345139148396469</v>
      </c>
      <c r="BC104" s="100">
        <v>4645.0659974459268</v>
      </c>
      <c r="BD104" s="100">
        <v>8</v>
      </c>
      <c r="BE104" s="100">
        <v>5059.2</v>
      </c>
      <c r="BF104" s="100">
        <v>8.5130281538957568</v>
      </c>
      <c r="BG104" s="100">
        <v>5383.6390045236767</v>
      </c>
      <c r="BH104" s="100">
        <v>0.87735246926495991</v>
      </c>
      <c r="BI104" s="100">
        <v>554.83770156316064</v>
      </c>
      <c r="BJ104" s="100">
        <v>7.5037734946451113</v>
      </c>
      <c r="BK104" s="100">
        <v>4745.3863580135685</v>
      </c>
      <c r="BL104" s="100">
        <v>6.5612705436268852</v>
      </c>
      <c r="BM104" s="100">
        <v>4149.3474917896419</v>
      </c>
      <c r="BN104" s="100">
        <v>8</v>
      </c>
      <c r="BO104" s="100">
        <v>5059.2</v>
      </c>
      <c r="BP104" s="100">
        <v>13</v>
      </c>
      <c r="BQ104" s="100">
        <v>8221.1999999999989</v>
      </c>
      <c r="BR104" s="100">
        <v>10</v>
      </c>
      <c r="BS104" s="100">
        <v>6324</v>
      </c>
      <c r="BT104" s="100">
        <v>7.4341577537646799</v>
      </c>
      <c r="BU104" s="100">
        <v>4701.3613634807834</v>
      </c>
      <c r="BV104" s="100">
        <v>5.8891403903773023</v>
      </c>
      <c r="BW104" s="100">
        <v>3724.2923828746057</v>
      </c>
      <c r="BX104" s="100">
        <v>3.6433706880731895</v>
      </c>
      <c r="BY104" s="100">
        <v>2304.067623137485</v>
      </c>
      <c r="BZ104" s="100">
        <v>2.1072813779587651</v>
      </c>
      <c r="CA104" s="100">
        <v>1332.6447434211229</v>
      </c>
      <c r="CB104" s="100">
        <v>3.133262823625496</v>
      </c>
      <c r="CC104" s="100">
        <v>1981.4754096607637</v>
      </c>
      <c r="CD104" s="100">
        <v>3.9545542706878023</v>
      </c>
      <c r="CE104" s="100">
        <v>2500.8601207829661</v>
      </c>
      <c r="CF104" s="100">
        <v>5.5234748105826332</v>
      </c>
      <c r="CG104" s="100">
        <v>3493.0454702124571</v>
      </c>
      <c r="CH104" s="100">
        <v>6.7648961811877202</v>
      </c>
      <c r="CI104" s="100">
        <v>4278.1203449831137</v>
      </c>
      <c r="CJ104" s="100">
        <v>5.8476171755315285</v>
      </c>
      <c r="CK104" s="100">
        <v>3698.0331018061383</v>
      </c>
      <c r="CL104" s="100">
        <v>6.9787188628512276</v>
      </c>
      <c r="CM104" s="100">
        <v>4413.341808867116</v>
      </c>
      <c r="CN104" s="100">
        <v>13</v>
      </c>
      <c r="CO104" s="100">
        <v>8221.1999999999989</v>
      </c>
      <c r="CP104" s="100">
        <v>7.7929109659964917</v>
      </c>
      <c r="CQ104" s="100">
        <v>4928.2368948961812</v>
      </c>
      <c r="CR104" s="100">
        <v>8.1372619977333436</v>
      </c>
      <c r="CS104" s="100">
        <v>5146.0044873665665</v>
      </c>
      <c r="CT104" s="100">
        <v>7.7721487984593152</v>
      </c>
      <c r="CU104" s="100">
        <v>4915.1069001456708</v>
      </c>
    </row>
    <row r="105" spans="2:99">
      <c r="C105" s="99" t="s">
        <v>271</v>
      </c>
      <c r="D105" s="100">
        <v>7</v>
      </c>
      <c r="E105" s="100">
        <v>3897.5999999999995</v>
      </c>
      <c r="F105" s="100">
        <v>8</v>
      </c>
      <c r="G105" s="100">
        <v>4454.3999999999996</v>
      </c>
      <c r="H105" s="100">
        <v>12</v>
      </c>
      <c r="I105" s="100">
        <v>6681.5999999999995</v>
      </c>
      <c r="J105" s="100">
        <v>11</v>
      </c>
      <c r="K105" s="100">
        <v>6124.7999999999993</v>
      </c>
      <c r="L105" s="100">
        <v>12</v>
      </c>
      <c r="M105" s="100">
        <v>6681.5999999999995</v>
      </c>
      <c r="N105" s="100">
        <v>8.4273711145329244</v>
      </c>
      <c r="O105" s="100">
        <v>4692.3602365719316</v>
      </c>
      <c r="P105" s="100">
        <v>6.4399109526784564</v>
      </c>
      <c r="Q105" s="100">
        <v>3585.7424184513643</v>
      </c>
      <c r="R105" s="100">
        <v>9.0409306332826151</v>
      </c>
      <c r="S105" s="100">
        <v>5033.99017661176</v>
      </c>
      <c r="T105" s="100">
        <v>6.9837256553490823</v>
      </c>
      <c r="U105" s="100">
        <v>3888.5384448983687</v>
      </c>
      <c r="V105" s="100">
        <v>8</v>
      </c>
      <c r="W105" s="100">
        <v>4454.3999999999996</v>
      </c>
      <c r="X105" s="100">
        <v>7.8254853541283209</v>
      </c>
      <c r="Y105" s="100">
        <v>4357.2302451786491</v>
      </c>
      <c r="Z105" s="100">
        <v>3.9348032048384431</v>
      </c>
      <c r="AA105" s="100">
        <v>2190.8984244540447</v>
      </c>
      <c r="AB105" s="100">
        <v>14</v>
      </c>
      <c r="AC105" s="100">
        <v>7795.1999999999989</v>
      </c>
      <c r="AD105" s="100">
        <v>3.3663509657188317</v>
      </c>
      <c r="AE105" s="100">
        <v>1874.3842177122453</v>
      </c>
      <c r="AF105" s="100">
        <v>12</v>
      </c>
      <c r="AG105" s="100">
        <v>6681.5999999999995</v>
      </c>
      <c r="AH105" s="100">
        <v>9.9414164435147665</v>
      </c>
      <c r="AI105" s="100">
        <v>5535.380675749022</v>
      </c>
      <c r="AJ105" s="100">
        <v>3.0339303111137461</v>
      </c>
      <c r="AK105" s="100">
        <v>1689.2923972281337</v>
      </c>
      <c r="AL105" s="100">
        <v>3.8745760542584358</v>
      </c>
      <c r="AM105" s="100">
        <v>2157.363947011097</v>
      </c>
      <c r="AN105" s="100">
        <v>4.812990769887219</v>
      </c>
      <c r="AO105" s="100">
        <v>2679.8732606732033</v>
      </c>
      <c r="AP105" s="100">
        <v>7</v>
      </c>
      <c r="AQ105" s="100">
        <v>3897.5999999999995</v>
      </c>
      <c r="AR105" s="100">
        <v>8.7930720607137722</v>
      </c>
      <c r="AS105" s="100">
        <v>4895.9825234054279</v>
      </c>
      <c r="AT105" s="100">
        <v>7</v>
      </c>
      <c r="AU105" s="100">
        <v>3897.5999999999995</v>
      </c>
      <c r="AV105" s="100">
        <v>10</v>
      </c>
      <c r="AW105" s="100">
        <v>5568</v>
      </c>
      <c r="AX105" s="100">
        <v>7.6018221497254768</v>
      </c>
      <c r="AY105" s="100">
        <v>4232.6945729671452</v>
      </c>
      <c r="AZ105" s="100">
        <v>0</v>
      </c>
      <c r="BA105" s="100">
        <v>0</v>
      </c>
      <c r="BB105" s="100">
        <v>7.345139148396469</v>
      </c>
      <c r="BC105" s="100">
        <v>4089.7734778271538</v>
      </c>
      <c r="BD105" s="100">
        <v>7</v>
      </c>
      <c r="BE105" s="100">
        <v>3897.5999999999995</v>
      </c>
      <c r="BF105" s="100">
        <v>9.1678764734261993</v>
      </c>
      <c r="BG105" s="100">
        <v>5104.673620403707</v>
      </c>
      <c r="BH105" s="100">
        <v>0.95046517503703998</v>
      </c>
      <c r="BI105" s="100">
        <v>529.21900946062385</v>
      </c>
      <c r="BJ105" s="100">
        <v>9.1712787156773583</v>
      </c>
      <c r="BK105" s="100">
        <v>5106.5679888891527</v>
      </c>
      <c r="BL105" s="100">
        <v>7.498594907002154</v>
      </c>
      <c r="BM105" s="100">
        <v>4175.2176442187993</v>
      </c>
      <c r="BN105" s="100">
        <v>7</v>
      </c>
      <c r="BO105" s="100">
        <v>3897.5999999999995</v>
      </c>
      <c r="BP105" s="100">
        <v>14</v>
      </c>
      <c r="BQ105" s="100">
        <v>7795.1999999999989</v>
      </c>
      <c r="BR105" s="100">
        <v>10</v>
      </c>
      <c r="BS105" s="100">
        <v>5568</v>
      </c>
      <c r="BT105" s="100">
        <v>7.4341577537646799</v>
      </c>
      <c r="BU105" s="100">
        <v>4139.339037296173</v>
      </c>
      <c r="BV105" s="100">
        <v>7.3614254879716272</v>
      </c>
      <c r="BW105" s="100">
        <v>4098.841711702602</v>
      </c>
      <c r="BX105" s="100">
        <v>3.3831299246393902</v>
      </c>
      <c r="BY105" s="100">
        <v>1883.7267420392122</v>
      </c>
      <c r="BZ105" s="100">
        <v>2.4584949409518928</v>
      </c>
      <c r="CA105" s="100">
        <v>1368.8899831220137</v>
      </c>
      <c r="CB105" s="100">
        <v>3.133262823625496</v>
      </c>
      <c r="CC105" s="100">
        <v>1744.6007401946761</v>
      </c>
      <c r="CD105" s="100">
        <v>3.9545542706878023</v>
      </c>
      <c r="CE105" s="100">
        <v>2201.8958179189681</v>
      </c>
      <c r="CF105" s="100">
        <v>5.5234748105826332</v>
      </c>
      <c r="CG105" s="100">
        <v>3075.4707745324099</v>
      </c>
      <c r="CH105" s="100">
        <v>6.7648961811877202</v>
      </c>
      <c r="CI105" s="100">
        <v>3766.6941936853223</v>
      </c>
      <c r="CJ105" s="100">
        <v>6.3349186068258216</v>
      </c>
      <c r="CK105" s="100">
        <v>3527.2826802806171</v>
      </c>
      <c r="CL105" s="100">
        <v>6.9787188628512276</v>
      </c>
      <c r="CM105" s="100">
        <v>3885.7506628355632</v>
      </c>
      <c r="CN105" s="100">
        <v>13</v>
      </c>
      <c r="CO105" s="100">
        <v>7238.4</v>
      </c>
      <c r="CP105" s="100">
        <v>8.6587899622183233</v>
      </c>
      <c r="CQ105" s="100">
        <v>4821.2142509631622</v>
      </c>
      <c r="CR105" s="100">
        <v>9.6167641791394054</v>
      </c>
      <c r="CS105" s="100">
        <v>5354.6142949448204</v>
      </c>
      <c r="CT105" s="100">
        <v>7.1244697319210388</v>
      </c>
      <c r="CU105" s="100">
        <v>3966.9047467336341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477.19335180183202</v>
      </c>
      <c r="E109" s="100">
        <f>SUM(L$6:L$19)+SUM(N$6:N$19)+SUM(P$6:P$19)+SUM(R$6:R$19)</f>
        <v>346.92868638634417</v>
      </c>
      <c r="F109" s="100">
        <f>SUM(T$6:T$19)+SUM(V$6:V$19)+SUM(X$6:X$19)+SUM(Z$6:Z$19)</f>
        <v>476</v>
      </c>
      <c r="G109" s="100">
        <f>SUM(AB$6:AB$19)+SUM(AD$6:AD$19)+SUM(AF$6:AF$19)+SUM(AH$6:AH$19)</f>
        <v>439</v>
      </c>
      <c r="H109" s="100">
        <f>SUM(AJ$6:AJ$19)+SUM(AL$6:AL$19)+SUM(AN$6:AN$19)+SUM(AP$6:AP$19)</f>
        <v>507</v>
      </c>
      <c r="I109" s="100">
        <f>SUM(AR$6:AR$19)+SUM(AT$6:AT$19)+SUM(AV$6:AV$19)+SUM(AX$6:AX$19)</f>
        <v>460.15649978770779</v>
      </c>
      <c r="J109" s="100">
        <f>SUM(AZ$6:AZ$19)+SUM(BB$6:BB$19)+SUM(BD$6:BD$19)+SUM(BF$6:BF$19)</f>
        <v>329.82882696744332</v>
      </c>
      <c r="K109" s="100">
        <f>SUM(BH$6:BH$19)+SUM(BJ$6:BJ$19)+SUM(BL$6:BL$19)+SUM(BN$6:BN$19)</f>
        <v>430.37761904844297</v>
      </c>
      <c r="L109" s="100">
        <f>SUM(BP$6:BP$19)+SUM(BR$6:BR$19)+SUM(BT$6:BT$19)+SUM(BV$6:BV$19)</f>
        <v>474</v>
      </c>
      <c r="M109" s="100">
        <f>SUM(BX$6:BX$19)+SUM(BZ$6:BZ$19)+SUM(CB$6:CB$19)+SUM(CD$6:CD$19)</f>
        <v>244.92344795433044</v>
      </c>
      <c r="N109" s="100">
        <f>SUM(CF$6:CF$19)+SUM(CH$6:CH$19)+SUM(CJ$6:CJ$19)+SUM(CL$6:CL$19)</f>
        <v>499.30443291851776</v>
      </c>
      <c r="O109" s="100">
        <f>SUM(CN$6:CN$19)+SUM(CP$6:CP$19)+SUM(CR$6:CR$19)+SUM(CT$6:CT$19)</f>
        <v>450.06028953279156</v>
      </c>
    </row>
    <row r="110" spans="2:99">
      <c r="C110" s="99" t="s">
        <v>127</v>
      </c>
      <c r="D110" s="100">
        <f>SUM(D$20:D$36)+SUM(F$20:F$36)+SUM(H$20:H$36)+SUM(J$20:J$36)</f>
        <v>1094.7983697617965</v>
      </c>
      <c r="E110" s="100">
        <f>SUM(L$20:L$36)+SUM(N$20:N$36)+SUM(P$20:P$36)+SUM(R$20:R$36)</f>
        <v>953.30306232522014</v>
      </c>
      <c r="F110" s="100">
        <f>SUM(T$20:T$36)+SUM(V$20:V$36)+SUM(X$20:X$36)+SUM(Z$20:Z$36)</f>
        <v>834</v>
      </c>
      <c r="G110" s="100">
        <f>SUM(AB$20:AB$36)+SUM(AD$20:AD$36)+SUM(AF$20:AF$36)+SUM(AH$20:AH$36)</f>
        <v>1077</v>
      </c>
      <c r="H110" s="100">
        <f>SUM(AJ$20:AJ$36)+SUM(AL$20:AL$36)+SUM(AN$20:AN$36)+SUM(AP$20:AP$36)</f>
        <v>1074</v>
      </c>
      <c r="I110" s="100">
        <f>SUM(AR$20:AR$36)+SUM(AT$20:AT$36)+SUM(AV$20:AV$36)+SUM(AX$20:AX$36)</f>
        <v>1061.9700927370088</v>
      </c>
      <c r="J110" s="100">
        <f>SUM(AZ$20:AZ$36)+SUM(BB$20:BB$36)+SUM(BD$20:BD$36)+SUM(BF$20:BF$36)</f>
        <v>673.35463955434125</v>
      </c>
      <c r="K110" s="100">
        <f>SUM(BH$20:BH$36)+SUM(BJ$20:BJ$36)+SUM(BL$20:BL$36)+SUM(BN$20:BN$36)</f>
        <v>988.84034141769075</v>
      </c>
      <c r="L110" s="100">
        <f>SUM(BP$20:BP$36)+SUM(BR$20:BR$36)+SUM(BT$20:BT$36)+SUM(BV$20:BV$36)</f>
        <v>1316</v>
      </c>
      <c r="M110" s="100">
        <f>SUM(BX$20:BX$36)+SUM(BZ$20:BZ$36)+SUM(CB$20:CB$36)+SUM(CD$20:CD$36)</f>
        <v>612.58527401532274</v>
      </c>
      <c r="N110" s="100">
        <f>SUM(CF$20:CF$36)+SUM(CH$20:CH$36)+SUM(CJ$20:CJ$36)+SUM(CL$20:CL$36)</f>
        <v>927.45757121417762</v>
      </c>
      <c r="O110" s="100">
        <f>SUM(CN$20:CN$36)+SUM(CP$20:CP$36)+SUM(CR$20:CR$36)+SUM(CT$20:CT$36)</f>
        <v>1133.1577778376704</v>
      </c>
    </row>
    <row r="111" spans="2:99">
      <c r="C111" s="99" t="s">
        <v>128</v>
      </c>
      <c r="D111" s="100">
        <f>SUM(D$37:D$48)+SUM(F$37:F$48)+SUM(H$37:H$48)+SUM(J$37:J$48)</f>
        <v>580.47699224633789</v>
      </c>
      <c r="E111" s="100">
        <f>SUM(L$37:L$48)+SUM(N$37:N$48)+SUM(P$37:P$48)+SUM(R$37:R$48)</f>
        <v>438.8999772410196</v>
      </c>
      <c r="F111" s="100">
        <f>SUM(T$37:T$48)+SUM(V$37:V$48)+SUM(X$37:X$48)+SUM(Z$37:Z$48)</f>
        <v>432</v>
      </c>
      <c r="G111" s="100">
        <f>SUM(AB$37:AB$48)+SUM(AD$37:AD$48)+SUM(AF$37:AF$48)+SUM(AH$37:AH$48)</f>
        <v>534</v>
      </c>
      <c r="H111" s="100">
        <f>SUM(AJ$37:AJ$48)+SUM(AL$37:AL$48)+SUM(AN$37:AN$48)+SUM(AP$37:AP$48)</f>
        <v>510</v>
      </c>
      <c r="I111" s="100">
        <f>SUM(AR$37:AR$48)+SUM(AT$37:AT$48)+SUM(AV$37:AV$48)+SUM(AX$37:AX$48)</f>
        <v>534.20958940965443</v>
      </c>
      <c r="J111" s="100">
        <f>SUM(AZ$37:AZ$48)+SUM(BB$37:BB$48)+SUM(BD$37:BD$48)+SUM(BF$37:BF$48)</f>
        <v>365.73575669412702</v>
      </c>
      <c r="K111" s="100">
        <f>SUM(BH$37:BH$48)+SUM(BJ$37:BJ$48)+SUM(BL$37:BL$48)+SUM(BN$37:BN$48)</f>
        <v>491.69160396440833</v>
      </c>
      <c r="L111" s="100">
        <f>SUM(BP$37:BP$48)+SUM(BR$37:BR$48)+SUM(BT$37:BT$48)+SUM(BV$37:BV$48)</f>
        <v>565</v>
      </c>
      <c r="M111" s="100">
        <f>SUM(BX$37:BX$48)+SUM(BZ$37:BZ$48)+SUM(CB$37:CB$48)+SUM(CD$37:CD$48)</f>
        <v>278.11329789465992</v>
      </c>
      <c r="N111" s="100">
        <f>SUM(CF$37:CF$48)+SUM(CH$37:CH$48)+SUM(CJ$37:CJ$48)+SUM(CL$37:CL$48)</f>
        <v>528.83948701313284</v>
      </c>
      <c r="O111" s="100">
        <f>SUM(CN$37:CN$48)+SUM(CP$37:CP$48)+SUM(CR$37:CR$48)+SUM(CT$37:CT$48)</f>
        <v>415.04961448090643</v>
      </c>
    </row>
    <row r="112" spans="2:99">
      <c r="C112" s="99" t="s">
        <v>129</v>
      </c>
      <c r="D112" s="100">
        <f>SUM(D$49:D$70)+SUM(F$49:F$70)+SUM(H$49:H$70)+SUM(J$49:J$70)</f>
        <v>592.97039477058252</v>
      </c>
      <c r="E112" s="100">
        <f>SUM(L$49:L$70)+SUM(N$49:N$70)+SUM(P$49:P$70)+SUM(R$49:R$70)</f>
        <v>546.78865674910003</v>
      </c>
      <c r="F112" s="100">
        <f>SUM(T$49:T$70)+SUM(V$49:V$70)+SUM(X$49:X$70)+SUM(Z$49:Z$70)</f>
        <v>652.85715392175916</v>
      </c>
      <c r="G112" s="100">
        <f>SUM(AB$49:AB$70)+SUM(AD$49:AD$70)+SUM(AF$49:AF$70)+SUM(AH$49:AH$70)</f>
        <v>660.76615557733135</v>
      </c>
      <c r="H112" s="100">
        <f>SUM(AJ$49:AJ$70)+SUM(AL$49:AL$70)+SUM(AN$49:AN$70)+SUM(AP$49:AP$70)</f>
        <v>677.48970282344465</v>
      </c>
      <c r="I112" s="100">
        <f>SUM(AR$49:AR$70)+SUM(AT$49:AT$70)+SUM(AV$49:AV$70)+SUM(AX$49:AX$70)</f>
        <v>748.66537666994464</v>
      </c>
      <c r="J112" s="100">
        <f>SUM(AZ$49:AZ$70)+SUM(BB$49:BB$70)+SUM(BD$49:BD$70)+SUM(BF$49:BF$70)</f>
        <v>504.93247844734674</v>
      </c>
      <c r="K112" s="100">
        <f>SUM(BH$49:BH$70)+SUM(BJ$49:BJ$70)+SUM(BL$49:BL$70)+SUM(BN$49:BN$70)</f>
        <v>656.15066356730915</v>
      </c>
      <c r="L112" s="100">
        <f>SUM(BP$49:BP$70)+SUM(BR$49:BR$70)+SUM(BT$49:BT$70)+SUM(BV$49:BV$70)</f>
        <v>641.20548977926398</v>
      </c>
      <c r="M112" s="100">
        <f>SUM(BX$49:BX$70)+SUM(BZ$49:BZ$70)+SUM(CB$49:CB$70)+SUM(CD$49:CD$70)</f>
        <v>326.90651695172801</v>
      </c>
      <c r="N112" s="100">
        <f>SUM(CF$49:CF$70)+SUM(CH$49:CH$70)+SUM(CJ$49:CJ$70)+SUM(CL$49:CL$70)</f>
        <v>687.04016139538362</v>
      </c>
      <c r="O112" s="100">
        <f>SUM(CN$49:CN$70)+SUM(CP$49:CP$70)+SUM(CR$49:CR$70)+SUM(CT$49:CT$70)</f>
        <v>681.29138671114515</v>
      </c>
    </row>
    <row r="113" spans="2:15">
      <c r="C113" s="99" t="s">
        <v>130</v>
      </c>
      <c r="D113" s="100">
        <f>SUM(D$71:D$86)+SUM(F$71:F$86)+SUM(H$71:H$86)+SUM(J$71:J$86)</f>
        <v>585.87822155298545</v>
      </c>
      <c r="E113" s="100">
        <f>SUM(L$71:L$86)+SUM(N$71:N$86)+SUM(P$71:P$86)+SUM(R$71:R$86)</f>
        <v>531.77767857457025</v>
      </c>
      <c r="F113" s="100">
        <f>SUM(T$71:T$86)+SUM(V$71:V$86)+SUM(X$71:X$86)+SUM(Z$71:Z$86)</f>
        <v>702</v>
      </c>
      <c r="G113" s="100">
        <f>SUM(AB$71:AB$86)+SUM(AD$71:AD$86)+SUM(AF$71:AF$86)+SUM(AH$71:AH$86)</f>
        <v>527.69308429668888</v>
      </c>
      <c r="H113" s="100">
        <f>SUM(AJ$71:AJ$86)+SUM(AL$71:AL$86)+SUM(AN$71:AN$86)+SUM(AP$71:AP$86)</f>
        <v>675.33173175129139</v>
      </c>
      <c r="I113" s="100">
        <f>SUM(AR$71:AR$86)+SUM(AT$71:AT$86)+SUM(AV$71:AV$86)+SUM(AX$71:AX$86)</f>
        <v>570.92204482811474</v>
      </c>
      <c r="J113" s="100">
        <f>SUM(AZ$71:AZ$86)+SUM(BB$71:BB$86)+SUM(BD$71:BD$86)+SUM(BF$71:BF$86)</f>
        <v>527.9831075931877</v>
      </c>
      <c r="K113" s="100">
        <f>SUM(BH$71:BH$86)+SUM(BJ$71:BJ$86)+SUM(BL$71:BL$86)+SUM(BN$71:BN$86)</f>
        <v>512.00621238807867</v>
      </c>
      <c r="L113" s="100">
        <f>SUM(BP$71:BP$86)+SUM(BR$71:BR$86)+SUM(BT$71:BT$86)+SUM(BV$71:BV$86)</f>
        <v>674.44568807942733</v>
      </c>
      <c r="M113" s="100">
        <f>SUM(BX$71:BX$86)+SUM(BZ$71:BZ$86)+SUM(CB$71:CB$86)+SUM(CD$71:CD$86)</f>
        <v>278.63826323985847</v>
      </c>
      <c r="N113" s="100">
        <f>SUM(CF$71:CF$86)+SUM(CH$71:CH$86)+SUM(CJ$71:CJ$86)+SUM(CL$71:CL$86)</f>
        <v>506.83353709706205</v>
      </c>
      <c r="O113" s="100">
        <f>SUM(CN$71:CN$86)+SUM(CP$71:CP$86)+SUM(CR$71:CR$86)+SUM(CT$71:CT$86)</f>
        <v>561.85911955576569</v>
      </c>
    </row>
    <row r="114" spans="2:15">
      <c r="C114" s="99" t="s">
        <v>131</v>
      </c>
      <c r="D114" s="100">
        <f>SUM(D$87:D$94)+SUM(F$87:F$94)+SUM(H$87:H$94)+SUM(J$87:J$94)</f>
        <v>227</v>
      </c>
      <c r="E114" s="100">
        <f>SUM(L$87:L$94)+SUM(N$87:N$94)+SUM(P$87:P$94)+SUM(R$87:R$94)</f>
        <v>230.02049824285274</v>
      </c>
      <c r="F114" s="100">
        <f>SUM(T$87:T$94)+SUM(V$87:V$94)+SUM(X$87:X$94)+SUM(Z$87:Z$94)</f>
        <v>178.44106839936268</v>
      </c>
      <c r="G114" s="100">
        <f>SUM(AB$87:AB$94)+SUM(AD$87:AD$94)+SUM(AF$87:AF$94)+SUM(AH$87:AH$94)</f>
        <v>261.36716561480381</v>
      </c>
      <c r="H114" s="100">
        <f>SUM(AJ$87:AJ$94)+SUM(AL$87:AL$94)+SUM(AN$87:AN$94)+SUM(AP$87:AP$94)</f>
        <v>169.74144938413136</v>
      </c>
      <c r="I114" s="100">
        <f>SUM(AR$87:AR$94)+SUM(AT$87:AT$94)+SUM(AV$87:AV$94)+SUM(AX$87:AX$94)</f>
        <v>260.15606542600665</v>
      </c>
      <c r="J114" s="100">
        <f>SUM(AZ$87:AZ$94)+SUM(BB$87:BB$94)+SUM(BD$87:BD$94)+SUM(BF$87:BF$94)</f>
        <v>157.49091066233223</v>
      </c>
      <c r="K114" s="100">
        <f>SUM(BH$87:BH$94)+SUM(BJ$87:BJ$94)+SUM(BL$87:BL$94)+SUM(BN$87:BN$94)</f>
        <v>187.06486885263058</v>
      </c>
      <c r="L114" s="100">
        <f>SUM(BP$87:BP$94)+SUM(BR$87:BR$94)+SUM(BT$87:BT$94)+SUM(BV$87:BV$94)</f>
        <v>204.39316269444816</v>
      </c>
      <c r="M114" s="100">
        <f>SUM(BX$87:BX$94)+SUM(BZ$87:BZ$94)+SUM(CB$87:CB$94)+SUM(CD$87:CD$94)</f>
        <v>87.323568681601841</v>
      </c>
      <c r="N114" s="100">
        <f>SUM(CF$87:CF$94)+SUM(CH$87:CH$94)+SUM(CJ$87:CJ$94)+SUM(CL$87:CL$94)</f>
        <v>150.29176609697481</v>
      </c>
      <c r="O114" s="100">
        <f>SUM(CN$87:CN$94)+SUM(CP$87:CP$94)+SUM(CR$87:CR$94)+SUM(CT$87:CT$94)</f>
        <v>211.35056037994843</v>
      </c>
    </row>
    <row r="115" spans="2:15">
      <c r="C115" s="99" t="s">
        <v>132</v>
      </c>
      <c r="D115" s="100">
        <f>SUM(D$95:D$105)+SUM(F$95:F$105)+SUM(H$95:H$105)+SUM(J$95:J$105)</f>
        <v>386</v>
      </c>
      <c r="E115" s="100">
        <f>SUM(L$95:L$105)+SUM(N$95:N$105)+SUM(P$95:P$105)+SUM(R$95:R$105)</f>
        <v>380.95023556220008</v>
      </c>
      <c r="F115" s="100">
        <f>SUM(T$95:T$105)+SUM(V$95:V$105)+SUM(X$95:X$105)+SUM(Z$95:Z$105)</f>
        <v>278.07773053506509</v>
      </c>
      <c r="G115" s="100">
        <f>SUM(AB$95:AB$105)+SUM(AD$95:AD$105)+SUM(AF$95:AF$105)+SUM(AH$95:AH$105)</f>
        <v>398.59350303551349</v>
      </c>
      <c r="H115" s="100">
        <f>SUM(AJ$95:AJ$105)+SUM(AL$95:AL$105)+SUM(AN$95:AN$105)+SUM(AP$95:AP$105)</f>
        <v>211.18705765676685</v>
      </c>
      <c r="I115" s="100">
        <f>SUM(AR$95:AR$105)+SUM(AT$95:AT$105)+SUM(AV$95:AV$105)+SUM(AX$95:AX$105)</f>
        <v>365.27021760920036</v>
      </c>
      <c r="J115" s="100">
        <f>SUM(AZ$95:AZ$105)+SUM(BB$95:BB$105)+SUM(BD$95:BD$105)+SUM(BF$95:BF$105)</f>
        <v>253.12047185084705</v>
      </c>
      <c r="K115" s="100">
        <f>SUM(BH$95:BH$105)+SUM(BJ$95:BJ$105)+SUM(BL$95:BL$105)+SUM(BN$95:BN$105)</f>
        <v>256.06678829238194</v>
      </c>
      <c r="L115" s="100">
        <f>SUM(BP$95:BP$105)+SUM(BR$95:BR$105)+SUM(BT$95:BT$105)+SUM(BV$95:BV$105)</f>
        <v>400.8627099351163</v>
      </c>
      <c r="M115" s="100">
        <f>SUM(BX$95:BX$105)+SUM(BZ$95:BZ$105)+SUM(CB$95:CB$105)+SUM(CD$95:CD$105)</f>
        <v>135.21346380949649</v>
      </c>
      <c r="N115" s="100">
        <f>SUM(CF$95:CF$105)+SUM(CH$95:CH$105)+SUM(CJ$95:CJ$105)+SUM(CL$95:CL$105)</f>
        <v>270.53051473982919</v>
      </c>
      <c r="O115" s="100">
        <f>SUM(CN$95:CN$105)+SUM(CP$95:CP$105)+SUM(CR$95:CR$105)+SUM(CT$95:CT$105)</f>
        <v>416.95693786097394</v>
      </c>
    </row>
    <row r="116" spans="2:15">
      <c r="C116" s="99" t="s">
        <v>278</v>
      </c>
      <c r="D116" s="100">
        <f t="shared" ref="D116:O116" si="0">SUM(D$109:D$115)</f>
        <v>3944.3173301335341</v>
      </c>
      <c r="E116" s="100">
        <f t="shared" si="0"/>
        <v>3428.6687950813066</v>
      </c>
      <c r="F116" s="100">
        <f t="shared" si="0"/>
        <v>3553.3759528561873</v>
      </c>
      <c r="G116" s="100">
        <f t="shared" si="0"/>
        <v>3898.4199085243376</v>
      </c>
      <c r="H116" s="100">
        <f t="shared" si="0"/>
        <v>3824.7499416156343</v>
      </c>
      <c r="I116" s="100">
        <f t="shared" si="0"/>
        <v>4001.3498864676371</v>
      </c>
      <c r="J116" s="100">
        <f t="shared" si="0"/>
        <v>2812.4461917696253</v>
      </c>
      <c r="K116" s="100">
        <f t="shared" si="0"/>
        <v>3522.1980975309425</v>
      </c>
      <c r="L116" s="100">
        <f t="shared" si="0"/>
        <v>4275.9070504882557</v>
      </c>
      <c r="M116" s="100">
        <f t="shared" si="0"/>
        <v>1963.7038325469982</v>
      </c>
      <c r="N116" s="100">
        <f t="shared" si="0"/>
        <v>3570.2974704750777</v>
      </c>
      <c r="O116" s="100">
        <f t="shared" si="0"/>
        <v>3869.725686359202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3340353.462612824</v>
      </c>
      <c r="E120" s="100">
        <f>E109*pricing!E15*2000</f>
        <v>2428500.8047044096</v>
      </c>
      <c r="F120" s="100">
        <f>F109*pricing!F15*2000</f>
        <v>3332000</v>
      </c>
      <c r="G120" s="100">
        <f>G109*pricing!G15*2000</f>
        <v>3073000</v>
      </c>
      <c r="H120" s="100">
        <f>H109*pricing!H15*2000</f>
        <v>3549000</v>
      </c>
      <c r="I120" s="100">
        <f>I109*pricing!I15*2000</f>
        <v>3221095.4985139547</v>
      </c>
      <c r="J120" s="100">
        <f>J109*pricing!J15*2000</f>
        <v>2308801.7887721034</v>
      </c>
      <c r="K120" s="100">
        <f>K109*pricing!K15*2000</f>
        <v>3012643.3333391007</v>
      </c>
      <c r="L120" s="100">
        <f>L109*pricing!L15*2000</f>
        <v>3318000</v>
      </c>
      <c r="M120" s="100">
        <f>M109*pricing!M15*2000</f>
        <v>1714464.1356803132</v>
      </c>
      <c r="N120" s="100">
        <f>N109*pricing!N15*2000</f>
        <v>3495131.0304296245</v>
      </c>
      <c r="O120" s="100">
        <f>O109*pricing!O15*2000</f>
        <v>3150422.0267295409</v>
      </c>
    </row>
    <row r="121" spans="2:15">
      <c r="C121" s="99" t="s">
        <v>127</v>
      </c>
      <c r="D121" s="100">
        <f>D110*pricing!D16*2000</f>
        <v>7663588.5883325757</v>
      </c>
      <c r="E121" s="100">
        <f>E110*pricing!E16*2000</f>
        <v>6673121.4362765411</v>
      </c>
      <c r="F121" s="100">
        <f>F110*pricing!F16*2000</f>
        <v>5838000</v>
      </c>
      <c r="G121" s="100">
        <f>G110*pricing!G16*2000</f>
        <v>7539000</v>
      </c>
      <c r="H121" s="100">
        <f>H110*pricing!H16*2000</f>
        <v>7518000</v>
      </c>
      <c r="I121" s="100">
        <f>I110*pricing!I16*2000</f>
        <v>7433790.6491590617</v>
      </c>
      <c r="J121" s="100">
        <f>J110*pricing!J16*2000</f>
        <v>4713482.4768803883</v>
      </c>
      <c r="K121" s="100">
        <f>K110*pricing!K16*2000</f>
        <v>6921882.3899238352</v>
      </c>
      <c r="L121" s="100">
        <f>L110*pricing!L16*2000</f>
        <v>9212000</v>
      </c>
      <c r="M121" s="100">
        <f>M110*pricing!M16*2000</f>
        <v>4288096.91810726</v>
      </c>
      <c r="N121" s="100">
        <f>N110*pricing!N16*2000</f>
        <v>6492202.9984992435</v>
      </c>
      <c r="O121" s="100">
        <f>O110*pricing!O16*2000</f>
        <v>7932104.4448636929</v>
      </c>
    </row>
    <row r="122" spans="2:15">
      <c r="C122" s="99" t="s">
        <v>128</v>
      </c>
      <c r="D122" s="100">
        <f>D111*pricing!D17*2000</f>
        <v>4063338.9457243653</v>
      </c>
      <c r="E122" s="100">
        <f>E111*pricing!E17*2000</f>
        <v>3072299.8406871371</v>
      </c>
      <c r="F122" s="100">
        <f>F111*pricing!F17*2000</f>
        <v>3024000</v>
      </c>
      <c r="G122" s="100">
        <f>G111*pricing!G17*2000</f>
        <v>3738000</v>
      </c>
      <c r="H122" s="100">
        <f>H111*pricing!H17*2000</f>
        <v>3570000</v>
      </c>
      <c r="I122" s="100">
        <f>I111*pricing!I17*2000</f>
        <v>3739467.125867581</v>
      </c>
      <c r="J122" s="100">
        <f>J111*pricing!J17*2000</f>
        <v>2560150.2968588895</v>
      </c>
      <c r="K122" s="100">
        <f>K111*pricing!K17*2000</f>
        <v>3441841.2277508583</v>
      </c>
      <c r="L122" s="100">
        <f>L111*pricing!L17*2000</f>
        <v>3955000</v>
      </c>
      <c r="M122" s="100">
        <f>M111*pricing!M17*2000</f>
        <v>1946793.0852626197</v>
      </c>
      <c r="N122" s="100">
        <f>N111*pricing!N17*2000</f>
        <v>3701876.4090919299</v>
      </c>
      <c r="O122" s="100">
        <f>O111*pricing!O17*2000</f>
        <v>2905347.301366345</v>
      </c>
    </row>
    <row r="123" spans="2:15">
      <c r="C123" s="99" t="s">
        <v>129</v>
      </c>
      <c r="D123" s="100">
        <f>D112*pricing!D18*2000</f>
        <v>4150792.7633940782</v>
      </c>
      <c r="E123" s="100">
        <f>E112*pricing!E18*2000</f>
        <v>3827520.5972437002</v>
      </c>
      <c r="F123" s="100">
        <f>F112*pricing!F18*2000</f>
        <v>4570000.0774523141</v>
      </c>
      <c r="G123" s="100">
        <f>G112*pricing!G18*2000</f>
        <v>4625363.0890413197</v>
      </c>
      <c r="H123" s="100">
        <f>H112*pricing!H18*2000</f>
        <v>4742427.9197641127</v>
      </c>
      <c r="I123" s="100">
        <f>I112*pricing!I18*2000</f>
        <v>5240657.6366896126</v>
      </c>
      <c r="J123" s="100">
        <f>J112*pricing!J18*2000</f>
        <v>3534527.3491314272</v>
      </c>
      <c r="K123" s="100">
        <f>K112*pricing!K18*2000</f>
        <v>4593054.6449711639</v>
      </c>
      <c r="L123" s="100">
        <f>L112*pricing!L18*2000</f>
        <v>4488438.428454848</v>
      </c>
      <c r="M123" s="100">
        <f>M112*pricing!M18*2000</f>
        <v>2288345.6186620961</v>
      </c>
      <c r="N123" s="100">
        <f>N112*pricing!N18*2000</f>
        <v>4809281.1297676852</v>
      </c>
      <c r="O123" s="100">
        <f>O112*pricing!O18*2000</f>
        <v>4769039.7069780156</v>
      </c>
    </row>
    <row r="124" spans="2:15">
      <c r="C124" s="99" t="s">
        <v>130</v>
      </c>
      <c r="D124" s="100">
        <f>D113*pricing!D19*2000</f>
        <v>4101147.5508708982</v>
      </c>
      <c r="E124" s="100">
        <f>E113*pricing!E19*2000</f>
        <v>3722443.7500219918</v>
      </c>
      <c r="F124" s="100">
        <f>F113*pricing!F19*2000</f>
        <v>4914000</v>
      </c>
      <c r="G124" s="100">
        <f>G113*pricing!G19*2000</f>
        <v>3693851.5900768219</v>
      </c>
      <c r="H124" s="100">
        <f>H113*pricing!H19*2000</f>
        <v>4727322.1222590404</v>
      </c>
      <c r="I124" s="100">
        <f>I113*pricing!I19*2000</f>
        <v>3996454.3137968029</v>
      </c>
      <c r="J124" s="100">
        <f>J113*pricing!J19*2000</f>
        <v>3695881.7531523136</v>
      </c>
      <c r="K124" s="100">
        <f>K113*pricing!K19*2000</f>
        <v>3584043.4867165503</v>
      </c>
      <c r="L124" s="100">
        <f>L113*pricing!L19*2000</f>
        <v>4721119.8165559908</v>
      </c>
      <c r="M124" s="100">
        <f>M113*pricing!M19*2000</f>
        <v>1950467.8426790093</v>
      </c>
      <c r="N124" s="100">
        <f>N113*pricing!N19*2000</f>
        <v>3547834.7596794344</v>
      </c>
      <c r="O124" s="100">
        <f>O113*pricing!O19*2000</f>
        <v>3933013.8368903599</v>
      </c>
    </row>
    <row r="125" spans="2:15">
      <c r="C125" s="99" t="s">
        <v>131</v>
      </c>
      <c r="D125" s="100">
        <f>D114*pricing!D20*2000</f>
        <v>1589000</v>
      </c>
      <c r="E125" s="100">
        <f>E114*pricing!E20*2000</f>
        <v>1610143.4876999692</v>
      </c>
      <c r="F125" s="100">
        <f>F114*pricing!F20*2000</f>
        <v>1249087.4787955389</v>
      </c>
      <c r="G125" s="100">
        <f>G114*pricing!G20*2000</f>
        <v>1829570.1593036267</v>
      </c>
      <c r="H125" s="100">
        <f>H114*pricing!H20*2000</f>
        <v>1188190.1456889196</v>
      </c>
      <c r="I125" s="100">
        <f>I114*pricing!I20*2000</f>
        <v>1821092.4579820468</v>
      </c>
      <c r="J125" s="100">
        <f>J114*pricing!J20*2000</f>
        <v>1102436.3746363255</v>
      </c>
      <c r="K125" s="100">
        <f>K114*pricing!K20*2000</f>
        <v>1309454.0819684141</v>
      </c>
      <c r="L125" s="100">
        <f>L114*pricing!L20*2000</f>
        <v>1430752.1388611372</v>
      </c>
      <c r="M125" s="100">
        <f>M114*pricing!M20*2000</f>
        <v>611264.98077121284</v>
      </c>
      <c r="N125" s="100">
        <f>N114*pricing!N20*2000</f>
        <v>1052042.3626788238</v>
      </c>
      <c r="O125" s="100">
        <f>O114*pricing!O20*2000</f>
        <v>1479453.9226596388</v>
      </c>
    </row>
    <row r="126" spans="2:15">
      <c r="C126" s="99" t="s">
        <v>132</v>
      </c>
      <c r="D126" s="100">
        <f>D115*pricing!D21*2000</f>
        <v>2702000</v>
      </c>
      <c r="E126" s="100">
        <f>E115*pricing!E21*2000</f>
        <v>2666651.6489354009</v>
      </c>
      <c r="F126" s="100">
        <f>F115*pricing!F21*2000</f>
        <v>1946544.1137454556</v>
      </c>
      <c r="G126" s="100">
        <f>G115*pricing!G21*2000</f>
        <v>2790154.5212485944</v>
      </c>
      <c r="H126" s="100">
        <f>H115*pricing!H21*2000</f>
        <v>1478309.4035973679</v>
      </c>
      <c r="I126" s="100">
        <f>I115*pricing!I21*2000</f>
        <v>2556891.5232644025</v>
      </c>
      <c r="J126" s="100">
        <f>J115*pricing!J21*2000</f>
        <v>1771843.3029559294</v>
      </c>
      <c r="K126" s="100">
        <f>K115*pricing!K21*2000</f>
        <v>1792467.5180466736</v>
      </c>
      <c r="L126" s="100">
        <f>L115*pricing!L21*2000</f>
        <v>2806038.9695458142</v>
      </c>
      <c r="M126" s="100">
        <f>M115*pricing!M21*2000</f>
        <v>946494.24666647543</v>
      </c>
      <c r="N126" s="100">
        <f>N115*pricing!N21*2000</f>
        <v>1893713.6031788043</v>
      </c>
      <c r="O126" s="100">
        <f>O115*pricing!O21*2000</f>
        <v>2918698.5650268174</v>
      </c>
    </row>
    <row r="127" spans="2:15">
      <c r="C127" s="99" t="s">
        <v>278</v>
      </c>
      <c r="D127" s="100">
        <f t="shared" ref="D127:O127" si="1">SUM(D$120:D$126)</f>
        <v>27610221.310934741</v>
      </c>
      <c r="E127" s="100">
        <f t="shared" si="1"/>
        <v>24000681.565569151</v>
      </c>
      <c r="F127" s="100">
        <f t="shared" si="1"/>
        <v>24873631.669993307</v>
      </c>
      <c r="G127" s="100">
        <f t="shared" si="1"/>
        <v>27288939.359670363</v>
      </c>
      <c r="H127" s="100">
        <f t="shared" si="1"/>
        <v>26773249.591309443</v>
      </c>
      <c r="I127" s="100">
        <f t="shared" si="1"/>
        <v>28009449.205273464</v>
      </c>
      <c r="J127" s="100">
        <f t="shared" si="1"/>
        <v>19687123.342387378</v>
      </c>
      <c r="K127" s="100">
        <f t="shared" si="1"/>
        <v>24655386.682716597</v>
      </c>
      <c r="L127" s="100">
        <f t="shared" si="1"/>
        <v>29931349.353417791</v>
      </c>
      <c r="M127" s="100">
        <f t="shared" si="1"/>
        <v>13745926.827828988</v>
      </c>
      <c r="N127" s="100">
        <f t="shared" si="1"/>
        <v>24992082.293325543</v>
      </c>
      <c r="O127" s="100">
        <f t="shared" si="1"/>
        <v>27088079.804514408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241810.07831986385</v>
      </c>
      <c r="E131" s="106">
        <f>SUM(M$6:M$19)+SUM(O$6:O$19)+SUM(Q$6:Q$19)+SUM(S$6:S$19)</f>
        <v>175311.6483096279</v>
      </c>
      <c r="F131" s="106">
        <f>SUM(U$6:U$19)+SUM(W$6:W$19)+SUM(Y$6:Y$19)+SUM(AA$6:AA$19)</f>
        <v>239890.8</v>
      </c>
      <c r="G131" s="106">
        <f>SUM(AC$6:AC$19)+SUM(AE$6:AE$19)+SUM(AG$6:AG$19)+SUM(AI$6:AI$19)</f>
        <v>221208</v>
      </c>
      <c r="H131" s="106">
        <f>SUM(AK$6:AK$19)+SUM(AM$6:AM$19)+SUM(AO$6:AO$19)+SUM(AQ$6:AQ$19)</f>
        <v>255730.8</v>
      </c>
      <c r="I131" s="106">
        <f>SUM(AS$6:AS$19)+SUM(AU$6:AU$19)+SUM(AW$6:AW$19)+SUM(AY$6:AY$19)</f>
        <v>233921.35782997214</v>
      </c>
      <c r="J131" s="106">
        <f>SUM(BA$6:BA$19)+SUM(BC$6:BC$19)+SUM(BE$6:BE$19)+SUM(BG$6:BG$19)</f>
        <v>167533.95093032354</v>
      </c>
      <c r="K131" s="106">
        <f>SUM(BI$6:BI$19)+SUM(BK$6:BK$19)+SUM(BM$6:BM$19)+SUM(BO$6:BO$19)</f>
        <v>218037.33474863728</v>
      </c>
      <c r="L131" s="106">
        <f>SUM(BQ$6:BQ$19)+SUM(BS$6:BS$19)+SUM(BU$6:BU$19)+SUM(BW$6:BW$19)</f>
        <v>239269.19999999998</v>
      </c>
      <c r="M131" s="106">
        <f>SUM(BY$6:BY$19)+SUM(CA$6:CA$19)+SUM(CC$6:CC$19)+SUM(CE$6:CE$19)</f>
        <v>124614.01951033116</v>
      </c>
      <c r="N131" s="106">
        <f>SUM(CG$6:CG$19)+SUM(CI$6:CI$19)+SUM(CK$6:CK$19)+SUM(CM$6:CM$19)</f>
        <v>250798.65192909006</v>
      </c>
      <c r="O131" s="106">
        <f>SUM(CO$6:CO$19)+SUM(CQ$6:CQ$19)+SUM(CS$6:CS$19)+SUM(CU$6:CU$19)</f>
        <v>227297.86045951181</v>
      </c>
    </row>
    <row r="132" spans="2:15">
      <c r="C132" s="105" t="s">
        <v>127</v>
      </c>
      <c r="D132" s="106">
        <f>SUM(E$20:E$36)+SUM(G$20:G$36)+SUM(I$20:I$36)+SUM(K$20:K$36)</f>
        <v>467671.3600930851</v>
      </c>
      <c r="E132" s="106">
        <f>SUM(M$20:M$36)+SUM(O$20:O$36)+SUM(Q$20:Q$36)+SUM(S$20:S$36)</f>
        <v>408977.71564812062</v>
      </c>
      <c r="F132" s="106">
        <f>SUM(U$20:U$36)+SUM(W$20:W$36)+SUM(Y$20:Y$36)+SUM(AA$20:AA$36)</f>
        <v>359089.19999999995</v>
      </c>
      <c r="G132" s="106">
        <f>SUM(AC$20:AC$36)+SUM(AE$20:AE$36)+SUM(AG$20:AG$36)+SUM(AI$20:AI$36)</f>
        <v>462114</v>
      </c>
      <c r="H132" s="106">
        <f>SUM(AK$20:AK$36)+SUM(AM$20:AM$36)+SUM(AO$20:AO$36)+SUM(AQ$20:AQ$36)</f>
        <v>461310</v>
      </c>
      <c r="I132" s="106">
        <f>SUM(AS$20:AS$36)+SUM(AU$20:AU$36)+SUM(AW$20:AW$36)+SUM(AY$20:AY$36)</f>
        <v>455820.8978636043</v>
      </c>
      <c r="J132" s="106">
        <f>SUM(BA$20:BA$36)+SUM(BC$20:BC$36)+SUM(BE$20:BE$36)+SUM(BG$20:BG$36)</f>
        <v>288373.41450154898</v>
      </c>
      <c r="K132" s="106">
        <f>SUM(BI$20:BI$36)+SUM(BK$20:BK$36)+SUM(BM$20:BM$36)+SUM(BO$20:BO$36)</f>
        <v>424008.16770866048</v>
      </c>
      <c r="L132" s="106">
        <f>SUM(BQ$20:BQ$36)+SUM(BS$20:BS$36)+SUM(BU$20:BU$36)+SUM(BW$20:BW$36)</f>
        <v>564397.19999999995</v>
      </c>
      <c r="M132" s="106">
        <f>SUM(BY$20:BY$36)+SUM(CA$20:CA$36)+SUM(CC$20:CC$36)+SUM(CE$20:CE$36)</f>
        <v>261705.58538301685</v>
      </c>
      <c r="N132" s="106">
        <f>SUM(CG$20:CG$36)+SUM(CI$20:CI$36)+SUM(CK$20:CK$36)+SUM(CM$20:CM$36)</f>
        <v>400384.05228889844</v>
      </c>
      <c r="O132" s="106">
        <f>SUM(CO$20:CO$36)+SUM(CQ$20:CQ$36)+SUM(CS$20:CS$36)+SUM(CU$20:CU$36)</f>
        <v>486161.76189790759</v>
      </c>
    </row>
    <row r="133" spans="2:15">
      <c r="C133" s="105" t="s">
        <v>128</v>
      </c>
      <c r="D133" s="106">
        <f>SUM(E$37:E$48)+SUM(G$37:G$48)+SUM(I$37:I$48)+SUM(K$37:K$48)</f>
        <v>608335.47859530407</v>
      </c>
      <c r="E133" s="106">
        <f>SUM(M$37:M$48)+SUM(O$37:O$48)+SUM(Q$37:Q$48)+SUM(S$37:S$48)</f>
        <v>460915.6510222638</v>
      </c>
      <c r="F133" s="106">
        <f>SUM(U$37:U$48)+SUM(W$37:W$48)+SUM(Y$37:Y$48)+SUM(AA$37:AA$48)</f>
        <v>452434.80000000005</v>
      </c>
      <c r="G133" s="106">
        <f>SUM(AC$37:AC$48)+SUM(AE$37:AE$48)+SUM(AG$37:AG$48)+SUM(AI$37:AI$48)</f>
        <v>559942.80000000005</v>
      </c>
      <c r="H133" s="106">
        <f>SUM(AK$37:AK$48)+SUM(AM$37:AM$48)+SUM(AO$37:AO$48)+SUM(AQ$37:AQ$48)</f>
        <v>535290</v>
      </c>
      <c r="I133" s="106">
        <f>SUM(AS$37:AS$48)+SUM(AU$37:AU$48)+SUM(AW$37:AW$48)+SUM(AY$37:AY$48)</f>
        <v>560185.47395990533</v>
      </c>
      <c r="J133" s="106">
        <f>SUM(BA$37:BA$48)+SUM(BC$37:BC$48)+SUM(BE$37:BE$48)+SUM(BG$37:BG$48)</f>
        <v>384597.53153921786</v>
      </c>
      <c r="K133" s="106">
        <f>SUM(BI$37:BI$48)+SUM(BK$37:BK$48)+SUM(BM$37:BM$48)+SUM(BO$37:BO$48)</f>
        <v>518974.55987461726</v>
      </c>
      <c r="L133" s="106">
        <f>SUM(BQ$37:BQ$48)+SUM(BS$37:BS$48)+SUM(BU$37:BU$48)+SUM(BW$37:BW$48)</f>
        <v>592336.80000000005</v>
      </c>
      <c r="M133" s="106">
        <f>SUM(BY$37:BY$48)+SUM(CA$37:CA$48)+SUM(CC$37:CC$48)+SUM(CE$37:CE$48)</f>
        <v>292016.03987175121</v>
      </c>
      <c r="N133" s="106">
        <f>SUM(CG$37:CG$48)+SUM(CI$37:CI$48)+SUM(CK$37:CK$48)+SUM(CM$37:CM$48)</f>
        <v>555546.62152100785</v>
      </c>
      <c r="O133" s="106">
        <f>SUM(CO$37:CO$48)+SUM(CQ$37:CQ$48)+SUM(CS$37:CS$48)+SUM(CU$37:CU$48)</f>
        <v>436050.34049593977</v>
      </c>
    </row>
    <row r="134" spans="2:15">
      <c r="C134" s="105" t="s">
        <v>129</v>
      </c>
      <c r="D134" s="106">
        <f>SUM(E$49:E$70)+SUM(G$49:G$70)+SUM(I$49:I$70)+SUM(K$49:K$70)</f>
        <v>495513.91396907088</v>
      </c>
      <c r="E134" s="106">
        <f>SUM(M$49:M$70)+SUM(O$49:O$70)+SUM(Q$49:Q$70)+SUM(S$49:S$70)</f>
        <v>460300.74491717177</v>
      </c>
      <c r="F134" s="106">
        <f>SUM(U$49:U$70)+SUM(W$49:W$70)+SUM(Y$49:Y$70)+SUM(AA$49:AA$70)</f>
        <v>538445.38806787366</v>
      </c>
      <c r="G134" s="106">
        <f>SUM(AC$49:AC$70)+SUM(AE$49:AE$70)+SUM(AG$49:AG$70)+SUM(AI$49:AI$70)</f>
        <v>547057.79843736184</v>
      </c>
      <c r="H134" s="106">
        <f>SUM(AK$49:AK$70)+SUM(AM$49:AM$70)+SUM(AO$49:AO$70)+SUM(AQ$49:AQ$70)</f>
        <v>561138.56121669931</v>
      </c>
      <c r="I134" s="106">
        <f>SUM(AS$49:AS$70)+SUM(AU$49:AU$70)+SUM(AW$49:AW$70)+SUM(AY$49:AY$70)</f>
        <v>627641.95437993424</v>
      </c>
      <c r="J134" s="106">
        <f>SUM(BA$49:BA$70)+SUM(BC$49:BC$70)+SUM(BE$49:BE$70)+SUM(BG$49:BG$70)</f>
        <v>423863.93688448984</v>
      </c>
      <c r="K134" s="106">
        <f>SUM(BI$49:BI$70)+SUM(BK$49:BK$70)+SUM(BM$49:BM$70)+SUM(BO$49:BO$70)</f>
        <v>540793.13378389343</v>
      </c>
      <c r="L134" s="106">
        <f>SUM(BQ$49:BQ$70)+SUM(BS$49:BS$70)+SUM(BU$49:BU$70)+SUM(BW$49:BW$70)</f>
        <v>531126.65220534767</v>
      </c>
      <c r="M134" s="106">
        <f>SUM(BY$49:BY$70)+SUM(CA$49:CA$70)+SUM(CC$49:CC$70)+SUM(CE$49:CE$70)</f>
        <v>264459.43744593899</v>
      </c>
      <c r="N134" s="106">
        <f>SUM(CG$49:CG$70)+SUM(CI$49:CI$70)+SUM(CK$49:CK$70)+SUM(CM$49:CM$70)</f>
        <v>565342.69211649289</v>
      </c>
      <c r="O134" s="106">
        <f>SUM(CO$49:CO$70)+SUM(CQ$49:CQ$70)+SUM(CS$49:CS$70)+SUM(CU$49:CU$70)</f>
        <v>574089.62823128083</v>
      </c>
    </row>
    <row r="135" spans="2:15">
      <c r="C135" s="105" t="s">
        <v>130</v>
      </c>
      <c r="D135" s="106">
        <f>SUM(E$71:E$86)+SUM(G$71:G$86)+SUM(I$71:I$86)+SUM(K$71:K$86)</f>
        <v>329112.66741819982</v>
      </c>
      <c r="E135" s="106">
        <f>SUM(M$71:M$86)+SUM(O$71:O$86)+SUM(Q$71:Q$86)+SUM(S$71:S$86)</f>
        <v>297337.95860420301</v>
      </c>
      <c r="F135" s="106">
        <f>SUM(U$71:U$86)+SUM(W$71:W$86)+SUM(Y$71:Y$86)+SUM(AA$71:AA$86)</f>
        <v>392740.79999999993</v>
      </c>
      <c r="G135" s="106">
        <f>SUM(AC$71:AC$86)+SUM(AE$71:AE$86)+SUM(AG$71:AG$86)+SUM(AI$71:AI$86)</f>
        <v>294834.02447011205</v>
      </c>
      <c r="H135" s="106">
        <f>SUM(AK$71:AK$86)+SUM(AM$71:AM$86)+SUM(AO$71:AO$86)+SUM(AQ$71:AQ$86)</f>
        <v>378406.68041901418</v>
      </c>
      <c r="I135" s="106">
        <f>SUM(AS$71:AS$86)+SUM(AU$71:AU$86)+SUM(AW$71:AW$86)+SUM(AY$71:AY$86)</f>
        <v>320812.30281203543</v>
      </c>
      <c r="J135" s="106">
        <f>SUM(BA$71:BA$86)+SUM(BC$71:BC$86)+SUM(BE$71:BE$86)+SUM(BG$71:BG$86)</f>
        <v>296135.85661093297</v>
      </c>
      <c r="K135" s="106">
        <f>SUM(BI$71:BI$86)+SUM(BK$71:BK$86)+SUM(BM$71:BM$86)+SUM(BO$71:BO$86)</f>
        <v>287831.63080703595</v>
      </c>
      <c r="L135" s="106">
        <f>SUM(BQ$71:BQ$86)+SUM(BS$71:BS$86)+SUM(BU$71:BU$86)+SUM(BW$71:BW$86)</f>
        <v>375769.32289862819</v>
      </c>
      <c r="M135" s="106">
        <f>SUM(BY$71:BY$86)+SUM(CA$71:CA$86)+SUM(CC$71:CC$86)+SUM(CE$71:CE$86)</f>
        <v>156029.0804834849</v>
      </c>
      <c r="N135" s="106">
        <f>SUM(CG$71:CG$86)+SUM(CI$71:CI$86)+SUM(CK$71:CK$86)+SUM(CM$71:CM$86)</f>
        <v>284115.88734305272</v>
      </c>
      <c r="O135" s="106">
        <f>SUM(CO$71:CO$86)+SUM(CQ$71:CQ$86)+SUM(CS$71:CS$86)+SUM(CU$71:CU$86)</f>
        <v>314722.99670077045</v>
      </c>
    </row>
    <row r="136" spans="2:15">
      <c r="C136" s="105" t="s">
        <v>131</v>
      </c>
      <c r="D136" s="106">
        <f>SUM(E$87:E$94)+SUM(G$87:G$94)+SUM(I$87:I$94)+SUM(K$87:K$94)</f>
        <v>228900</v>
      </c>
      <c r="E136" s="106">
        <f>SUM(M$87:M$94)+SUM(O$87:O$94)+SUM(Q$87:Q$94)+SUM(S$87:S$94)</f>
        <v>230588.99299376243</v>
      </c>
      <c r="F136" s="106">
        <f>SUM(U$87:U$94)+SUM(W$87:W$94)+SUM(Y$87:Y$94)+SUM(AA$87:AA$94)</f>
        <v>179606.81709450643</v>
      </c>
      <c r="G136" s="106">
        <f>SUM(AC$87:AC$94)+SUM(AE$87:AE$94)+SUM(AG$87:AG$94)+SUM(AI$87:AI$94)</f>
        <v>262142.23515413498</v>
      </c>
      <c r="H136" s="106">
        <f>SUM(AK$87:AK$94)+SUM(AM$87:AM$94)+SUM(AO$87:AO$94)+SUM(AQ$87:AQ$94)</f>
        <v>170501.32005117123</v>
      </c>
      <c r="I136" s="106">
        <f>SUM(AS$87:AS$94)+SUM(AU$87:AU$94)+SUM(AW$87:AW$94)+SUM(AY$87:AY$94)</f>
        <v>261618.00471175642</v>
      </c>
      <c r="J136" s="106">
        <f>SUM(BA$87:BA$94)+SUM(BC$87:BC$94)+SUM(BE$87:BE$94)+SUM(BG$87:BG$94)</f>
        <v>157586.07387823955</v>
      </c>
      <c r="K136" s="106">
        <f>SUM(BI$87:BI$94)+SUM(BK$87:BK$94)+SUM(BM$87:BM$94)+SUM(BO$87:BO$94)</f>
        <v>188592.45368442405</v>
      </c>
      <c r="L136" s="106">
        <f>SUM(BQ$87:BQ$94)+SUM(BS$87:BS$94)+SUM(BU$87:BU$94)+SUM(BW$87:BW$94)</f>
        <v>205497.17150116427</v>
      </c>
      <c r="M136" s="106">
        <f>SUM(BY$87:BY$94)+SUM(CA$87:CA$94)+SUM(CC$87:CC$94)+SUM(CE$87:CE$94)</f>
        <v>87804.904416576333</v>
      </c>
      <c r="N136" s="106">
        <f>SUM(CG$87:CG$94)+SUM(CI$87:CI$94)+SUM(CK$87:CK$94)+SUM(CM$87:CM$94)</f>
        <v>151338.80514456192</v>
      </c>
      <c r="O136" s="106">
        <f>SUM(CO$87:CO$94)+SUM(CQ$87:CQ$94)+SUM(CS$87:CS$94)+SUM(CU$87:CU$94)</f>
        <v>212722.92146148492</v>
      </c>
    </row>
    <row r="137" spans="2:15">
      <c r="C137" s="105" t="s">
        <v>132</v>
      </c>
      <c r="D137" s="106">
        <f>SUM(E$95:E$105)+SUM(G$95:G$105)+SUM(I$95:I$105)+SUM(K$95:K$105)</f>
        <v>311517.59999999998</v>
      </c>
      <c r="E137" s="106">
        <f>SUM(M$95:M$105)+SUM(O$95:O$105)+SUM(Q$95:Q$105)+SUM(S$95:S$105)</f>
        <v>308195.56335544371</v>
      </c>
      <c r="F137" s="106">
        <f>SUM(U$95:U$105)+SUM(W$95:W$105)+SUM(Y$95:Y$105)+SUM(AA$95:AA$105)</f>
        <v>222232.51731915824</v>
      </c>
      <c r="G137" s="106">
        <f>SUM(AC$95:AC$105)+SUM(AE$95:AE$105)+SUM(AG$95:AG$105)+SUM(AI$95:AI$105)</f>
        <v>324445.0635877967</v>
      </c>
      <c r="H137" s="106">
        <f>SUM(AK$95:AK$105)+SUM(AM$95:AM$105)+SUM(AO$95:AO$105)+SUM(AQ$95:AQ$105)</f>
        <v>170086.35005357055</v>
      </c>
      <c r="I137" s="106">
        <f>SUM(AS$95:AS$105)+SUM(AU$95:AU$105)+SUM(AW$95:AW$105)+SUM(AY$95:AY$105)</f>
        <v>303614.14779167267</v>
      </c>
      <c r="J137" s="106">
        <f>SUM(BA$95:BA$105)+SUM(BC$95:BC$105)+SUM(BE$95:BE$105)+SUM(BG$95:BG$105)</f>
        <v>197940.50968929037</v>
      </c>
      <c r="K137" s="106">
        <f>SUM(BI$95:BI$105)+SUM(BK$95:BK$105)+SUM(BM$95:BM$105)+SUM(BO$95:BO$105)</f>
        <v>208811.25369727594</v>
      </c>
      <c r="L137" s="106">
        <f>SUM(BQ$95:BQ$105)+SUM(BS$95:BS$105)+SUM(BU$95:BU$105)+SUM(BW$95:BW$105)</f>
        <v>320052.20345199958</v>
      </c>
      <c r="M137" s="106">
        <f>SUM(BY$95:BY$105)+SUM(CA$95:CA$105)+SUM(CC$95:CC$105)+SUM(CE$95:CE$105)</f>
        <v>110486.41254273911</v>
      </c>
      <c r="N137" s="106">
        <f>SUM(CG$95:CG$105)+SUM(CI$95:CI$105)+SUM(CK$95:CK$105)+SUM(CM$95:CM$105)</f>
        <v>218578.45963741108</v>
      </c>
      <c r="O137" s="106">
        <f>SUM(CO$95:CO$105)+SUM(CQ$95:CQ$105)+SUM(CS$95:CS$105)+SUM(CU$95:CU$105)</f>
        <v>333670.07140235964</v>
      </c>
    </row>
    <row r="138" spans="2:15">
      <c r="C138" s="105" t="s">
        <v>278</v>
      </c>
      <c r="D138" s="100">
        <f t="shared" ref="D138:O138" si="2">SUM(D$131:D$137)</f>
        <v>2682861.0983955241</v>
      </c>
      <c r="E138" s="100">
        <f t="shared" si="2"/>
        <v>2341628.2748505934</v>
      </c>
      <c r="F138" s="100">
        <f t="shared" si="2"/>
        <v>2384440.3224815382</v>
      </c>
      <c r="G138" s="100">
        <f t="shared" si="2"/>
        <v>2671743.9216494057</v>
      </c>
      <c r="H138" s="100">
        <f t="shared" si="2"/>
        <v>2532463.7117404556</v>
      </c>
      <c r="I138" s="100">
        <f t="shared" si="2"/>
        <v>2763614.1393488804</v>
      </c>
      <c r="J138" s="100">
        <f t="shared" si="2"/>
        <v>1916031.2740340433</v>
      </c>
      <c r="K138" s="100">
        <f t="shared" si="2"/>
        <v>2387048.5343045443</v>
      </c>
      <c r="L138" s="100">
        <f t="shared" si="2"/>
        <v>2828448.5500571397</v>
      </c>
      <c r="M138" s="100">
        <f t="shared" si="2"/>
        <v>1297115.4796538386</v>
      </c>
      <c r="N138" s="100">
        <f t="shared" si="2"/>
        <v>2426105.1699805148</v>
      </c>
      <c r="O138" s="100">
        <f t="shared" si="2"/>
        <v>2584715.5806492553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2.3790797787758078</v>
      </c>
      <c r="E6" s="100">
        <v>1376.0597440439271</v>
      </c>
      <c r="F6" s="100">
        <v>4.4953646909884046</v>
      </c>
      <c r="G6" s="100">
        <v>2600.1189372676931</v>
      </c>
      <c r="H6" s="100">
        <v>3.8149181078805232</v>
      </c>
      <c r="I6" s="100">
        <v>2206.5486335980945</v>
      </c>
      <c r="J6" s="100">
        <v>6</v>
      </c>
      <c r="K6" s="100">
        <v>3470.3999999999996</v>
      </c>
      <c r="L6" s="100">
        <v>7.2579460014488379</v>
      </c>
      <c r="M6" s="100">
        <v>4197.9959672380073</v>
      </c>
      <c r="N6" s="100">
        <v>3.4038205205642114</v>
      </c>
      <c r="O6" s="100">
        <v>1968.7697890943398</v>
      </c>
      <c r="P6" s="100">
        <v>3.1424366952134841</v>
      </c>
      <c r="Q6" s="100">
        <v>1817.5853845114791</v>
      </c>
      <c r="R6" s="100">
        <v>6</v>
      </c>
      <c r="S6" s="100">
        <v>3470.3999999999996</v>
      </c>
      <c r="T6" s="100">
        <v>9</v>
      </c>
      <c r="U6" s="100">
        <v>5205.5999999999995</v>
      </c>
      <c r="V6" s="100">
        <v>7</v>
      </c>
      <c r="W6" s="100">
        <v>4048.7999999999997</v>
      </c>
      <c r="X6" s="100">
        <v>8.9035539621029613</v>
      </c>
      <c r="Y6" s="100">
        <v>5149.815611680353</v>
      </c>
      <c r="Z6" s="100">
        <v>3.9801175379435998</v>
      </c>
      <c r="AA6" s="100">
        <v>2302.099983946578</v>
      </c>
      <c r="AB6" s="100">
        <v>7</v>
      </c>
      <c r="AC6" s="100">
        <v>4048.7999999999997</v>
      </c>
      <c r="AD6" s="100">
        <v>4.1387675878523735</v>
      </c>
      <c r="AE6" s="100">
        <v>2393.863172813813</v>
      </c>
      <c r="AF6" s="100">
        <v>6</v>
      </c>
      <c r="AG6" s="100">
        <v>3470.3999999999996</v>
      </c>
      <c r="AH6" s="100">
        <v>8</v>
      </c>
      <c r="AI6" s="100">
        <v>4627.2</v>
      </c>
      <c r="AJ6" s="100">
        <v>6.1005418969043079</v>
      </c>
      <c r="AK6" s="100">
        <v>3528.5534331694516</v>
      </c>
      <c r="AL6" s="100">
        <v>5.1640276831313594</v>
      </c>
      <c r="AM6" s="100">
        <v>2986.873611923178</v>
      </c>
      <c r="AN6" s="100">
        <v>1.5755623642000018</v>
      </c>
      <c r="AO6" s="100">
        <v>911.30527145328108</v>
      </c>
      <c r="AP6" s="100">
        <v>8</v>
      </c>
      <c r="AQ6" s="100">
        <v>4627.2</v>
      </c>
      <c r="AR6" s="100">
        <v>6.751611869139527</v>
      </c>
      <c r="AS6" s="100">
        <v>3905.1323051103022</v>
      </c>
      <c r="AT6" s="100">
        <v>7.581162722788914</v>
      </c>
      <c r="AU6" s="100">
        <v>4384.944518861108</v>
      </c>
      <c r="AV6" s="100">
        <v>1.581839505093229</v>
      </c>
      <c r="AW6" s="100">
        <v>914.93596974592367</v>
      </c>
      <c r="AX6" s="100">
        <v>6</v>
      </c>
      <c r="AY6" s="100">
        <v>3470.3999999999996</v>
      </c>
      <c r="AZ6" s="100">
        <v>8.1738216997204898</v>
      </c>
      <c r="BA6" s="100">
        <v>4727.7384711183313</v>
      </c>
      <c r="BB6" s="100">
        <v>4.8849733984730852</v>
      </c>
      <c r="BC6" s="100">
        <v>2825.4686136768323</v>
      </c>
      <c r="BD6" s="100">
        <v>2.239715542845246</v>
      </c>
      <c r="BE6" s="100">
        <v>1295.4514699816903</v>
      </c>
      <c r="BF6" s="100">
        <v>6.7496442183972594</v>
      </c>
      <c r="BG6" s="100">
        <v>3903.9942159209745</v>
      </c>
      <c r="BH6" s="100">
        <v>4.7428362684587775</v>
      </c>
      <c r="BI6" s="100">
        <v>2743.2564976765566</v>
      </c>
      <c r="BJ6" s="100">
        <v>7.0497269317864433</v>
      </c>
      <c r="BK6" s="100">
        <v>4077.5620573452788</v>
      </c>
      <c r="BL6" s="100">
        <v>3.4367403445610623</v>
      </c>
      <c r="BM6" s="100">
        <v>1987.8106152941184</v>
      </c>
      <c r="BN6" s="100">
        <v>7.1005380643056197</v>
      </c>
      <c r="BO6" s="100">
        <v>4106.95121639437</v>
      </c>
      <c r="BP6" s="100">
        <v>6</v>
      </c>
      <c r="BQ6" s="100">
        <v>3470.3999999999996</v>
      </c>
      <c r="BR6" s="100">
        <v>8</v>
      </c>
      <c r="BS6" s="100">
        <v>4627.2</v>
      </c>
      <c r="BT6" s="100">
        <v>10</v>
      </c>
      <c r="BU6" s="100">
        <v>5784</v>
      </c>
      <c r="BV6" s="100">
        <v>7.8500437381743016</v>
      </c>
      <c r="BW6" s="100">
        <v>4540.4652981600157</v>
      </c>
      <c r="BX6" s="100">
        <v>6.2144384060826221</v>
      </c>
      <c r="BY6" s="100">
        <v>3594.4311740781886</v>
      </c>
      <c r="BZ6" s="100">
        <v>3.8348349953341674</v>
      </c>
      <c r="CA6" s="100">
        <v>2218.0685613012824</v>
      </c>
      <c r="CB6" s="100">
        <v>4.4497959294366325</v>
      </c>
      <c r="CC6" s="100">
        <v>2573.7619655861481</v>
      </c>
      <c r="CD6" s="100">
        <v>3.4245710972574237</v>
      </c>
      <c r="CE6" s="100">
        <v>1980.7719226536938</v>
      </c>
      <c r="CF6" s="100">
        <v>4.8363367234912191</v>
      </c>
      <c r="CG6" s="100">
        <v>2797.337160867321</v>
      </c>
      <c r="CH6" s="100">
        <v>9</v>
      </c>
      <c r="CI6" s="100">
        <v>5205.5999999999995</v>
      </c>
      <c r="CJ6" s="100">
        <v>3.7941303161975553</v>
      </c>
      <c r="CK6" s="100">
        <v>2194.5249748886658</v>
      </c>
      <c r="CL6" s="100">
        <v>3.4897972004578226</v>
      </c>
      <c r="CM6" s="100">
        <v>2018.4987007448044</v>
      </c>
      <c r="CN6" s="100">
        <v>8</v>
      </c>
      <c r="CO6" s="100">
        <v>4627.2</v>
      </c>
      <c r="CP6" s="100">
        <v>7.0576666122348852</v>
      </c>
      <c r="CQ6" s="100">
        <v>4082.1543685166575</v>
      </c>
      <c r="CR6" s="100">
        <v>3.9744505535406933</v>
      </c>
      <c r="CS6" s="100">
        <v>2298.8222001679369</v>
      </c>
      <c r="CT6" s="100">
        <v>5.0787596786099778</v>
      </c>
      <c r="CU6" s="100">
        <v>2937.5545981080109</v>
      </c>
    </row>
    <row r="7" spans="1:99">
      <c r="C7" s="99" t="s">
        <v>173</v>
      </c>
      <c r="D7" s="100">
        <v>2.8484713347020887</v>
      </c>
      <c r="E7" s="100">
        <v>2245.7348002791268</v>
      </c>
      <c r="F7" s="100">
        <v>3.9894347587308072</v>
      </c>
      <c r="G7" s="100">
        <v>3145.2703637833683</v>
      </c>
      <c r="H7" s="100">
        <v>3.8149181078805232</v>
      </c>
      <c r="I7" s="100">
        <v>3007.6814362530044</v>
      </c>
      <c r="J7" s="100">
        <v>5</v>
      </c>
      <c r="K7" s="100">
        <v>3942</v>
      </c>
      <c r="L7" s="100">
        <v>7.2947954302272429</v>
      </c>
      <c r="M7" s="100">
        <v>5751.2167171911578</v>
      </c>
      <c r="N7" s="100">
        <v>3.4038205205642114</v>
      </c>
      <c r="O7" s="100">
        <v>2683.5720984128243</v>
      </c>
      <c r="P7" s="100">
        <v>3.1424366952134841</v>
      </c>
      <c r="Q7" s="100">
        <v>2477.497090506311</v>
      </c>
      <c r="R7" s="100">
        <v>5</v>
      </c>
      <c r="S7" s="100">
        <v>3942</v>
      </c>
      <c r="T7" s="100">
        <v>8</v>
      </c>
      <c r="U7" s="100">
        <v>6307.2</v>
      </c>
      <c r="V7" s="100">
        <v>7</v>
      </c>
      <c r="W7" s="100">
        <v>5518.8</v>
      </c>
      <c r="X7" s="100">
        <v>7.9142701885359648</v>
      </c>
      <c r="Y7" s="100">
        <v>6239.6106166417549</v>
      </c>
      <c r="Z7" s="100">
        <v>3.9801175379435998</v>
      </c>
      <c r="AA7" s="100">
        <v>3137.9246669147342</v>
      </c>
      <c r="AB7" s="100">
        <v>7</v>
      </c>
      <c r="AC7" s="100">
        <v>5518.8</v>
      </c>
      <c r="AD7" s="100">
        <v>4.1387675878523735</v>
      </c>
      <c r="AE7" s="100">
        <v>3263.0043662628113</v>
      </c>
      <c r="AF7" s="100">
        <v>6</v>
      </c>
      <c r="AG7" s="100">
        <v>4730.3999999999996</v>
      </c>
      <c r="AH7" s="100">
        <v>8</v>
      </c>
      <c r="AI7" s="100">
        <v>6307.2</v>
      </c>
      <c r="AJ7" s="100">
        <v>6.9720478821763514</v>
      </c>
      <c r="AK7" s="100">
        <v>5496.7625503078352</v>
      </c>
      <c r="AL7" s="100">
        <v>5.1640276831313594</v>
      </c>
      <c r="AM7" s="100">
        <v>4071.3194253807637</v>
      </c>
      <c r="AN7" s="100">
        <v>1.5755623642000018</v>
      </c>
      <c r="AO7" s="100">
        <v>1242.1733679352815</v>
      </c>
      <c r="AP7" s="100">
        <v>8</v>
      </c>
      <c r="AQ7" s="100">
        <v>6307.2</v>
      </c>
      <c r="AR7" s="100">
        <v>7.716127850445174</v>
      </c>
      <c r="AS7" s="100">
        <v>6083.3951972909754</v>
      </c>
      <c r="AT7" s="100">
        <v>7.581162722788914</v>
      </c>
      <c r="AU7" s="100">
        <v>5976.98869064678</v>
      </c>
      <c r="AV7" s="100">
        <v>1.581839505093229</v>
      </c>
      <c r="AW7" s="100">
        <v>1247.1222658155018</v>
      </c>
      <c r="AX7" s="100">
        <v>6</v>
      </c>
      <c r="AY7" s="100">
        <v>4730.3999999999996</v>
      </c>
      <c r="AZ7" s="100">
        <v>9.19120386969254</v>
      </c>
      <c r="BA7" s="100">
        <v>7246.3451308655985</v>
      </c>
      <c r="BB7" s="100">
        <v>4.0708111653942369</v>
      </c>
      <c r="BC7" s="100">
        <v>3209.4275227968164</v>
      </c>
      <c r="BD7" s="100">
        <v>2.237258632871848</v>
      </c>
      <c r="BE7" s="100">
        <v>1763.8547061561649</v>
      </c>
      <c r="BF7" s="100">
        <v>6.0242420101398686</v>
      </c>
      <c r="BG7" s="100">
        <v>4749.5124007942723</v>
      </c>
      <c r="BH7" s="100">
        <v>4.7428362684587775</v>
      </c>
      <c r="BI7" s="100">
        <v>3739.2521140529002</v>
      </c>
      <c r="BJ7" s="100">
        <v>6.1852551389075447</v>
      </c>
      <c r="BK7" s="100">
        <v>4876.4551515147077</v>
      </c>
      <c r="BL7" s="100">
        <v>3.4367403445610623</v>
      </c>
      <c r="BM7" s="100">
        <v>2709.5260876519415</v>
      </c>
      <c r="BN7" s="100">
        <v>7.1005380643056197</v>
      </c>
      <c r="BO7" s="100">
        <v>5598.0642098985509</v>
      </c>
      <c r="BP7" s="100">
        <v>6</v>
      </c>
      <c r="BQ7" s="100">
        <v>4730.3999999999996</v>
      </c>
      <c r="BR7" s="100">
        <v>7</v>
      </c>
      <c r="BS7" s="100">
        <v>5518.8</v>
      </c>
      <c r="BT7" s="100">
        <v>10</v>
      </c>
      <c r="BU7" s="100">
        <v>7884</v>
      </c>
      <c r="BV7" s="100">
        <v>6.4227630585062476</v>
      </c>
      <c r="BW7" s="100">
        <v>5063.706395326325</v>
      </c>
      <c r="BX7" s="100">
        <v>6.2511988116752351</v>
      </c>
      <c r="BY7" s="100">
        <v>4928.4451431247553</v>
      </c>
      <c r="BZ7" s="100">
        <v>4.2650320863853945</v>
      </c>
      <c r="CA7" s="100">
        <v>3362.5512969062452</v>
      </c>
      <c r="CB7" s="100">
        <v>3.9733710970673219</v>
      </c>
      <c r="CC7" s="100">
        <v>3132.6057729278764</v>
      </c>
      <c r="CD7" s="100">
        <v>3.0940462676859966</v>
      </c>
      <c r="CE7" s="100">
        <v>2439.3460774436394</v>
      </c>
      <c r="CF7" s="100">
        <v>4.298965976436639</v>
      </c>
      <c r="CG7" s="100">
        <v>3389.3047758226462</v>
      </c>
      <c r="CH7" s="100">
        <v>8</v>
      </c>
      <c r="CI7" s="100">
        <v>6307.2</v>
      </c>
      <c r="CJ7" s="100">
        <v>3.7941303161975553</v>
      </c>
      <c r="CK7" s="100">
        <v>2991.2923412901523</v>
      </c>
      <c r="CL7" s="100">
        <v>3.1408174804120401</v>
      </c>
      <c r="CM7" s="100">
        <v>2476.2205015568525</v>
      </c>
      <c r="CN7" s="100">
        <v>7</v>
      </c>
      <c r="CO7" s="100">
        <v>5518.8</v>
      </c>
      <c r="CP7" s="100">
        <v>8.7964699080725648</v>
      </c>
      <c r="CQ7" s="100">
        <v>6935.1368755244102</v>
      </c>
      <c r="CR7" s="100">
        <v>3.5899315404837857</v>
      </c>
      <c r="CS7" s="100">
        <v>2830.3020265174164</v>
      </c>
      <c r="CT7" s="100">
        <v>5.0960840671261396</v>
      </c>
      <c r="CU7" s="100">
        <v>4017.7526785222485</v>
      </c>
    </row>
    <row r="8" spans="1:99">
      <c r="C8" s="99" t="s">
        <v>174</v>
      </c>
      <c r="D8" s="100">
        <v>2.8484713347020887</v>
      </c>
      <c r="E8" s="100">
        <v>881.88672522376658</v>
      </c>
      <c r="F8" s="100">
        <v>3.5052565887219487</v>
      </c>
      <c r="G8" s="100">
        <v>1085.2274398683153</v>
      </c>
      <c r="H8" s="100">
        <v>3.8149181078805232</v>
      </c>
      <c r="I8" s="100">
        <v>1181.0986461998098</v>
      </c>
      <c r="J8" s="100">
        <v>6</v>
      </c>
      <c r="K8" s="100">
        <v>1857.6</v>
      </c>
      <c r="L8" s="100">
        <v>7.2947954302272429</v>
      </c>
      <c r="M8" s="100">
        <v>2258.4686651983543</v>
      </c>
      <c r="N8" s="100">
        <v>3.4038205205642114</v>
      </c>
      <c r="O8" s="100">
        <v>1053.8228331666796</v>
      </c>
      <c r="P8" s="100">
        <v>3.7709240342561814</v>
      </c>
      <c r="Q8" s="100">
        <v>1167.4780810057136</v>
      </c>
      <c r="R8" s="100">
        <v>6</v>
      </c>
      <c r="S8" s="100">
        <v>1857.6</v>
      </c>
      <c r="T8" s="100">
        <v>8</v>
      </c>
      <c r="U8" s="100">
        <v>2476.7999999999997</v>
      </c>
      <c r="V8" s="100">
        <v>7</v>
      </c>
      <c r="W8" s="100">
        <v>2167.1999999999998</v>
      </c>
      <c r="X8" s="100">
        <v>7.9142701885359648</v>
      </c>
      <c r="Y8" s="100">
        <v>2450.2580503707345</v>
      </c>
      <c r="Z8" s="100">
        <v>3.9801175379435998</v>
      </c>
      <c r="AA8" s="100">
        <v>1232.2443897473383</v>
      </c>
      <c r="AB8" s="100">
        <v>7</v>
      </c>
      <c r="AC8" s="100">
        <v>2167.1999999999998</v>
      </c>
      <c r="AD8" s="100">
        <v>4.1387675878523735</v>
      </c>
      <c r="AE8" s="100">
        <v>1281.3624451990947</v>
      </c>
      <c r="AF8" s="100">
        <v>6</v>
      </c>
      <c r="AG8" s="100">
        <v>1857.6</v>
      </c>
      <c r="AH8" s="100">
        <v>9</v>
      </c>
      <c r="AI8" s="100">
        <v>2786.3999999999996</v>
      </c>
      <c r="AJ8" s="100">
        <v>6.9720478821763514</v>
      </c>
      <c r="AK8" s="100">
        <v>2158.5460243217981</v>
      </c>
      <c r="AL8" s="100">
        <v>5.8095311435227801</v>
      </c>
      <c r="AM8" s="100">
        <v>1798.6308420346525</v>
      </c>
      <c r="AN8" s="100">
        <v>1.8006427019428595</v>
      </c>
      <c r="AO8" s="100">
        <v>557.47898052150924</v>
      </c>
      <c r="AP8" s="100">
        <v>8</v>
      </c>
      <c r="AQ8" s="100">
        <v>2476.7999999999997</v>
      </c>
      <c r="AR8" s="100">
        <v>8.680643831750821</v>
      </c>
      <c r="AS8" s="100">
        <v>2687.5273303100539</v>
      </c>
      <c r="AT8" s="100">
        <v>7.6139602265529476</v>
      </c>
      <c r="AU8" s="100">
        <v>2357.2820861407922</v>
      </c>
      <c r="AV8" s="100">
        <v>1.581839505093229</v>
      </c>
      <c r="AW8" s="100">
        <v>489.73751077686364</v>
      </c>
      <c r="AX8" s="100">
        <v>7</v>
      </c>
      <c r="AY8" s="100">
        <v>2167.1999999999998</v>
      </c>
      <c r="AZ8" s="100">
        <v>9.1738216997204898</v>
      </c>
      <c r="BA8" s="100">
        <v>2840.2151982334635</v>
      </c>
      <c r="BB8" s="100">
        <v>4.0708111653942369</v>
      </c>
      <c r="BC8" s="100">
        <v>1260.3231368060556</v>
      </c>
      <c r="BD8" s="100">
        <v>2.4585275861856353</v>
      </c>
      <c r="BE8" s="100">
        <v>761.16014068307254</v>
      </c>
      <c r="BF8" s="100">
        <v>7.4750464266546492</v>
      </c>
      <c r="BG8" s="100">
        <v>2314.2743736922794</v>
      </c>
      <c r="BH8" s="100">
        <v>4.7428362684587775</v>
      </c>
      <c r="BI8" s="100">
        <v>1468.3821087148374</v>
      </c>
      <c r="BJ8" s="100">
        <v>7.0688630158943351</v>
      </c>
      <c r="BK8" s="100">
        <v>2188.5199897208859</v>
      </c>
      <c r="BL8" s="100">
        <v>3.4367403445610623</v>
      </c>
      <c r="BM8" s="100">
        <v>1064.0148106761048</v>
      </c>
      <c r="BN8" s="100">
        <v>7.8894867381173555</v>
      </c>
      <c r="BO8" s="100">
        <v>2442.5850941211329</v>
      </c>
      <c r="BP8" s="100">
        <v>6</v>
      </c>
      <c r="BQ8" s="100">
        <v>1857.6</v>
      </c>
      <c r="BR8" s="100">
        <v>8</v>
      </c>
      <c r="BS8" s="100">
        <v>2476.7999999999997</v>
      </c>
      <c r="BT8" s="100">
        <v>11</v>
      </c>
      <c r="BU8" s="100">
        <v>3405.5999999999995</v>
      </c>
      <c r="BV8" s="100">
        <v>6.4227630585062476</v>
      </c>
      <c r="BW8" s="100">
        <v>1988.4874429135341</v>
      </c>
      <c r="BX8" s="100">
        <v>5.4789890616139827</v>
      </c>
      <c r="BY8" s="100">
        <v>1696.2950134756888</v>
      </c>
      <c r="BZ8" s="100">
        <v>4.2650320863853945</v>
      </c>
      <c r="CA8" s="100">
        <v>1320.4539339449179</v>
      </c>
      <c r="CB8" s="100">
        <v>3.9733710970673219</v>
      </c>
      <c r="CC8" s="100">
        <v>1230.1556916520428</v>
      </c>
      <c r="CD8" s="100">
        <v>3.0940462676859966</v>
      </c>
      <c r="CE8" s="100">
        <v>957.91672447558437</v>
      </c>
      <c r="CF8" s="100">
        <v>4.8363367234912191</v>
      </c>
      <c r="CG8" s="100">
        <v>1497.3298495928814</v>
      </c>
      <c r="CH8" s="100">
        <v>9</v>
      </c>
      <c r="CI8" s="100">
        <v>2786.3999999999996</v>
      </c>
      <c r="CJ8" s="100">
        <v>3.7941303161975553</v>
      </c>
      <c r="CK8" s="100">
        <v>1174.662745894763</v>
      </c>
      <c r="CL8" s="100">
        <v>3.1408174804120401</v>
      </c>
      <c r="CM8" s="100">
        <v>972.39709193556746</v>
      </c>
      <c r="CN8" s="100">
        <v>8</v>
      </c>
      <c r="CO8" s="100">
        <v>2476.7999999999997</v>
      </c>
      <c r="CP8" s="100">
        <v>8.7281676221497868</v>
      </c>
      <c r="CQ8" s="100">
        <v>2702.2406958175739</v>
      </c>
      <c r="CR8" s="100">
        <v>3.5827504058742519</v>
      </c>
      <c r="CS8" s="100">
        <v>1109.2195256586683</v>
      </c>
      <c r="CT8" s="100">
        <v>5.0960840671261396</v>
      </c>
      <c r="CU8" s="100">
        <v>1577.7476271822527</v>
      </c>
    </row>
    <row r="9" spans="1:99">
      <c r="C9" s="99" t="s">
        <v>175</v>
      </c>
      <c r="D9" s="100">
        <v>2.8484713347020887</v>
      </c>
      <c r="E9" s="100">
        <v>1999.6268769608662</v>
      </c>
      <c r="F9" s="100">
        <v>3.5052565887219487</v>
      </c>
      <c r="G9" s="100">
        <v>2460.6901252828079</v>
      </c>
      <c r="H9" s="100">
        <v>3.3380533443954579</v>
      </c>
      <c r="I9" s="100">
        <v>2343.3134477656113</v>
      </c>
      <c r="J9" s="100">
        <v>6</v>
      </c>
      <c r="K9" s="100">
        <v>4212</v>
      </c>
      <c r="L9" s="100">
        <v>7.2579460014488379</v>
      </c>
      <c r="M9" s="100">
        <v>5095.078093017084</v>
      </c>
      <c r="N9" s="100">
        <v>3.8900805949305273</v>
      </c>
      <c r="O9" s="100">
        <v>2730.8365776412302</v>
      </c>
      <c r="P9" s="100">
        <v>3.1424366952134841</v>
      </c>
      <c r="Q9" s="100">
        <v>2205.9905600398661</v>
      </c>
      <c r="R9" s="100">
        <v>6</v>
      </c>
      <c r="S9" s="100">
        <v>4212</v>
      </c>
      <c r="T9" s="100">
        <v>9</v>
      </c>
      <c r="U9" s="100">
        <v>6318</v>
      </c>
      <c r="V9" s="100">
        <v>8</v>
      </c>
      <c r="W9" s="100">
        <v>5616</v>
      </c>
      <c r="X9" s="100">
        <v>7.9142701885359648</v>
      </c>
      <c r="Y9" s="100">
        <v>5555.8176723522474</v>
      </c>
      <c r="Z9" s="100">
        <v>3.5378822559498673</v>
      </c>
      <c r="AA9" s="100">
        <v>2483.5933436768069</v>
      </c>
      <c r="AB9" s="100">
        <v>6</v>
      </c>
      <c r="AC9" s="100">
        <v>4212</v>
      </c>
      <c r="AD9" s="100">
        <v>3.6214216393708267</v>
      </c>
      <c r="AE9" s="100">
        <v>2542.2379908383205</v>
      </c>
      <c r="AF9" s="100">
        <v>6</v>
      </c>
      <c r="AG9" s="100">
        <v>4212</v>
      </c>
      <c r="AH9" s="100">
        <v>10</v>
      </c>
      <c r="AI9" s="100">
        <v>7020</v>
      </c>
      <c r="AJ9" s="100">
        <v>6.1005418969043079</v>
      </c>
      <c r="AK9" s="100">
        <v>4282.5804116268246</v>
      </c>
      <c r="AL9" s="100">
        <v>5.1640276831313594</v>
      </c>
      <c r="AM9" s="100">
        <v>3625.1474335582143</v>
      </c>
      <c r="AN9" s="100">
        <v>1.8006427019428595</v>
      </c>
      <c r="AO9" s="100">
        <v>1264.0511767638873</v>
      </c>
      <c r="AP9" s="100">
        <v>7</v>
      </c>
      <c r="AQ9" s="100">
        <v>4914</v>
      </c>
      <c r="AR9" s="100">
        <v>7.716127850445174</v>
      </c>
      <c r="AS9" s="100">
        <v>5416.721751012512</v>
      </c>
      <c r="AT9" s="100">
        <v>6.8525642038976535</v>
      </c>
      <c r="AU9" s="100">
        <v>4810.5000711361527</v>
      </c>
      <c r="AV9" s="100">
        <v>1.3841095669565753</v>
      </c>
      <c r="AW9" s="100">
        <v>971.64491600351585</v>
      </c>
      <c r="AX9" s="100">
        <v>6</v>
      </c>
      <c r="AY9" s="100">
        <v>4212</v>
      </c>
      <c r="AZ9" s="100">
        <v>8.1738216997204898</v>
      </c>
      <c r="BA9" s="100">
        <v>5738.0228332037841</v>
      </c>
      <c r="BB9" s="100">
        <v>4.8849733984730852</v>
      </c>
      <c r="BC9" s="100">
        <v>3429.2513257281057</v>
      </c>
      <c r="BD9" s="100">
        <v>2.0159896795580612</v>
      </c>
      <c r="BE9" s="100">
        <v>1415.2247550497589</v>
      </c>
      <c r="BF9" s="100">
        <v>7.4750464266546492</v>
      </c>
      <c r="BG9" s="100">
        <v>5247.4825915115634</v>
      </c>
      <c r="BH9" s="100">
        <v>4.7428362684587775</v>
      </c>
      <c r="BI9" s="100">
        <v>3329.4710604580619</v>
      </c>
      <c r="BJ9" s="100">
        <v>6.2043912230154366</v>
      </c>
      <c r="BK9" s="100">
        <v>4355.4826385568367</v>
      </c>
      <c r="BL9" s="100">
        <v>3.9975848039124577</v>
      </c>
      <c r="BM9" s="100">
        <v>2806.3045323465453</v>
      </c>
      <c r="BN9" s="100">
        <v>7.1005380643056197</v>
      </c>
      <c r="BO9" s="100">
        <v>4984.5777211425448</v>
      </c>
      <c r="BP9" s="100">
        <v>6</v>
      </c>
      <c r="BQ9" s="100">
        <v>4212</v>
      </c>
      <c r="BR9" s="100">
        <v>8</v>
      </c>
      <c r="BS9" s="100">
        <v>5616</v>
      </c>
      <c r="BT9" s="100">
        <v>10</v>
      </c>
      <c r="BU9" s="100">
        <v>7020</v>
      </c>
      <c r="BV9" s="100">
        <v>7.136403398340275</v>
      </c>
      <c r="BW9" s="100">
        <v>5009.7551856348728</v>
      </c>
      <c r="BX9" s="100">
        <v>6.2511988116752351</v>
      </c>
      <c r="BY9" s="100">
        <v>4388.3415657960149</v>
      </c>
      <c r="BZ9" s="100">
        <v>4.2650320863853945</v>
      </c>
      <c r="CA9" s="100">
        <v>2994.0525246425468</v>
      </c>
      <c r="CB9" s="100">
        <v>3.9733710970673219</v>
      </c>
      <c r="CC9" s="100">
        <v>2789.3065101412599</v>
      </c>
      <c r="CD9" s="100">
        <v>3.0791309174931021</v>
      </c>
      <c r="CE9" s="100">
        <v>2161.5499040801578</v>
      </c>
      <c r="CF9" s="100">
        <v>4.8363367234912191</v>
      </c>
      <c r="CG9" s="100">
        <v>3395.1083798908357</v>
      </c>
      <c r="CH9" s="100">
        <v>9</v>
      </c>
      <c r="CI9" s="100">
        <v>6318</v>
      </c>
      <c r="CJ9" s="100">
        <v>3.7653997141837263</v>
      </c>
      <c r="CK9" s="100">
        <v>2643.3105993569757</v>
      </c>
      <c r="CL9" s="100">
        <v>3.1408174804120401</v>
      </c>
      <c r="CM9" s="100">
        <v>2204.8538712492523</v>
      </c>
      <c r="CN9" s="100">
        <v>8</v>
      </c>
      <c r="CO9" s="100">
        <v>5616</v>
      </c>
      <c r="CP9" s="100">
        <v>7.1259688981576614</v>
      </c>
      <c r="CQ9" s="100">
        <v>5002.4301665066787</v>
      </c>
      <c r="CR9" s="100">
        <v>3.19105025820781</v>
      </c>
      <c r="CS9" s="100">
        <v>2240.1172812618825</v>
      </c>
      <c r="CT9" s="100">
        <v>5.0787596786099778</v>
      </c>
      <c r="CU9" s="100">
        <v>3565.2892943842044</v>
      </c>
    </row>
    <row r="10" spans="1:99">
      <c r="C10" s="99" t="s">
        <v>176</v>
      </c>
      <c r="D10" s="100">
        <v>3.2964482245321025</v>
      </c>
      <c r="E10" s="100">
        <v>1795.9049927250892</v>
      </c>
      <c r="F10" s="100">
        <v>3.512507176138195</v>
      </c>
      <c r="G10" s="100">
        <v>1913.6139095600884</v>
      </c>
      <c r="H10" s="100">
        <v>3.8149181078805232</v>
      </c>
      <c r="I10" s="100">
        <v>2078.3673851733088</v>
      </c>
      <c r="J10" s="100">
        <v>5</v>
      </c>
      <c r="K10" s="100">
        <v>2724</v>
      </c>
      <c r="L10" s="100">
        <v>8.2947954302272429</v>
      </c>
      <c r="M10" s="100">
        <v>4519.0045503878018</v>
      </c>
      <c r="N10" s="100">
        <v>3.4235916331704943</v>
      </c>
      <c r="O10" s="100">
        <v>1865.1727217512851</v>
      </c>
      <c r="P10" s="100">
        <v>3.7709240342561814</v>
      </c>
      <c r="Q10" s="100">
        <v>2054.3994138627672</v>
      </c>
      <c r="R10" s="100">
        <v>6</v>
      </c>
      <c r="S10" s="100">
        <v>3268.7999999999997</v>
      </c>
      <c r="T10" s="100">
        <v>9</v>
      </c>
      <c r="U10" s="100">
        <v>4903.2</v>
      </c>
      <c r="V10" s="100">
        <v>7</v>
      </c>
      <c r="W10" s="100">
        <v>3813.5999999999995</v>
      </c>
      <c r="X10" s="100">
        <v>7.9142701885359648</v>
      </c>
      <c r="Y10" s="100">
        <v>4311.6943987143932</v>
      </c>
      <c r="Z10" s="100">
        <v>3.5378822559498673</v>
      </c>
      <c r="AA10" s="100">
        <v>1927.4382530414875</v>
      </c>
      <c r="AB10" s="100">
        <v>7</v>
      </c>
      <c r="AC10" s="100">
        <v>3813.5999999999995</v>
      </c>
      <c r="AD10" s="100">
        <v>4.1387675878523735</v>
      </c>
      <c r="AE10" s="100">
        <v>2254.8005818619731</v>
      </c>
      <c r="AF10" s="100">
        <v>6</v>
      </c>
      <c r="AG10" s="100">
        <v>3268.7999999999997</v>
      </c>
      <c r="AH10" s="100">
        <v>10</v>
      </c>
      <c r="AI10" s="100">
        <v>5448</v>
      </c>
      <c r="AJ10" s="100">
        <v>6.9720478821763514</v>
      </c>
      <c r="AK10" s="100">
        <v>3798.3716862096758</v>
      </c>
      <c r="AL10" s="100">
        <v>5.8095311435227801</v>
      </c>
      <c r="AM10" s="100">
        <v>3165.0325669912104</v>
      </c>
      <c r="AN10" s="100">
        <v>1.8006427019428595</v>
      </c>
      <c r="AO10" s="100">
        <v>980.99014401846978</v>
      </c>
      <c r="AP10" s="100">
        <v>8</v>
      </c>
      <c r="AQ10" s="100">
        <v>4358.3999999999996</v>
      </c>
      <c r="AR10" s="100">
        <v>6.751611869139527</v>
      </c>
      <c r="AS10" s="100">
        <v>3678.2781463072142</v>
      </c>
      <c r="AT10" s="100">
        <v>7.581162722788914</v>
      </c>
      <c r="AU10" s="100">
        <v>4130.2174513753998</v>
      </c>
      <c r="AV10" s="100">
        <v>1.3841095669565753</v>
      </c>
      <c r="AW10" s="100">
        <v>754.06289207794214</v>
      </c>
      <c r="AX10" s="100">
        <v>6</v>
      </c>
      <c r="AY10" s="100">
        <v>3268.7999999999997</v>
      </c>
      <c r="AZ10" s="100">
        <v>9.1738216997204898</v>
      </c>
      <c r="BA10" s="100">
        <v>4997.8980620077227</v>
      </c>
      <c r="BB10" s="100">
        <v>4.0708111653942369</v>
      </c>
      <c r="BC10" s="100">
        <v>2217.7779229067801</v>
      </c>
      <c r="BD10" s="100">
        <v>2.0184465895314583</v>
      </c>
      <c r="BE10" s="100">
        <v>1099.6497019767385</v>
      </c>
      <c r="BF10" s="100">
        <v>6.7496442183972594</v>
      </c>
      <c r="BG10" s="100">
        <v>3677.2061701828266</v>
      </c>
      <c r="BH10" s="100">
        <v>4.1499817349014307</v>
      </c>
      <c r="BI10" s="100">
        <v>2260.9100491742993</v>
      </c>
      <c r="BJ10" s="100">
        <v>7.0688630158943351</v>
      </c>
      <c r="BK10" s="100">
        <v>3851.1165710592336</v>
      </c>
      <c r="BL10" s="100">
        <v>3.4188219474478894</v>
      </c>
      <c r="BM10" s="100">
        <v>1862.5741969696101</v>
      </c>
      <c r="BN10" s="100">
        <v>7.1005380643056197</v>
      </c>
      <c r="BO10" s="100">
        <v>3868.3731374337012</v>
      </c>
      <c r="BP10" s="100">
        <v>6</v>
      </c>
      <c r="BQ10" s="100">
        <v>3268.7999999999997</v>
      </c>
      <c r="BR10" s="100">
        <v>8</v>
      </c>
      <c r="BS10" s="100">
        <v>4358.3999999999996</v>
      </c>
      <c r="BT10" s="100">
        <v>9</v>
      </c>
      <c r="BU10" s="100">
        <v>4903.2</v>
      </c>
      <c r="BV10" s="100">
        <v>7.136403398340275</v>
      </c>
      <c r="BW10" s="100">
        <v>3887.9125714157817</v>
      </c>
      <c r="BX10" s="100">
        <v>5.5157494672065948</v>
      </c>
      <c r="BY10" s="100">
        <v>3004.9803097341528</v>
      </c>
      <c r="BZ10" s="100">
        <v>4.6582903533097442</v>
      </c>
      <c r="CA10" s="100">
        <v>2537.8365844831483</v>
      </c>
      <c r="CB10" s="100">
        <v>4.4497959294366325</v>
      </c>
      <c r="CC10" s="100">
        <v>2424.2488223570772</v>
      </c>
      <c r="CD10" s="100">
        <v>2.763521438114569</v>
      </c>
      <c r="CE10" s="100">
        <v>1505.5664794848171</v>
      </c>
      <c r="CF10" s="100">
        <v>4.8363367234912191</v>
      </c>
      <c r="CG10" s="100">
        <v>2634.8362469580161</v>
      </c>
      <c r="CH10" s="100">
        <v>9</v>
      </c>
      <c r="CI10" s="100">
        <v>4903.2</v>
      </c>
      <c r="CJ10" s="100">
        <v>4.369024164869491</v>
      </c>
      <c r="CK10" s="100">
        <v>2380.2443650208984</v>
      </c>
      <c r="CL10" s="100">
        <v>3.4897972004578226</v>
      </c>
      <c r="CM10" s="100">
        <v>1901.2415148094217</v>
      </c>
      <c r="CN10" s="100">
        <v>8</v>
      </c>
      <c r="CO10" s="100">
        <v>4358.3999999999996</v>
      </c>
      <c r="CP10" s="100">
        <v>7.0576666122348852</v>
      </c>
      <c r="CQ10" s="100">
        <v>3845.016770345565</v>
      </c>
      <c r="CR10" s="100">
        <v>3.9672694189311577</v>
      </c>
      <c r="CS10" s="100">
        <v>2161.3683794336944</v>
      </c>
      <c r="CT10" s="100">
        <v>5.7352601240814263</v>
      </c>
      <c r="CU10" s="100">
        <v>3124.5697155995608</v>
      </c>
    </row>
    <row r="11" spans="1:99">
      <c r="C11" s="99" t="s">
        <v>177</v>
      </c>
      <c r="D11" s="100">
        <v>2.8484713347020887</v>
      </c>
      <c r="E11" s="100">
        <v>1517.6655271292727</v>
      </c>
      <c r="F11" s="100">
        <v>3.9966853461470526</v>
      </c>
      <c r="G11" s="100">
        <v>2129.4339524271495</v>
      </c>
      <c r="H11" s="100">
        <v>3.3380533443954579</v>
      </c>
      <c r="I11" s="100">
        <v>1778.5148218938998</v>
      </c>
      <c r="J11" s="100">
        <v>6</v>
      </c>
      <c r="K11" s="100">
        <v>3196.7999999999997</v>
      </c>
      <c r="L11" s="100">
        <v>7.2947954302272429</v>
      </c>
      <c r="M11" s="100">
        <v>3886.6670052250747</v>
      </c>
      <c r="N11" s="100">
        <v>3.4235916331704943</v>
      </c>
      <c r="O11" s="100">
        <v>1824.0896221532391</v>
      </c>
      <c r="P11" s="100">
        <v>3.7709240342561814</v>
      </c>
      <c r="Q11" s="100">
        <v>2009.1483254516934</v>
      </c>
      <c r="R11" s="100">
        <v>6</v>
      </c>
      <c r="S11" s="100">
        <v>3196.7999999999997</v>
      </c>
      <c r="T11" s="100">
        <v>9</v>
      </c>
      <c r="U11" s="100">
        <v>4795.2</v>
      </c>
      <c r="V11" s="100">
        <v>6</v>
      </c>
      <c r="W11" s="100">
        <v>3196.7999999999997</v>
      </c>
      <c r="X11" s="100">
        <v>8.9035539621029613</v>
      </c>
      <c r="Y11" s="100">
        <v>4743.8135510084576</v>
      </c>
      <c r="Z11" s="100">
        <v>3.9801175379435998</v>
      </c>
      <c r="AA11" s="100">
        <v>2120.6066242163497</v>
      </c>
      <c r="AB11" s="100">
        <v>8</v>
      </c>
      <c r="AC11" s="100">
        <v>4262.3999999999996</v>
      </c>
      <c r="AD11" s="100">
        <v>4.1387675878523735</v>
      </c>
      <c r="AE11" s="100">
        <v>2205.1353708077445</v>
      </c>
      <c r="AF11" s="100">
        <v>6</v>
      </c>
      <c r="AG11" s="100">
        <v>3196.7999999999997</v>
      </c>
      <c r="AH11" s="100">
        <v>9</v>
      </c>
      <c r="AI11" s="100">
        <v>4795.2</v>
      </c>
      <c r="AJ11" s="100">
        <v>6.1005418969043079</v>
      </c>
      <c r="AK11" s="100">
        <v>3250.3687226706152</v>
      </c>
      <c r="AL11" s="100">
        <v>5.8095311435227801</v>
      </c>
      <c r="AM11" s="100">
        <v>3095.3181932689372</v>
      </c>
      <c r="AN11" s="100">
        <v>1.5755623642000018</v>
      </c>
      <c r="AO11" s="100">
        <v>839.45962764576086</v>
      </c>
      <c r="AP11" s="100">
        <v>7</v>
      </c>
      <c r="AQ11" s="100">
        <v>3729.5999999999995</v>
      </c>
      <c r="AR11" s="100">
        <v>7.716127850445174</v>
      </c>
      <c r="AS11" s="100">
        <v>4111.1529187171882</v>
      </c>
      <c r="AT11" s="100">
        <v>7.6139602265529476</v>
      </c>
      <c r="AU11" s="100">
        <v>4056.7180087074103</v>
      </c>
      <c r="AV11" s="100">
        <v>1.581839505093229</v>
      </c>
      <c r="AW11" s="100">
        <v>842.80408831367231</v>
      </c>
      <c r="AX11" s="100">
        <v>6</v>
      </c>
      <c r="AY11" s="100">
        <v>3196.7999999999997</v>
      </c>
      <c r="AZ11" s="100">
        <v>8.1738216997204898</v>
      </c>
      <c r="BA11" s="100">
        <v>4355.0122016110763</v>
      </c>
      <c r="BB11" s="100">
        <v>4.0708111653942369</v>
      </c>
      <c r="BC11" s="100">
        <v>2168.9281889220492</v>
      </c>
      <c r="BD11" s="100">
        <v>2.0159896795580612</v>
      </c>
      <c r="BE11" s="100">
        <v>1074.1193012685349</v>
      </c>
      <c r="BF11" s="100">
        <v>6.7496442183972594</v>
      </c>
      <c r="BG11" s="100">
        <v>3596.2104395620595</v>
      </c>
      <c r="BH11" s="100">
        <v>4.7428362684587775</v>
      </c>
      <c r="BI11" s="100">
        <v>2526.9831638348364</v>
      </c>
      <c r="BJ11" s="100">
        <v>7.0497269317864433</v>
      </c>
      <c r="BK11" s="100">
        <v>3756.0945092558168</v>
      </c>
      <c r="BL11" s="100">
        <v>3.9796664067992853</v>
      </c>
      <c r="BM11" s="100">
        <v>2120.3662615426592</v>
      </c>
      <c r="BN11" s="100">
        <v>7.8894867381173555</v>
      </c>
      <c r="BO11" s="100">
        <v>4203.5185340689268</v>
      </c>
      <c r="BP11" s="100">
        <v>6</v>
      </c>
      <c r="BQ11" s="100">
        <v>3196.7999999999997</v>
      </c>
      <c r="BR11" s="100">
        <v>8</v>
      </c>
      <c r="BS11" s="100">
        <v>4262.3999999999996</v>
      </c>
      <c r="BT11" s="100">
        <v>9</v>
      </c>
      <c r="BU11" s="100">
        <v>4795.2</v>
      </c>
      <c r="BV11" s="100">
        <v>7.136403398340275</v>
      </c>
      <c r="BW11" s="100">
        <v>3802.2757306356984</v>
      </c>
      <c r="BX11" s="100">
        <v>5.4789890616139827</v>
      </c>
      <c r="BY11" s="100">
        <v>2919.2053720279296</v>
      </c>
      <c r="BZ11" s="100">
        <v>3.8348349953341674</v>
      </c>
      <c r="CA11" s="100">
        <v>2043.2000855140443</v>
      </c>
      <c r="CB11" s="100">
        <v>3.9733710970673219</v>
      </c>
      <c r="CC11" s="100">
        <v>2117.0121205174692</v>
      </c>
      <c r="CD11" s="100">
        <v>3.0940462676859966</v>
      </c>
      <c r="CE11" s="100">
        <v>1648.5078514230988</v>
      </c>
      <c r="CF11" s="100">
        <v>5.3737074705457992</v>
      </c>
      <c r="CG11" s="100">
        <v>2863.1113403068016</v>
      </c>
      <c r="CH11" s="100">
        <v>9</v>
      </c>
      <c r="CI11" s="100">
        <v>4795.2</v>
      </c>
      <c r="CJ11" s="100">
        <v>4.369024164869491</v>
      </c>
      <c r="CK11" s="100">
        <v>2327.8160750424645</v>
      </c>
      <c r="CL11" s="100">
        <v>3.1408174804120401</v>
      </c>
      <c r="CM11" s="100">
        <v>1673.4275535635347</v>
      </c>
      <c r="CN11" s="100">
        <v>7</v>
      </c>
      <c r="CO11" s="100">
        <v>3729.5999999999995</v>
      </c>
      <c r="CP11" s="100">
        <v>7.9270682601537237</v>
      </c>
      <c r="CQ11" s="100">
        <v>4223.5419690099034</v>
      </c>
      <c r="CR11" s="100">
        <v>3.9672694189311577</v>
      </c>
      <c r="CS11" s="100">
        <v>2113.7611464065208</v>
      </c>
      <c r="CT11" s="100">
        <v>5.0960840671261396</v>
      </c>
      <c r="CU11" s="100">
        <v>2715.1935909648068</v>
      </c>
    </row>
    <row r="12" spans="1:99">
      <c r="C12" s="99" t="s">
        <v>178</v>
      </c>
      <c r="D12" s="100">
        <v>2.8377640016539547</v>
      </c>
      <c r="E12" s="100">
        <v>1597.0935801308456</v>
      </c>
      <c r="F12" s="100">
        <v>4.0039359335632998</v>
      </c>
      <c r="G12" s="100">
        <v>2253.4151434094251</v>
      </c>
      <c r="H12" s="100">
        <v>3.3380533443954579</v>
      </c>
      <c r="I12" s="100">
        <v>1878.6564222257634</v>
      </c>
      <c r="J12" s="100">
        <v>6</v>
      </c>
      <c r="K12" s="100">
        <v>3376.7999999999997</v>
      </c>
      <c r="L12" s="100">
        <v>7.2579460014488379</v>
      </c>
      <c r="M12" s="100">
        <v>4084.7720096154058</v>
      </c>
      <c r="N12" s="100">
        <v>3.8900805949305273</v>
      </c>
      <c r="O12" s="100">
        <v>2189.3373588269005</v>
      </c>
      <c r="P12" s="100">
        <v>3.7709240342561814</v>
      </c>
      <c r="Q12" s="100">
        <v>2122.2760464793787</v>
      </c>
      <c r="R12" s="100">
        <v>6</v>
      </c>
      <c r="S12" s="100">
        <v>3376.7999999999997</v>
      </c>
      <c r="T12" s="100">
        <v>8</v>
      </c>
      <c r="U12" s="100">
        <v>4502.3999999999996</v>
      </c>
      <c r="V12" s="100">
        <v>7</v>
      </c>
      <c r="W12" s="100">
        <v>3939.5999999999995</v>
      </c>
      <c r="X12" s="100">
        <v>7.9142701885359648</v>
      </c>
      <c r="Y12" s="100">
        <v>4454.151262108041</v>
      </c>
      <c r="Z12" s="100">
        <v>3.9801175379435998</v>
      </c>
      <c r="AA12" s="100">
        <v>2240.010150354658</v>
      </c>
      <c r="AB12" s="100">
        <v>7</v>
      </c>
      <c r="AC12" s="100">
        <v>3939.5999999999995</v>
      </c>
      <c r="AD12" s="100">
        <v>4.1387675878523735</v>
      </c>
      <c r="AE12" s="100">
        <v>2329.2983984433158</v>
      </c>
      <c r="AF12" s="100">
        <v>6</v>
      </c>
      <c r="AG12" s="100">
        <v>3376.7999999999997</v>
      </c>
      <c r="AH12" s="100">
        <v>8</v>
      </c>
      <c r="AI12" s="100">
        <v>4502.3999999999996</v>
      </c>
      <c r="AJ12" s="100">
        <v>6.1005418969043079</v>
      </c>
      <c r="AK12" s="100">
        <v>3433.3849795777442</v>
      </c>
      <c r="AL12" s="100">
        <v>5.1640276831313594</v>
      </c>
      <c r="AM12" s="100">
        <v>2906.3147800663287</v>
      </c>
      <c r="AN12" s="100">
        <v>1.8006427019428595</v>
      </c>
      <c r="AO12" s="100">
        <v>1013.4017126534412</v>
      </c>
      <c r="AP12" s="100">
        <v>7</v>
      </c>
      <c r="AQ12" s="100">
        <v>3939.5999999999995</v>
      </c>
      <c r="AR12" s="100">
        <v>7.716127850445174</v>
      </c>
      <c r="AS12" s="100">
        <v>4342.6367542305434</v>
      </c>
      <c r="AT12" s="100">
        <v>6.8525642038976535</v>
      </c>
      <c r="AU12" s="100">
        <v>3856.6231339535989</v>
      </c>
      <c r="AV12" s="100">
        <v>1.581839505093229</v>
      </c>
      <c r="AW12" s="100">
        <v>890.25927346646927</v>
      </c>
      <c r="AX12" s="100">
        <v>7</v>
      </c>
      <c r="AY12" s="100">
        <v>3939.5999999999995</v>
      </c>
      <c r="AZ12" s="100">
        <v>8.1738216997204898</v>
      </c>
      <c r="BA12" s="100">
        <v>4600.226852602691</v>
      </c>
      <c r="BB12" s="100">
        <v>4.0708111653942369</v>
      </c>
      <c r="BC12" s="100">
        <v>2291.0525238838763</v>
      </c>
      <c r="BD12" s="100">
        <v>2.239715542845246</v>
      </c>
      <c r="BE12" s="100">
        <v>1260.5119075133043</v>
      </c>
      <c r="BF12" s="100">
        <v>6.0242420101398686</v>
      </c>
      <c r="BG12" s="100">
        <v>3390.4434033067178</v>
      </c>
      <c r="BH12" s="100">
        <v>4.7428362684587775</v>
      </c>
      <c r="BI12" s="100">
        <v>2669.2682518885999</v>
      </c>
      <c r="BJ12" s="100">
        <v>6.2043912230154366</v>
      </c>
      <c r="BK12" s="100">
        <v>3491.8313803130873</v>
      </c>
      <c r="BL12" s="100">
        <v>3.4367403445610623</v>
      </c>
      <c r="BM12" s="100">
        <v>1934.1974659189657</v>
      </c>
      <c r="BN12" s="100">
        <v>6.3115893904938849</v>
      </c>
      <c r="BO12" s="100">
        <v>3552.1625089699583</v>
      </c>
      <c r="BP12" s="100">
        <v>6</v>
      </c>
      <c r="BQ12" s="100">
        <v>3376.7999999999997</v>
      </c>
      <c r="BR12" s="100">
        <v>7</v>
      </c>
      <c r="BS12" s="100">
        <v>3939.5999999999995</v>
      </c>
      <c r="BT12" s="100">
        <v>10</v>
      </c>
      <c r="BU12" s="100">
        <v>5628</v>
      </c>
      <c r="BV12" s="100">
        <v>6.4227630585062476</v>
      </c>
      <c r="BW12" s="100">
        <v>3614.7310493273158</v>
      </c>
      <c r="BX12" s="100">
        <v>6.17767800049001</v>
      </c>
      <c r="BY12" s="100">
        <v>3476.7971786757776</v>
      </c>
      <c r="BZ12" s="100">
        <v>4.2465626743219564</v>
      </c>
      <c r="CA12" s="100">
        <v>2389.965473108397</v>
      </c>
      <c r="CB12" s="100">
        <v>4.4266570097062283</v>
      </c>
      <c r="CC12" s="100">
        <v>2491.322565062665</v>
      </c>
      <c r="CD12" s="100">
        <v>2.763521438114569</v>
      </c>
      <c r="CE12" s="100">
        <v>1555.3098653708794</v>
      </c>
      <c r="CF12" s="100">
        <v>5.3737074705457992</v>
      </c>
      <c r="CG12" s="100">
        <v>3024.3225644231757</v>
      </c>
      <c r="CH12" s="100">
        <v>8</v>
      </c>
      <c r="CI12" s="100">
        <v>4502.3999999999996</v>
      </c>
      <c r="CJ12" s="100">
        <v>3.7653997141837263</v>
      </c>
      <c r="CK12" s="100">
        <v>2119.1669591426012</v>
      </c>
      <c r="CL12" s="100">
        <v>3.1408174804120401</v>
      </c>
      <c r="CM12" s="100">
        <v>1767.652077975896</v>
      </c>
      <c r="CN12" s="100">
        <v>8</v>
      </c>
      <c r="CO12" s="100">
        <v>4502.3999999999996</v>
      </c>
      <c r="CP12" s="100">
        <v>7.9270682601537237</v>
      </c>
      <c r="CQ12" s="100">
        <v>4461.3540168145155</v>
      </c>
      <c r="CR12" s="100">
        <v>3.5827504058742519</v>
      </c>
      <c r="CS12" s="100">
        <v>2016.3719284260287</v>
      </c>
      <c r="CT12" s="100">
        <v>5.0960840671261396</v>
      </c>
      <c r="CU12" s="100">
        <v>2868.076112978591</v>
      </c>
    </row>
    <row r="13" spans="1:99">
      <c r="C13" s="99" t="s">
        <v>179</v>
      </c>
      <c r="D13" s="100">
        <v>2.8484713347020887</v>
      </c>
      <c r="E13" s="100">
        <v>242.68975771661798</v>
      </c>
      <c r="F13" s="100">
        <v>4.0039359335632998</v>
      </c>
      <c r="G13" s="100">
        <v>341.13534153959313</v>
      </c>
      <c r="H13" s="100">
        <v>3.3380533443954579</v>
      </c>
      <c r="I13" s="100">
        <v>284.40214494249301</v>
      </c>
      <c r="J13" s="100">
        <v>6</v>
      </c>
      <c r="K13" s="100">
        <v>511.20000000000005</v>
      </c>
      <c r="L13" s="100">
        <v>8.3316448590056496</v>
      </c>
      <c r="M13" s="100">
        <v>709.85614198728138</v>
      </c>
      <c r="N13" s="100">
        <v>3.8703094823242443</v>
      </c>
      <c r="O13" s="100">
        <v>329.7503678940256</v>
      </c>
      <c r="P13" s="100">
        <v>3.7709240342561814</v>
      </c>
      <c r="Q13" s="100">
        <v>321.28272771862669</v>
      </c>
      <c r="R13" s="100">
        <v>6</v>
      </c>
      <c r="S13" s="100">
        <v>511.20000000000005</v>
      </c>
      <c r="T13" s="100">
        <v>8</v>
      </c>
      <c r="U13" s="100">
        <v>681.6</v>
      </c>
      <c r="V13" s="100">
        <v>8</v>
      </c>
      <c r="W13" s="100">
        <v>681.6</v>
      </c>
      <c r="X13" s="100">
        <v>7.9142701885359648</v>
      </c>
      <c r="Y13" s="100">
        <v>674.29582006326427</v>
      </c>
      <c r="Z13" s="100">
        <v>3.9801175379435998</v>
      </c>
      <c r="AA13" s="100">
        <v>339.10601423279473</v>
      </c>
      <c r="AB13" s="100">
        <v>8</v>
      </c>
      <c r="AC13" s="100">
        <v>681.6</v>
      </c>
      <c r="AD13" s="100">
        <v>4.1387675878523735</v>
      </c>
      <c r="AE13" s="100">
        <v>352.62299848502226</v>
      </c>
      <c r="AF13" s="100">
        <v>7</v>
      </c>
      <c r="AG13" s="100">
        <v>596.4</v>
      </c>
      <c r="AH13" s="100">
        <v>8</v>
      </c>
      <c r="AI13" s="100">
        <v>681.6</v>
      </c>
      <c r="AJ13" s="100">
        <v>6.1005418969043079</v>
      </c>
      <c r="AK13" s="100">
        <v>519.766169616247</v>
      </c>
      <c r="AL13" s="100">
        <v>5.8095311435227801</v>
      </c>
      <c r="AM13" s="100">
        <v>494.9720534281409</v>
      </c>
      <c r="AN13" s="100">
        <v>1.5755623642000018</v>
      </c>
      <c r="AO13" s="100">
        <v>134.23791342984015</v>
      </c>
      <c r="AP13" s="100">
        <v>7</v>
      </c>
      <c r="AQ13" s="100">
        <v>596.4</v>
      </c>
      <c r="AR13" s="100">
        <v>8.680643831750821</v>
      </c>
      <c r="AS13" s="100">
        <v>739.59085446516997</v>
      </c>
      <c r="AT13" s="100">
        <v>6.8525642038976535</v>
      </c>
      <c r="AU13" s="100">
        <v>583.83847017208006</v>
      </c>
      <c r="AV13" s="100">
        <v>1.581839505093229</v>
      </c>
      <c r="AW13" s="100">
        <v>134.77272583394313</v>
      </c>
      <c r="AX13" s="100">
        <v>6</v>
      </c>
      <c r="AY13" s="100">
        <v>511.20000000000005</v>
      </c>
      <c r="AZ13" s="100">
        <v>8.19120386969254</v>
      </c>
      <c r="BA13" s="100">
        <v>697.89056969780438</v>
      </c>
      <c r="BB13" s="100">
        <v>4.0708111653942369</v>
      </c>
      <c r="BC13" s="100">
        <v>346.83311129158898</v>
      </c>
      <c r="BD13" s="100">
        <v>2.237258632871848</v>
      </c>
      <c r="BE13" s="100">
        <v>190.61443552068147</v>
      </c>
      <c r="BF13" s="100">
        <v>6.7496442183972594</v>
      </c>
      <c r="BG13" s="100">
        <v>575.06968740744651</v>
      </c>
      <c r="BH13" s="100">
        <v>4.1499817349014307</v>
      </c>
      <c r="BI13" s="100">
        <v>353.57844381360189</v>
      </c>
      <c r="BJ13" s="100">
        <v>6.2043912230154366</v>
      </c>
      <c r="BK13" s="100">
        <v>528.61413220091526</v>
      </c>
      <c r="BL13" s="100">
        <v>3.9617480096861128</v>
      </c>
      <c r="BM13" s="100">
        <v>337.54093042525682</v>
      </c>
      <c r="BN13" s="100">
        <v>7.8894867381173555</v>
      </c>
      <c r="BO13" s="100">
        <v>672.18427008759875</v>
      </c>
      <c r="BP13" s="100">
        <v>6</v>
      </c>
      <c r="BQ13" s="100">
        <v>511.20000000000005</v>
      </c>
      <c r="BR13" s="100">
        <v>8</v>
      </c>
      <c r="BS13" s="100">
        <v>681.6</v>
      </c>
      <c r="BT13" s="100">
        <v>11</v>
      </c>
      <c r="BU13" s="100">
        <v>937.2</v>
      </c>
      <c r="BV13" s="100">
        <v>7.136403398340275</v>
      </c>
      <c r="BW13" s="100">
        <v>608.02156953859151</v>
      </c>
      <c r="BX13" s="100">
        <v>5.4789890616139827</v>
      </c>
      <c r="BY13" s="100">
        <v>466.80986804951135</v>
      </c>
      <c r="BZ13" s="100">
        <v>4.6582903533097442</v>
      </c>
      <c r="CA13" s="100">
        <v>396.88633810199019</v>
      </c>
      <c r="CB13" s="100">
        <v>3.9502321773369169</v>
      </c>
      <c r="CC13" s="100">
        <v>336.55978150910533</v>
      </c>
      <c r="CD13" s="100">
        <v>3.0940462676859966</v>
      </c>
      <c r="CE13" s="100">
        <v>263.61274200684693</v>
      </c>
      <c r="CF13" s="100">
        <v>4.8363367234912191</v>
      </c>
      <c r="CG13" s="100">
        <v>412.05588884145186</v>
      </c>
      <c r="CH13" s="100">
        <v>9</v>
      </c>
      <c r="CI13" s="100">
        <v>766.80000000000007</v>
      </c>
      <c r="CJ13" s="100">
        <v>3.7366691121698978</v>
      </c>
      <c r="CK13" s="100">
        <v>318.36420835687528</v>
      </c>
      <c r="CL13" s="100">
        <v>3.1408174804120401</v>
      </c>
      <c r="CM13" s="100">
        <v>267.5976493311058</v>
      </c>
      <c r="CN13" s="100">
        <v>8</v>
      </c>
      <c r="CO13" s="100">
        <v>681.6</v>
      </c>
      <c r="CP13" s="100">
        <v>8.7964699080725648</v>
      </c>
      <c r="CQ13" s="100">
        <v>749.45923616778259</v>
      </c>
      <c r="CR13" s="100">
        <v>3.5827504058742519</v>
      </c>
      <c r="CS13" s="100">
        <v>305.25033458048625</v>
      </c>
      <c r="CT13" s="100">
        <v>5.7179357355652654</v>
      </c>
      <c r="CU13" s="100">
        <v>487.16812467016064</v>
      </c>
    </row>
    <row r="14" spans="1:99">
      <c r="C14" s="99" t="s">
        <v>180</v>
      </c>
      <c r="D14" s="100">
        <v>2.8484713347020887</v>
      </c>
      <c r="E14" s="100">
        <v>1391.1933998685001</v>
      </c>
      <c r="F14" s="100">
        <v>3.9894347587308072</v>
      </c>
      <c r="G14" s="100">
        <v>1948.4399361641263</v>
      </c>
      <c r="H14" s="100">
        <v>3.8149181078805232</v>
      </c>
      <c r="I14" s="100">
        <v>1863.2060038888474</v>
      </c>
      <c r="J14" s="100">
        <v>5</v>
      </c>
      <c r="K14" s="100">
        <v>2442</v>
      </c>
      <c r="L14" s="100">
        <v>7.2947954302272429</v>
      </c>
      <c r="M14" s="100">
        <v>3562.7780881229851</v>
      </c>
      <c r="N14" s="100">
        <v>4.3565695566905598</v>
      </c>
      <c r="O14" s="100">
        <v>2127.7485714876693</v>
      </c>
      <c r="P14" s="100">
        <v>3.1424366952134841</v>
      </c>
      <c r="Q14" s="100">
        <v>1534.7660819422656</v>
      </c>
      <c r="R14" s="100">
        <v>5</v>
      </c>
      <c r="S14" s="100">
        <v>2442</v>
      </c>
      <c r="T14" s="100">
        <v>8</v>
      </c>
      <c r="U14" s="100">
        <v>3907.2</v>
      </c>
      <c r="V14" s="100">
        <v>7</v>
      </c>
      <c r="W14" s="100">
        <v>3418.7999999999997</v>
      </c>
      <c r="X14" s="100">
        <v>8.9035539621029613</v>
      </c>
      <c r="Y14" s="100">
        <v>4348.4957550910858</v>
      </c>
      <c r="Z14" s="100">
        <v>3.5378822559498673</v>
      </c>
      <c r="AA14" s="100">
        <v>1727.9016938059151</v>
      </c>
      <c r="AB14" s="100">
        <v>8</v>
      </c>
      <c r="AC14" s="100">
        <v>3907.2</v>
      </c>
      <c r="AD14" s="100">
        <v>4.1387675878523735</v>
      </c>
      <c r="AE14" s="100">
        <v>2021.3740899070992</v>
      </c>
      <c r="AF14" s="100">
        <v>6</v>
      </c>
      <c r="AG14" s="100">
        <v>2930.3999999999996</v>
      </c>
      <c r="AH14" s="100">
        <v>10</v>
      </c>
      <c r="AI14" s="100">
        <v>4884</v>
      </c>
      <c r="AJ14" s="100">
        <v>6.9720478821763514</v>
      </c>
      <c r="AK14" s="100">
        <v>3405.1481856549299</v>
      </c>
      <c r="AL14" s="100">
        <v>5.1640276831313594</v>
      </c>
      <c r="AM14" s="100">
        <v>2522.111120441356</v>
      </c>
      <c r="AN14" s="100">
        <v>1.5755623642000018</v>
      </c>
      <c r="AO14" s="100">
        <v>769.50465867528089</v>
      </c>
      <c r="AP14" s="100">
        <v>8</v>
      </c>
      <c r="AQ14" s="100">
        <v>3907.2</v>
      </c>
      <c r="AR14" s="100">
        <v>8.680643831750821</v>
      </c>
      <c r="AS14" s="100">
        <v>4239.6264474271011</v>
      </c>
      <c r="AT14" s="100">
        <v>6.8853617076616871</v>
      </c>
      <c r="AU14" s="100">
        <v>3362.8106580219678</v>
      </c>
      <c r="AV14" s="100">
        <v>1.581839505093229</v>
      </c>
      <c r="AW14" s="100">
        <v>772.57041428753303</v>
      </c>
      <c r="AX14" s="100">
        <v>6</v>
      </c>
      <c r="AY14" s="100">
        <v>2930.3999999999996</v>
      </c>
      <c r="AZ14" s="100">
        <v>9.19120386969254</v>
      </c>
      <c r="BA14" s="100">
        <v>4488.9839699578361</v>
      </c>
      <c r="BB14" s="100">
        <v>4.0708111653942369</v>
      </c>
      <c r="BC14" s="100">
        <v>1988.1841731785453</v>
      </c>
      <c r="BD14" s="100">
        <v>2.0159896795580612</v>
      </c>
      <c r="BE14" s="100">
        <v>984.60935949615703</v>
      </c>
      <c r="BF14" s="100">
        <v>6.7180693121000088</v>
      </c>
      <c r="BG14" s="100">
        <v>3281.105052029644</v>
      </c>
      <c r="BH14" s="100">
        <v>4.1499817349014307</v>
      </c>
      <c r="BI14" s="100">
        <v>2026.8510793258588</v>
      </c>
      <c r="BJ14" s="100">
        <v>7.0497269317864433</v>
      </c>
      <c r="BK14" s="100">
        <v>3443.0866334844986</v>
      </c>
      <c r="BL14" s="100">
        <v>3.4188219474478894</v>
      </c>
      <c r="BM14" s="100">
        <v>1669.7526391335491</v>
      </c>
      <c r="BN14" s="100">
        <v>6.3115893904938849</v>
      </c>
      <c r="BO14" s="100">
        <v>3082.5802583172131</v>
      </c>
      <c r="BP14" s="100">
        <v>6</v>
      </c>
      <c r="BQ14" s="100">
        <v>2930.3999999999996</v>
      </c>
      <c r="BR14" s="100">
        <v>7</v>
      </c>
      <c r="BS14" s="100">
        <v>3418.7999999999997</v>
      </c>
      <c r="BT14" s="100">
        <v>10</v>
      </c>
      <c r="BU14" s="100">
        <v>4884</v>
      </c>
      <c r="BV14" s="100">
        <v>6.4227630585062476</v>
      </c>
      <c r="BW14" s="100">
        <v>3136.8774777744511</v>
      </c>
      <c r="BX14" s="100">
        <v>5.5157494672065948</v>
      </c>
      <c r="BY14" s="100">
        <v>2693.892039783701</v>
      </c>
      <c r="BZ14" s="100">
        <v>4.6582903533097442</v>
      </c>
      <c r="CA14" s="100">
        <v>2275.1090085564788</v>
      </c>
      <c r="CB14" s="100">
        <v>3.9733710970673219</v>
      </c>
      <c r="CC14" s="100">
        <v>1940.5944438076799</v>
      </c>
      <c r="CD14" s="100">
        <v>2.7486060879216749</v>
      </c>
      <c r="CE14" s="100">
        <v>1342.419213340946</v>
      </c>
      <c r="CF14" s="100">
        <v>5.3737074705457992</v>
      </c>
      <c r="CG14" s="100">
        <v>2624.5187286145683</v>
      </c>
      <c r="CH14" s="100">
        <v>8</v>
      </c>
      <c r="CI14" s="100">
        <v>3907.2</v>
      </c>
      <c r="CJ14" s="100">
        <v>3.7941303161975553</v>
      </c>
      <c r="CK14" s="100">
        <v>1853.0532464308858</v>
      </c>
      <c r="CL14" s="100">
        <v>3.4897972004578226</v>
      </c>
      <c r="CM14" s="100">
        <v>1704.4169527036004</v>
      </c>
      <c r="CN14" s="100">
        <v>8</v>
      </c>
      <c r="CO14" s="100">
        <v>3907.2</v>
      </c>
      <c r="CP14" s="100">
        <v>7.8929171171923365</v>
      </c>
      <c r="CQ14" s="100">
        <v>3854.9007200367369</v>
      </c>
      <c r="CR14" s="100">
        <v>3.9672694189311577</v>
      </c>
      <c r="CS14" s="100">
        <v>1937.6143842059773</v>
      </c>
      <c r="CT14" s="100">
        <v>5.7006113470491035</v>
      </c>
      <c r="CU14" s="100">
        <v>2784.1785818987819</v>
      </c>
    </row>
    <row r="15" spans="1:99">
      <c r="C15" s="99" t="s">
        <v>181</v>
      </c>
      <c r="D15" s="100">
        <v>2.8484713347020887</v>
      </c>
      <c r="E15" s="100">
        <v>2173.9533226446338</v>
      </c>
      <c r="F15" s="100">
        <v>4.0039359335632998</v>
      </c>
      <c r="G15" s="100">
        <v>3055.8039044955103</v>
      </c>
      <c r="H15" s="100">
        <v>3.3380533443954579</v>
      </c>
      <c r="I15" s="100">
        <v>2547.6023124426133</v>
      </c>
      <c r="J15" s="100">
        <v>6</v>
      </c>
      <c r="K15" s="100">
        <v>4579.2</v>
      </c>
      <c r="L15" s="100">
        <v>7.2579460014488379</v>
      </c>
      <c r="M15" s="100">
        <v>5539.2643883057526</v>
      </c>
      <c r="N15" s="100">
        <v>3.8703094823242443</v>
      </c>
      <c r="O15" s="100">
        <v>2953.8201969098632</v>
      </c>
      <c r="P15" s="100">
        <v>3.7709240342561814</v>
      </c>
      <c r="Q15" s="100">
        <v>2877.9692229443172</v>
      </c>
      <c r="R15" s="100">
        <v>6</v>
      </c>
      <c r="S15" s="100">
        <v>4579.2</v>
      </c>
      <c r="T15" s="100">
        <v>8</v>
      </c>
      <c r="U15" s="100">
        <v>6105.5999999999995</v>
      </c>
      <c r="V15" s="100">
        <v>7</v>
      </c>
      <c r="W15" s="100">
        <v>5342.4</v>
      </c>
      <c r="X15" s="100">
        <v>7.9142701885359648</v>
      </c>
      <c r="Y15" s="100">
        <v>6040.1710078906481</v>
      </c>
      <c r="Z15" s="100">
        <v>3.5378822559498673</v>
      </c>
      <c r="AA15" s="100">
        <v>2700.1117377409387</v>
      </c>
      <c r="AB15" s="100">
        <v>7</v>
      </c>
      <c r="AC15" s="100">
        <v>5342.4</v>
      </c>
      <c r="AD15" s="100">
        <v>4.1387675878523735</v>
      </c>
      <c r="AE15" s="100">
        <v>3158.7074230489311</v>
      </c>
      <c r="AF15" s="100">
        <v>6</v>
      </c>
      <c r="AG15" s="100">
        <v>4579.2</v>
      </c>
      <c r="AH15" s="100">
        <v>9</v>
      </c>
      <c r="AI15" s="100">
        <v>6868.7999999999993</v>
      </c>
      <c r="AJ15" s="100">
        <v>6.9720478821763514</v>
      </c>
      <c r="AK15" s="100">
        <v>5321.0669436769913</v>
      </c>
      <c r="AL15" s="100">
        <v>5.1640276831313594</v>
      </c>
      <c r="AM15" s="100">
        <v>3941.1859277658532</v>
      </c>
      <c r="AN15" s="100">
        <v>1.5755623642000018</v>
      </c>
      <c r="AO15" s="100">
        <v>1202.4691963574412</v>
      </c>
      <c r="AP15" s="100">
        <v>8</v>
      </c>
      <c r="AQ15" s="100">
        <v>6105.5999999999995</v>
      </c>
      <c r="AR15" s="100">
        <v>7.716127850445174</v>
      </c>
      <c r="AS15" s="100">
        <v>5888.9487754597567</v>
      </c>
      <c r="AT15" s="100">
        <v>7.6139602265529476</v>
      </c>
      <c r="AU15" s="100">
        <v>5810.9744449052087</v>
      </c>
      <c r="AV15" s="100">
        <v>1.581839505093229</v>
      </c>
      <c r="AW15" s="100">
        <v>1207.2599102871523</v>
      </c>
      <c r="AX15" s="100">
        <v>7</v>
      </c>
      <c r="AY15" s="100">
        <v>5342.4</v>
      </c>
      <c r="AZ15" s="100">
        <v>8.1738216997204898</v>
      </c>
      <c r="BA15" s="100">
        <v>6238.2607212266776</v>
      </c>
      <c r="BB15" s="100">
        <v>4.0708111653942369</v>
      </c>
      <c r="BC15" s="100">
        <v>3106.8430814288813</v>
      </c>
      <c r="BD15" s="100">
        <v>2.0184465895314583</v>
      </c>
      <c r="BE15" s="100">
        <v>1540.4784371304088</v>
      </c>
      <c r="BF15" s="100">
        <v>6.0242420101398686</v>
      </c>
      <c r="BG15" s="100">
        <v>4597.7015021387469</v>
      </c>
      <c r="BH15" s="100">
        <v>4.7428362684587775</v>
      </c>
      <c r="BI15" s="100">
        <v>3619.7326400877387</v>
      </c>
      <c r="BJ15" s="100">
        <v>7.0688630158943351</v>
      </c>
      <c r="BK15" s="100">
        <v>5394.9562537305565</v>
      </c>
      <c r="BL15" s="100">
        <v>3.4367403445610623</v>
      </c>
      <c r="BM15" s="100">
        <v>2622.9202309690027</v>
      </c>
      <c r="BN15" s="100">
        <v>6.3115893904938849</v>
      </c>
      <c r="BO15" s="100">
        <v>4817.0050228249329</v>
      </c>
      <c r="BP15" s="100">
        <v>6</v>
      </c>
      <c r="BQ15" s="100">
        <v>4579.2</v>
      </c>
      <c r="BR15" s="100">
        <v>8</v>
      </c>
      <c r="BS15" s="100">
        <v>6105.5999999999995</v>
      </c>
      <c r="BT15" s="100">
        <v>10</v>
      </c>
      <c r="BU15" s="100">
        <v>7631.9999999999991</v>
      </c>
      <c r="BV15" s="100">
        <v>6.4227630585062476</v>
      </c>
      <c r="BW15" s="100">
        <v>4901.8527662519673</v>
      </c>
      <c r="BX15" s="100">
        <v>5.4422286560213706</v>
      </c>
      <c r="BY15" s="100">
        <v>4153.5089102755101</v>
      </c>
      <c r="BZ15" s="100">
        <v>4.2465626743219564</v>
      </c>
      <c r="CA15" s="100">
        <v>3240.9766330425168</v>
      </c>
      <c r="CB15" s="100">
        <v>3.9733710970673219</v>
      </c>
      <c r="CC15" s="100">
        <v>3032.4768212817798</v>
      </c>
      <c r="CD15" s="100">
        <v>2.778436788307463</v>
      </c>
      <c r="CE15" s="100">
        <v>2120.5029568362556</v>
      </c>
      <c r="CF15" s="100">
        <v>4.8363367234912191</v>
      </c>
      <c r="CG15" s="100">
        <v>3691.0921873684979</v>
      </c>
      <c r="CH15" s="100">
        <v>9</v>
      </c>
      <c r="CI15" s="100">
        <v>6868.7999999999993</v>
      </c>
      <c r="CJ15" s="100">
        <v>3.7653997141837263</v>
      </c>
      <c r="CK15" s="100">
        <v>2873.7530618650198</v>
      </c>
      <c r="CL15" s="100">
        <v>3.4897972004578226</v>
      </c>
      <c r="CM15" s="100">
        <v>2663.4132233894102</v>
      </c>
      <c r="CN15" s="100">
        <v>8</v>
      </c>
      <c r="CO15" s="100">
        <v>6105.5999999999995</v>
      </c>
      <c r="CP15" s="100">
        <v>7.0576666122348852</v>
      </c>
      <c r="CQ15" s="100">
        <v>5386.411158457664</v>
      </c>
      <c r="CR15" s="100">
        <v>3.9816316881502272</v>
      </c>
      <c r="CS15" s="100">
        <v>3038.7813043962533</v>
      </c>
      <c r="CT15" s="100">
        <v>5.7179357355652654</v>
      </c>
      <c r="CU15" s="100">
        <v>4363.92855338341</v>
      </c>
    </row>
    <row r="16" spans="1:99">
      <c r="C16" s="99" t="s">
        <v>182</v>
      </c>
      <c r="D16" s="100">
        <v>2.8377640016539547</v>
      </c>
      <c r="E16" s="100">
        <v>967.10997176366777</v>
      </c>
      <c r="F16" s="100">
        <v>4.4808635161559112</v>
      </c>
      <c r="G16" s="100">
        <v>1527.0782863059346</v>
      </c>
      <c r="H16" s="100">
        <v>3.3380533443954579</v>
      </c>
      <c r="I16" s="100">
        <v>1137.608579769972</v>
      </c>
      <c r="J16" s="100">
        <v>6</v>
      </c>
      <c r="K16" s="100">
        <v>2044.8000000000002</v>
      </c>
      <c r="L16" s="100">
        <v>7.2579460014488379</v>
      </c>
      <c r="M16" s="100">
        <v>2473.5079972937642</v>
      </c>
      <c r="N16" s="100">
        <v>3.8703094823242443</v>
      </c>
      <c r="O16" s="100">
        <v>1319.0014715761024</v>
      </c>
      <c r="P16" s="100">
        <v>3.1424366952134841</v>
      </c>
      <c r="Q16" s="100">
        <v>1070.9424257287553</v>
      </c>
      <c r="R16" s="100">
        <v>6</v>
      </c>
      <c r="S16" s="100">
        <v>2044.8000000000002</v>
      </c>
      <c r="T16" s="100">
        <v>9</v>
      </c>
      <c r="U16" s="100">
        <v>3067.2000000000003</v>
      </c>
      <c r="V16" s="100">
        <v>7</v>
      </c>
      <c r="W16" s="100">
        <v>2385.6</v>
      </c>
      <c r="X16" s="100">
        <v>8.9035539621029613</v>
      </c>
      <c r="Y16" s="100">
        <v>3034.3311902846895</v>
      </c>
      <c r="Z16" s="100">
        <v>3.5378822559498673</v>
      </c>
      <c r="AA16" s="100">
        <v>1205.7102728277148</v>
      </c>
      <c r="AB16" s="100">
        <v>8</v>
      </c>
      <c r="AC16" s="100">
        <v>2726.4</v>
      </c>
      <c r="AD16" s="100">
        <v>4.1387675878523735</v>
      </c>
      <c r="AE16" s="100">
        <v>1410.4919939400891</v>
      </c>
      <c r="AF16" s="100">
        <v>6</v>
      </c>
      <c r="AG16" s="100">
        <v>2044.8000000000002</v>
      </c>
      <c r="AH16" s="100">
        <v>9</v>
      </c>
      <c r="AI16" s="100">
        <v>3067.2000000000003</v>
      </c>
      <c r="AJ16" s="100">
        <v>6.9720478821763514</v>
      </c>
      <c r="AK16" s="100">
        <v>2376.0739182457005</v>
      </c>
      <c r="AL16" s="100">
        <v>5.1640276831313594</v>
      </c>
      <c r="AM16" s="100">
        <v>1759.9006344111674</v>
      </c>
      <c r="AN16" s="100">
        <v>1.5755623642000018</v>
      </c>
      <c r="AO16" s="100">
        <v>536.95165371936059</v>
      </c>
      <c r="AP16" s="100">
        <v>8</v>
      </c>
      <c r="AQ16" s="100">
        <v>2726.4</v>
      </c>
      <c r="AR16" s="100">
        <v>8.680643831750821</v>
      </c>
      <c r="AS16" s="100">
        <v>2958.3634178606799</v>
      </c>
      <c r="AT16" s="100">
        <v>6.8853617076616871</v>
      </c>
      <c r="AU16" s="100">
        <v>2346.531269971103</v>
      </c>
      <c r="AV16" s="100">
        <v>1.3841095669565753</v>
      </c>
      <c r="AW16" s="100">
        <v>471.70454041880089</v>
      </c>
      <c r="AX16" s="100">
        <v>6</v>
      </c>
      <c r="AY16" s="100">
        <v>2044.8000000000002</v>
      </c>
      <c r="AZ16" s="100">
        <v>8.19120386969254</v>
      </c>
      <c r="BA16" s="100">
        <v>2791.5622787912175</v>
      </c>
      <c r="BB16" s="100">
        <v>4.0708111653942369</v>
      </c>
      <c r="BC16" s="100">
        <v>1387.3324451663559</v>
      </c>
      <c r="BD16" s="100">
        <v>2.237258632871848</v>
      </c>
      <c r="BE16" s="100">
        <v>762.45774208272587</v>
      </c>
      <c r="BF16" s="100">
        <v>6.7180693121000088</v>
      </c>
      <c r="BG16" s="100">
        <v>2289.5180215636829</v>
      </c>
      <c r="BH16" s="100">
        <v>4.7428362684587775</v>
      </c>
      <c r="BI16" s="100">
        <v>1616.3586002907514</v>
      </c>
      <c r="BJ16" s="100">
        <v>7.0688630158943351</v>
      </c>
      <c r="BK16" s="100">
        <v>2409.0685158167894</v>
      </c>
      <c r="BL16" s="100">
        <v>3.4367403445610623</v>
      </c>
      <c r="BM16" s="100">
        <v>1171.24110942641</v>
      </c>
      <c r="BN16" s="100">
        <v>7.1005380643056197</v>
      </c>
      <c r="BO16" s="100">
        <v>2419.8633723153553</v>
      </c>
      <c r="BP16" s="100">
        <v>6</v>
      </c>
      <c r="BQ16" s="100">
        <v>2044.8000000000002</v>
      </c>
      <c r="BR16" s="100">
        <v>7</v>
      </c>
      <c r="BS16" s="100">
        <v>2385.6</v>
      </c>
      <c r="BT16" s="100">
        <v>11</v>
      </c>
      <c r="BU16" s="100">
        <v>3748.8</v>
      </c>
      <c r="BV16" s="100">
        <v>6.4227630585062476</v>
      </c>
      <c r="BW16" s="100">
        <v>2188.8776503389295</v>
      </c>
      <c r="BX16" s="100">
        <v>6.2511988116752351</v>
      </c>
      <c r="BY16" s="100">
        <v>2130.4085550189202</v>
      </c>
      <c r="BZ16" s="100">
        <v>4.6767597653731832</v>
      </c>
      <c r="CA16" s="100">
        <v>1593.839728039181</v>
      </c>
      <c r="CB16" s="100">
        <v>3.9733710970673219</v>
      </c>
      <c r="CC16" s="100">
        <v>1354.1248698805434</v>
      </c>
      <c r="CD16" s="100">
        <v>2.7486060879216749</v>
      </c>
      <c r="CE16" s="100">
        <v>936.72495476370682</v>
      </c>
      <c r="CF16" s="100">
        <v>4.298965976436639</v>
      </c>
      <c r="CG16" s="100">
        <v>1465.0876047696067</v>
      </c>
      <c r="CH16" s="100">
        <v>8</v>
      </c>
      <c r="CI16" s="100">
        <v>2726.4</v>
      </c>
      <c r="CJ16" s="100">
        <v>4.369024164869491</v>
      </c>
      <c r="CK16" s="100">
        <v>1488.9634353875226</v>
      </c>
      <c r="CL16" s="100">
        <v>3.4897972004578226</v>
      </c>
      <c r="CM16" s="100">
        <v>1189.3228859160261</v>
      </c>
      <c r="CN16" s="100">
        <v>8</v>
      </c>
      <c r="CO16" s="100">
        <v>2726.4</v>
      </c>
      <c r="CP16" s="100">
        <v>7.9270682601537237</v>
      </c>
      <c r="CQ16" s="100">
        <v>2701.5448630603892</v>
      </c>
      <c r="CR16" s="100">
        <v>3.9816316881502272</v>
      </c>
      <c r="CS16" s="100">
        <v>1356.9400793215975</v>
      </c>
      <c r="CT16" s="100">
        <v>5.7352601240814263</v>
      </c>
      <c r="CU16" s="100">
        <v>1954.5766502869501</v>
      </c>
    </row>
    <row r="17" spans="2:99">
      <c r="C17" s="99" t="s">
        <v>183</v>
      </c>
      <c r="D17" s="100">
        <v>2.8484713347020887</v>
      </c>
      <c r="E17" s="100">
        <v>1203.1942917781621</v>
      </c>
      <c r="F17" s="100">
        <v>3.512507176138195</v>
      </c>
      <c r="G17" s="100">
        <v>1483.6830312007735</v>
      </c>
      <c r="H17" s="100">
        <v>3.3380533443954579</v>
      </c>
      <c r="I17" s="100">
        <v>1409.9937326726413</v>
      </c>
      <c r="J17" s="100">
        <v>5</v>
      </c>
      <c r="K17" s="100">
        <v>2112</v>
      </c>
      <c r="L17" s="100">
        <v>8.2579460014488379</v>
      </c>
      <c r="M17" s="100">
        <v>3488.1563910119889</v>
      </c>
      <c r="N17" s="100">
        <v>3.8703094823242443</v>
      </c>
      <c r="O17" s="100">
        <v>1634.8187253337608</v>
      </c>
      <c r="P17" s="100">
        <v>3.1424366952134841</v>
      </c>
      <c r="Q17" s="100">
        <v>1327.3652600581756</v>
      </c>
      <c r="R17" s="100">
        <v>5</v>
      </c>
      <c r="S17" s="100">
        <v>2112</v>
      </c>
      <c r="T17" s="100">
        <v>8</v>
      </c>
      <c r="U17" s="100">
        <v>3379.2</v>
      </c>
      <c r="V17" s="100">
        <v>7</v>
      </c>
      <c r="W17" s="100">
        <v>2956.7999999999997</v>
      </c>
      <c r="X17" s="100">
        <v>7.9142701885359648</v>
      </c>
      <c r="Y17" s="100">
        <v>3342.9877276375914</v>
      </c>
      <c r="Z17" s="100">
        <v>3.5378822559498673</v>
      </c>
      <c r="AA17" s="100">
        <v>1494.4014649132239</v>
      </c>
      <c r="AB17" s="100">
        <v>7</v>
      </c>
      <c r="AC17" s="100">
        <v>2956.7999999999997</v>
      </c>
      <c r="AD17" s="100">
        <v>4.6561135363339199</v>
      </c>
      <c r="AE17" s="100">
        <v>1966.7423577474476</v>
      </c>
      <c r="AF17" s="100">
        <v>6</v>
      </c>
      <c r="AG17" s="100">
        <v>2534.3999999999996</v>
      </c>
      <c r="AH17" s="100">
        <v>9</v>
      </c>
      <c r="AI17" s="100">
        <v>3801.6</v>
      </c>
      <c r="AJ17" s="100">
        <v>6.1005418969043079</v>
      </c>
      <c r="AK17" s="100">
        <v>2576.8688972523796</v>
      </c>
      <c r="AL17" s="100">
        <v>5.8095311435227801</v>
      </c>
      <c r="AM17" s="100">
        <v>2453.9459550240222</v>
      </c>
      <c r="AN17" s="100">
        <v>1.5755623642000018</v>
      </c>
      <c r="AO17" s="100">
        <v>665.51754263808073</v>
      </c>
      <c r="AP17" s="100">
        <v>7</v>
      </c>
      <c r="AQ17" s="100">
        <v>2956.7999999999997</v>
      </c>
      <c r="AR17" s="100">
        <v>8.680643831750821</v>
      </c>
      <c r="AS17" s="100">
        <v>3666.7039545315465</v>
      </c>
      <c r="AT17" s="100">
        <v>7.6139602265529476</v>
      </c>
      <c r="AU17" s="100">
        <v>3216.1367996959648</v>
      </c>
      <c r="AV17" s="100">
        <v>1.3841095669565753</v>
      </c>
      <c r="AW17" s="100">
        <v>584.64788108245739</v>
      </c>
      <c r="AX17" s="100">
        <v>7</v>
      </c>
      <c r="AY17" s="100">
        <v>2956.7999999999997</v>
      </c>
      <c r="AZ17" s="100">
        <v>8.1738216997204898</v>
      </c>
      <c r="BA17" s="100">
        <v>3452.6222859619347</v>
      </c>
      <c r="BB17" s="100">
        <v>4.0708111653942369</v>
      </c>
      <c r="BC17" s="100">
        <v>1719.5106362625256</v>
      </c>
      <c r="BD17" s="100">
        <v>2.0184465895314583</v>
      </c>
      <c r="BE17" s="100">
        <v>852.59183941808794</v>
      </c>
      <c r="BF17" s="100">
        <v>7.4434715203573996</v>
      </c>
      <c r="BG17" s="100">
        <v>3144.1223701989652</v>
      </c>
      <c r="BH17" s="100">
        <v>4.1499817349014307</v>
      </c>
      <c r="BI17" s="100">
        <v>1752.9522848223642</v>
      </c>
      <c r="BJ17" s="100">
        <v>7.0497269317864433</v>
      </c>
      <c r="BK17" s="100">
        <v>2977.8046559865934</v>
      </c>
      <c r="BL17" s="100">
        <v>3.4546587416742347</v>
      </c>
      <c r="BM17" s="100">
        <v>1459.2478524831968</v>
      </c>
      <c r="BN17" s="100">
        <v>7.1005380643056197</v>
      </c>
      <c r="BO17" s="100">
        <v>2999.2672783626936</v>
      </c>
      <c r="BP17" s="100">
        <v>6</v>
      </c>
      <c r="BQ17" s="100">
        <v>2534.3999999999996</v>
      </c>
      <c r="BR17" s="100">
        <v>8</v>
      </c>
      <c r="BS17" s="100">
        <v>3379.2</v>
      </c>
      <c r="BT17" s="100">
        <v>9</v>
      </c>
      <c r="BU17" s="100">
        <v>3801.6</v>
      </c>
      <c r="BV17" s="100">
        <v>7.8500437381743016</v>
      </c>
      <c r="BW17" s="100">
        <v>3315.8584750048249</v>
      </c>
      <c r="BX17" s="100">
        <v>5.4789890616139827</v>
      </c>
      <c r="BY17" s="100">
        <v>2314.324979625746</v>
      </c>
      <c r="BZ17" s="100">
        <v>3.8348349953341674</v>
      </c>
      <c r="CA17" s="100">
        <v>1619.8343020291522</v>
      </c>
      <c r="CB17" s="100">
        <v>4.4497959294366325</v>
      </c>
      <c r="CC17" s="100">
        <v>1879.5938005940334</v>
      </c>
      <c r="CD17" s="100">
        <v>2.763521438114569</v>
      </c>
      <c r="CE17" s="100">
        <v>1167.3114554595938</v>
      </c>
      <c r="CF17" s="100">
        <v>4.8363367234912191</v>
      </c>
      <c r="CG17" s="100">
        <v>2042.8686320026909</v>
      </c>
      <c r="CH17" s="100">
        <v>9</v>
      </c>
      <c r="CI17" s="100">
        <v>3801.6</v>
      </c>
      <c r="CJ17" s="100">
        <v>3.7941303161975553</v>
      </c>
      <c r="CK17" s="100">
        <v>1602.6406455618474</v>
      </c>
      <c r="CL17" s="100">
        <v>3.1408174804120401</v>
      </c>
      <c r="CM17" s="100">
        <v>1326.6813037260456</v>
      </c>
      <c r="CN17" s="100">
        <v>8</v>
      </c>
      <c r="CO17" s="100">
        <v>3379.2</v>
      </c>
      <c r="CP17" s="100">
        <v>7.0576666122348852</v>
      </c>
      <c r="CQ17" s="100">
        <v>2981.1583770080156</v>
      </c>
      <c r="CR17" s="100">
        <v>3.9744505535406933</v>
      </c>
      <c r="CS17" s="100">
        <v>1678.8079138155888</v>
      </c>
      <c r="CT17" s="100">
        <v>5.0960840671261396</v>
      </c>
      <c r="CU17" s="100">
        <v>2152.5859099540812</v>
      </c>
    </row>
    <row r="18" spans="2:99">
      <c r="C18" s="99" t="s">
        <v>184</v>
      </c>
      <c r="D18" s="100">
        <v>2.8484713347020887</v>
      </c>
      <c r="E18" s="100">
        <v>1859.4820872935234</v>
      </c>
      <c r="F18" s="100">
        <v>3.5052565887219487</v>
      </c>
      <c r="G18" s="100">
        <v>2288.2315011176879</v>
      </c>
      <c r="H18" s="100">
        <v>3.3380533443954579</v>
      </c>
      <c r="I18" s="100">
        <v>2179.0812232213548</v>
      </c>
      <c r="J18" s="100">
        <v>6</v>
      </c>
      <c r="K18" s="100">
        <v>3916.7999999999997</v>
      </c>
      <c r="L18" s="100">
        <v>8.2579460014488379</v>
      </c>
      <c r="M18" s="100">
        <v>5390.7871497458009</v>
      </c>
      <c r="N18" s="100">
        <v>3.8900805949305273</v>
      </c>
      <c r="O18" s="100">
        <v>2539.444612370648</v>
      </c>
      <c r="P18" s="100">
        <v>3.1424366952134841</v>
      </c>
      <c r="Q18" s="100">
        <v>2051.3826746353625</v>
      </c>
      <c r="R18" s="100">
        <v>5</v>
      </c>
      <c r="S18" s="100">
        <v>3264</v>
      </c>
      <c r="T18" s="100">
        <v>9</v>
      </c>
      <c r="U18" s="100">
        <v>5875.2</v>
      </c>
      <c r="V18" s="100">
        <v>6</v>
      </c>
      <c r="W18" s="100">
        <v>3916.7999999999997</v>
      </c>
      <c r="X18" s="100">
        <v>8.9035539621029613</v>
      </c>
      <c r="Y18" s="100">
        <v>5812.2400264608132</v>
      </c>
      <c r="Z18" s="100">
        <v>3.9801175379435998</v>
      </c>
      <c r="AA18" s="100">
        <v>2598.2207287695819</v>
      </c>
      <c r="AB18" s="100">
        <v>7</v>
      </c>
      <c r="AC18" s="100">
        <v>4569.5999999999995</v>
      </c>
      <c r="AD18" s="100">
        <v>4.1387675878523735</v>
      </c>
      <c r="AE18" s="100">
        <v>2701.7874813500293</v>
      </c>
      <c r="AF18" s="100">
        <v>6</v>
      </c>
      <c r="AG18" s="100">
        <v>3916.7999999999997</v>
      </c>
      <c r="AH18" s="100">
        <v>8</v>
      </c>
      <c r="AI18" s="100">
        <v>5222.3999999999996</v>
      </c>
      <c r="AJ18" s="100">
        <v>6.1005418969043079</v>
      </c>
      <c r="AK18" s="100">
        <v>3982.433750299132</v>
      </c>
      <c r="AL18" s="100">
        <v>5.1640276831313594</v>
      </c>
      <c r="AM18" s="100">
        <v>3371.0772715481512</v>
      </c>
      <c r="AN18" s="100">
        <v>1.5755623642000018</v>
      </c>
      <c r="AO18" s="100">
        <v>1028.5271113497611</v>
      </c>
      <c r="AP18" s="100">
        <v>7</v>
      </c>
      <c r="AQ18" s="100">
        <v>4569.5999999999995</v>
      </c>
      <c r="AR18" s="100">
        <v>7.716127850445174</v>
      </c>
      <c r="AS18" s="100">
        <v>5037.0882607706089</v>
      </c>
      <c r="AT18" s="100">
        <v>7.6139602265529476</v>
      </c>
      <c r="AU18" s="100">
        <v>4970.3932358937636</v>
      </c>
      <c r="AV18" s="100">
        <v>1.581839505093229</v>
      </c>
      <c r="AW18" s="100">
        <v>1032.6248289248599</v>
      </c>
      <c r="AX18" s="100">
        <v>6</v>
      </c>
      <c r="AY18" s="100">
        <v>3916.7999999999997</v>
      </c>
      <c r="AZ18" s="100">
        <v>8.1738216997204898</v>
      </c>
      <c r="BA18" s="100">
        <v>5335.8708055775351</v>
      </c>
      <c r="BB18" s="100">
        <v>4.8849733984730852</v>
      </c>
      <c r="BC18" s="100">
        <v>3188.9106345232299</v>
      </c>
      <c r="BD18" s="100">
        <v>2.0159896795580612</v>
      </c>
      <c r="BE18" s="100">
        <v>1316.0380628155021</v>
      </c>
      <c r="BF18" s="100">
        <v>6.7180693121000088</v>
      </c>
      <c r="BG18" s="100">
        <v>4385.5556469388857</v>
      </c>
      <c r="BH18" s="100">
        <v>4.1499817349014307</v>
      </c>
      <c r="BI18" s="100">
        <v>2709.1080765436536</v>
      </c>
      <c r="BJ18" s="100">
        <v>7.0497269317864433</v>
      </c>
      <c r="BK18" s="100">
        <v>4602.0617410701898</v>
      </c>
      <c r="BL18" s="100">
        <v>3.4546587416742347</v>
      </c>
      <c r="BM18" s="100">
        <v>2255.20122656494</v>
      </c>
      <c r="BN18" s="100">
        <v>7.1005380643056197</v>
      </c>
      <c r="BO18" s="100">
        <v>4635.2312483787082</v>
      </c>
      <c r="BP18" s="100">
        <v>6</v>
      </c>
      <c r="BQ18" s="100">
        <v>3916.7999999999997</v>
      </c>
      <c r="BR18" s="100">
        <v>8</v>
      </c>
      <c r="BS18" s="100">
        <v>5222.3999999999996</v>
      </c>
      <c r="BT18" s="100">
        <v>9</v>
      </c>
      <c r="BU18" s="100">
        <v>5875.2</v>
      </c>
      <c r="BV18" s="100">
        <v>7.8500437381743016</v>
      </c>
      <c r="BW18" s="100">
        <v>5124.5085522801837</v>
      </c>
      <c r="BX18" s="100">
        <v>5.5157494672065948</v>
      </c>
      <c r="BY18" s="100">
        <v>3600.6812521924649</v>
      </c>
      <c r="BZ18" s="100">
        <v>3.8348349953341674</v>
      </c>
      <c r="CA18" s="100">
        <v>2503.3802849541444</v>
      </c>
      <c r="CB18" s="100">
        <v>4.4497959294366325</v>
      </c>
      <c r="CC18" s="100">
        <v>2904.8267827362333</v>
      </c>
      <c r="CD18" s="100">
        <v>3.0791309174931021</v>
      </c>
      <c r="CE18" s="100">
        <v>2010.0566629394968</v>
      </c>
      <c r="CF18" s="100">
        <v>4.298965976436639</v>
      </c>
      <c r="CG18" s="100">
        <v>2806.3649894178379</v>
      </c>
      <c r="CH18" s="100">
        <v>8</v>
      </c>
      <c r="CI18" s="100">
        <v>5222.3999999999996</v>
      </c>
      <c r="CJ18" s="100">
        <v>3.7941303161975553</v>
      </c>
      <c r="CK18" s="100">
        <v>2476.8082704137637</v>
      </c>
      <c r="CL18" s="100">
        <v>3.4897972004578226</v>
      </c>
      <c r="CM18" s="100">
        <v>2278.1396124588664</v>
      </c>
      <c r="CN18" s="100">
        <v>7</v>
      </c>
      <c r="CO18" s="100">
        <v>4569.5999999999995</v>
      </c>
      <c r="CP18" s="100">
        <v>7.8929171171923365</v>
      </c>
      <c r="CQ18" s="100">
        <v>5152.4962941031572</v>
      </c>
      <c r="CR18" s="100">
        <v>3.19105025820781</v>
      </c>
      <c r="CS18" s="100">
        <v>2083.1176085580582</v>
      </c>
      <c r="CT18" s="100">
        <v>5.0960840671261396</v>
      </c>
      <c r="CU18" s="100">
        <v>3326.7236790199436</v>
      </c>
    </row>
    <row r="19" spans="2:99">
      <c r="C19" s="99" t="s">
        <v>185</v>
      </c>
      <c r="D19" s="100">
        <v>2.8484713347020887</v>
      </c>
      <c r="E19" s="100">
        <v>939.99554045168929</v>
      </c>
      <c r="F19" s="100">
        <v>3.9966853461470526</v>
      </c>
      <c r="G19" s="100">
        <v>1318.9061642285274</v>
      </c>
      <c r="H19" s="100">
        <v>3.3380533443954579</v>
      </c>
      <c r="I19" s="100">
        <v>1101.5576036505011</v>
      </c>
      <c r="J19" s="100">
        <v>6</v>
      </c>
      <c r="K19" s="100">
        <v>1980</v>
      </c>
      <c r="L19" s="100">
        <v>8.3316448590056496</v>
      </c>
      <c r="M19" s="100">
        <v>2749.4428034718644</v>
      </c>
      <c r="N19" s="100">
        <v>3.8900805949305273</v>
      </c>
      <c r="O19" s="100">
        <v>1283.726596327074</v>
      </c>
      <c r="P19" s="100">
        <v>3.1424366952134841</v>
      </c>
      <c r="Q19" s="100">
        <v>1037.0041094204498</v>
      </c>
      <c r="R19" s="100">
        <v>6</v>
      </c>
      <c r="S19" s="100">
        <v>1980</v>
      </c>
      <c r="T19" s="100">
        <v>9</v>
      </c>
      <c r="U19" s="100">
        <v>2970</v>
      </c>
      <c r="V19" s="100">
        <v>7</v>
      </c>
      <c r="W19" s="100">
        <v>2310</v>
      </c>
      <c r="X19" s="100">
        <v>7.9142701885359648</v>
      </c>
      <c r="Y19" s="100">
        <v>2611.7091622168682</v>
      </c>
      <c r="Z19" s="100">
        <v>3.5378822559498673</v>
      </c>
      <c r="AA19" s="100">
        <v>1167.5011444634563</v>
      </c>
      <c r="AB19" s="100">
        <v>7</v>
      </c>
      <c r="AC19" s="100">
        <v>2310</v>
      </c>
      <c r="AD19" s="100">
        <v>4.6561135363339199</v>
      </c>
      <c r="AE19" s="100">
        <v>1536.5174669901935</v>
      </c>
      <c r="AF19" s="100">
        <v>6</v>
      </c>
      <c r="AG19" s="100">
        <v>1980</v>
      </c>
      <c r="AH19" s="100">
        <v>10</v>
      </c>
      <c r="AI19" s="100">
        <v>3300</v>
      </c>
      <c r="AJ19" s="100">
        <v>6.9720478821763514</v>
      </c>
      <c r="AK19" s="100">
        <v>2300.7758011181959</v>
      </c>
      <c r="AL19" s="100">
        <v>5.1640276831313594</v>
      </c>
      <c r="AM19" s="100">
        <v>1704.1291354333487</v>
      </c>
      <c r="AN19" s="100">
        <v>1.5755623642000018</v>
      </c>
      <c r="AO19" s="100">
        <v>519.93558018600061</v>
      </c>
      <c r="AP19" s="100">
        <v>8</v>
      </c>
      <c r="AQ19" s="100">
        <v>2640</v>
      </c>
      <c r="AR19" s="100">
        <v>7.716127850445174</v>
      </c>
      <c r="AS19" s="100">
        <v>2546.3221906469075</v>
      </c>
      <c r="AT19" s="100">
        <v>7.6139602265529476</v>
      </c>
      <c r="AU19" s="100">
        <v>2512.6068747624727</v>
      </c>
      <c r="AV19" s="100">
        <v>1.3841095669565753</v>
      </c>
      <c r="AW19" s="100">
        <v>456.75615709566983</v>
      </c>
      <c r="AX19" s="100">
        <v>6</v>
      </c>
      <c r="AY19" s="100">
        <v>1980</v>
      </c>
      <c r="AZ19" s="100">
        <v>9.1738216997204898</v>
      </c>
      <c r="BA19" s="100">
        <v>3027.3611609077616</v>
      </c>
      <c r="BB19" s="100">
        <v>4.0708111653942369</v>
      </c>
      <c r="BC19" s="100">
        <v>1343.3676845800983</v>
      </c>
      <c r="BD19" s="100">
        <v>2.0159896795580612</v>
      </c>
      <c r="BE19" s="100">
        <v>665.27659425416016</v>
      </c>
      <c r="BF19" s="100">
        <v>5.9926671038426189</v>
      </c>
      <c r="BG19" s="100">
        <v>1977.5801442680643</v>
      </c>
      <c r="BH19" s="100">
        <v>4.1499817349014307</v>
      </c>
      <c r="BI19" s="100">
        <v>1369.4939725174722</v>
      </c>
      <c r="BJ19" s="100">
        <v>6.2043912230154366</v>
      </c>
      <c r="BK19" s="100">
        <v>2047.4491035950941</v>
      </c>
      <c r="BL19" s="100">
        <v>3.4367403445610623</v>
      </c>
      <c r="BM19" s="100">
        <v>1134.1243137051506</v>
      </c>
      <c r="BN19" s="100">
        <v>6.3115893904938849</v>
      </c>
      <c r="BO19" s="100">
        <v>2082.8244988629822</v>
      </c>
      <c r="BP19" s="100">
        <v>7</v>
      </c>
      <c r="BQ19" s="100">
        <v>2310</v>
      </c>
      <c r="BR19" s="100">
        <v>7</v>
      </c>
      <c r="BS19" s="100">
        <v>2310</v>
      </c>
      <c r="BT19" s="100">
        <v>11</v>
      </c>
      <c r="BU19" s="100">
        <v>3630</v>
      </c>
      <c r="BV19" s="100">
        <v>7.8500437381743016</v>
      </c>
      <c r="BW19" s="100">
        <v>2590.5144335975197</v>
      </c>
      <c r="BX19" s="100">
        <v>5.4789890616139827</v>
      </c>
      <c r="BY19" s="100">
        <v>1808.0663903326142</v>
      </c>
      <c r="BZ19" s="100">
        <v>4.2465626743219564</v>
      </c>
      <c r="CA19" s="100">
        <v>1401.3656825262456</v>
      </c>
      <c r="CB19" s="100">
        <v>4.4497959294366325</v>
      </c>
      <c r="CC19" s="100">
        <v>1468.4326567140888</v>
      </c>
      <c r="CD19" s="100">
        <v>3.0940462676859966</v>
      </c>
      <c r="CE19" s="100">
        <v>1021.0352683363789</v>
      </c>
      <c r="CF19" s="100">
        <v>4.8363367234912191</v>
      </c>
      <c r="CG19" s="100">
        <v>1595.9911187521022</v>
      </c>
      <c r="CH19" s="100">
        <v>8</v>
      </c>
      <c r="CI19" s="100">
        <v>2640</v>
      </c>
      <c r="CJ19" s="100">
        <v>3.7941303161975553</v>
      </c>
      <c r="CK19" s="100">
        <v>1252.0630043451931</v>
      </c>
      <c r="CL19" s="100">
        <v>3.4897972004578226</v>
      </c>
      <c r="CM19" s="100">
        <v>1151.6330761510815</v>
      </c>
      <c r="CN19" s="100">
        <v>8</v>
      </c>
      <c r="CO19" s="100">
        <v>2640</v>
      </c>
      <c r="CP19" s="100">
        <v>7.1259688981576614</v>
      </c>
      <c r="CQ19" s="100">
        <v>2351.5697363920281</v>
      </c>
      <c r="CR19" s="100">
        <v>3.5827504058742519</v>
      </c>
      <c r="CS19" s="100">
        <v>1182.3076339385032</v>
      </c>
      <c r="CT19" s="100">
        <v>5.7179357355652654</v>
      </c>
      <c r="CU19" s="100">
        <v>1886.9187927365376</v>
      </c>
    </row>
    <row r="20" spans="2:99">
      <c r="B20" s="99" t="s">
        <v>127</v>
      </c>
      <c r="C20" s="99" t="s">
        <v>186</v>
      </c>
      <c r="D20" s="100">
        <v>6.1449195592341912</v>
      </c>
      <c r="E20" s="100">
        <v>1762.3629295883661</v>
      </c>
      <c r="F20" s="100">
        <v>7.0322649396926371</v>
      </c>
      <c r="G20" s="100">
        <v>2016.8535847038484</v>
      </c>
      <c r="H20" s="100">
        <v>6.6761066887909157</v>
      </c>
      <c r="I20" s="100">
        <v>1914.7073983452347</v>
      </c>
      <c r="J20" s="100">
        <v>8</v>
      </c>
      <c r="K20" s="100">
        <v>2294.4</v>
      </c>
      <c r="L20" s="100">
        <v>10.700139146789702</v>
      </c>
      <c r="M20" s="100">
        <v>3068.7999072992866</v>
      </c>
      <c r="N20" s="100">
        <v>4.4554251197219745</v>
      </c>
      <c r="O20" s="100">
        <v>1277.8159243362622</v>
      </c>
      <c r="P20" s="100">
        <v>6.9133607294696651</v>
      </c>
      <c r="Q20" s="100">
        <v>1982.7518572119</v>
      </c>
      <c r="R20" s="100">
        <v>14</v>
      </c>
      <c r="S20" s="100">
        <v>4015.2000000000003</v>
      </c>
      <c r="T20" s="100">
        <v>14</v>
      </c>
      <c r="U20" s="100">
        <v>4015.2000000000003</v>
      </c>
      <c r="V20" s="100">
        <v>12</v>
      </c>
      <c r="W20" s="100">
        <v>3441.6000000000004</v>
      </c>
      <c r="X20" s="100">
        <v>14.839256603504934</v>
      </c>
      <c r="Y20" s="100">
        <v>4255.8987938852151</v>
      </c>
      <c r="Z20" s="100">
        <v>3.9801175379435998</v>
      </c>
      <c r="AA20" s="100">
        <v>1141.4977098822244</v>
      </c>
      <c r="AB20" s="100">
        <v>12</v>
      </c>
      <c r="AC20" s="100">
        <v>3441.6000000000004</v>
      </c>
      <c r="AD20" s="100">
        <v>5.6908054332970135</v>
      </c>
      <c r="AE20" s="100">
        <v>1632.1229982695836</v>
      </c>
      <c r="AF20" s="100">
        <v>7</v>
      </c>
      <c r="AG20" s="100">
        <v>2007.6000000000001</v>
      </c>
      <c r="AH20" s="100">
        <v>13</v>
      </c>
      <c r="AI20" s="100">
        <v>3728.4</v>
      </c>
      <c r="AJ20" s="100">
        <v>8.7150598527204401</v>
      </c>
      <c r="AK20" s="100">
        <v>2499.4791657602223</v>
      </c>
      <c r="AL20" s="100">
        <v>9.0370484454798792</v>
      </c>
      <c r="AM20" s="100">
        <v>2591.8254941636296</v>
      </c>
      <c r="AN20" s="100">
        <v>2.2508033774285741</v>
      </c>
      <c r="AO20" s="100">
        <v>645.53040864651507</v>
      </c>
      <c r="AP20" s="100">
        <v>13</v>
      </c>
      <c r="AQ20" s="100">
        <v>3728.4</v>
      </c>
      <c r="AR20" s="100">
        <v>14.467739719584701</v>
      </c>
      <c r="AS20" s="100">
        <v>4149.3477515768927</v>
      </c>
      <c r="AT20" s="100">
        <v>10.160528324631095</v>
      </c>
      <c r="AU20" s="100">
        <v>2914.0395235041979</v>
      </c>
      <c r="AV20" s="100">
        <v>2.3727592576398435</v>
      </c>
      <c r="AW20" s="100">
        <v>680.50735509110712</v>
      </c>
      <c r="AX20" s="100">
        <v>12</v>
      </c>
      <c r="AY20" s="100">
        <v>3441.6000000000004</v>
      </c>
      <c r="AZ20" s="100">
        <v>10.330261229468931</v>
      </c>
      <c r="BA20" s="100">
        <v>2962.7189206116896</v>
      </c>
      <c r="BB20" s="100">
        <v>8.9557845638673221</v>
      </c>
      <c r="BC20" s="100">
        <v>2568.5190129171483</v>
      </c>
      <c r="BD20" s="100">
        <v>2.2421724528186431</v>
      </c>
      <c r="BE20" s="100">
        <v>643.05505946838684</v>
      </c>
      <c r="BF20" s="100">
        <v>7.0653932813697544</v>
      </c>
      <c r="BG20" s="100">
        <v>2026.3547930968457</v>
      </c>
      <c r="BH20" s="100">
        <v>7.7071089362455147</v>
      </c>
      <c r="BI20" s="100">
        <v>2210.3988429152137</v>
      </c>
      <c r="BJ20" s="100">
        <v>12.102605100304595</v>
      </c>
      <c r="BK20" s="100">
        <v>3471.0271427673579</v>
      </c>
      <c r="BL20" s="100">
        <v>5.7697101675325051</v>
      </c>
      <c r="BM20" s="100">
        <v>1654.7528760483226</v>
      </c>
      <c r="BN20" s="100">
        <v>8.6784354119290903</v>
      </c>
      <c r="BO20" s="100">
        <v>2488.9752761412633</v>
      </c>
      <c r="BP20" s="100">
        <v>12</v>
      </c>
      <c r="BQ20" s="100">
        <v>3441.6000000000004</v>
      </c>
      <c r="BR20" s="100">
        <v>14</v>
      </c>
      <c r="BS20" s="100">
        <v>4015.2000000000003</v>
      </c>
      <c r="BT20" s="100">
        <v>12</v>
      </c>
      <c r="BU20" s="100">
        <v>3441.6000000000004</v>
      </c>
      <c r="BV20" s="100">
        <v>9.9909647576763856</v>
      </c>
      <c r="BW20" s="100">
        <v>2865.4086925015877</v>
      </c>
      <c r="BX20" s="100">
        <v>7.096929372921708</v>
      </c>
      <c r="BY20" s="100">
        <v>2035.399344153946</v>
      </c>
      <c r="BZ20" s="100">
        <v>3.5523932007904477</v>
      </c>
      <c r="CA20" s="100">
        <v>1018.8263699867005</v>
      </c>
      <c r="CB20" s="100">
        <v>5.9716261054661848</v>
      </c>
      <c r="CC20" s="100">
        <v>1712.6623670477018</v>
      </c>
      <c r="CD20" s="100">
        <v>5.0002313688223277</v>
      </c>
      <c r="CE20" s="100">
        <v>1434.0663565782436</v>
      </c>
      <c r="CF20" s="100">
        <v>7.5231904587641187</v>
      </c>
      <c r="CG20" s="100">
        <v>2157.6510235735495</v>
      </c>
      <c r="CH20" s="100">
        <v>18</v>
      </c>
      <c r="CI20" s="100">
        <v>5162.4000000000005</v>
      </c>
      <c r="CJ20" s="100">
        <v>10.146693253602674</v>
      </c>
      <c r="CK20" s="100">
        <v>2910.0716251332469</v>
      </c>
      <c r="CL20" s="100">
        <v>4.8857160806409512</v>
      </c>
      <c r="CM20" s="100">
        <v>1401.2233719278249</v>
      </c>
      <c r="CN20" s="100">
        <v>16</v>
      </c>
      <c r="CO20" s="100">
        <v>4588.8</v>
      </c>
      <c r="CP20" s="100">
        <v>11.54127942367464</v>
      </c>
      <c r="CQ20" s="100">
        <v>3310.0389387098867</v>
      </c>
      <c r="CR20" s="100">
        <v>4.024718495807436</v>
      </c>
      <c r="CS20" s="100">
        <v>1154.2892645975726</v>
      </c>
      <c r="CT20" s="100">
        <v>7.8260321801088981</v>
      </c>
      <c r="CU20" s="100">
        <v>2244.5060292552321</v>
      </c>
    </row>
    <row r="21" spans="2:99">
      <c r="C21" s="99" t="s">
        <v>187</v>
      </c>
      <c r="D21" s="100">
        <v>6.6143111151604721</v>
      </c>
      <c r="E21" s="100">
        <v>412.73301358601344</v>
      </c>
      <c r="F21" s="100">
        <v>7.0177637648601436</v>
      </c>
      <c r="G21" s="100">
        <v>437.90845892727293</v>
      </c>
      <c r="H21" s="100">
        <v>5.722377161820785</v>
      </c>
      <c r="I21" s="100">
        <v>357.07633489761696</v>
      </c>
      <c r="J21" s="100">
        <v>8</v>
      </c>
      <c r="K21" s="100">
        <v>499.2</v>
      </c>
      <c r="L21" s="100">
        <v>10.700139146789702</v>
      </c>
      <c r="M21" s="100">
        <v>667.68868275967736</v>
      </c>
      <c r="N21" s="100">
        <v>4.4554251197219745</v>
      </c>
      <c r="O21" s="100">
        <v>278.01852747065118</v>
      </c>
      <c r="P21" s="100">
        <v>6.2848733904269682</v>
      </c>
      <c r="Q21" s="100">
        <v>392.17609956264283</v>
      </c>
      <c r="R21" s="100">
        <v>15</v>
      </c>
      <c r="S21" s="100">
        <v>936</v>
      </c>
      <c r="T21" s="100">
        <v>14</v>
      </c>
      <c r="U21" s="100">
        <v>873.6</v>
      </c>
      <c r="V21" s="100">
        <v>13</v>
      </c>
      <c r="W21" s="100">
        <v>811.19999999999993</v>
      </c>
      <c r="X21" s="100">
        <v>13.84997282993794</v>
      </c>
      <c r="Y21" s="100">
        <v>864.23830458812745</v>
      </c>
      <c r="Z21" s="100">
        <v>3.9801175379435998</v>
      </c>
      <c r="AA21" s="100">
        <v>248.35933436768062</v>
      </c>
      <c r="AB21" s="100">
        <v>12</v>
      </c>
      <c r="AC21" s="100">
        <v>748.8</v>
      </c>
      <c r="AD21" s="100">
        <v>5.1734594848154662</v>
      </c>
      <c r="AE21" s="100">
        <v>322.82387185248507</v>
      </c>
      <c r="AF21" s="100">
        <v>8</v>
      </c>
      <c r="AG21" s="100">
        <v>499.2</v>
      </c>
      <c r="AH21" s="100">
        <v>13</v>
      </c>
      <c r="AI21" s="100">
        <v>811.19999999999993</v>
      </c>
      <c r="AJ21" s="100">
        <v>7.8435538674483958</v>
      </c>
      <c r="AK21" s="100">
        <v>489.43776132877991</v>
      </c>
      <c r="AL21" s="100">
        <v>9.6825519058712999</v>
      </c>
      <c r="AM21" s="100">
        <v>604.19123892636912</v>
      </c>
      <c r="AN21" s="100">
        <v>2.2508033774285741</v>
      </c>
      <c r="AO21" s="100">
        <v>140.45013075154301</v>
      </c>
      <c r="AP21" s="100">
        <v>16</v>
      </c>
      <c r="AQ21" s="100">
        <v>998.4</v>
      </c>
      <c r="AR21" s="100">
        <v>14.467739719584701</v>
      </c>
      <c r="AS21" s="100">
        <v>902.78695850208533</v>
      </c>
      <c r="AT21" s="100">
        <v>10.823531835994292</v>
      </c>
      <c r="AU21" s="100">
        <v>675.38838656604378</v>
      </c>
      <c r="AV21" s="100">
        <v>2.17502931950319</v>
      </c>
      <c r="AW21" s="100">
        <v>135.72182953699905</v>
      </c>
      <c r="AX21" s="100">
        <v>13</v>
      </c>
      <c r="AY21" s="100">
        <v>811.19999999999993</v>
      </c>
      <c r="AZ21" s="100">
        <v>9.2954968895248324</v>
      </c>
      <c r="BA21" s="100">
        <v>580.03900590634953</v>
      </c>
      <c r="BB21" s="100">
        <v>9.7699467969461704</v>
      </c>
      <c r="BC21" s="100">
        <v>609.64468012944099</v>
      </c>
      <c r="BD21" s="100">
        <v>2.0209034995048558</v>
      </c>
      <c r="BE21" s="100">
        <v>126.104378369103</v>
      </c>
      <c r="BF21" s="100">
        <v>7.7907954896271452</v>
      </c>
      <c r="BG21" s="100">
        <v>486.14563855273383</v>
      </c>
      <c r="BH21" s="100">
        <v>8.8928180033602082</v>
      </c>
      <c r="BI21" s="100">
        <v>554.91184340967698</v>
      </c>
      <c r="BJ21" s="100">
        <v>12.967076893183494</v>
      </c>
      <c r="BK21" s="100">
        <v>809.14559813464996</v>
      </c>
      <c r="BL21" s="100">
        <v>6.3663914211102455</v>
      </c>
      <c r="BM21" s="100">
        <v>397.2628246772793</v>
      </c>
      <c r="BN21" s="100">
        <v>7.8894867381173555</v>
      </c>
      <c r="BO21" s="100">
        <v>492.30397245852299</v>
      </c>
      <c r="BP21" s="100">
        <v>10</v>
      </c>
      <c r="BQ21" s="100">
        <v>624</v>
      </c>
      <c r="BR21" s="100">
        <v>15</v>
      </c>
      <c r="BS21" s="100">
        <v>936</v>
      </c>
      <c r="BT21" s="100">
        <v>12</v>
      </c>
      <c r="BU21" s="100">
        <v>748.8</v>
      </c>
      <c r="BV21" s="100">
        <v>9.2773244178423582</v>
      </c>
      <c r="BW21" s="100">
        <v>578.90504367336314</v>
      </c>
      <c r="BX21" s="100">
        <v>7.1336897785143201</v>
      </c>
      <c r="BY21" s="100">
        <v>445.14224217929359</v>
      </c>
      <c r="BZ21" s="100">
        <v>3.5708626128538863</v>
      </c>
      <c r="CA21" s="100">
        <v>222.8218270420825</v>
      </c>
      <c r="CB21" s="100">
        <v>5.5183401928272788</v>
      </c>
      <c r="CC21" s="100">
        <v>344.34442803242217</v>
      </c>
      <c r="CD21" s="100">
        <v>5.0002313688223277</v>
      </c>
      <c r="CE21" s="100">
        <v>312.01443741451322</v>
      </c>
      <c r="CF21" s="100">
        <v>8.597931952873278</v>
      </c>
      <c r="CG21" s="100">
        <v>536.5109538592925</v>
      </c>
      <c r="CH21" s="100">
        <v>17</v>
      </c>
      <c r="CI21" s="100">
        <v>1060.8</v>
      </c>
      <c r="CJ21" s="100">
        <v>9.0256361582726328</v>
      </c>
      <c r="CK21" s="100">
        <v>563.19969627621231</v>
      </c>
      <c r="CL21" s="100">
        <v>4.8857160806409512</v>
      </c>
      <c r="CM21" s="100">
        <v>304.86868343199535</v>
      </c>
      <c r="CN21" s="100">
        <v>14</v>
      </c>
      <c r="CO21" s="100">
        <v>873.6</v>
      </c>
      <c r="CP21" s="100">
        <v>11.693507069404316</v>
      </c>
      <c r="CQ21" s="100">
        <v>729.67484113082924</v>
      </c>
      <c r="CR21" s="100">
        <v>4.0390807650265046</v>
      </c>
      <c r="CS21" s="100">
        <v>252.03863973765388</v>
      </c>
      <c r="CT21" s="100">
        <v>8.4305594600318638</v>
      </c>
      <c r="CU21" s="100">
        <v>526.06691030598824</v>
      </c>
    </row>
    <row r="22" spans="2:99">
      <c r="C22" s="99" t="s">
        <v>188</v>
      </c>
      <c r="D22" s="100">
        <v>7.5316795609167668</v>
      </c>
      <c r="E22" s="100">
        <v>1409.9304138036186</v>
      </c>
      <c r="F22" s="100">
        <v>7.0250143522763899</v>
      </c>
      <c r="G22" s="100">
        <v>1315.0826867461401</v>
      </c>
      <c r="H22" s="100">
        <v>5.722377161820785</v>
      </c>
      <c r="I22" s="100">
        <v>1071.2290046928508</v>
      </c>
      <c r="J22" s="100">
        <v>9</v>
      </c>
      <c r="K22" s="100">
        <v>1684.8</v>
      </c>
      <c r="L22" s="100">
        <v>10.736988575568109</v>
      </c>
      <c r="M22" s="100">
        <v>2009.9642613463498</v>
      </c>
      <c r="N22" s="100">
        <v>4.9219140814820079</v>
      </c>
      <c r="O22" s="100">
        <v>921.38231605343185</v>
      </c>
      <c r="P22" s="100">
        <v>6.9133607294696651</v>
      </c>
      <c r="Q22" s="100">
        <v>1294.1811285567212</v>
      </c>
      <c r="R22" s="100">
        <v>14</v>
      </c>
      <c r="S22" s="100">
        <v>2620.7999999999997</v>
      </c>
      <c r="T22" s="100">
        <v>14</v>
      </c>
      <c r="U22" s="100">
        <v>2620.7999999999997</v>
      </c>
      <c r="V22" s="100">
        <v>12</v>
      </c>
      <c r="W22" s="100">
        <v>2246.3999999999996</v>
      </c>
      <c r="X22" s="100">
        <v>12.860689056370942</v>
      </c>
      <c r="Y22" s="100">
        <v>2407.5209913526401</v>
      </c>
      <c r="Z22" s="100">
        <v>3.9801175379435998</v>
      </c>
      <c r="AA22" s="100">
        <v>745.07800310304185</v>
      </c>
      <c r="AB22" s="100">
        <v>13</v>
      </c>
      <c r="AC22" s="100">
        <v>2433.6</v>
      </c>
      <c r="AD22" s="100">
        <v>5.6908054332970135</v>
      </c>
      <c r="AE22" s="100">
        <v>1065.3187771132009</v>
      </c>
      <c r="AF22" s="100">
        <v>8</v>
      </c>
      <c r="AG22" s="100">
        <v>1497.6</v>
      </c>
      <c r="AH22" s="100">
        <v>14</v>
      </c>
      <c r="AI22" s="100">
        <v>2620.7999999999997</v>
      </c>
      <c r="AJ22" s="100">
        <v>8.7150598527204401</v>
      </c>
      <c r="AK22" s="100">
        <v>1631.4592044292663</v>
      </c>
      <c r="AL22" s="100">
        <v>9.0370484454798792</v>
      </c>
      <c r="AM22" s="100">
        <v>1691.7354689938334</v>
      </c>
      <c r="AN22" s="100">
        <v>2.2508033774285741</v>
      </c>
      <c r="AO22" s="100">
        <v>421.35039225462901</v>
      </c>
      <c r="AP22" s="100">
        <v>14</v>
      </c>
      <c r="AQ22" s="100">
        <v>2620.7999999999997</v>
      </c>
      <c r="AR22" s="100">
        <v>14.467739719584701</v>
      </c>
      <c r="AS22" s="100">
        <v>2708.360875506256</v>
      </c>
      <c r="AT22" s="100">
        <v>10.856329339758325</v>
      </c>
      <c r="AU22" s="100">
        <v>2032.3048524027583</v>
      </c>
      <c r="AV22" s="100">
        <v>2.3727592576398435</v>
      </c>
      <c r="AW22" s="100">
        <v>444.18053303017871</v>
      </c>
      <c r="AX22" s="100">
        <v>13</v>
      </c>
      <c r="AY22" s="100">
        <v>2433.6</v>
      </c>
      <c r="AZ22" s="100">
        <v>8.3128790594968827</v>
      </c>
      <c r="BA22" s="100">
        <v>1556.1709599378164</v>
      </c>
      <c r="BB22" s="100">
        <v>9.7699467969461704</v>
      </c>
      <c r="BC22" s="100">
        <v>1828.934040388323</v>
      </c>
      <c r="BD22" s="100">
        <v>2.0233604094782538</v>
      </c>
      <c r="BE22" s="100">
        <v>378.77306865432911</v>
      </c>
      <c r="BF22" s="100">
        <v>7.8855202085188933</v>
      </c>
      <c r="BG22" s="100">
        <v>1476.1693830347367</v>
      </c>
      <c r="BH22" s="100">
        <v>8.2999634698028615</v>
      </c>
      <c r="BI22" s="100">
        <v>1553.7531615470955</v>
      </c>
      <c r="BJ22" s="100">
        <v>11.238133307425693</v>
      </c>
      <c r="BK22" s="100">
        <v>2103.7785551500897</v>
      </c>
      <c r="BL22" s="100">
        <v>5.7697101675325051</v>
      </c>
      <c r="BM22" s="100">
        <v>1080.0897433620848</v>
      </c>
      <c r="BN22" s="100">
        <v>7.8894867381173555</v>
      </c>
      <c r="BO22" s="100">
        <v>1476.9119173755689</v>
      </c>
      <c r="BP22" s="100">
        <v>10</v>
      </c>
      <c r="BQ22" s="100">
        <v>1872</v>
      </c>
      <c r="BR22" s="100">
        <v>15</v>
      </c>
      <c r="BS22" s="100">
        <v>2808</v>
      </c>
      <c r="BT22" s="100">
        <v>13</v>
      </c>
      <c r="BU22" s="100">
        <v>2433.6</v>
      </c>
      <c r="BV22" s="100">
        <v>9.2773244178423582</v>
      </c>
      <c r="BW22" s="100">
        <v>1736.7151310200893</v>
      </c>
      <c r="BX22" s="100">
        <v>6.3247196228604583</v>
      </c>
      <c r="BY22" s="100">
        <v>1183.9875133994776</v>
      </c>
      <c r="BZ22" s="100">
        <v>3.5523932007904477</v>
      </c>
      <c r="CA22" s="100">
        <v>665.00800718797177</v>
      </c>
      <c r="CB22" s="100">
        <v>5.5183401928272788</v>
      </c>
      <c r="CC22" s="100">
        <v>1033.0332840972665</v>
      </c>
      <c r="CD22" s="100">
        <v>5.661281027965182</v>
      </c>
      <c r="CE22" s="100">
        <v>1059.791808435082</v>
      </c>
      <c r="CF22" s="100">
        <v>9.135302699927859</v>
      </c>
      <c r="CG22" s="100">
        <v>1710.1286654264952</v>
      </c>
      <c r="CH22" s="100">
        <v>18</v>
      </c>
      <c r="CI22" s="100">
        <v>3369.6</v>
      </c>
      <c r="CJ22" s="100">
        <v>10.146693253602674</v>
      </c>
      <c r="CK22" s="100">
        <v>1899.4609770744205</v>
      </c>
      <c r="CL22" s="100">
        <v>5.5836755207325162</v>
      </c>
      <c r="CM22" s="100">
        <v>1045.2640574811269</v>
      </c>
      <c r="CN22" s="100">
        <v>16</v>
      </c>
      <c r="CO22" s="100">
        <v>2995.2</v>
      </c>
      <c r="CP22" s="100">
        <v>13.177629290628154</v>
      </c>
      <c r="CQ22" s="100">
        <v>2466.8522032055903</v>
      </c>
      <c r="CR22" s="100">
        <v>3.6473806173600636</v>
      </c>
      <c r="CS22" s="100">
        <v>682.78965156980382</v>
      </c>
      <c r="CT22" s="100">
        <v>7.8087077915927381</v>
      </c>
      <c r="CU22" s="100">
        <v>1461.7900985861604</v>
      </c>
    </row>
    <row r="23" spans="2:99">
      <c r="C23" s="99" t="s">
        <v>189</v>
      </c>
      <c r="D23" s="100">
        <v>7.0515806719423528</v>
      </c>
      <c r="E23" s="100">
        <v>2073.1647175510516</v>
      </c>
      <c r="F23" s="100">
        <v>6.0276556625936877</v>
      </c>
      <c r="G23" s="100">
        <v>1772.1307648025443</v>
      </c>
      <c r="H23" s="100">
        <v>6.6761066887909157</v>
      </c>
      <c r="I23" s="100">
        <v>1962.7753665045293</v>
      </c>
      <c r="J23" s="100">
        <v>9</v>
      </c>
      <c r="K23" s="100">
        <v>2646</v>
      </c>
      <c r="L23" s="100">
        <v>9.6632897180112973</v>
      </c>
      <c r="M23" s="100">
        <v>2841.0071770953214</v>
      </c>
      <c r="N23" s="100">
        <v>3.9691650453556582</v>
      </c>
      <c r="O23" s="100">
        <v>1166.9345233345634</v>
      </c>
      <c r="P23" s="100">
        <v>6.9133607294696651</v>
      </c>
      <c r="Q23" s="100">
        <v>2032.5280544640816</v>
      </c>
      <c r="R23" s="100">
        <v>15</v>
      </c>
      <c r="S23" s="100">
        <v>4410</v>
      </c>
      <c r="T23" s="100">
        <v>13</v>
      </c>
      <c r="U23" s="100">
        <v>3822</v>
      </c>
      <c r="V23" s="100">
        <v>12</v>
      </c>
      <c r="W23" s="100">
        <v>3528</v>
      </c>
      <c r="X23" s="100">
        <v>12.860689056370942</v>
      </c>
      <c r="Y23" s="100">
        <v>3781.0425825730572</v>
      </c>
      <c r="Z23" s="100">
        <v>4.4223528199373332</v>
      </c>
      <c r="AA23" s="100">
        <v>1300.1717290615759</v>
      </c>
      <c r="AB23" s="100">
        <v>13</v>
      </c>
      <c r="AC23" s="100">
        <v>3822</v>
      </c>
      <c r="AD23" s="100">
        <v>5.6908054332970135</v>
      </c>
      <c r="AE23" s="100">
        <v>1673.0967973893219</v>
      </c>
      <c r="AF23" s="100">
        <v>8</v>
      </c>
      <c r="AG23" s="100">
        <v>2352</v>
      </c>
      <c r="AH23" s="100">
        <v>13</v>
      </c>
      <c r="AI23" s="100">
        <v>3822</v>
      </c>
      <c r="AJ23" s="100">
        <v>6.9720478821763514</v>
      </c>
      <c r="AK23" s="100">
        <v>2049.7820773598473</v>
      </c>
      <c r="AL23" s="100">
        <v>9.6825519058712999</v>
      </c>
      <c r="AM23" s="100">
        <v>2846.670260326162</v>
      </c>
      <c r="AN23" s="100">
        <v>2.0257230396857167</v>
      </c>
      <c r="AO23" s="100">
        <v>595.56257366760065</v>
      </c>
      <c r="AP23" s="100">
        <v>15</v>
      </c>
      <c r="AQ23" s="100">
        <v>4410</v>
      </c>
      <c r="AR23" s="100">
        <v>14.467739719584701</v>
      </c>
      <c r="AS23" s="100">
        <v>4253.5154775579022</v>
      </c>
      <c r="AT23" s="100">
        <v>9.464727309503866</v>
      </c>
      <c r="AU23" s="100">
        <v>2782.6298289941365</v>
      </c>
      <c r="AV23" s="100">
        <v>2.3727592576398435</v>
      </c>
      <c r="AW23" s="100">
        <v>697.591221746114</v>
      </c>
      <c r="AX23" s="100">
        <v>14</v>
      </c>
      <c r="AY23" s="100">
        <v>4116</v>
      </c>
      <c r="AZ23" s="100">
        <v>10.312879059496883</v>
      </c>
      <c r="BA23" s="100">
        <v>3031.9864434920837</v>
      </c>
      <c r="BB23" s="100">
        <v>8.9557845638673221</v>
      </c>
      <c r="BC23" s="100">
        <v>2633.0006617769927</v>
      </c>
      <c r="BD23" s="100">
        <v>1.7996345461910688</v>
      </c>
      <c r="BE23" s="100">
        <v>529.09255658017423</v>
      </c>
      <c r="BF23" s="100">
        <v>7.096968187667005</v>
      </c>
      <c r="BG23" s="100">
        <v>2086.5086471740997</v>
      </c>
      <c r="BH23" s="100">
        <v>8.2999634698028615</v>
      </c>
      <c r="BI23" s="100">
        <v>2440.1892601220411</v>
      </c>
      <c r="BJ23" s="100">
        <v>11.238133307425693</v>
      </c>
      <c r="BK23" s="100">
        <v>3304.0111923831537</v>
      </c>
      <c r="BL23" s="100">
        <v>6.2947178326575566</v>
      </c>
      <c r="BM23" s="100">
        <v>1850.6470428013217</v>
      </c>
      <c r="BN23" s="100">
        <v>8.6784354119290903</v>
      </c>
      <c r="BO23" s="100">
        <v>2551.4600111071527</v>
      </c>
      <c r="BP23" s="100">
        <v>11</v>
      </c>
      <c r="BQ23" s="100">
        <v>3234</v>
      </c>
      <c r="BR23" s="100">
        <v>14</v>
      </c>
      <c r="BS23" s="100">
        <v>4116</v>
      </c>
      <c r="BT23" s="100">
        <v>12</v>
      </c>
      <c r="BU23" s="100">
        <v>3528</v>
      </c>
      <c r="BV23" s="100">
        <v>9.2773244178423582</v>
      </c>
      <c r="BW23" s="100">
        <v>2727.5333788456533</v>
      </c>
      <c r="BX23" s="100">
        <v>7.096929372921708</v>
      </c>
      <c r="BY23" s="100">
        <v>2086.4972356389821</v>
      </c>
      <c r="BZ23" s="100">
        <v>3.5523932007904477</v>
      </c>
      <c r="CA23" s="100">
        <v>1044.4036010323916</v>
      </c>
      <c r="CB23" s="100">
        <v>5.9716261054661848</v>
      </c>
      <c r="CC23" s="100">
        <v>1755.6580750070584</v>
      </c>
      <c r="CD23" s="100">
        <v>5.3158408482008621</v>
      </c>
      <c r="CE23" s="100">
        <v>1562.8572093710534</v>
      </c>
      <c r="CF23" s="100">
        <v>8.0605612058186988</v>
      </c>
      <c r="CG23" s="100">
        <v>2369.8049945106973</v>
      </c>
      <c r="CH23" s="100">
        <v>15</v>
      </c>
      <c r="CI23" s="100">
        <v>4410</v>
      </c>
      <c r="CJ23" s="100">
        <v>9.0256361582726328</v>
      </c>
      <c r="CK23" s="100">
        <v>2653.5370305321539</v>
      </c>
      <c r="CL23" s="100">
        <v>5.2346958006867341</v>
      </c>
      <c r="CM23" s="100">
        <v>1539.0005654018998</v>
      </c>
      <c r="CN23" s="100">
        <v>14</v>
      </c>
      <c r="CO23" s="100">
        <v>4116</v>
      </c>
      <c r="CP23" s="100">
        <v>12.308227642709312</v>
      </c>
      <c r="CQ23" s="100">
        <v>3618.6189269565375</v>
      </c>
      <c r="CR23" s="100">
        <v>4.0318996304169712</v>
      </c>
      <c r="CS23" s="100">
        <v>1185.3784913425895</v>
      </c>
      <c r="CT23" s="100">
        <v>8.4478838485480257</v>
      </c>
      <c r="CU23" s="100">
        <v>2483.6778514731195</v>
      </c>
    </row>
    <row r="24" spans="2:99">
      <c r="C24" s="99" t="s">
        <v>190</v>
      </c>
      <c r="D24" s="100">
        <v>6.1342122261860572</v>
      </c>
      <c r="E24" s="100">
        <v>2252.4827294555203</v>
      </c>
      <c r="F24" s="100">
        <v>6.5335855948512851</v>
      </c>
      <c r="G24" s="100">
        <v>2399.1326304293916</v>
      </c>
      <c r="H24" s="100">
        <v>5.722377161820785</v>
      </c>
      <c r="I24" s="100">
        <v>2101.2568938205923</v>
      </c>
      <c r="J24" s="100">
        <v>8</v>
      </c>
      <c r="K24" s="100">
        <v>2937.6</v>
      </c>
      <c r="L24" s="100">
        <v>9.6264402892328924</v>
      </c>
      <c r="M24" s="100">
        <v>3534.8288742063178</v>
      </c>
      <c r="N24" s="100">
        <v>4.4356540071156916</v>
      </c>
      <c r="O24" s="100">
        <v>1628.7721514128818</v>
      </c>
      <c r="P24" s="100">
        <v>6.9133607294696651</v>
      </c>
      <c r="Q24" s="100">
        <v>2538.5860598612608</v>
      </c>
      <c r="R24" s="100">
        <v>16</v>
      </c>
      <c r="S24" s="100">
        <v>5875.2</v>
      </c>
      <c r="T24" s="100">
        <v>13</v>
      </c>
      <c r="U24" s="100">
        <v>4773.5999999999995</v>
      </c>
      <c r="V24" s="100">
        <v>12</v>
      </c>
      <c r="W24" s="100">
        <v>4406.3999999999996</v>
      </c>
      <c r="X24" s="100">
        <v>12.860689056370942</v>
      </c>
      <c r="Y24" s="100">
        <v>4722.4450214994094</v>
      </c>
      <c r="Z24" s="100">
        <v>4.4223528199373332</v>
      </c>
      <c r="AA24" s="100">
        <v>1623.8879554809887</v>
      </c>
      <c r="AB24" s="100">
        <v>13</v>
      </c>
      <c r="AC24" s="100">
        <v>4773.5999999999995</v>
      </c>
      <c r="AD24" s="100">
        <v>5.1734594848154662</v>
      </c>
      <c r="AE24" s="100">
        <v>1899.6943228242392</v>
      </c>
      <c r="AF24" s="100">
        <v>8</v>
      </c>
      <c r="AG24" s="100">
        <v>2937.6</v>
      </c>
      <c r="AH24" s="100">
        <v>13</v>
      </c>
      <c r="AI24" s="100">
        <v>4773.5999999999995</v>
      </c>
      <c r="AJ24" s="100">
        <v>7.8435538674483958</v>
      </c>
      <c r="AK24" s="100">
        <v>2880.1529801270508</v>
      </c>
      <c r="AL24" s="100">
        <v>9.6825519058712999</v>
      </c>
      <c r="AM24" s="100">
        <v>3555.4330598359411</v>
      </c>
      <c r="AN24" s="100">
        <v>2.2508033774285741</v>
      </c>
      <c r="AO24" s="100">
        <v>826.49500019177242</v>
      </c>
      <c r="AP24" s="100">
        <v>13</v>
      </c>
      <c r="AQ24" s="100">
        <v>4773.5999999999995</v>
      </c>
      <c r="AR24" s="100">
        <v>14.467739719584701</v>
      </c>
      <c r="AS24" s="100">
        <v>5312.5540250315016</v>
      </c>
      <c r="AT24" s="100">
        <v>10.193325828395128</v>
      </c>
      <c r="AU24" s="100">
        <v>3742.9892441866909</v>
      </c>
      <c r="AV24" s="100">
        <v>2.3727592576398435</v>
      </c>
      <c r="AW24" s="100">
        <v>871.27719940535053</v>
      </c>
      <c r="AX24" s="100">
        <v>13</v>
      </c>
      <c r="AY24" s="100">
        <v>4773.5999999999995</v>
      </c>
      <c r="AZ24" s="100">
        <v>9.3128790594968827</v>
      </c>
      <c r="BA24" s="100">
        <v>3419.6891906472551</v>
      </c>
      <c r="BB24" s="100">
        <v>9.7699467969461704</v>
      </c>
      <c r="BC24" s="100">
        <v>3587.5244638386334</v>
      </c>
      <c r="BD24" s="100">
        <v>1.797177636217671</v>
      </c>
      <c r="BE24" s="100">
        <v>659.92362801912873</v>
      </c>
      <c r="BF24" s="100">
        <v>7.8223703959243949</v>
      </c>
      <c r="BG24" s="100">
        <v>2872.3744093834375</v>
      </c>
      <c r="BH24" s="100">
        <v>7.1142544026881671</v>
      </c>
      <c r="BI24" s="100">
        <v>2612.354216667095</v>
      </c>
      <c r="BJ24" s="100">
        <v>12.967076893183494</v>
      </c>
      <c r="BK24" s="100">
        <v>4761.5106351769791</v>
      </c>
      <c r="BL24" s="100">
        <v>6.312636229770729</v>
      </c>
      <c r="BM24" s="100">
        <v>2318.0000235718117</v>
      </c>
      <c r="BN24" s="100">
        <v>8.6784354119290903</v>
      </c>
      <c r="BO24" s="100">
        <v>3186.7214832603618</v>
      </c>
      <c r="BP24" s="100">
        <v>10</v>
      </c>
      <c r="BQ24" s="100">
        <v>3672</v>
      </c>
      <c r="BR24" s="100">
        <v>15</v>
      </c>
      <c r="BS24" s="100">
        <v>5508</v>
      </c>
      <c r="BT24" s="100">
        <v>12</v>
      </c>
      <c r="BU24" s="100">
        <v>4406.3999999999996</v>
      </c>
      <c r="BV24" s="100">
        <v>9.2773244178423582</v>
      </c>
      <c r="BW24" s="100">
        <v>3406.6335262317139</v>
      </c>
      <c r="BX24" s="100">
        <v>6.3247196228604583</v>
      </c>
      <c r="BY24" s="100">
        <v>2322.4370455143603</v>
      </c>
      <c r="BZ24" s="100">
        <v>3.5708626128538863</v>
      </c>
      <c r="CA24" s="100">
        <v>1311.220751439947</v>
      </c>
      <c r="CB24" s="100">
        <v>5.9947650251965898</v>
      </c>
      <c r="CC24" s="100">
        <v>2201.2777172521878</v>
      </c>
      <c r="CD24" s="100">
        <v>5.6463656777722893</v>
      </c>
      <c r="CE24" s="100">
        <v>2073.3454768779848</v>
      </c>
      <c r="CF24" s="100">
        <v>8.597931952873278</v>
      </c>
      <c r="CG24" s="100">
        <v>3157.1606130950677</v>
      </c>
      <c r="CH24" s="100">
        <v>15</v>
      </c>
      <c r="CI24" s="100">
        <v>5508</v>
      </c>
      <c r="CJ24" s="100">
        <v>9.5717994049307382</v>
      </c>
      <c r="CK24" s="100">
        <v>3514.7647414905668</v>
      </c>
      <c r="CL24" s="100">
        <v>4.8857160806409512</v>
      </c>
      <c r="CM24" s="100">
        <v>1794.0349448113573</v>
      </c>
      <c r="CN24" s="100">
        <v>14</v>
      </c>
      <c r="CO24" s="100">
        <v>5140.8</v>
      </c>
      <c r="CP24" s="100">
        <v>12.37652992863209</v>
      </c>
      <c r="CQ24" s="100">
        <v>4544.6617897937031</v>
      </c>
      <c r="CR24" s="100">
        <v>4.024718495807436</v>
      </c>
      <c r="CS24" s="100">
        <v>1477.8766316604904</v>
      </c>
      <c r="CT24" s="100">
        <v>7.7913834030765772</v>
      </c>
      <c r="CU24" s="100">
        <v>2860.9959856097189</v>
      </c>
    </row>
    <row r="25" spans="2:99">
      <c r="C25" s="99" t="s">
        <v>191</v>
      </c>
      <c r="D25" s="100">
        <v>6.6143111151604721</v>
      </c>
      <c r="E25" s="100">
        <v>3508.2306154811145</v>
      </c>
      <c r="F25" s="100">
        <v>6.0276556625936877</v>
      </c>
      <c r="G25" s="100">
        <v>3197.0685634396918</v>
      </c>
      <c r="H25" s="100">
        <v>5.722377161820785</v>
      </c>
      <c r="I25" s="100">
        <v>3035.1488466297442</v>
      </c>
      <c r="J25" s="100">
        <v>8</v>
      </c>
      <c r="K25" s="100">
        <v>4243.2</v>
      </c>
      <c r="L25" s="100">
        <v>10.663289718011297</v>
      </c>
      <c r="M25" s="100">
        <v>5655.8088664331917</v>
      </c>
      <c r="N25" s="100">
        <v>4.882371856269442</v>
      </c>
      <c r="O25" s="100">
        <v>2589.6100325653119</v>
      </c>
      <c r="P25" s="100">
        <v>5.6563860513842714</v>
      </c>
      <c r="Q25" s="100">
        <v>3000.1471616542176</v>
      </c>
      <c r="R25" s="100">
        <v>14</v>
      </c>
      <c r="S25" s="100">
        <v>7425.5999999999995</v>
      </c>
      <c r="T25" s="100">
        <v>13</v>
      </c>
      <c r="U25" s="100">
        <v>6895.2</v>
      </c>
      <c r="V25" s="100">
        <v>11</v>
      </c>
      <c r="W25" s="100">
        <v>5834.4</v>
      </c>
      <c r="X25" s="100">
        <v>13.84997282993794</v>
      </c>
      <c r="Y25" s="100">
        <v>7346.0255889990831</v>
      </c>
      <c r="Z25" s="100">
        <v>3.9801175379435998</v>
      </c>
      <c r="AA25" s="100">
        <v>2111.0543421252851</v>
      </c>
      <c r="AB25" s="100">
        <v>13</v>
      </c>
      <c r="AC25" s="100">
        <v>6895.2</v>
      </c>
      <c r="AD25" s="100">
        <v>5.6908054332970135</v>
      </c>
      <c r="AE25" s="100">
        <v>3018.4032018207358</v>
      </c>
      <c r="AF25" s="100">
        <v>8</v>
      </c>
      <c r="AG25" s="100">
        <v>4243.2</v>
      </c>
      <c r="AH25" s="100">
        <v>12</v>
      </c>
      <c r="AI25" s="100">
        <v>6364.7999999999993</v>
      </c>
      <c r="AJ25" s="100">
        <v>6.9720478821763514</v>
      </c>
      <c r="AK25" s="100">
        <v>3697.9741967063364</v>
      </c>
      <c r="AL25" s="100">
        <v>7.7460415246970395</v>
      </c>
      <c r="AM25" s="100">
        <v>4108.5004246993094</v>
      </c>
      <c r="AN25" s="100">
        <v>2.0257230396857167</v>
      </c>
      <c r="AO25" s="100">
        <v>1074.4435002493042</v>
      </c>
      <c r="AP25" s="100">
        <v>15</v>
      </c>
      <c r="AQ25" s="100">
        <v>7956</v>
      </c>
      <c r="AR25" s="100">
        <v>13.503223738279054</v>
      </c>
      <c r="AS25" s="100">
        <v>7162.1098707832098</v>
      </c>
      <c r="AT25" s="100">
        <v>10.094933317103029</v>
      </c>
      <c r="AU25" s="100">
        <v>5354.3526313914463</v>
      </c>
      <c r="AV25" s="100">
        <v>2.3727592576398435</v>
      </c>
      <c r="AW25" s="100">
        <v>1258.5115102521729</v>
      </c>
      <c r="AX25" s="100">
        <v>12</v>
      </c>
      <c r="AY25" s="100">
        <v>6364.7999999999993</v>
      </c>
      <c r="AZ25" s="100">
        <v>9.2954968895248324</v>
      </c>
      <c r="BA25" s="100">
        <v>4930.3315502039713</v>
      </c>
      <c r="BB25" s="100">
        <v>9.7699467969461704</v>
      </c>
      <c r="BC25" s="100">
        <v>5181.9797811002481</v>
      </c>
      <c r="BD25" s="100">
        <v>2.0209034995048558</v>
      </c>
      <c r="BE25" s="100">
        <v>1071.8872161373754</v>
      </c>
      <c r="BF25" s="100">
        <v>7.1285430939642547</v>
      </c>
      <c r="BG25" s="100">
        <v>3780.9792570386403</v>
      </c>
      <c r="BH25" s="100">
        <v>7.7071089362455147</v>
      </c>
      <c r="BI25" s="100">
        <v>4087.850579784621</v>
      </c>
      <c r="BJ25" s="100">
        <v>11.238133307425693</v>
      </c>
      <c r="BK25" s="100">
        <v>5960.7059062585877</v>
      </c>
      <c r="BL25" s="100">
        <v>6.2947178326575566</v>
      </c>
      <c r="BM25" s="100">
        <v>3338.718338441568</v>
      </c>
      <c r="BN25" s="100">
        <v>7.8894867381173555</v>
      </c>
      <c r="BO25" s="100">
        <v>4184.5837658974451</v>
      </c>
      <c r="BP25" s="100">
        <v>11</v>
      </c>
      <c r="BQ25" s="100">
        <v>5834.4</v>
      </c>
      <c r="BR25" s="100">
        <v>14</v>
      </c>
      <c r="BS25" s="100">
        <v>7425.5999999999995</v>
      </c>
      <c r="BT25" s="100">
        <v>12</v>
      </c>
      <c r="BU25" s="100">
        <v>6364.7999999999993</v>
      </c>
      <c r="BV25" s="100">
        <v>7.8500437381743016</v>
      </c>
      <c r="BW25" s="100">
        <v>4163.6631987276496</v>
      </c>
      <c r="BX25" s="100">
        <v>7.096929372921708</v>
      </c>
      <c r="BY25" s="100">
        <v>3764.2113393976738</v>
      </c>
      <c r="BZ25" s="100">
        <v>3.5523932007904477</v>
      </c>
      <c r="CA25" s="100">
        <v>1884.1893536992534</v>
      </c>
      <c r="CB25" s="100">
        <v>5.9716261054661848</v>
      </c>
      <c r="CC25" s="100">
        <v>3167.3504863392641</v>
      </c>
      <c r="CD25" s="100">
        <v>4.6273476139999818</v>
      </c>
      <c r="CE25" s="100">
        <v>2454.3451744655904</v>
      </c>
      <c r="CF25" s="100">
        <v>8.0605612058186988</v>
      </c>
      <c r="CG25" s="100">
        <v>4275.3216635662375</v>
      </c>
      <c r="CH25" s="100">
        <v>15</v>
      </c>
      <c r="CI25" s="100">
        <v>7956</v>
      </c>
      <c r="CJ25" s="100">
        <v>8.9681749542449758</v>
      </c>
      <c r="CK25" s="100">
        <v>4756.7199957315352</v>
      </c>
      <c r="CL25" s="100">
        <v>4.53673636059517</v>
      </c>
      <c r="CM25" s="100">
        <v>2406.2849656596782</v>
      </c>
      <c r="CN25" s="100">
        <v>15</v>
      </c>
      <c r="CO25" s="100">
        <v>7956</v>
      </c>
      <c r="CP25" s="100">
        <v>11.47297713775186</v>
      </c>
      <c r="CQ25" s="100">
        <v>6085.2670738635861</v>
      </c>
      <c r="CR25" s="100">
        <v>3.6401994827505288</v>
      </c>
      <c r="CS25" s="100">
        <v>1930.7618056508804</v>
      </c>
      <c r="CT25" s="100">
        <v>7.8087077915927381</v>
      </c>
      <c r="CU25" s="100">
        <v>4141.738612660788</v>
      </c>
    </row>
    <row r="26" spans="2:99">
      <c r="C26" s="99" t="s">
        <v>192</v>
      </c>
      <c r="D26" s="100">
        <v>7.0729953380386199</v>
      </c>
      <c r="E26" s="100">
        <v>3437.4757342867692</v>
      </c>
      <c r="F26" s="100">
        <v>6.5263350074350388</v>
      </c>
      <c r="G26" s="100">
        <v>3171.798813613429</v>
      </c>
      <c r="H26" s="100">
        <v>6.1992419253058504</v>
      </c>
      <c r="I26" s="100">
        <v>3012.8315756986431</v>
      </c>
      <c r="J26" s="100">
        <v>9</v>
      </c>
      <c r="K26" s="100">
        <v>4374</v>
      </c>
      <c r="L26" s="100">
        <v>9.6264402892328924</v>
      </c>
      <c r="M26" s="100">
        <v>4678.4499805671858</v>
      </c>
      <c r="N26" s="100">
        <v>4.9219140814820079</v>
      </c>
      <c r="O26" s="100">
        <v>2392.0502436002557</v>
      </c>
      <c r="P26" s="100">
        <v>6.9133607294696651</v>
      </c>
      <c r="Q26" s="100">
        <v>3359.8933145222572</v>
      </c>
      <c r="R26" s="100">
        <v>14</v>
      </c>
      <c r="S26" s="100">
        <v>6804</v>
      </c>
      <c r="T26" s="100">
        <v>12</v>
      </c>
      <c r="U26" s="100">
        <v>5832</v>
      </c>
      <c r="V26" s="100">
        <v>12</v>
      </c>
      <c r="W26" s="100">
        <v>5832</v>
      </c>
      <c r="X26" s="100">
        <v>13.84997282993794</v>
      </c>
      <c r="Y26" s="100">
        <v>6731.0867953498391</v>
      </c>
      <c r="Z26" s="100">
        <v>3.9801175379435998</v>
      </c>
      <c r="AA26" s="100">
        <v>1934.3371234405895</v>
      </c>
      <c r="AB26" s="100">
        <v>12</v>
      </c>
      <c r="AC26" s="100">
        <v>5832</v>
      </c>
      <c r="AD26" s="100">
        <v>5.1734594848154662</v>
      </c>
      <c r="AE26" s="100">
        <v>2514.3013096203167</v>
      </c>
      <c r="AF26" s="100">
        <v>8</v>
      </c>
      <c r="AG26" s="100">
        <v>3888</v>
      </c>
      <c r="AH26" s="100">
        <v>12</v>
      </c>
      <c r="AI26" s="100">
        <v>5832</v>
      </c>
      <c r="AJ26" s="100">
        <v>7.8435538674483958</v>
      </c>
      <c r="AK26" s="100">
        <v>3811.9671795799204</v>
      </c>
      <c r="AL26" s="100">
        <v>8.3915449850884603</v>
      </c>
      <c r="AM26" s="100">
        <v>4078.2908627529919</v>
      </c>
      <c r="AN26" s="100">
        <v>2.2508033774285741</v>
      </c>
      <c r="AO26" s="100">
        <v>1093.890441430287</v>
      </c>
      <c r="AP26" s="100">
        <v>15</v>
      </c>
      <c r="AQ26" s="100">
        <v>7290</v>
      </c>
      <c r="AR26" s="100">
        <v>13.503223738279054</v>
      </c>
      <c r="AS26" s="100">
        <v>6562.5667368036202</v>
      </c>
      <c r="AT26" s="100">
        <v>9.3663347982117688</v>
      </c>
      <c r="AU26" s="100">
        <v>4552.0387119309198</v>
      </c>
      <c r="AV26" s="100">
        <v>2.17502931950319</v>
      </c>
      <c r="AW26" s="100">
        <v>1057.0642492785503</v>
      </c>
      <c r="AX26" s="100">
        <v>13</v>
      </c>
      <c r="AY26" s="100">
        <v>6318</v>
      </c>
      <c r="AZ26" s="100">
        <v>9.278114719552784</v>
      </c>
      <c r="BA26" s="100">
        <v>4509.1637537026527</v>
      </c>
      <c r="BB26" s="100">
        <v>9.7699467969461704</v>
      </c>
      <c r="BC26" s="100">
        <v>4748.194143315839</v>
      </c>
      <c r="BD26" s="100">
        <v>2.0233604094782538</v>
      </c>
      <c r="BE26" s="100">
        <v>983.35315900643138</v>
      </c>
      <c r="BF26" s="100">
        <v>7.8223703959243949</v>
      </c>
      <c r="BG26" s="100">
        <v>3801.6720124192561</v>
      </c>
      <c r="BH26" s="100">
        <v>8.2999634698028615</v>
      </c>
      <c r="BI26" s="100">
        <v>4033.7822463241905</v>
      </c>
      <c r="BJ26" s="100">
        <v>11.238133307425693</v>
      </c>
      <c r="BK26" s="100">
        <v>5461.7327874088869</v>
      </c>
      <c r="BL26" s="100">
        <v>6.3305546268839015</v>
      </c>
      <c r="BM26" s="100">
        <v>3076.6495486655763</v>
      </c>
      <c r="BN26" s="100">
        <v>8.6784354119290903</v>
      </c>
      <c r="BO26" s="100">
        <v>4217.7196101975378</v>
      </c>
      <c r="BP26" s="100">
        <v>10</v>
      </c>
      <c r="BQ26" s="100">
        <v>4860</v>
      </c>
      <c r="BR26" s="100">
        <v>16</v>
      </c>
      <c r="BS26" s="100">
        <v>7776</v>
      </c>
      <c r="BT26" s="100">
        <v>13</v>
      </c>
      <c r="BU26" s="100">
        <v>6318</v>
      </c>
      <c r="BV26" s="100">
        <v>9.2773244178423582</v>
      </c>
      <c r="BW26" s="100">
        <v>4508.779667071386</v>
      </c>
      <c r="BX26" s="100">
        <v>6.3614800284530695</v>
      </c>
      <c r="BY26" s="100">
        <v>3091.6792938281919</v>
      </c>
      <c r="BZ26" s="100">
        <v>3.9641208797782364</v>
      </c>
      <c r="CA26" s="100">
        <v>1926.5627475722229</v>
      </c>
      <c r="CB26" s="100">
        <v>6.4943287772963059</v>
      </c>
      <c r="CC26" s="100">
        <v>3156.2437857660047</v>
      </c>
      <c r="CD26" s="100">
        <v>4.6547911890580069</v>
      </c>
      <c r="CE26" s="100">
        <v>2262.2285178821912</v>
      </c>
      <c r="CF26" s="100">
        <v>7.5231904587641187</v>
      </c>
      <c r="CG26" s="100">
        <v>3656.2705629593615</v>
      </c>
      <c r="CH26" s="100">
        <v>18</v>
      </c>
      <c r="CI26" s="100">
        <v>8748</v>
      </c>
      <c r="CJ26" s="100">
        <v>9.6005300069445685</v>
      </c>
      <c r="CK26" s="100">
        <v>4665.8575833750601</v>
      </c>
      <c r="CL26" s="100">
        <v>4.8857160806409512</v>
      </c>
      <c r="CM26" s="100">
        <v>2374.4580151915025</v>
      </c>
      <c r="CN26" s="100">
        <v>15</v>
      </c>
      <c r="CO26" s="100">
        <v>7290</v>
      </c>
      <c r="CP26" s="100">
        <v>11.47297713775186</v>
      </c>
      <c r="CQ26" s="100">
        <v>5575.8668889474038</v>
      </c>
      <c r="CR26" s="100">
        <v>4.0390807650265046</v>
      </c>
      <c r="CS26" s="100">
        <v>1962.9932518028813</v>
      </c>
      <c r="CT26" s="100">
        <v>7.8087077915927381</v>
      </c>
      <c r="CU26" s="100">
        <v>3795.0319867140706</v>
      </c>
    </row>
    <row r="27" spans="2:99">
      <c r="C27" s="99" t="s">
        <v>193</v>
      </c>
      <c r="D27" s="100">
        <v>7.0622880049904859</v>
      </c>
      <c r="E27" s="100">
        <v>3017.0094357319354</v>
      </c>
      <c r="F27" s="100">
        <v>6.0276556625936877</v>
      </c>
      <c r="G27" s="100">
        <v>2575.0144990600234</v>
      </c>
      <c r="H27" s="100">
        <v>5.722377161820785</v>
      </c>
      <c r="I27" s="100">
        <v>2444.5995235298392</v>
      </c>
      <c r="J27" s="100">
        <v>9</v>
      </c>
      <c r="K27" s="100">
        <v>3844.7999999999997</v>
      </c>
      <c r="L27" s="100">
        <v>9.6632897180112973</v>
      </c>
      <c r="M27" s="100">
        <v>4128.1573675344262</v>
      </c>
      <c r="N27" s="100">
        <v>4.9219140814820079</v>
      </c>
      <c r="O27" s="100">
        <v>2102.6416956091139</v>
      </c>
      <c r="P27" s="100">
        <v>6.2848733904269682</v>
      </c>
      <c r="Q27" s="100">
        <v>2684.897912390401</v>
      </c>
      <c r="R27" s="100">
        <v>16</v>
      </c>
      <c r="S27" s="100">
        <v>6835.2</v>
      </c>
      <c r="T27" s="100">
        <v>13</v>
      </c>
      <c r="U27" s="100">
        <v>5553.5999999999995</v>
      </c>
      <c r="V27" s="100">
        <v>12</v>
      </c>
      <c r="W27" s="100">
        <v>5126.3999999999996</v>
      </c>
      <c r="X27" s="100">
        <v>13.84997282993794</v>
      </c>
      <c r="Y27" s="100">
        <v>5916.7083929494875</v>
      </c>
      <c r="Z27" s="100">
        <v>3.5378822559498673</v>
      </c>
      <c r="AA27" s="100">
        <v>1511.3832997417833</v>
      </c>
      <c r="AB27" s="100">
        <v>14</v>
      </c>
      <c r="AC27" s="100">
        <v>5980.8</v>
      </c>
      <c r="AD27" s="100">
        <v>5.1734594848154662</v>
      </c>
      <c r="AE27" s="100">
        <v>2210.101891913167</v>
      </c>
      <c r="AF27" s="100">
        <v>7</v>
      </c>
      <c r="AG27" s="100">
        <v>2990.4</v>
      </c>
      <c r="AH27" s="100">
        <v>12</v>
      </c>
      <c r="AI27" s="100">
        <v>5126.3999999999996</v>
      </c>
      <c r="AJ27" s="100">
        <v>7.8435538674483958</v>
      </c>
      <c r="AK27" s="100">
        <v>3350.7662121739545</v>
      </c>
      <c r="AL27" s="100">
        <v>8.3915449850884603</v>
      </c>
      <c r="AM27" s="100">
        <v>3584.8680176297903</v>
      </c>
      <c r="AN27" s="100">
        <v>2.2508033774285741</v>
      </c>
      <c r="AO27" s="100">
        <v>961.54320283748677</v>
      </c>
      <c r="AP27" s="100">
        <v>14</v>
      </c>
      <c r="AQ27" s="100">
        <v>5980.8</v>
      </c>
      <c r="AR27" s="100">
        <v>12.538707756973407</v>
      </c>
      <c r="AS27" s="100">
        <v>5356.5359537790391</v>
      </c>
      <c r="AT27" s="100">
        <v>10.094933317103029</v>
      </c>
      <c r="AU27" s="100">
        <v>4312.5555130664143</v>
      </c>
      <c r="AV27" s="100">
        <v>2.5704891957764975</v>
      </c>
      <c r="AW27" s="100">
        <v>1098.1129844357197</v>
      </c>
      <c r="AX27" s="100">
        <v>13</v>
      </c>
      <c r="AY27" s="100">
        <v>5553.5999999999995</v>
      </c>
      <c r="AZ27" s="100">
        <v>9.3128790594968827</v>
      </c>
      <c r="BA27" s="100">
        <v>3978.4619342170681</v>
      </c>
      <c r="BB27" s="100">
        <v>8.9557845638673221</v>
      </c>
      <c r="BC27" s="100">
        <v>3825.9111656841201</v>
      </c>
      <c r="BD27" s="100">
        <v>1.797177636217671</v>
      </c>
      <c r="BE27" s="100">
        <v>767.75428619218906</v>
      </c>
      <c r="BF27" s="100">
        <v>7.8539453022216446</v>
      </c>
      <c r="BG27" s="100">
        <v>3355.2054331090862</v>
      </c>
      <c r="BH27" s="100">
        <v>8.2999634698028615</v>
      </c>
      <c r="BI27" s="100">
        <v>3545.7443942997825</v>
      </c>
      <c r="BJ27" s="100">
        <v>12.102605100304595</v>
      </c>
      <c r="BK27" s="100">
        <v>5170.2328988501231</v>
      </c>
      <c r="BL27" s="100">
        <v>5.7517917704193335</v>
      </c>
      <c r="BM27" s="100">
        <v>2457.1654443231391</v>
      </c>
      <c r="BN27" s="100">
        <v>7.8894867381173555</v>
      </c>
      <c r="BO27" s="100">
        <v>3370.388734523734</v>
      </c>
      <c r="BP27" s="100">
        <v>12</v>
      </c>
      <c r="BQ27" s="100">
        <v>5126.3999999999996</v>
      </c>
      <c r="BR27" s="100">
        <v>15</v>
      </c>
      <c r="BS27" s="100">
        <v>6408</v>
      </c>
      <c r="BT27" s="100">
        <v>13</v>
      </c>
      <c r="BU27" s="100">
        <v>5553.5999999999995</v>
      </c>
      <c r="BV27" s="100">
        <v>8.563684078008329</v>
      </c>
      <c r="BW27" s="100">
        <v>3658.405838125158</v>
      </c>
      <c r="BX27" s="100">
        <v>6.3247196228604583</v>
      </c>
      <c r="BY27" s="100">
        <v>2701.9202228859876</v>
      </c>
      <c r="BZ27" s="100">
        <v>3.1221961097392206</v>
      </c>
      <c r="CA27" s="100">
        <v>1333.802178080595</v>
      </c>
      <c r="CB27" s="100">
        <v>5.9947650251965898</v>
      </c>
      <c r="CC27" s="100">
        <v>2560.963618763983</v>
      </c>
      <c r="CD27" s="100">
        <v>5.3158408482008621</v>
      </c>
      <c r="CE27" s="100">
        <v>2270.9272103514081</v>
      </c>
      <c r="CF27" s="100">
        <v>8.0605612058186988</v>
      </c>
      <c r="CG27" s="100">
        <v>3443.4717471257482</v>
      </c>
      <c r="CH27" s="100">
        <v>16</v>
      </c>
      <c r="CI27" s="100">
        <v>6835.2</v>
      </c>
      <c r="CJ27" s="100">
        <v>8.9681749542449758</v>
      </c>
      <c r="CK27" s="100">
        <v>3831.2043404534534</v>
      </c>
      <c r="CL27" s="100">
        <v>5.2346958006867341</v>
      </c>
      <c r="CM27" s="100">
        <v>2236.2620460533726</v>
      </c>
      <c r="CN27" s="100">
        <v>14</v>
      </c>
      <c r="CO27" s="100">
        <v>5980.8</v>
      </c>
      <c r="CP27" s="100">
        <v>11.54127942367464</v>
      </c>
      <c r="CQ27" s="100">
        <v>4930.4345697938061</v>
      </c>
      <c r="CR27" s="100">
        <v>3.6545617519695983</v>
      </c>
      <c r="CS27" s="100">
        <v>1561.2287804414123</v>
      </c>
      <c r="CT27" s="100">
        <v>9.0524111284709914</v>
      </c>
      <c r="CU27" s="100">
        <v>3867.1900340828074</v>
      </c>
    </row>
    <row r="28" spans="2:99">
      <c r="C28" s="99" t="s">
        <v>194</v>
      </c>
      <c r="D28" s="100">
        <v>6.603603782112339</v>
      </c>
      <c r="E28" s="100">
        <v>4873.4595911989063</v>
      </c>
      <c r="F28" s="100">
        <v>6.5190844200187916</v>
      </c>
      <c r="G28" s="100">
        <v>4811.0843019738686</v>
      </c>
      <c r="H28" s="100">
        <v>6.1992419253058504</v>
      </c>
      <c r="I28" s="100">
        <v>4575.0405408757179</v>
      </c>
      <c r="J28" s="100">
        <v>9</v>
      </c>
      <c r="K28" s="100">
        <v>6642</v>
      </c>
      <c r="L28" s="100">
        <v>10.700139146789702</v>
      </c>
      <c r="M28" s="100">
        <v>7896.7026903308006</v>
      </c>
      <c r="N28" s="100">
        <v>4.4356540071156916</v>
      </c>
      <c r="O28" s="100">
        <v>3273.5126572513805</v>
      </c>
      <c r="P28" s="100">
        <v>6.2848733904269682</v>
      </c>
      <c r="Q28" s="100">
        <v>4638.2365621351028</v>
      </c>
      <c r="R28" s="100">
        <v>15</v>
      </c>
      <c r="S28" s="100">
        <v>11070</v>
      </c>
      <c r="T28" s="100">
        <v>12</v>
      </c>
      <c r="U28" s="100">
        <v>8856</v>
      </c>
      <c r="V28" s="100">
        <v>12</v>
      </c>
      <c r="W28" s="100">
        <v>8856</v>
      </c>
      <c r="X28" s="100">
        <v>11.871405282803948</v>
      </c>
      <c r="Y28" s="100">
        <v>8761.0970987093133</v>
      </c>
      <c r="Z28" s="100">
        <v>3.5378822559498673</v>
      </c>
      <c r="AA28" s="100">
        <v>2610.957104891002</v>
      </c>
      <c r="AB28" s="100">
        <v>14</v>
      </c>
      <c r="AC28" s="100">
        <v>10332</v>
      </c>
      <c r="AD28" s="100">
        <v>5.1734594848154662</v>
      </c>
      <c r="AE28" s="100">
        <v>3818.013099793814</v>
      </c>
      <c r="AF28" s="100">
        <v>7</v>
      </c>
      <c r="AG28" s="100">
        <v>5166</v>
      </c>
      <c r="AH28" s="100">
        <v>12</v>
      </c>
      <c r="AI28" s="100">
        <v>8856</v>
      </c>
      <c r="AJ28" s="100">
        <v>7.8435538674483958</v>
      </c>
      <c r="AK28" s="100">
        <v>5788.5427541769159</v>
      </c>
      <c r="AL28" s="100">
        <v>8.3915449850884603</v>
      </c>
      <c r="AM28" s="100">
        <v>6192.9601989952835</v>
      </c>
      <c r="AN28" s="100">
        <v>2.0257230396857167</v>
      </c>
      <c r="AO28" s="100">
        <v>1494.9836032880589</v>
      </c>
      <c r="AP28" s="100">
        <v>14</v>
      </c>
      <c r="AQ28" s="100">
        <v>10332</v>
      </c>
      <c r="AR28" s="100">
        <v>12.538707756973407</v>
      </c>
      <c r="AS28" s="100">
        <v>9253.5663246463737</v>
      </c>
      <c r="AT28" s="100">
        <v>8.6377362793205066</v>
      </c>
      <c r="AU28" s="100">
        <v>6374.6493741385339</v>
      </c>
      <c r="AV28" s="100">
        <v>2.17502931950319</v>
      </c>
      <c r="AW28" s="100">
        <v>1605.1716377933542</v>
      </c>
      <c r="AX28" s="100">
        <v>13</v>
      </c>
      <c r="AY28" s="100">
        <v>9594</v>
      </c>
      <c r="AZ28" s="100">
        <v>10.295496889524832</v>
      </c>
      <c r="BA28" s="100">
        <v>7598.0767044693266</v>
      </c>
      <c r="BB28" s="100">
        <v>9.7699467969461704</v>
      </c>
      <c r="BC28" s="100">
        <v>7210.2207361462733</v>
      </c>
      <c r="BD28" s="100">
        <v>2.0184465895314583</v>
      </c>
      <c r="BE28" s="100">
        <v>1489.6135830742162</v>
      </c>
      <c r="BF28" s="100">
        <v>6.3399910731123645</v>
      </c>
      <c r="BG28" s="100">
        <v>4678.9134119569253</v>
      </c>
      <c r="BH28" s="100">
        <v>7.7071089362455147</v>
      </c>
      <c r="BI28" s="100">
        <v>5687.8463949491897</v>
      </c>
      <c r="BJ28" s="100">
        <v>12.102605100304595</v>
      </c>
      <c r="BK28" s="100">
        <v>8931.7225640247907</v>
      </c>
      <c r="BL28" s="100">
        <v>5.2626208995206278</v>
      </c>
      <c r="BM28" s="100">
        <v>3883.8142238462233</v>
      </c>
      <c r="BN28" s="100">
        <v>8.6784354119290903</v>
      </c>
      <c r="BO28" s="100">
        <v>6404.6853340036687</v>
      </c>
      <c r="BP28" s="100">
        <v>10</v>
      </c>
      <c r="BQ28" s="100">
        <v>7380</v>
      </c>
      <c r="BR28" s="100">
        <v>14</v>
      </c>
      <c r="BS28" s="100">
        <v>10332</v>
      </c>
      <c r="BT28" s="100">
        <v>11</v>
      </c>
      <c r="BU28" s="100">
        <v>8118</v>
      </c>
      <c r="BV28" s="100">
        <v>8.563684078008329</v>
      </c>
      <c r="BW28" s="100">
        <v>6319.9988495701464</v>
      </c>
      <c r="BX28" s="100">
        <v>7.096929372921708</v>
      </c>
      <c r="BY28" s="100">
        <v>5237.5338772162204</v>
      </c>
      <c r="BZ28" s="100">
        <v>3.103726697675782</v>
      </c>
      <c r="CA28" s="100">
        <v>2290.550302884727</v>
      </c>
      <c r="CB28" s="100">
        <v>5.5183401928272788</v>
      </c>
      <c r="CC28" s="100">
        <v>4072.5350623065319</v>
      </c>
      <c r="CD28" s="100">
        <v>4.9704006684365405</v>
      </c>
      <c r="CE28" s="100">
        <v>3668.155693306167</v>
      </c>
      <c r="CF28" s="100">
        <v>8.0605612058186988</v>
      </c>
      <c r="CG28" s="100">
        <v>5948.6941698942001</v>
      </c>
      <c r="CH28" s="100">
        <v>16</v>
      </c>
      <c r="CI28" s="100">
        <v>11808</v>
      </c>
      <c r="CJ28" s="100">
        <v>9.0256361582726328</v>
      </c>
      <c r="CK28" s="100">
        <v>6660.919484805203</v>
      </c>
      <c r="CL28" s="100">
        <v>4.53673636059517</v>
      </c>
      <c r="CM28" s="100">
        <v>3348.1114341192356</v>
      </c>
      <c r="CN28" s="100">
        <v>16</v>
      </c>
      <c r="CO28" s="100">
        <v>11808</v>
      </c>
      <c r="CP28" s="100">
        <v>10.858256564446867</v>
      </c>
      <c r="CQ28" s="100">
        <v>8013.3933445617877</v>
      </c>
      <c r="CR28" s="100">
        <v>4.024718495807436</v>
      </c>
      <c r="CS28" s="100">
        <v>2970.242249905888</v>
      </c>
      <c r="CT28" s="100">
        <v>7.8260321801088981</v>
      </c>
      <c r="CU28" s="100">
        <v>5775.6117489203671</v>
      </c>
    </row>
    <row r="29" spans="2:99">
      <c r="C29" s="99" t="s">
        <v>195</v>
      </c>
      <c r="D29" s="100">
        <v>7.4995575617723675</v>
      </c>
      <c r="E29" s="100">
        <v>2537.8502789037689</v>
      </c>
      <c r="F29" s="100">
        <v>6.0349062500099349</v>
      </c>
      <c r="G29" s="100">
        <v>2042.2122750033618</v>
      </c>
      <c r="H29" s="100">
        <v>5.722377161820785</v>
      </c>
      <c r="I29" s="100">
        <v>1936.4524315601536</v>
      </c>
      <c r="J29" s="100">
        <v>9</v>
      </c>
      <c r="K29" s="100">
        <v>3045.6</v>
      </c>
      <c r="L29" s="100">
        <v>10.700139146789702</v>
      </c>
      <c r="M29" s="100">
        <v>3620.9270872736352</v>
      </c>
      <c r="N29" s="100">
        <v>4.9021429688757241</v>
      </c>
      <c r="O29" s="100">
        <v>1658.885180667545</v>
      </c>
      <c r="P29" s="100">
        <v>6.2848733904269682</v>
      </c>
      <c r="Q29" s="100">
        <v>2126.801155320486</v>
      </c>
      <c r="R29" s="100">
        <v>14</v>
      </c>
      <c r="S29" s="100">
        <v>4737.5999999999995</v>
      </c>
      <c r="T29" s="100">
        <v>12</v>
      </c>
      <c r="U29" s="100">
        <v>4060.7999999999997</v>
      </c>
      <c r="V29" s="100">
        <v>12</v>
      </c>
      <c r="W29" s="100">
        <v>4060.7999999999997</v>
      </c>
      <c r="X29" s="100">
        <v>12.860689056370942</v>
      </c>
      <c r="Y29" s="100">
        <v>4352.0571766759267</v>
      </c>
      <c r="Z29" s="100">
        <v>4.4223528199373332</v>
      </c>
      <c r="AA29" s="100">
        <v>1496.5241942667935</v>
      </c>
      <c r="AB29" s="100">
        <v>14</v>
      </c>
      <c r="AC29" s="100">
        <v>4737.5999999999995</v>
      </c>
      <c r="AD29" s="100">
        <v>5.6908054332970135</v>
      </c>
      <c r="AE29" s="100">
        <v>1925.7685586277091</v>
      </c>
      <c r="AF29" s="100">
        <v>7</v>
      </c>
      <c r="AG29" s="100">
        <v>2368.7999999999997</v>
      </c>
      <c r="AH29" s="100">
        <v>13</v>
      </c>
      <c r="AI29" s="100">
        <v>4399.2</v>
      </c>
      <c r="AJ29" s="100">
        <v>7.8435538674483958</v>
      </c>
      <c r="AK29" s="100">
        <v>2654.258628744537</v>
      </c>
      <c r="AL29" s="100">
        <v>9.0370484454798792</v>
      </c>
      <c r="AM29" s="100">
        <v>3058.1371939503911</v>
      </c>
      <c r="AN29" s="100">
        <v>2.0257230396857167</v>
      </c>
      <c r="AO29" s="100">
        <v>685.5046766296465</v>
      </c>
      <c r="AP29" s="100">
        <v>15</v>
      </c>
      <c r="AQ29" s="100">
        <v>5076</v>
      </c>
      <c r="AR29" s="100">
        <v>12.538707756973407</v>
      </c>
      <c r="AS29" s="100">
        <v>4243.0987049598007</v>
      </c>
      <c r="AT29" s="100">
        <v>10.954721851050424</v>
      </c>
      <c r="AU29" s="100">
        <v>3707.0778743954634</v>
      </c>
      <c r="AV29" s="100">
        <v>2.5704891957764975</v>
      </c>
      <c r="AW29" s="100">
        <v>869.85354385076664</v>
      </c>
      <c r="AX29" s="100">
        <v>14</v>
      </c>
      <c r="AY29" s="100">
        <v>4737.5999999999995</v>
      </c>
      <c r="AZ29" s="100">
        <v>9.3302612294689311</v>
      </c>
      <c r="BA29" s="100">
        <v>3157.360400052286</v>
      </c>
      <c r="BB29" s="100">
        <v>8.9557845638673221</v>
      </c>
      <c r="BC29" s="100">
        <v>3030.6374964127017</v>
      </c>
      <c r="BD29" s="100">
        <v>2.2421724528186431</v>
      </c>
      <c r="BE29" s="100">
        <v>758.7511580338288</v>
      </c>
      <c r="BF29" s="100">
        <v>7.096968187667005</v>
      </c>
      <c r="BG29" s="100">
        <v>2401.6140347065143</v>
      </c>
      <c r="BH29" s="100">
        <v>7.1142544026881671</v>
      </c>
      <c r="BI29" s="100">
        <v>2407.4636898696754</v>
      </c>
      <c r="BJ29" s="100">
        <v>12.967076893183494</v>
      </c>
      <c r="BK29" s="100">
        <v>4388.0588206532939</v>
      </c>
      <c r="BL29" s="100">
        <v>5.7876285646456784</v>
      </c>
      <c r="BM29" s="100">
        <v>1958.5335062760973</v>
      </c>
      <c r="BN29" s="100">
        <v>8.6784354119290903</v>
      </c>
      <c r="BO29" s="100">
        <v>2936.7825433968042</v>
      </c>
      <c r="BP29" s="100">
        <v>12</v>
      </c>
      <c r="BQ29" s="100">
        <v>4060.7999999999997</v>
      </c>
      <c r="BR29" s="100">
        <v>14</v>
      </c>
      <c r="BS29" s="100">
        <v>4737.5999999999995</v>
      </c>
      <c r="BT29" s="100">
        <v>13</v>
      </c>
      <c r="BU29" s="100">
        <v>4399.2</v>
      </c>
      <c r="BV29" s="100">
        <v>8.563684078008329</v>
      </c>
      <c r="BW29" s="100">
        <v>2897.9506919980186</v>
      </c>
      <c r="BX29" s="100">
        <v>6.3614800284530695</v>
      </c>
      <c r="BY29" s="100">
        <v>2152.7248416285188</v>
      </c>
      <c r="BZ29" s="100">
        <v>3.9825902918416749</v>
      </c>
      <c r="CA29" s="100">
        <v>1347.7085547592228</v>
      </c>
      <c r="CB29" s="100">
        <v>6.017903944926994</v>
      </c>
      <c r="CC29" s="100">
        <v>2036.4586949632946</v>
      </c>
      <c r="CD29" s="100">
        <v>5.3158408482008621</v>
      </c>
      <c r="CE29" s="100">
        <v>1798.8805430311716</v>
      </c>
      <c r="CF29" s="100">
        <v>8.597931952873278</v>
      </c>
      <c r="CG29" s="100">
        <v>2909.540172852317</v>
      </c>
      <c r="CH29" s="100">
        <v>17</v>
      </c>
      <c r="CI29" s="100">
        <v>5752.7999999999993</v>
      </c>
      <c r="CJ29" s="100">
        <v>8.9681749542449758</v>
      </c>
      <c r="CK29" s="100">
        <v>3034.8304045164996</v>
      </c>
      <c r="CL29" s="100">
        <v>4.8857160806409512</v>
      </c>
      <c r="CM29" s="100">
        <v>1653.3263216888977</v>
      </c>
      <c r="CN29" s="100">
        <v>16</v>
      </c>
      <c r="CO29" s="100">
        <v>5414.4</v>
      </c>
      <c r="CP29" s="100">
        <v>12.37652992863209</v>
      </c>
      <c r="CQ29" s="100">
        <v>4188.217727849099</v>
      </c>
      <c r="CR29" s="100">
        <v>3.6330183481409941</v>
      </c>
      <c r="CS29" s="100">
        <v>1229.4134090109123</v>
      </c>
      <c r="CT29" s="100">
        <v>8.4825326255803475</v>
      </c>
      <c r="CU29" s="100">
        <v>2870.4890404963894</v>
      </c>
    </row>
    <row r="30" spans="2:99">
      <c r="C30" s="99" t="s">
        <v>196</v>
      </c>
      <c r="D30" s="100">
        <v>6.603603782112339</v>
      </c>
      <c r="E30" s="100">
        <v>919.22164647003751</v>
      </c>
      <c r="F30" s="100">
        <v>6.5190844200187916</v>
      </c>
      <c r="G30" s="100">
        <v>907.45655126661575</v>
      </c>
      <c r="H30" s="100">
        <v>6.6761066887909157</v>
      </c>
      <c r="I30" s="100">
        <v>929.31405107969545</v>
      </c>
      <c r="J30" s="100">
        <v>8</v>
      </c>
      <c r="K30" s="100">
        <v>1113.5999999999999</v>
      </c>
      <c r="L30" s="100">
        <v>10.663289718011297</v>
      </c>
      <c r="M30" s="100">
        <v>1484.3299287471725</v>
      </c>
      <c r="N30" s="100">
        <v>4.4158828945094086</v>
      </c>
      <c r="O30" s="100">
        <v>614.69089891570968</v>
      </c>
      <c r="P30" s="100">
        <v>6.9133607294696651</v>
      </c>
      <c r="Q30" s="100">
        <v>962.33981354217735</v>
      </c>
      <c r="R30" s="100">
        <v>14</v>
      </c>
      <c r="S30" s="100">
        <v>1948.7999999999997</v>
      </c>
      <c r="T30" s="100">
        <v>14</v>
      </c>
      <c r="U30" s="100">
        <v>1948.7999999999997</v>
      </c>
      <c r="V30" s="100">
        <v>13</v>
      </c>
      <c r="W30" s="100">
        <v>1809.6</v>
      </c>
      <c r="X30" s="100">
        <v>12.860689056370942</v>
      </c>
      <c r="Y30" s="100">
        <v>1790.207916646835</v>
      </c>
      <c r="Z30" s="100">
        <v>3.9801175379435998</v>
      </c>
      <c r="AA30" s="100">
        <v>554.03236128174899</v>
      </c>
      <c r="AB30" s="100">
        <v>12</v>
      </c>
      <c r="AC30" s="100">
        <v>1670.3999999999999</v>
      </c>
      <c r="AD30" s="100">
        <v>5.6908054332970135</v>
      </c>
      <c r="AE30" s="100">
        <v>792.16011631494416</v>
      </c>
      <c r="AF30" s="100">
        <v>8</v>
      </c>
      <c r="AG30" s="100">
        <v>1113.5999999999999</v>
      </c>
      <c r="AH30" s="100">
        <v>12</v>
      </c>
      <c r="AI30" s="100">
        <v>1670.3999999999999</v>
      </c>
      <c r="AJ30" s="100">
        <v>8.7150598527204401</v>
      </c>
      <c r="AK30" s="100">
        <v>1213.1363314986852</v>
      </c>
      <c r="AL30" s="100">
        <v>9.0370484454798792</v>
      </c>
      <c r="AM30" s="100">
        <v>1257.957143610799</v>
      </c>
      <c r="AN30" s="100">
        <v>2.2508033774285741</v>
      </c>
      <c r="AO30" s="100">
        <v>313.31183013805747</v>
      </c>
      <c r="AP30" s="100">
        <v>15</v>
      </c>
      <c r="AQ30" s="100">
        <v>2088</v>
      </c>
      <c r="AR30" s="100">
        <v>15.432255700890348</v>
      </c>
      <c r="AS30" s="100">
        <v>2148.1699935639363</v>
      </c>
      <c r="AT30" s="100">
        <v>9.464727309503866</v>
      </c>
      <c r="AU30" s="100">
        <v>1317.4900414829381</v>
      </c>
      <c r="AV30" s="100">
        <v>2.5704891957764975</v>
      </c>
      <c r="AW30" s="100">
        <v>357.81209605208841</v>
      </c>
      <c r="AX30" s="100">
        <v>13</v>
      </c>
      <c r="AY30" s="100">
        <v>1809.6</v>
      </c>
      <c r="AZ30" s="100">
        <v>10.330261229468931</v>
      </c>
      <c r="BA30" s="100">
        <v>1437.972363142075</v>
      </c>
      <c r="BB30" s="100">
        <v>8.9557845638673221</v>
      </c>
      <c r="BC30" s="100">
        <v>1246.6452112903312</v>
      </c>
      <c r="BD30" s="100">
        <v>2.0209034995048558</v>
      </c>
      <c r="BE30" s="100">
        <v>281.30976713107589</v>
      </c>
      <c r="BF30" s="100">
        <v>7.1285430939642547</v>
      </c>
      <c r="BG30" s="100">
        <v>992.29319867982417</v>
      </c>
      <c r="BH30" s="100">
        <v>8.2999634698028615</v>
      </c>
      <c r="BI30" s="100">
        <v>1155.3549149965581</v>
      </c>
      <c r="BJ30" s="100">
        <v>11.238133307425693</v>
      </c>
      <c r="BK30" s="100">
        <v>1564.3481563936564</v>
      </c>
      <c r="BL30" s="100">
        <v>6.2947178326575566</v>
      </c>
      <c r="BM30" s="100">
        <v>876.22472230593178</v>
      </c>
      <c r="BN30" s="100">
        <v>9.4673840857408269</v>
      </c>
      <c r="BO30" s="100">
        <v>1317.859864735123</v>
      </c>
      <c r="BP30" s="100">
        <v>10</v>
      </c>
      <c r="BQ30" s="100">
        <v>1392</v>
      </c>
      <c r="BR30" s="100">
        <v>16</v>
      </c>
      <c r="BS30" s="100">
        <v>2227.1999999999998</v>
      </c>
      <c r="BT30" s="100">
        <v>12</v>
      </c>
      <c r="BU30" s="100">
        <v>1670.3999999999999</v>
      </c>
      <c r="BV30" s="100">
        <v>9.2773244178423582</v>
      </c>
      <c r="BW30" s="100">
        <v>1291.4035589636562</v>
      </c>
      <c r="BX30" s="100">
        <v>7.096929372921708</v>
      </c>
      <c r="BY30" s="100">
        <v>987.89256871070165</v>
      </c>
      <c r="BZ30" s="100">
        <v>3.5523932007904477</v>
      </c>
      <c r="CA30" s="100">
        <v>494.49313355003028</v>
      </c>
      <c r="CB30" s="100">
        <v>6.017903944926994</v>
      </c>
      <c r="CC30" s="100">
        <v>837.69222913383749</v>
      </c>
      <c r="CD30" s="100">
        <v>5.2860101478150741</v>
      </c>
      <c r="CE30" s="100">
        <v>735.81261257585822</v>
      </c>
      <c r="CF30" s="100">
        <v>7.5231904587641187</v>
      </c>
      <c r="CG30" s="100">
        <v>1047.2281118599653</v>
      </c>
      <c r="CH30" s="100">
        <v>18</v>
      </c>
      <c r="CI30" s="100">
        <v>2505.6</v>
      </c>
      <c r="CJ30" s="100">
        <v>10.175423855616504</v>
      </c>
      <c r="CK30" s="100">
        <v>1416.4190007018174</v>
      </c>
      <c r="CL30" s="100">
        <v>5.2346958006867341</v>
      </c>
      <c r="CM30" s="100">
        <v>728.66965545559333</v>
      </c>
      <c r="CN30" s="100">
        <v>15</v>
      </c>
      <c r="CO30" s="100">
        <v>2088</v>
      </c>
      <c r="CP30" s="100">
        <v>13.143478147666764</v>
      </c>
      <c r="CQ30" s="100">
        <v>1829.5721581552134</v>
      </c>
      <c r="CR30" s="100">
        <v>3.6330183481409941</v>
      </c>
      <c r="CS30" s="100">
        <v>505.71615406122635</v>
      </c>
      <c r="CT30" s="100">
        <v>8.4825326255803475</v>
      </c>
      <c r="CU30" s="100">
        <v>1180.7685414807843</v>
      </c>
    </row>
    <row r="31" spans="2:99">
      <c r="C31" s="99" t="s">
        <v>197</v>
      </c>
      <c r="D31" s="100">
        <v>6.1342122261860572</v>
      </c>
      <c r="E31" s="100">
        <v>2090.5395266842083</v>
      </c>
      <c r="F31" s="100">
        <v>6.5118338326025462</v>
      </c>
      <c r="G31" s="100">
        <v>2219.2329701509479</v>
      </c>
      <c r="H31" s="100">
        <v>5.722377161820785</v>
      </c>
      <c r="I31" s="100">
        <v>1950.1861367485235</v>
      </c>
      <c r="J31" s="100">
        <v>9</v>
      </c>
      <c r="K31" s="100">
        <v>3067.2000000000003</v>
      </c>
      <c r="L31" s="100">
        <v>9.6632897180112973</v>
      </c>
      <c r="M31" s="100">
        <v>3293.2491358982502</v>
      </c>
      <c r="N31" s="100">
        <v>4.4356540071156916</v>
      </c>
      <c r="O31" s="100">
        <v>1511.6708856250277</v>
      </c>
      <c r="P31" s="100">
        <v>6.2848733904269682</v>
      </c>
      <c r="Q31" s="100">
        <v>2141.8848514575106</v>
      </c>
      <c r="R31" s="100">
        <v>14</v>
      </c>
      <c r="S31" s="100">
        <v>4771.2</v>
      </c>
      <c r="T31" s="100">
        <v>13</v>
      </c>
      <c r="U31" s="100">
        <v>4430.4000000000005</v>
      </c>
      <c r="V31" s="100">
        <v>12</v>
      </c>
      <c r="W31" s="100">
        <v>4089.6000000000004</v>
      </c>
      <c r="X31" s="100">
        <v>12.860689056370942</v>
      </c>
      <c r="Y31" s="100">
        <v>4382.9228304112175</v>
      </c>
      <c r="Z31" s="100">
        <v>3.9801175379435998</v>
      </c>
      <c r="AA31" s="100">
        <v>1356.4240569311789</v>
      </c>
      <c r="AB31" s="100">
        <v>13</v>
      </c>
      <c r="AC31" s="100">
        <v>4430.4000000000005</v>
      </c>
      <c r="AD31" s="100">
        <v>5.6908054332970135</v>
      </c>
      <c r="AE31" s="100">
        <v>1939.4264916676223</v>
      </c>
      <c r="AF31" s="100">
        <v>8</v>
      </c>
      <c r="AG31" s="100">
        <v>2726.4</v>
      </c>
      <c r="AH31" s="100">
        <v>13</v>
      </c>
      <c r="AI31" s="100">
        <v>4430.4000000000005</v>
      </c>
      <c r="AJ31" s="100">
        <v>6.9720478821763514</v>
      </c>
      <c r="AK31" s="100">
        <v>2376.0739182457005</v>
      </c>
      <c r="AL31" s="100">
        <v>8.3915449850884603</v>
      </c>
      <c r="AM31" s="100">
        <v>2859.8385309181472</v>
      </c>
      <c r="AN31" s="100">
        <v>2.2508033774285741</v>
      </c>
      <c r="AO31" s="100">
        <v>767.0737910276581</v>
      </c>
      <c r="AP31" s="100">
        <v>14</v>
      </c>
      <c r="AQ31" s="100">
        <v>4771.2</v>
      </c>
      <c r="AR31" s="100">
        <v>13.503223738279054</v>
      </c>
      <c r="AS31" s="100">
        <v>4601.8986500055016</v>
      </c>
      <c r="AT31" s="100">
        <v>9.3991323019758024</v>
      </c>
      <c r="AU31" s="100">
        <v>3203.2242885133537</v>
      </c>
      <c r="AV31" s="100">
        <v>2.3727592576398435</v>
      </c>
      <c r="AW31" s="100">
        <v>808.63635500365865</v>
      </c>
      <c r="AX31" s="100">
        <v>12</v>
      </c>
      <c r="AY31" s="100">
        <v>4089.6000000000004</v>
      </c>
      <c r="AZ31" s="100">
        <v>9.3302612294689311</v>
      </c>
      <c r="BA31" s="100">
        <v>3179.753027003012</v>
      </c>
      <c r="BB31" s="100">
        <v>8.9557845638673221</v>
      </c>
      <c r="BC31" s="100">
        <v>3052.1313793659833</v>
      </c>
      <c r="BD31" s="100">
        <v>2.0184465895314583</v>
      </c>
      <c r="BE31" s="100">
        <v>687.88659771232096</v>
      </c>
      <c r="BF31" s="100">
        <v>7.1285430939642547</v>
      </c>
      <c r="BG31" s="100">
        <v>2429.4074864230179</v>
      </c>
      <c r="BH31" s="100">
        <v>7.7071089362455147</v>
      </c>
      <c r="BI31" s="100">
        <v>2626.5827254724713</v>
      </c>
      <c r="BJ31" s="100">
        <v>11.238133307425693</v>
      </c>
      <c r="BK31" s="100">
        <v>3829.9558311706764</v>
      </c>
      <c r="BL31" s="100">
        <v>6.8555622920089521</v>
      </c>
      <c r="BM31" s="100">
        <v>2336.375629116651</v>
      </c>
      <c r="BN31" s="100">
        <v>9.4673840857408269</v>
      </c>
      <c r="BO31" s="100">
        <v>3226.484496420474</v>
      </c>
      <c r="BP31" s="100">
        <v>12</v>
      </c>
      <c r="BQ31" s="100">
        <v>4089.6000000000004</v>
      </c>
      <c r="BR31" s="100">
        <v>14</v>
      </c>
      <c r="BS31" s="100">
        <v>4771.2</v>
      </c>
      <c r="BT31" s="100">
        <v>13</v>
      </c>
      <c r="BU31" s="100">
        <v>4430.4000000000005</v>
      </c>
      <c r="BV31" s="100">
        <v>8.563684078008329</v>
      </c>
      <c r="BW31" s="100">
        <v>2918.5035337852387</v>
      </c>
      <c r="BX31" s="100">
        <v>7.096929372921708</v>
      </c>
      <c r="BY31" s="100">
        <v>2418.6335302917182</v>
      </c>
      <c r="BZ31" s="100">
        <v>3.5339237887270087</v>
      </c>
      <c r="CA31" s="100">
        <v>1204.3612271981647</v>
      </c>
      <c r="CB31" s="100">
        <v>5.9947650251965898</v>
      </c>
      <c r="CC31" s="100">
        <v>2043.0159205869979</v>
      </c>
      <c r="CD31" s="100">
        <v>4.6398758388651133</v>
      </c>
      <c r="CE31" s="100">
        <v>1581.2696858852307</v>
      </c>
      <c r="CF31" s="100">
        <v>8.0605612058186988</v>
      </c>
      <c r="CG31" s="100">
        <v>2747.0392589430126</v>
      </c>
      <c r="CH31" s="100">
        <v>18</v>
      </c>
      <c r="CI31" s="100">
        <v>6134.4000000000005</v>
      </c>
      <c r="CJ31" s="100">
        <v>10.146693253602674</v>
      </c>
      <c r="CK31" s="100">
        <v>3457.9930608277914</v>
      </c>
      <c r="CL31" s="100">
        <v>5.2346958006867341</v>
      </c>
      <c r="CM31" s="100">
        <v>1783.984328874039</v>
      </c>
      <c r="CN31" s="100">
        <v>16</v>
      </c>
      <c r="CO31" s="100">
        <v>5452.8</v>
      </c>
      <c r="CP31" s="100">
        <v>11.507128280713252</v>
      </c>
      <c r="CQ31" s="100">
        <v>3921.6293180670764</v>
      </c>
      <c r="CR31" s="100">
        <v>4.0318996304169712</v>
      </c>
      <c r="CS31" s="100">
        <v>1374.0713940461039</v>
      </c>
      <c r="CT31" s="100">
        <v>9.0870599055033132</v>
      </c>
      <c r="CU31" s="100">
        <v>3096.8700157955291</v>
      </c>
    </row>
    <row r="32" spans="2:99">
      <c r="C32" s="99" t="s">
        <v>198</v>
      </c>
      <c r="D32" s="100">
        <v>6.603603782112339</v>
      </c>
      <c r="E32" s="100">
        <v>5547.0271769743649</v>
      </c>
      <c r="F32" s="100">
        <v>6.5190844200187916</v>
      </c>
      <c r="G32" s="100">
        <v>5476.0309128157851</v>
      </c>
      <c r="H32" s="100">
        <v>6.1992419253058504</v>
      </c>
      <c r="I32" s="100">
        <v>5207.3632172569141</v>
      </c>
      <c r="J32" s="100">
        <v>8</v>
      </c>
      <c r="K32" s="100">
        <v>6720</v>
      </c>
      <c r="L32" s="100">
        <v>9.7001391467897022</v>
      </c>
      <c r="M32" s="100">
        <v>8148.1168833033498</v>
      </c>
      <c r="N32" s="100">
        <v>4.4158828945094086</v>
      </c>
      <c r="O32" s="100">
        <v>3709.3416313879034</v>
      </c>
      <c r="P32" s="100">
        <v>5.6563860513842714</v>
      </c>
      <c r="Q32" s="100">
        <v>4751.3642831627876</v>
      </c>
      <c r="R32" s="100">
        <v>15</v>
      </c>
      <c r="S32" s="100">
        <v>12600</v>
      </c>
      <c r="T32" s="100">
        <v>12</v>
      </c>
      <c r="U32" s="100">
        <v>10080</v>
      </c>
      <c r="V32" s="100">
        <v>12</v>
      </c>
      <c r="W32" s="100">
        <v>10080</v>
      </c>
      <c r="X32" s="100">
        <v>12.860689056370942</v>
      </c>
      <c r="Y32" s="100">
        <v>10802.978807351592</v>
      </c>
      <c r="Z32" s="100">
        <v>3.9801175379435998</v>
      </c>
      <c r="AA32" s="100">
        <v>3343.2987318726236</v>
      </c>
      <c r="AB32" s="100">
        <v>14</v>
      </c>
      <c r="AC32" s="100">
        <v>11760</v>
      </c>
      <c r="AD32" s="100">
        <v>5.1734594848154662</v>
      </c>
      <c r="AE32" s="100">
        <v>4345.7059672449914</v>
      </c>
      <c r="AF32" s="100">
        <v>8</v>
      </c>
      <c r="AG32" s="100">
        <v>6720</v>
      </c>
      <c r="AH32" s="100">
        <v>12</v>
      </c>
      <c r="AI32" s="100">
        <v>10080</v>
      </c>
      <c r="AJ32" s="100">
        <v>8.7150598527204401</v>
      </c>
      <c r="AK32" s="100">
        <v>7320.6502762851696</v>
      </c>
      <c r="AL32" s="100">
        <v>8.3915449850884603</v>
      </c>
      <c r="AM32" s="100">
        <v>7048.8977874743068</v>
      </c>
      <c r="AN32" s="100">
        <v>2.0257230396857167</v>
      </c>
      <c r="AO32" s="100">
        <v>1701.607353336002</v>
      </c>
      <c r="AP32" s="100">
        <v>14</v>
      </c>
      <c r="AQ32" s="100">
        <v>11760</v>
      </c>
      <c r="AR32" s="100">
        <v>14.467739719584701</v>
      </c>
      <c r="AS32" s="100">
        <v>12152.901364451149</v>
      </c>
      <c r="AT32" s="100">
        <v>9.4319298057398324</v>
      </c>
      <c r="AU32" s="100">
        <v>7922.8210368214595</v>
      </c>
      <c r="AV32" s="100">
        <v>2.17502931950319</v>
      </c>
      <c r="AW32" s="100">
        <v>1827.0246283826796</v>
      </c>
      <c r="AX32" s="100">
        <v>12</v>
      </c>
      <c r="AY32" s="100">
        <v>10080</v>
      </c>
      <c r="AZ32" s="100">
        <v>9.2954968895248324</v>
      </c>
      <c r="BA32" s="100">
        <v>7808.2173872008589</v>
      </c>
      <c r="BB32" s="100">
        <v>8.9557845638673221</v>
      </c>
      <c r="BC32" s="100">
        <v>7522.8590336485504</v>
      </c>
      <c r="BD32" s="100">
        <v>1.7996345461910688</v>
      </c>
      <c r="BE32" s="100">
        <v>1511.6930188004978</v>
      </c>
      <c r="BF32" s="100">
        <v>7.0653932813697544</v>
      </c>
      <c r="BG32" s="100">
        <v>5934.9303563505937</v>
      </c>
      <c r="BH32" s="100">
        <v>8.2999634698028615</v>
      </c>
      <c r="BI32" s="100">
        <v>6971.9693146344034</v>
      </c>
      <c r="BJ32" s="100">
        <v>11.238133307425693</v>
      </c>
      <c r="BK32" s="100">
        <v>9440.0319782375827</v>
      </c>
      <c r="BL32" s="100">
        <v>5.8055469617588509</v>
      </c>
      <c r="BM32" s="100">
        <v>4876.659447877435</v>
      </c>
      <c r="BN32" s="100">
        <v>8.6784354119290903</v>
      </c>
      <c r="BO32" s="100">
        <v>7289.8857460204363</v>
      </c>
      <c r="BP32" s="100">
        <v>10</v>
      </c>
      <c r="BQ32" s="100">
        <v>8400</v>
      </c>
      <c r="BR32" s="100">
        <v>15</v>
      </c>
      <c r="BS32" s="100">
        <v>12600</v>
      </c>
      <c r="BT32" s="100">
        <v>12</v>
      </c>
      <c r="BU32" s="100">
        <v>10080</v>
      </c>
      <c r="BV32" s="100">
        <v>9.2773244178423582</v>
      </c>
      <c r="BW32" s="100">
        <v>7792.9525109875813</v>
      </c>
      <c r="BX32" s="100">
        <v>5.6260306839844301</v>
      </c>
      <c r="BY32" s="100">
        <v>4725.8657745469209</v>
      </c>
      <c r="BZ32" s="100">
        <v>3.5523932007904477</v>
      </c>
      <c r="CA32" s="100">
        <v>2984.0102886639761</v>
      </c>
      <c r="CB32" s="100">
        <v>5.9716261054661848</v>
      </c>
      <c r="CC32" s="100">
        <v>5016.1659285915948</v>
      </c>
      <c r="CD32" s="100">
        <v>4.9704006684365405</v>
      </c>
      <c r="CE32" s="100">
        <v>4175.1365614866936</v>
      </c>
      <c r="CF32" s="100">
        <v>7.5231904587641187</v>
      </c>
      <c r="CG32" s="100">
        <v>6319.4799853618597</v>
      </c>
      <c r="CH32" s="100">
        <v>16</v>
      </c>
      <c r="CI32" s="100">
        <v>13440</v>
      </c>
      <c r="CJ32" s="100">
        <v>8.9969055562588025</v>
      </c>
      <c r="CK32" s="100">
        <v>7557.4006672573942</v>
      </c>
      <c r="CL32" s="100">
        <v>5.2346958006867341</v>
      </c>
      <c r="CM32" s="100">
        <v>4397.144472576857</v>
      </c>
      <c r="CN32" s="100">
        <v>14</v>
      </c>
      <c r="CO32" s="100">
        <v>11760</v>
      </c>
      <c r="CP32" s="100">
        <v>12.274076499747924</v>
      </c>
      <c r="CQ32" s="100">
        <v>10310.224259788256</v>
      </c>
      <c r="CR32" s="100">
        <v>3.6401994827505288</v>
      </c>
      <c r="CS32" s="100">
        <v>3057.7675655104445</v>
      </c>
      <c r="CT32" s="100">
        <v>9.0870599055033132</v>
      </c>
      <c r="CU32" s="100">
        <v>7633.1303206227831</v>
      </c>
    </row>
    <row r="33" spans="2:99">
      <c r="C33" s="99" t="s">
        <v>199</v>
      </c>
      <c r="D33" s="100">
        <v>7.5102648948204997</v>
      </c>
      <c r="E33" s="100">
        <v>3559.8655601449168</v>
      </c>
      <c r="F33" s="100">
        <v>6.5263350074350388</v>
      </c>
      <c r="G33" s="100">
        <v>3093.4827935242083</v>
      </c>
      <c r="H33" s="100">
        <v>5.722377161820785</v>
      </c>
      <c r="I33" s="100">
        <v>2712.4067747030522</v>
      </c>
      <c r="J33" s="100">
        <v>9</v>
      </c>
      <c r="K33" s="100">
        <v>4266</v>
      </c>
      <c r="L33" s="100">
        <v>10.626440289232892</v>
      </c>
      <c r="M33" s="100">
        <v>5036.9326970963912</v>
      </c>
      <c r="N33" s="100">
        <v>4.9021429688757241</v>
      </c>
      <c r="O33" s="100">
        <v>2323.6157672470931</v>
      </c>
      <c r="P33" s="100">
        <v>6.9133607294696651</v>
      </c>
      <c r="Q33" s="100">
        <v>3276.9329857686212</v>
      </c>
      <c r="R33" s="100">
        <v>14</v>
      </c>
      <c r="S33" s="100">
        <v>6636</v>
      </c>
      <c r="T33" s="100">
        <v>13</v>
      </c>
      <c r="U33" s="100">
        <v>6162</v>
      </c>
      <c r="V33" s="100">
        <v>11</v>
      </c>
      <c r="W33" s="100">
        <v>5214</v>
      </c>
      <c r="X33" s="100">
        <v>14.839256603504934</v>
      </c>
      <c r="Y33" s="100">
        <v>7033.8076300613384</v>
      </c>
      <c r="Z33" s="100">
        <v>3.9801175379435998</v>
      </c>
      <c r="AA33" s="100">
        <v>1886.5757129852664</v>
      </c>
      <c r="AB33" s="100">
        <v>12</v>
      </c>
      <c r="AC33" s="100">
        <v>5688</v>
      </c>
      <c r="AD33" s="100">
        <v>5.1734594848154662</v>
      </c>
      <c r="AE33" s="100">
        <v>2452.2197958025308</v>
      </c>
      <c r="AF33" s="100">
        <v>8</v>
      </c>
      <c r="AG33" s="100">
        <v>3792</v>
      </c>
      <c r="AH33" s="100">
        <v>13</v>
      </c>
      <c r="AI33" s="100">
        <v>6162</v>
      </c>
      <c r="AJ33" s="100">
        <v>7.8435538674483958</v>
      </c>
      <c r="AK33" s="100">
        <v>3717.8445331705398</v>
      </c>
      <c r="AL33" s="100">
        <v>9.6825519058712999</v>
      </c>
      <c r="AM33" s="100">
        <v>4589.5296033829964</v>
      </c>
      <c r="AN33" s="100">
        <v>2.0257230396857167</v>
      </c>
      <c r="AO33" s="100">
        <v>960.19272081102974</v>
      </c>
      <c r="AP33" s="100">
        <v>14</v>
      </c>
      <c r="AQ33" s="100">
        <v>6636</v>
      </c>
      <c r="AR33" s="100">
        <v>13.503223738279054</v>
      </c>
      <c r="AS33" s="100">
        <v>6400.5280519442713</v>
      </c>
      <c r="AT33" s="100">
        <v>9.3663347982117688</v>
      </c>
      <c r="AU33" s="100">
        <v>4439.6426943523784</v>
      </c>
      <c r="AV33" s="100">
        <v>2.17502931950319</v>
      </c>
      <c r="AW33" s="100">
        <v>1030.963897444512</v>
      </c>
      <c r="AX33" s="100">
        <v>14</v>
      </c>
      <c r="AY33" s="100">
        <v>6636</v>
      </c>
      <c r="AZ33" s="100">
        <v>9.2954968895248324</v>
      </c>
      <c r="BA33" s="100">
        <v>4406.0655256347709</v>
      </c>
      <c r="BB33" s="100">
        <v>8.9557845638673221</v>
      </c>
      <c r="BC33" s="100">
        <v>4245.0418832731111</v>
      </c>
      <c r="BD33" s="100">
        <v>1.7996345461910688</v>
      </c>
      <c r="BE33" s="100">
        <v>853.02677489456664</v>
      </c>
      <c r="BF33" s="100">
        <v>7.0653932813697544</v>
      </c>
      <c r="BG33" s="100">
        <v>3348.9964153692636</v>
      </c>
      <c r="BH33" s="100">
        <v>8.2999634698028615</v>
      </c>
      <c r="BI33" s="100">
        <v>3934.1826846865565</v>
      </c>
      <c r="BJ33" s="100">
        <v>11.238133307425693</v>
      </c>
      <c r="BK33" s="100">
        <v>5326.8751877197783</v>
      </c>
      <c r="BL33" s="100">
        <v>5.7697101675325051</v>
      </c>
      <c r="BM33" s="100">
        <v>2734.8426194104072</v>
      </c>
      <c r="BN33" s="100">
        <v>7.8894867381173555</v>
      </c>
      <c r="BO33" s="100">
        <v>3739.6167138676265</v>
      </c>
      <c r="BP33" s="100">
        <v>11</v>
      </c>
      <c r="BQ33" s="100">
        <v>5214</v>
      </c>
      <c r="BR33" s="100">
        <v>14</v>
      </c>
      <c r="BS33" s="100">
        <v>6636</v>
      </c>
      <c r="BT33" s="100">
        <v>12</v>
      </c>
      <c r="BU33" s="100">
        <v>5688</v>
      </c>
      <c r="BV33" s="100">
        <v>8.563684078008329</v>
      </c>
      <c r="BW33" s="100">
        <v>4059.1862529759478</v>
      </c>
      <c r="BX33" s="100">
        <v>7.0234085617364856</v>
      </c>
      <c r="BY33" s="100">
        <v>3329.0956582630943</v>
      </c>
      <c r="BZ33" s="100">
        <v>3.5339237887270087</v>
      </c>
      <c r="CA33" s="100">
        <v>1675.079875856602</v>
      </c>
      <c r="CB33" s="100">
        <v>6.4480509378354958</v>
      </c>
      <c r="CC33" s="100">
        <v>3056.3761445340251</v>
      </c>
      <c r="CD33" s="100">
        <v>4.9704006684365405</v>
      </c>
      <c r="CE33" s="100">
        <v>2355.9699168389202</v>
      </c>
      <c r="CF33" s="100">
        <v>8.0605612058186988</v>
      </c>
      <c r="CG33" s="100">
        <v>3820.7060115580634</v>
      </c>
      <c r="CH33" s="100">
        <v>15</v>
      </c>
      <c r="CI33" s="100">
        <v>7110</v>
      </c>
      <c r="CJ33" s="100">
        <v>9.0256361582726328</v>
      </c>
      <c r="CK33" s="100">
        <v>4278.151539021228</v>
      </c>
      <c r="CL33" s="100">
        <v>5.5836755207325162</v>
      </c>
      <c r="CM33" s="100">
        <v>2646.6621968272125</v>
      </c>
      <c r="CN33" s="100">
        <v>15</v>
      </c>
      <c r="CO33" s="100">
        <v>7110</v>
      </c>
      <c r="CP33" s="100">
        <v>11.507128280713252</v>
      </c>
      <c r="CQ33" s="100">
        <v>5454.3788050580815</v>
      </c>
      <c r="CR33" s="100">
        <v>3.6330183481409941</v>
      </c>
      <c r="CS33" s="100">
        <v>1722.0506970188312</v>
      </c>
      <c r="CT33" s="100">
        <v>8.4652082370641875</v>
      </c>
      <c r="CU33" s="100">
        <v>4012.5087043684248</v>
      </c>
    </row>
    <row r="34" spans="2:99">
      <c r="C34" s="99" t="s">
        <v>200</v>
      </c>
      <c r="D34" s="100">
        <v>6.6143111151604721</v>
      </c>
      <c r="E34" s="100">
        <v>3627.2882155540028</v>
      </c>
      <c r="F34" s="100">
        <v>6.5190844200187916</v>
      </c>
      <c r="G34" s="100">
        <v>3575.0658959383054</v>
      </c>
      <c r="H34" s="100">
        <v>6.6761066887909157</v>
      </c>
      <c r="I34" s="100">
        <v>3661.176908132938</v>
      </c>
      <c r="J34" s="100">
        <v>8</v>
      </c>
      <c r="K34" s="100">
        <v>4387.2</v>
      </c>
      <c r="L34" s="100">
        <v>10.700139146789702</v>
      </c>
      <c r="M34" s="100">
        <v>5867.9563080994722</v>
      </c>
      <c r="N34" s="100">
        <v>4.4158828945094086</v>
      </c>
      <c r="O34" s="100">
        <v>2421.6701793489597</v>
      </c>
      <c r="P34" s="100">
        <v>6.9133607294696651</v>
      </c>
      <c r="Q34" s="100">
        <v>3791.2870240411644</v>
      </c>
      <c r="R34" s="100">
        <v>13</v>
      </c>
      <c r="S34" s="100">
        <v>7129.2</v>
      </c>
      <c r="T34" s="100">
        <v>13</v>
      </c>
      <c r="U34" s="100">
        <v>7129.2</v>
      </c>
      <c r="V34" s="100">
        <v>12</v>
      </c>
      <c r="W34" s="100">
        <v>6580.7999999999993</v>
      </c>
      <c r="X34" s="100">
        <v>12.860689056370942</v>
      </c>
      <c r="Y34" s="100">
        <v>7052.8018785138247</v>
      </c>
      <c r="Z34" s="100">
        <v>4.4223528199373332</v>
      </c>
      <c r="AA34" s="100">
        <v>2425.2182864536335</v>
      </c>
      <c r="AB34" s="100">
        <v>13</v>
      </c>
      <c r="AC34" s="100">
        <v>7129.2</v>
      </c>
      <c r="AD34" s="100">
        <v>5.6908054332970135</v>
      </c>
      <c r="AE34" s="100">
        <v>3120.8376996200823</v>
      </c>
      <c r="AF34" s="100">
        <v>8</v>
      </c>
      <c r="AG34" s="100">
        <v>4387.2</v>
      </c>
      <c r="AH34" s="100">
        <v>12</v>
      </c>
      <c r="AI34" s="100">
        <v>6580.7999999999993</v>
      </c>
      <c r="AJ34" s="100">
        <v>7.8435538674483958</v>
      </c>
      <c r="AK34" s="100">
        <v>4301.4049409087002</v>
      </c>
      <c r="AL34" s="100">
        <v>9.0370484454798792</v>
      </c>
      <c r="AM34" s="100">
        <v>4955.9173675011652</v>
      </c>
      <c r="AN34" s="100">
        <v>2.0257230396857167</v>
      </c>
      <c r="AO34" s="100">
        <v>1110.9065149636469</v>
      </c>
      <c r="AP34" s="100">
        <v>15</v>
      </c>
      <c r="AQ34" s="100">
        <v>8226</v>
      </c>
      <c r="AR34" s="100">
        <v>12.538707756973407</v>
      </c>
      <c r="AS34" s="100">
        <v>6876.2273339242165</v>
      </c>
      <c r="AT34" s="100">
        <v>10.92192434728639</v>
      </c>
      <c r="AU34" s="100">
        <v>5989.5833120518564</v>
      </c>
      <c r="AV34" s="100">
        <v>2.3727592576398435</v>
      </c>
      <c r="AW34" s="100">
        <v>1301.2211768896902</v>
      </c>
      <c r="AX34" s="100">
        <v>13</v>
      </c>
      <c r="AY34" s="100">
        <v>7129.2</v>
      </c>
      <c r="AZ34" s="100">
        <v>9.278114719552784</v>
      </c>
      <c r="BA34" s="100">
        <v>5088.1181122027465</v>
      </c>
      <c r="BB34" s="100">
        <v>9.7699467969461704</v>
      </c>
      <c r="BC34" s="100">
        <v>5357.8388234452796</v>
      </c>
      <c r="BD34" s="100">
        <v>2.0209034995048558</v>
      </c>
      <c r="BE34" s="100">
        <v>1108.2634791284629</v>
      </c>
      <c r="BF34" s="100">
        <v>7.1285430939642547</v>
      </c>
      <c r="BG34" s="100">
        <v>3909.2930327299973</v>
      </c>
      <c r="BH34" s="100">
        <v>7.7071089362455147</v>
      </c>
      <c r="BI34" s="100">
        <v>4226.5785406370405</v>
      </c>
      <c r="BJ34" s="100">
        <v>12.102605100304595</v>
      </c>
      <c r="BK34" s="100">
        <v>6637.0686370070398</v>
      </c>
      <c r="BL34" s="100">
        <v>5.7876285646456784</v>
      </c>
      <c r="BM34" s="100">
        <v>3173.93550485169</v>
      </c>
      <c r="BN34" s="100">
        <v>8.6784354119290903</v>
      </c>
      <c r="BO34" s="100">
        <v>4759.2539799019132</v>
      </c>
      <c r="BP34" s="100">
        <v>10</v>
      </c>
      <c r="BQ34" s="100">
        <v>5484</v>
      </c>
      <c r="BR34" s="100">
        <v>13</v>
      </c>
      <c r="BS34" s="100">
        <v>7129.2</v>
      </c>
      <c r="BT34" s="100">
        <v>13</v>
      </c>
      <c r="BU34" s="100">
        <v>7129.2</v>
      </c>
      <c r="BV34" s="100">
        <v>9.2773244178423582</v>
      </c>
      <c r="BW34" s="100">
        <v>5087.6847107447493</v>
      </c>
      <c r="BX34" s="100">
        <v>6.2879592172678453</v>
      </c>
      <c r="BY34" s="100">
        <v>3448.3168347496862</v>
      </c>
      <c r="BZ34" s="100">
        <v>3.5523932007904477</v>
      </c>
      <c r="CA34" s="100">
        <v>1948.1324313134814</v>
      </c>
      <c r="CB34" s="100">
        <v>5.9947650251965898</v>
      </c>
      <c r="CC34" s="100">
        <v>3287.5291398178097</v>
      </c>
      <c r="CD34" s="100">
        <v>5.661281027965182</v>
      </c>
      <c r="CE34" s="100">
        <v>3104.6465157361058</v>
      </c>
      <c r="CF34" s="100">
        <v>8.0605612058186988</v>
      </c>
      <c r="CG34" s="100">
        <v>4420.4117652709747</v>
      </c>
      <c r="CH34" s="100">
        <v>17</v>
      </c>
      <c r="CI34" s="100">
        <v>9322.7999999999993</v>
      </c>
      <c r="CJ34" s="100">
        <v>9.5430688029169097</v>
      </c>
      <c r="CK34" s="100">
        <v>5233.4189315196327</v>
      </c>
      <c r="CL34" s="100">
        <v>5.2346958006867341</v>
      </c>
      <c r="CM34" s="100">
        <v>2870.7071770966049</v>
      </c>
      <c r="CN34" s="100">
        <v>15</v>
      </c>
      <c r="CO34" s="100">
        <v>8226</v>
      </c>
      <c r="CP34" s="100">
        <v>13.211780433589542</v>
      </c>
      <c r="CQ34" s="100">
        <v>7245.3403897805047</v>
      </c>
      <c r="CR34" s="100">
        <v>3.6473806173600636</v>
      </c>
      <c r="CS34" s="100">
        <v>2000.2235305602587</v>
      </c>
      <c r="CT34" s="100">
        <v>9.0697355169871514</v>
      </c>
      <c r="CU34" s="100">
        <v>4973.8429575157534</v>
      </c>
    </row>
    <row r="35" spans="2:99">
      <c r="C35" s="99" t="s">
        <v>201</v>
      </c>
      <c r="D35" s="100">
        <v>7.0729953380386199</v>
      </c>
      <c r="E35" s="100">
        <v>3556.3020559658175</v>
      </c>
      <c r="F35" s="100">
        <v>6.5118338326025462</v>
      </c>
      <c r="G35" s="100">
        <v>3274.1500510325595</v>
      </c>
      <c r="H35" s="100">
        <v>5.722377161820785</v>
      </c>
      <c r="I35" s="100">
        <v>2877.2112369634901</v>
      </c>
      <c r="J35" s="100">
        <v>8</v>
      </c>
      <c r="K35" s="100">
        <v>4022.3999999999992</v>
      </c>
      <c r="L35" s="100">
        <v>10.589590860454486</v>
      </c>
      <c r="M35" s="100">
        <v>5324.4462846365141</v>
      </c>
      <c r="N35" s="100">
        <v>4.882371856269442</v>
      </c>
      <c r="O35" s="100">
        <v>2454.8565693322748</v>
      </c>
      <c r="P35" s="100">
        <v>6.9133607294696651</v>
      </c>
      <c r="Q35" s="100">
        <v>3476.0377747773468</v>
      </c>
      <c r="R35" s="100">
        <v>13</v>
      </c>
      <c r="S35" s="100">
        <v>6536.3999999999987</v>
      </c>
      <c r="T35" s="100">
        <v>14</v>
      </c>
      <c r="U35" s="100">
        <v>7039.1999999999989</v>
      </c>
      <c r="V35" s="100">
        <v>13</v>
      </c>
      <c r="W35" s="100">
        <v>6536.3999999999987</v>
      </c>
      <c r="X35" s="100">
        <v>12.860689056370942</v>
      </c>
      <c r="Y35" s="100">
        <v>6466.3544575433089</v>
      </c>
      <c r="Z35" s="100">
        <v>3.5378822559498673</v>
      </c>
      <c r="AA35" s="100">
        <v>1778.8471982915928</v>
      </c>
      <c r="AB35" s="100">
        <v>14</v>
      </c>
      <c r="AC35" s="100">
        <v>7039.1999999999989</v>
      </c>
      <c r="AD35" s="100">
        <v>4.6561135363339199</v>
      </c>
      <c r="AE35" s="100">
        <v>2341.0938860686942</v>
      </c>
      <c r="AF35" s="100">
        <v>7</v>
      </c>
      <c r="AG35" s="100">
        <v>3519.5999999999995</v>
      </c>
      <c r="AH35" s="100">
        <v>12</v>
      </c>
      <c r="AI35" s="100">
        <v>6033.5999999999985</v>
      </c>
      <c r="AJ35" s="100">
        <v>8.7150598527204401</v>
      </c>
      <c r="AK35" s="100">
        <v>4381.9320939478366</v>
      </c>
      <c r="AL35" s="100">
        <v>8.3915449850884603</v>
      </c>
      <c r="AM35" s="100">
        <v>4219.2688185024772</v>
      </c>
      <c r="AN35" s="100">
        <v>2.0257230396857167</v>
      </c>
      <c r="AO35" s="100">
        <v>1018.5335443539781</v>
      </c>
      <c r="AP35" s="100">
        <v>15</v>
      </c>
      <c r="AQ35" s="100">
        <v>7541.9999999999982</v>
      </c>
      <c r="AR35" s="100">
        <v>14.467739719584701</v>
      </c>
      <c r="AS35" s="100">
        <v>7274.3795310071864</v>
      </c>
      <c r="AT35" s="100">
        <v>9.3663347982117688</v>
      </c>
      <c r="AU35" s="100">
        <v>4709.3931365408762</v>
      </c>
      <c r="AV35" s="100">
        <v>2.17502931950319</v>
      </c>
      <c r="AW35" s="100">
        <v>1093.6047418462038</v>
      </c>
      <c r="AX35" s="100">
        <v>12</v>
      </c>
      <c r="AY35" s="100">
        <v>6033.5999999999985</v>
      </c>
      <c r="AZ35" s="100">
        <v>9.3302612294689311</v>
      </c>
      <c r="BA35" s="100">
        <v>4691.2553461769776</v>
      </c>
      <c r="BB35" s="100">
        <v>9.7699467969461704</v>
      </c>
      <c r="BC35" s="100">
        <v>4912.3292495045334</v>
      </c>
      <c r="BD35" s="100">
        <v>1.7996345461910688</v>
      </c>
      <c r="BE35" s="100">
        <v>904.85624982486922</v>
      </c>
      <c r="BF35" s="100">
        <v>7.0653932813697544</v>
      </c>
      <c r="BG35" s="100">
        <v>3552.4797418727117</v>
      </c>
      <c r="BH35" s="100">
        <v>7.1142544026881671</v>
      </c>
      <c r="BI35" s="100">
        <v>3577.0471136716096</v>
      </c>
      <c r="BJ35" s="100">
        <v>11.238133307425693</v>
      </c>
      <c r="BK35" s="100">
        <v>5650.5334269736377</v>
      </c>
      <c r="BL35" s="100">
        <v>6.312636229770729</v>
      </c>
      <c r="BM35" s="100">
        <v>3173.9934963287219</v>
      </c>
      <c r="BN35" s="100">
        <v>7.8894867381173555</v>
      </c>
      <c r="BO35" s="100">
        <v>3966.8339319254055</v>
      </c>
      <c r="BP35" s="100">
        <v>10</v>
      </c>
      <c r="BQ35" s="100">
        <v>5027.9999999999991</v>
      </c>
      <c r="BR35" s="100">
        <v>15</v>
      </c>
      <c r="BS35" s="100">
        <v>7541.9999999999982</v>
      </c>
      <c r="BT35" s="100">
        <v>12</v>
      </c>
      <c r="BU35" s="100">
        <v>6033.5999999999985</v>
      </c>
      <c r="BV35" s="100">
        <v>9.2773244178423582</v>
      </c>
      <c r="BW35" s="100">
        <v>4664.6387172911363</v>
      </c>
      <c r="BX35" s="100">
        <v>6.3247196228604583</v>
      </c>
      <c r="BY35" s="100">
        <v>3180.0690263742376</v>
      </c>
      <c r="BZ35" s="100">
        <v>3.5523932007904477</v>
      </c>
      <c r="CA35" s="100">
        <v>1786.1433013574367</v>
      </c>
      <c r="CB35" s="100">
        <v>5.9716261054661848</v>
      </c>
      <c r="CC35" s="100">
        <v>3002.533605828397</v>
      </c>
      <c r="CD35" s="100">
        <v>5.6165349773865012</v>
      </c>
      <c r="CE35" s="100">
        <v>2823.9937866299324</v>
      </c>
      <c r="CF35" s="100">
        <v>7.5231904587641187</v>
      </c>
      <c r="CG35" s="100">
        <v>3782.6601626665984</v>
      </c>
      <c r="CH35" s="100">
        <v>15</v>
      </c>
      <c r="CI35" s="100">
        <v>7541.9999999999982</v>
      </c>
      <c r="CJ35" s="100">
        <v>8.9681749542449758</v>
      </c>
      <c r="CK35" s="100">
        <v>4509.1983669943729</v>
      </c>
      <c r="CL35" s="100">
        <v>5.2346958006867341</v>
      </c>
      <c r="CM35" s="100">
        <v>2632.0050485852894</v>
      </c>
      <c r="CN35" s="100">
        <v>16</v>
      </c>
      <c r="CO35" s="100">
        <v>8044.7999999999984</v>
      </c>
      <c r="CP35" s="100">
        <v>11.54127942367464</v>
      </c>
      <c r="CQ35" s="100">
        <v>5802.9552942236078</v>
      </c>
      <c r="CR35" s="100">
        <v>3.6330183481409941</v>
      </c>
      <c r="CS35" s="100">
        <v>1826.6816254452915</v>
      </c>
      <c r="CT35" s="100">
        <v>7.7913834030765772</v>
      </c>
      <c r="CU35" s="100">
        <v>3917.5075750669021</v>
      </c>
    </row>
    <row r="36" spans="2:99">
      <c r="C36" s="99" t="s">
        <v>202</v>
      </c>
      <c r="D36" s="100">
        <v>6.592896449064205</v>
      </c>
      <c r="E36" s="100">
        <v>5015.8756184480471</v>
      </c>
      <c r="F36" s="100">
        <v>6.0349062500099349</v>
      </c>
      <c r="G36" s="100">
        <v>4591.3566750075579</v>
      </c>
      <c r="H36" s="100">
        <v>5.722377161820785</v>
      </c>
      <c r="I36" s="100">
        <v>4353.5845447132533</v>
      </c>
      <c r="J36" s="100">
        <v>9</v>
      </c>
      <c r="K36" s="100">
        <v>6847.2</v>
      </c>
      <c r="L36" s="100">
        <v>9</v>
      </c>
      <c r="M36" s="100">
        <v>6847.2</v>
      </c>
      <c r="N36" s="100">
        <v>4.9021429688757241</v>
      </c>
      <c r="O36" s="100">
        <v>3729.5503707206508</v>
      </c>
      <c r="P36" s="100">
        <v>5.6563860513842714</v>
      </c>
      <c r="Q36" s="100">
        <v>4303.3785078931533</v>
      </c>
      <c r="R36" s="100">
        <v>15</v>
      </c>
      <c r="S36" s="100">
        <v>11412</v>
      </c>
      <c r="T36" s="100">
        <v>14</v>
      </c>
      <c r="U36" s="100">
        <v>10651.199999999999</v>
      </c>
      <c r="V36" s="100">
        <v>12</v>
      </c>
      <c r="W36" s="100">
        <v>9129.5999999999985</v>
      </c>
      <c r="X36" s="100">
        <v>14.839256603504934</v>
      </c>
      <c r="Y36" s="100">
        <v>11289.706423946553</v>
      </c>
      <c r="Z36" s="100">
        <v>3.9801175379435998</v>
      </c>
      <c r="AA36" s="100">
        <v>3028.0734228674905</v>
      </c>
      <c r="AB36" s="100">
        <v>13</v>
      </c>
      <c r="AC36" s="100">
        <v>9890.4</v>
      </c>
      <c r="AD36" s="100">
        <v>4.6561135363339199</v>
      </c>
      <c r="AE36" s="100">
        <v>3542.371178442846</v>
      </c>
      <c r="AF36" s="100">
        <v>8</v>
      </c>
      <c r="AG36" s="100">
        <v>6086.4</v>
      </c>
      <c r="AH36" s="100">
        <v>12</v>
      </c>
      <c r="AI36" s="100">
        <v>9129.5999999999985</v>
      </c>
      <c r="AJ36" s="100">
        <v>8.7150598527204401</v>
      </c>
      <c r="AK36" s="100">
        <v>6630.4175359497103</v>
      </c>
      <c r="AL36" s="100">
        <v>8.3915449850884603</v>
      </c>
      <c r="AM36" s="100">
        <v>6384.2874246553001</v>
      </c>
      <c r="AN36" s="100">
        <v>2.0257230396857167</v>
      </c>
      <c r="AO36" s="100">
        <v>1541.1700885928931</v>
      </c>
      <c r="AP36" s="100">
        <v>13</v>
      </c>
      <c r="AQ36" s="100">
        <v>9890.4</v>
      </c>
      <c r="AR36" s="100">
        <v>11.57419177566776</v>
      </c>
      <c r="AS36" s="100">
        <v>8805.6451029280306</v>
      </c>
      <c r="AT36" s="100">
        <v>8.6377362793205066</v>
      </c>
      <c r="AU36" s="100">
        <v>6571.589761307041</v>
      </c>
      <c r="AV36" s="100">
        <v>2.3727592576398435</v>
      </c>
      <c r="AW36" s="100">
        <v>1805.1952432123928</v>
      </c>
      <c r="AX36" s="100">
        <v>12</v>
      </c>
      <c r="AY36" s="100">
        <v>9129.5999999999985</v>
      </c>
      <c r="AZ36" s="100">
        <v>8</v>
      </c>
      <c r="BA36" s="100">
        <v>6086.4</v>
      </c>
      <c r="BB36" s="100">
        <v>9.7699467969461704</v>
      </c>
      <c r="BC36" s="100">
        <v>7432.9755231166464</v>
      </c>
      <c r="BD36" s="100">
        <v>1.7996345461910688</v>
      </c>
      <c r="BE36" s="100">
        <v>1369.1619627421651</v>
      </c>
      <c r="BF36" s="100">
        <v>7.8539453022216446</v>
      </c>
      <c r="BG36" s="100">
        <v>5975.2815859302273</v>
      </c>
      <c r="BH36" s="100">
        <v>7.1142544026881671</v>
      </c>
      <c r="BI36" s="100">
        <v>5412.5247495651574</v>
      </c>
      <c r="BJ36" s="100">
        <v>11.238133307425693</v>
      </c>
      <c r="BK36" s="100">
        <v>8549.9718202894674</v>
      </c>
      <c r="BL36" s="100">
        <v>6.3305546268839015</v>
      </c>
      <c r="BM36" s="100">
        <v>4816.2859601332721</v>
      </c>
      <c r="BN36" s="100">
        <v>7.8894867381173555</v>
      </c>
      <c r="BO36" s="100">
        <v>6002.321510359684</v>
      </c>
      <c r="BP36" s="100">
        <v>10</v>
      </c>
      <c r="BQ36" s="100">
        <v>7608</v>
      </c>
      <c r="BR36" s="100">
        <v>13</v>
      </c>
      <c r="BS36" s="100">
        <v>9890.4</v>
      </c>
      <c r="BT36" s="100">
        <v>12</v>
      </c>
      <c r="BU36" s="100">
        <v>9129.5999999999985</v>
      </c>
      <c r="BV36" s="100">
        <v>8.563684078008329</v>
      </c>
      <c r="BW36" s="100">
        <v>6515.2508465487363</v>
      </c>
      <c r="BX36" s="100">
        <v>6.3247196228604583</v>
      </c>
      <c r="BY36" s="100">
        <v>4811.8466890722366</v>
      </c>
      <c r="BZ36" s="100">
        <v>3.5523932007904477</v>
      </c>
      <c r="CA36" s="100">
        <v>2702.6607471613725</v>
      </c>
      <c r="CB36" s="100">
        <v>6.017903944926994</v>
      </c>
      <c r="CC36" s="100">
        <v>4578.4213213004568</v>
      </c>
      <c r="CD36" s="100">
        <v>4.9554853182436469</v>
      </c>
      <c r="CE36" s="100">
        <v>3770.1332301197663</v>
      </c>
      <c r="CF36" s="100">
        <v>8.597931952873278</v>
      </c>
      <c r="CG36" s="100">
        <v>6541.30662974599</v>
      </c>
      <c r="CH36" s="100">
        <v>16</v>
      </c>
      <c r="CI36" s="100">
        <v>12172.8</v>
      </c>
      <c r="CJ36" s="100">
        <v>8.9969055562588025</v>
      </c>
      <c r="CK36" s="100">
        <v>6844.8457472016962</v>
      </c>
      <c r="CL36" s="100">
        <v>5.5836755207325162</v>
      </c>
      <c r="CM36" s="100">
        <v>4248.0603361732983</v>
      </c>
      <c r="CN36" s="100">
        <v>13</v>
      </c>
      <c r="CO36" s="100">
        <v>9890.4</v>
      </c>
      <c r="CP36" s="100">
        <v>11.507128280713252</v>
      </c>
      <c r="CQ36" s="100">
        <v>8754.623195966642</v>
      </c>
      <c r="CR36" s="100">
        <v>3.6401994827505288</v>
      </c>
      <c r="CS36" s="100">
        <v>2769.4637664766024</v>
      </c>
      <c r="CT36" s="100">
        <v>8.4132350715157038</v>
      </c>
      <c r="CU36" s="100">
        <v>6400.7892424091469</v>
      </c>
    </row>
    <row r="37" spans="2:99">
      <c r="B37" s="99" t="s">
        <v>128</v>
      </c>
      <c r="C37" s="99" t="s">
        <v>203</v>
      </c>
      <c r="D37" s="100">
        <v>2.4433237770646095</v>
      </c>
      <c r="E37" s="100">
        <v>2102.2357777863899</v>
      </c>
      <c r="F37" s="100">
        <v>3.0065772438805975</v>
      </c>
      <c r="G37" s="100">
        <v>2586.8590606348662</v>
      </c>
      <c r="H37" s="100">
        <v>4.291782871365589</v>
      </c>
      <c r="I37" s="100">
        <v>3692.6499825229525</v>
      </c>
      <c r="J37" s="100">
        <v>8</v>
      </c>
      <c r="K37" s="100">
        <v>6883.2</v>
      </c>
      <c r="L37" s="100">
        <v>7.2947954302272429</v>
      </c>
      <c r="M37" s="100">
        <v>6276.4419881675194</v>
      </c>
      <c r="N37" s="100">
        <v>4.4158828945094086</v>
      </c>
      <c r="O37" s="100">
        <v>3799.425642435895</v>
      </c>
      <c r="P37" s="100">
        <v>3.7709240342561814</v>
      </c>
      <c r="Q37" s="100">
        <v>3244.5030390740185</v>
      </c>
      <c r="R37" s="100">
        <v>4</v>
      </c>
      <c r="S37" s="100">
        <v>3441.6</v>
      </c>
      <c r="T37" s="100">
        <v>8</v>
      </c>
      <c r="U37" s="100">
        <v>6883.2</v>
      </c>
      <c r="V37" s="100">
        <v>8</v>
      </c>
      <c r="W37" s="100">
        <v>6883.2</v>
      </c>
      <c r="X37" s="100">
        <v>5.9357026414019742</v>
      </c>
      <c r="Y37" s="100">
        <v>5107.0785526622585</v>
      </c>
      <c r="Z37" s="100">
        <v>3.5378822559498673</v>
      </c>
      <c r="AA37" s="100">
        <v>3043.9938930192657</v>
      </c>
      <c r="AB37" s="100">
        <v>7</v>
      </c>
      <c r="AC37" s="100">
        <v>6022.8</v>
      </c>
      <c r="AD37" s="100">
        <v>2.5867297424077331</v>
      </c>
      <c r="AE37" s="100">
        <v>2225.6222703676135</v>
      </c>
      <c r="AF37" s="100">
        <v>5</v>
      </c>
      <c r="AG37" s="100">
        <v>4302</v>
      </c>
      <c r="AH37" s="100">
        <v>9</v>
      </c>
      <c r="AI37" s="100">
        <v>7743.5999999999995</v>
      </c>
      <c r="AJ37" s="100">
        <v>5.2290359116322644</v>
      </c>
      <c r="AK37" s="100">
        <v>4499.0624983684002</v>
      </c>
      <c r="AL37" s="100">
        <v>5.1640276831313594</v>
      </c>
      <c r="AM37" s="100">
        <v>4443.1294185662218</v>
      </c>
      <c r="AN37" s="100">
        <v>1.3504820264571444</v>
      </c>
      <c r="AO37" s="100">
        <v>1161.9547355637271</v>
      </c>
      <c r="AP37" s="100">
        <v>9</v>
      </c>
      <c r="AQ37" s="100">
        <v>7743.5999999999995</v>
      </c>
      <c r="AR37" s="100">
        <v>6.751611869139527</v>
      </c>
      <c r="AS37" s="100">
        <v>5809.0868522076489</v>
      </c>
      <c r="AT37" s="100">
        <v>5.3625696623510963</v>
      </c>
      <c r="AU37" s="100">
        <v>4613.954937486883</v>
      </c>
      <c r="AV37" s="100">
        <v>1.581839505093229</v>
      </c>
      <c r="AW37" s="100">
        <v>1361.0147101822142</v>
      </c>
      <c r="AX37" s="100">
        <v>9</v>
      </c>
      <c r="AY37" s="100">
        <v>7743.5999999999995</v>
      </c>
      <c r="AZ37" s="100">
        <v>8</v>
      </c>
      <c r="BA37" s="100">
        <v>6883.2</v>
      </c>
      <c r="BB37" s="100">
        <v>4.0708111653942369</v>
      </c>
      <c r="BC37" s="100">
        <v>3502.5259267052015</v>
      </c>
      <c r="BD37" s="100">
        <v>1.3276137198827236</v>
      </c>
      <c r="BE37" s="100">
        <v>1142.2788445870954</v>
      </c>
      <c r="BF37" s="100">
        <v>6.8759438435862581</v>
      </c>
      <c r="BG37" s="100">
        <v>5916.0620830216167</v>
      </c>
      <c r="BH37" s="100">
        <v>5.3356908020161251</v>
      </c>
      <c r="BI37" s="100">
        <v>4590.828366054674</v>
      </c>
      <c r="BJ37" s="100">
        <v>6.2617994753391137</v>
      </c>
      <c r="BK37" s="100">
        <v>5387.6522685817736</v>
      </c>
      <c r="BL37" s="100">
        <v>3.4367403445610623</v>
      </c>
      <c r="BM37" s="100">
        <v>2956.9713924603379</v>
      </c>
      <c r="BN37" s="100">
        <v>5.5226407166821492</v>
      </c>
      <c r="BO37" s="100">
        <v>4751.6800726333213</v>
      </c>
      <c r="BP37" s="100">
        <v>5</v>
      </c>
      <c r="BQ37" s="100">
        <v>4302</v>
      </c>
      <c r="BR37" s="100">
        <v>6</v>
      </c>
      <c r="BS37" s="100">
        <v>5162.3999999999996</v>
      </c>
      <c r="BT37" s="100">
        <v>5</v>
      </c>
      <c r="BU37" s="100">
        <v>4302</v>
      </c>
      <c r="BV37" s="100">
        <v>4.2818420390041645</v>
      </c>
      <c r="BW37" s="100">
        <v>3684.0968903591829</v>
      </c>
      <c r="BX37" s="100">
        <v>7.1336897785143201</v>
      </c>
      <c r="BY37" s="100">
        <v>6137.8266854337207</v>
      </c>
      <c r="BZ37" s="100">
        <v>2.6550601945611163</v>
      </c>
      <c r="CA37" s="100">
        <v>2284.4137914003845</v>
      </c>
      <c r="CB37" s="100">
        <v>4.4497959294366325</v>
      </c>
      <c r="CC37" s="100">
        <v>3828.6044176872783</v>
      </c>
      <c r="CD37" s="100">
        <v>2.4628273089289294</v>
      </c>
      <c r="CE37" s="100">
        <v>2119.016616602451</v>
      </c>
      <c r="CF37" s="100">
        <v>3.2242244823274797</v>
      </c>
      <c r="CG37" s="100">
        <v>2774.1227445945633</v>
      </c>
      <c r="CH37" s="100">
        <v>5</v>
      </c>
      <c r="CI37" s="100">
        <v>4302</v>
      </c>
      <c r="CJ37" s="100">
        <v>4.9151874115275982</v>
      </c>
      <c r="CK37" s="100">
        <v>4229.0272488783457</v>
      </c>
      <c r="CL37" s="100">
        <v>2.7918377603662581</v>
      </c>
      <c r="CM37" s="100">
        <v>2402.0972090191285</v>
      </c>
      <c r="CN37" s="100">
        <v>8</v>
      </c>
      <c r="CO37" s="100">
        <v>6883.2</v>
      </c>
      <c r="CP37" s="100">
        <v>7.2284223270418284</v>
      </c>
      <c r="CQ37" s="100">
        <v>6219.3345701867893</v>
      </c>
      <c r="CR37" s="100">
        <v>3.19105025820781</v>
      </c>
      <c r="CS37" s="100">
        <v>2745.5796421619998</v>
      </c>
      <c r="CT37" s="100">
        <v>5.7352601240814263</v>
      </c>
      <c r="CU37" s="100">
        <v>4934.6178107596588</v>
      </c>
    </row>
    <row r="38" spans="2:99">
      <c r="C38" s="99" t="s">
        <v>204</v>
      </c>
      <c r="D38" s="100">
        <v>2.4433237770646095</v>
      </c>
      <c r="E38" s="100">
        <v>3034.6081311142448</v>
      </c>
      <c r="F38" s="100">
        <v>3.0138278312968438</v>
      </c>
      <c r="G38" s="100">
        <v>3743.1741664706801</v>
      </c>
      <c r="H38" s="100">
        <v>3.8149181078805232</v>
      </c>
      <c r="I38" s="100">
        <v>4738.1282899876096</v>
      </c>
      <c r="J38" s="100">
        <v>10</v>
      </c>
      <c r="K38" s="100">
        <v>12420</v>
      </c>
      <c r="L38" s="100">
        <v>6.2579460014488379</v>
      </c>
      <c r="M38" s="100">
        <v>7772.3689337994565</v>
      </c>
      <c r="N38" s="100">
        <v>4.3961117819031257</v>
      </c>
      <c r="O38" s="100">
        <v>5459.9708331236825</v>
      </c>
      <c r="P38" s="100">
        <v>3.7709240342561814</v>
      </c>
      <c r="Q38" s="100">
        <v>4683.4876505461771</v>
      </c>
      <c r="R38" s="100">
        <v>5</v>
      </c>
      <c r="S38" s="100">
        <v>6210</v>
      </c>
      <c r="T38" s="100">
        <v>9</v>
      </c>
      <c r="U38" s="100">
        <v>11178</v>
      </c>
      <c r="V38" s="100">
        <v>8</v>
      </c>
      <c r="W38" s="100">
        <v>9936</v>
      </c>
      <c r="X38" s="100">
        <v>5.9357026414019742</v>
      </c>
      <c r="Y38" s="100">
        <v>7372.1426806212521</v>
      </c>
      <c r="Z38" s="100">
        <v>3.0956469739561339</v>
      </c>
      <c r="AA38" s="100">
        <v>3844.7935416535183</v>
      </c>
      <c r="AB38" s="100">
        <v>7</v>
      </c>
      <c r="AC38" s="100">
        <v>8694</v>
      </c>
      <c r="AD38" s="100">
        <v>2.5867297424077331</v>
      </c>
      <c r="AE38" s="100">
        <v>3212.7183400704043</v>
      </c>
      <c r="AF38" s="100">
        <v>4</v>
      </c>
      <c r="AG38" s="100">
        <v>4968</v>
      </c>
      <c r="AH38" s="100">
        <v>8</v>
      </c>
      <c r="AI38" s="100">
        <v>9936</v>
      </c>
      <c r="AJ38" s="100">
        <v>6.1005418969043079</v>
      </c>
      <c r="AK38" s="100">
        <v>7576.87303595515</v>
      </c>
      <c r="AL38" s="100">
        <v>5.1640276831313594</v>
      </c>
      <c r="AM38" s="100">
        <v>6413.7223824491484</v>
      </c>
      <c r="AN38" s="100">
        <v>1.3504820264571444</v>
      </c>
      <c r="AO38" s="100">
        <v>1677.2986768597734</v>
      </c>
      <c r="AP38" s="100">
        <v>8</v>
      </c>
      <c r="AQ38" s="100">
        <v>9936</v>
      </c>
      <c r="AR38" s="100">
        <v>6.751611869139527</v>
      </c>
      <c r="AS38" s="100">
        <v>8385.5019414712933</v>
      </c>
      <c r="AT38" s="100">
        <v>4.6011736396958014</v>
      </c>
      <c r="AU38" s="100">
        <v>5714.6576605021855</v>
      </c>
      <c r="AV38" s="100">
        <v>1.581839505093229</v>
      </c>
      <c r="AW38" s="100">
        <v>1964.6446653257904</v>
      </c>
      <c r="AX38" s="100">
        <v>9</v>
      </c>
      <c r="AY38" s="100">
        <v>11178</v>
      </c>
      <c r="AZ38" s="100">
        <v>9.2085860396645884</v>
      </c>
      <c r="BA38" s="100">
        <v>11437.063861263419</v>
      </c>
      <c r="BB38" s="100">
        <v>4.0708111653942369</v>
      </c>
      <c r="BC38" s="100">
        <v>5055.9474674196426</v>
      </c>
      <c r="BD38" s="100">
        <v>1.3276137198827236</v>
      </c>
      <c r="BE38" s="100">
        <v>1648.8962400943426</v>
      </c>
      <c r="BF38" s="100">
        <v>6.8759438435862581</v>
      </c>
      <c r="BG38" s="100">
        <v>8539.922253734132</v>
      </c>
      <c r="BH38" s="100">
        <v>5.3356908020161251</v>
      </c>
      <c r="BI38" s="100">
        <v>6626.927976104027</v>
      </c>
      <c r="BJ38" s="100">
        <v>7.1262712682180123</v>
      </c>
      <c r="BK38" s="100">
        <v>8850.8289151267709</v>
      </c>
      <c r="BL38" s="100">
        <v>3.4188219474478894</v>
      </c>
      <c r="BM38" s="100">
        <v>4246.1768587302786</v>
      </c>
      <c r="BN38" s="100">
        <v>5.5226407166821492</v>
      </c>
      <c r="BO38" s="100">
        <v>6859.1197701192295</v>
      </c>
      <c r="BP38" s="100">
        <v>4</v>
      </c>
      <c r="BQ38" s="100">
        <v>4968</v>
      </c>
      <c r="BR38" s="100">
        <v>6</v>
      </c>
      <c r="BS38" s="100">
        <v>7452</v>
      </c>
      <c r="BT38" s="100">
        <v>4</v>
      </c>
      <c r="BU38" s="100">
        <v>4968</v>
      </c>
      <c r="BV38" s="100">
        <v>4.2818420390041645</v>
      </c>
      <c r="BW38" s="100">
        <v>5318.047812443172</v>
      </c>
      <c r="BX38" s="100">
        <v>7.2072105896995433</v>
      </c>
      <c r="BY38" s="100">
        <v>8951.3555524068324</v>
      </c>
      <c r="BZ38" s="100">
        <v>2.6365907824976778</v>
      </c>
      <c r="CA38" s="100">
        <v>3274.645751862116</v>
      </c>
      <c r="CB38" s="100">
        <v>3.5200851844284156</v>
      </c>
      <c r="CC38" s="100">
        <v>4371.9457990600922</v>
      </c>
      <c r="CD38" s="100">
        <v>2.4628273089289294</v>
      </c>
      <c r="CE38" s="100">
        <v>3058.8315176897304</v>
      </c>
      <c r="CF38" s="100">
        <v>3.7615952293820594</v>
      </c>
      <c r="CG38" s="100">
        <v>4671.9012748925179</v>
      </c>
      <c r="CH38" s="100">
        <v>5</v>
      </c>
      <c r="CI38" s="100">
        <v>6210</v>
      </c>
      <c r="CJ38" s="100">
        <v>4.8864568095137697</v>
      </c>
      <c r="CK38" s="100">
        <v>6068.9793574161022</v>
      </c>
      <c r="CL38" s="100">
        <v>2.7918377603662581</v>
      </c>
      <c r="CM38" s="100">
        <v>3467.4624983748927</v>
      </c>
      <c r="CN38" s="100">
        <v>9</v>
      </c>
      <c r="CO38" s="100">
        <v>11178</v>
      </c>
      <c r="CP38" s="100">
        <v>7.1259688981576614</v>
      </c>
      <c r="CQ38" s="100">
        <v>8850.4533715118159</v>
      </c>
      <c r="CR38" s="100">
        <v>3.19105025820781</v>
      </c>
      <c r="CS38" s="100">
        <v>3963.2844206940999</v>
      </c>
      <c r="CT38" s="100">
        <v>6.3571117925205529</v>
      </c>
      <c r="CU38" s="100">
        <v>7895.532846310527</v>
      </c>
    </row>
    <row r="39" spans="2:99">
      <c r="C39" s="99" t="s">
        <v>205</v>
      </c>
      <c r="D39" s="100">
        <v>2.4326164440164759</v>
      </c>
      <c r="E39" s="100">
        <v>3462.0997231242486</v>
      </c>
      <c r="F39" s="100">
        <v>2.5151484864554932</v>
      </c>
      <c r="G39" s="100">
        <v>3579.5593259234579</v>
      </c>
      <c r="H39" s="100">
        <v>3.8149181078805232</v>
      </c>
      <c r="I39" s="100">
        <v>5429.3914511355606</v>
      </c>
      <c r="J39" s="100">
        <v>9</v>
      </c>
      <c r="K39" s="100">
        <v>12808.800000000001</v>
      </c>
      <c r="L39" s="100">
        <v>6.2579460014488379</v>
      </c>
      <c r="M39" s="100">
        <v>8906.308749261987</v>
      </c>
      <c r="N39" s="100">
        <v>3.9493939327493752</v>
      </c>
      <c r="O39" s="100">
        <v>5620.777445088911</v>
      </c>
      <c r="P39" s="100">
        <v>3.7709240342561814</v>
      </c>
      <c r="Q39" s="100">
        <v>5366.7790855533976</v>
      </c>
      <c r="R39" s="100">
        <v>5</v>
      </c>
      <c r="S39" s="100">
        <v>7116</v>
      </c>
      <c r="T39" s="100">
        <v>8</v>
      </c>
      <c r="U39" s="100">
        <v>11385.6</v>
      </c>
      <c r="V39" s="100">
        <v>8</v>
      </c>
      <c r="W39" s="100">
        <v>11385.6</v>
      </c>
      <c r="X39" s="100">
        <v>4.9464188678349785</v>
      </c>
      <c r="Y39" s="100">
        <v>7039.743332702742</v>
      </c>
      <c r="Z39" s="100">
        <v>3.0956469739561339</v>
      </c>
      <c r="AA39" s="100">
        <v>4405.7247733343702</v>
      </c>
      <c r="AB39" s="100">
        <v>7</v>
      </c>
      <c r="AC39" s="100">
        <v>9962.4</v>
      </c>
      <c r="AD39" s="100">
        <v>2.5867297424077331</v>
      </c>
      <c r="AE39" s="100">
        <v>3681.4337693946859</v>
      </c>
      <c r="AF39" s="100">
        <v>5</v>
      </c>
      <c r="AG39" s="100">
        <v>7116</v>
      </c>
      <c r="AH39" s="100">
        <v>7</v>
      </c>
      <c r="AI39" s="100">
        <v>9962.4</v>
      </c>
      <c r="AJ39" s="100">
        <v>5.2290359116322644</v>
      </c>
      <c r="AK39" s="100">
        <v>7441.9639094350387</v>
      </c>
      <c r="AL39" s="100">
        <v>4.5185242227399396</v>
      </c>
      <c r="AM39" s="100">
        <v>6430.7636738034826</v>
      </c>
      <c r="AN39" s="100">
        <v>1.3504820264571444</v>
      </c>
      <c r="AO39" s="100">
        <v>1922.006020053808</v>
      </c>
      <c r="AP39" s="100">
        <v>8</v>
      </c>
      <c r="AQ39" s="100">
        <v>11385.6</v>
      </c>
      <c r="AR39" s="100">
        <v>7.716127850445174</v>
      </c>
      <c r="AS39" s="100">
        <v>10981.593156753572</v>
      </c>
      <c r="AT39" s="100">
        <v>4.6011736396958014</v>
      </c>
      <c r="AU39" s="100">
        <v>6548.3903240150648</v>
      </c>
      <c r="AV39" s="100">
        <v>1.581839505093229</v>
      </c>
      <c r="AW39" s="100">
        <v>2251.2739836486835</v>
      </c>
      <c r="AX39" s="100">
        <v>9</v>
      </c>
      <c r="AY39" s="100">
        <v>12808.800000000001</v>
      </c>
      <c r="AZ39" s="100">
        <v>8</v>
      </c>
      <c r="BA39" s="100">
        <v>11385.6</v>
      </c>
      <c r="BB39" s="100">
        <v>4.0708111653942369</v>
      </c>
      <c r="BC39" s="100">
        <v>5793.5784505890779</v>
      </c>
      <c r="BD39" s="100">
        <v>1.3276137198827236</v>
      </c>
      <c r="BE39" s="100">
        <v>1889.4598461370922</v>
      </c>
      <c r="BF39" s="100">
        <v>6.1505416353288673</v>
      </c>
      <c r="BG39" s="100">
        <v>8753.450855400044</v>
      </c>
      <c r="BH39" s="100">
        <v>5.3356908020161251</v>
      </c>
      <c r="BI39" s="100">
        <v>7593.7551494293493</v>
      </c>
      <c r="BJ39" s="100">
        <v>6.0513025501522977</v>
      </c>
      <c r="BK39" s="100">
        <v>8612.2137893767504</v>
      </c>
      <c r="BL39" s="100">
        <v>3.9617480096861128</v>
      </c>
      <c r="BM39" s="100">
        <v>5638.3597673852764</v>
      </c>
      <c r="BN39" s="100">
        <v>5.5226407166821492</v>
      </c>
      <c r="BO39" s="100">
        <v>7859.8222679820346</v>
      </c>
      <c r="BP39" s="100">
        <v>5</v>
      </c>
      <c r="BQ39" s="100">
        <v>7116</v>
      </c>
      <c r="BR39" s="100">
        <v>6</v>
      </c>
      <c r="BS39" s="100">
        <v>8539.2000000000007</v>
      </c>
      <c r="BT39" s="100">
        <v>4</v>
      </c>
      <c r="BU39" s="100">
        <v>5692.8</v>
      </c>
      <c r="BV39" s="100">
        <v>4.2818420390041645</v>
      </c>
      <c r="BW39" s="100">
        <v>6093.9175899107267</v>
      </c>
      <c r="BX39" s="100">
        <v>6.471761245230903</v>
      </c>
      <c r="BY39" s="100">
        <v>9210.6106042126212</v>
      </c>
      <c r="BZ39" s="100">
        <v>2.206393691446451</v>
      </c>
      <c r="CA39" s="100">
        <v>3140.1395016665892</v>
      </c>
      <c r="CB39" s="100">
        <v>4.4729348491670375</v>
      </c>
      <c r="CC39" s="100">
        <v>6365.8808773345281</v>
      </c>
      <c r="CD39" s="100">
        <v>2.4479119587360354</v>
      </c>
      <c r="CE39" s="100">
        <v>3483.8682996731259</v>
      </c>
      <c r="CF39" s="100">
        <v>3.2242244823274797</v>
      </c>
      <c r="CG39" s="100">
        <v>4588.7162832484692</v>
      </c>
      <c r="CH39" s="100">
        <v>6</v>
      </c>
      <c r="CI39" s="100">
        <v>8539.2000000000007</v>
      </c>
      <c r="CJ39" s="100">
        <v>4.8864568095137697</v>
      </c>
      <c r="CK39" s="100">
        <v>6954.4053312999977</v>
      </c>
      <c r="CL39" s="100">
        <v>3.1408174804120401</v>
      </c>
      <c r="CM39" s="100">
        <v>4470.0114381224157</v>
      </c>
      <c r="CN39" s="100">
        <v>9</v>
      </c>
      <c r="CO39" s="100">
        <v>12808.800000000001</v>
      </c>
      <c r="CP39" s="100">
        <v>8.0295216890378907</v>
      </c>
      <c r="CQ39" s="100">
        <v>11427.615267838726</v>
      </c>
      <c r="CR39" s="100">
        <v>2.7921689759318338</v>
      </c>
      <c r="CS39" s="100">
        <v>3973.8148865461858</v>
      </c>
      <c r="CT39" s="100">
        <v>5.7352601240814263</v>
      </c>
      <c r="CU39" s="100">
        <v>8162.4222085926858</v>
      </c>
    </row>
    <row r="40" spans="2:99">
      <c r="C40" s="99" t="s">
        <v>206</v>
      </c>
      <c r="D40" s="100">
        <v>2.4433237770646095</v>
      </c>
      <c r="E40" s="100">
        <v>1770.9210736164289</v>
      </c>
      <c r="F40" s="100">
        <v>3.0138278312968438</v>
      </c>
      <c r="G40" s="100">
        <v>2184.4224121239522</v>
      </c>
      <c r="H40" s="100">
        <v>3.8149181078805232</v>
      </c>
      <c r="I40" s="100">
        <v>2765.0526445918031</v>
      </c>
      <c r="J40" s="100">
        <v>9</v>
      </c>
      <c r="K40" s="100">
        <v>6523.2</v>
      </c>
      <c r="L40" s="100">
        <v>6.2947954302272429</v>
      </c>
      <c r="M40" s="100">
        <v>4562.4677278287054</v>
      </c>
      <c r="N40" s="100">
        <v>4.4356540071156916</v>
      </c>
      <c r="O40" s="100">
        <v>3214.9620243574532</v>
      </c>
      <c r="P40" s="100">
        <v>3.7709240342561814</v>
      </c>
      <c r="Q40" s="100">
        <v>2733.16574002888</v>
      </c>
      <c r="R40" s="100">
        <v>4</v>
      </c>
      <c r="S40" s="100">
        <v>2899.2</v>
      </c>
      <c r="T40" s="100">
        <v>9</v>
      </c>
      <c r="U40" s="100">
        <v>6523.2</v>
      </c>
      <c r="V40" s="100">
        <v>9</v>
      </c>
      <c r="W40" s="100">
        <v>6523.2</v>
      </c>
      <c r="X40" s="100">
        <v>5.9357026414019742</v>
      </c>
      <c r="Y40" s="100">
        <v>4302.1972744881505</v>
      </c>
      <c r="Z40" s="100">
        <v>3.5378822559498673</v>
      </c>
      <c r="AA40" s="100">
        <v>2564.2570591124636</v>
      </c>
      <c r="AB40" s="100">
        <v>7</v>
      </c>
      <c r="AC40" s="100">
        <v>5073.5999999999995</v>
      </c>
      <c r="AD40" s="100">
        <v>3.1040756908892799</v>
      </c>
      <c r="AE40" s="100">
        <v>2249.8340607565501</v>
      </c>
      <c r="AF40" s="100">
        <v>5</v>
      </c>
      <c r="AG40" s="100">
        <v>3624</v>
      </c>
      <c r="AH40" s="100">
        <v>8</v>
      </c>
      <c r="AI40" s="100">
        <v>5798.4</v>
      </c>
      <c r="AJ40" s="100">
        <v>6.1005418969043079</v>
      </c>
      <c r="AK40" s="100">
        <v>4421.6727668762423</v>
      </c>
      <c r="AL40" s="100">
        <v>5.1640276831313594</v>
      </c>
      <c r="AM40" s="100">
        <v>3742.8872647336088</v>
      </c>
      <c r="AN40" s="100">
        <v>1.3504820264571444</v>
      </c>
      <c r="AO40" s="100">
        <v>978.82937277613826</v>
      </c>
      <c r="AP40" s="100">
        <v>9</v>
      </c>
      <c r="AQ40" s="100">
        <v>6523.2</v>
      </c>
      <c r="AR40" s="100">
        <v>7.716127850445174</v>
      </c>
      <c r="AS40" s="100">
        <v>5592.6494660026619</v>
      </c>
      <c r="AT40" s="100">
        <v>5.3625696623510963</v>
      </c>
      <c r="AU40" s="100">
        <v>3886.7904912720742</v>
      </c>
      <c r="AV40" s="100">
        <v>1.581839505093229</v>
      </c>
      <c r="AW40" s="100">
        <v>1146.5172732915723</v>
      </c>
      <c r="AX40" s="100">
        <v>10</v>
      </c>
      <c r="AY40" s="100">
        <v>7248</v>
      </c>
      <c r="AZ40" s="100">
        <v>8</v>
      </c>
      <c r="BA40" s="100">
        <v>5798.4</v>
      </c>
      <c r="BB40" s="100">
        <v>4.0708111653942369</v>
      </c>
      <c r="BC40" s="100">
        <v>2950.5239326777428</v>
      </c>
      <c r="BD40" s="100">
        <v>1.3276137198827236</v>
      </c>
      <c r="BE40" s="100">
        <v>962.25442417099805</v>
      </c>
      <c r="BF40" s="100">
        <v>6.1821165416261161</v>
      </c>
      <c r="BG40" s="100">
        <v>4480.7980693706086</v>
      </c>
      <c r="BH40" s="100">
        <v>5.3356908020161251</v>
      </c>
      <c r="BI40" s="100">
        <v>3867.3086933012873</v>
      </c>
      <c r="BJ40" s="100">
        <v>6.2617994753391137</v>
      </c>
      <c r="BK40" s="100">
        <v>4538.5522597257896</v>
      </c>
      <c r="BL40" s="100">
        <v>3.9796664067992853</v>
      </c>
      <c r="BM40" s="100">
        <v>2884.4622116481219</v>
      </c>
      <c r="BN40" s="100">
        <v>5.5226407166821492</v>
      </c>
      <c r="BO40" s="100">
        <v>4002.8099914512213</v>
      </c>
      <c r="BP40" s="100">
        <v>5</v>
      </c>
      <c r="BQ40" s="100">
        <v>3624</v>
      </c>
      <c r="BR40" s="100">
        <v>7</v>
      </c>
      <c r="BS40" s="100">
        <v>5073.5999999999995</v>
      </c>
      <c r="BT40" s="100">
        <v>5</v>
      </c>
      <c r="BU40" s="100">
        <v>3624</v>
      </c>
      <c r="BV40" s="100">
        <v>4.2818420390041645</v>
      </c>
      <c r="BW40" s="100">
        <v>3103.4791098702181</v>
      </c>
      <c r="BX40" s="100">
        <v>7.8691391229829586</v>
      </c>
      <c r="BY40" s="100">
        <v>5703.5520363380483</v>
      </c>
      <c r="BZ40" s="100">
        <v>2.6365907824976778</v>
      </c>
      <c r="CA40" s="100">
        <v>1911.0009991543168</v>
      </c>
      <c r="CB40" s="100">
        <v>3.9965100167977261</v>
      </c>
      <c r="CC40" s="100">
        <v>2896.6704601749916</v>
      </c>
      <c r="CD40" s="100">
        <v>2.7933521385003566</v>
      </c>
      <c r="CE40" s="100">
        <v>2024.6216299850582</v>
      </c>
      <c r="CF40" s="100">
        <v>3.2242244823274797</v>
      </c>
      <c r="CG40" s="100">
        <v>2336.917904790957</v>
      </c>
      <c r="CH40" s="100">
        <v>6</v>
      </c>
      <c r="CI40" s="100">
        <v>4348.7999999999993</v>
      </c>
      <c r="CJ40" s="100">
        <v>4.8577262074999412</v>
      </c>
      <c r="CK40" s="100">
        <v>3520.8799551959573</v>
      </c>
      <c r="CL40" s="100">
        <v>3.1408174804120401</v>
      </c>
      <c r="CM40" s="100">
        <v>2276.4645098026467</v>
      </c>
      <c r="CN40" s="100">
        <v>9</v>
      </c>
      <c r="CO40" s="100">
        <v>6523.2</v>
      </c>
      <c r="CP40" s="100">
        <v>8.8647721939953428</v>
      </c>
      <c r="CQ40" s="100">
        <v>6425.1868862078236</v>
      </c>
      <c r="CR40" s="100">
        <v>3.1982313928173443</v>
      </c>
      <c r="CS40" s="100">
        <v>2318.078113514011</v>
      </c>
      <c r="CT40" s="100">
        <v>5.7352601240814263</v>
      </c>
      <c r="CU40" s="100">
        <v>4156.9165379342176</v>
      </c>
    </row>
    <row r="41" spans="2:99">
      <c r="C41" s="99" t="s">
        <v>207</v>
      </c>
      <c r="D41" s="100">
        <v>2.8913006668946233</v>
      </c>
      <c r="E41" s="100">
        <v>1908.2584401504514</v>
      </c>
      <c r="F41" s="100">
        <v>3.5052565887219487</v>
      </c>
      <c r="G41" s="100">
        <v>2313.4693485564862</v>
      </c>
      <c r="H41" s="100">
        <v>4.7686476348506543</v>
      </c>
      <c r="I41" s="100">
        <v>3147.3074390014317</v>
      </c>
      <c r="J41" s="100">
        <v>9</v>
      </c>
      <c r="K41" s="100">
        <v>5940</v>
      </c>
      <c r="L41" s="100">
        <v>7.2947954302272429</v>
      </c>
      <c r="M41" s="100">
        <v>4814.5649839499802</v>
      </c>
      <c r="N41" s="100">
        <v>4.882371856269442</v>
      </c>
      <c r="O41" s="100">
        <v>3222.3654251378316</v>
      </c>
      <c r="P41" s="100">
        <v>4.3994113732988778</v>
      </c>
      <c r="Q41" s="100">
        <v>2903.6115063772595</v>
      </c>
      <c r="R41" s="100">
        <v>4</v>
      </c>
      <c r="S41" s="100">
        <v>2640</v>
      </c>
      <c r="T41" s="100">
        <v>9</v>
      </c>
      <c r="U41" s="100">
        <v>5940</v>
      </c>
      <c r="V41" s="100">
        <v>8</v>
      </c>
      <c r="W41" s="100">
        <v>5280</v>
      </c>
      <c r="X41" s="100">
        <v>5.9357026414019742</v>
      </c>
      <c r="Y41" s="100">
        <v>3917.5637433253032</v>
      </c>
      <c r="Z41" s="100">
        <v>3.5378822559498673</v>
      </c>
      <c r="AA41" s="100">
        <v>2335.0022889269126</v>
      </c>
      <c r="AB41" s="100">
        <v>8</v>
      </c>
      <c r="AC41" s="100">
        <v>5280</v>
      </c>
      <c r="AD41" s="100">
        <v>2.5867297424077331</v>
      </c>
      <c r="AE41" s="100">
        <v>1707.2416299891038</v>
      </c>
      <c r="AF41" s="100">
        <v>4</v>
      </c>
      <c r="AG41" s="100">
        <v>2640</v>
      </c>
      <c r="AH41" s="100">
        <v>8</v>
      </c>
      <c r="AI41" s="100">
        <v>5280</v>
      </c>
      <c r="AJ41" s="100">
        <v>6.1005418969043079</v>
      </c>
      <c r="AK41" s="100">
        <v>4026.3576519568433</v>
      </c>
      <c r="AL41" s="100">
        <v>5.8095311435227801</v>
      </c>
      <c r="AM41" s="100">
        <v>3834.2905547250348</v>
      </c>
      <c r="AN41" s="100">
        <v>1.3504820264571444</v>
      </c>
      <c r="AO41" s="100">
        <v>891.31813746171531</v>
      </c>
      <c r="AP41" s="100">
        <v>9</v>
      </c>
      <c r="AQ41" s="100">
        <v>5940</v>
      </c>
      <c r="AR41" s="100">
        <v>7.716127850445174</v>
      </c>
      <c r="AS41" s="100">
        <v>5092.6443812938151</v>
      </c>
      <c r="AT41" s="100">
        <v>5.3297721585870637</v>
      </c>
      <c r="AU41" s="100">
        <v>3517.6496246674619</v>
      </c>
      <c r="AV41" s="100">
        <v>1.3841095669565753</v>
      </c>
      <c r="AW41" s="100">
        <v>913.51231419133967</v>
      </c>
      <c r="AX41" s="100">
        <v>10</v>
      </c>
      <c r="AY41" s="100">
        <v>6600</v>
      </c>
      <c r="AZ41" s="100">
        <v>8.2259682096366369</v>
      </c>
      <c r="BA41" s="100">
        <v>5429.1390183601807</v>
      </c>
      <c r="BB41" s="100">
        <v>4.0708111653942369</v>
      </c>
      <c r="BC41" s="100">
        <v>2686.7353691601966</v>
      </c>
      <c r="BD41" s="100">
        <v>1.5488826731965109</v>
      </c>
      <c r="BE41" s="100">
        <v>1022.2625643096972</v>
      </c>
      <c r="BF41" s="100">
        <v>6.8759438435862581</v>
      </c>
      <c r="BG41" s="100">
        <v>4538.1229367669303</v>
      </c>
      <c r="BH41" s="100">
        <v>5.3356908020161251</v>
      </c>
      <c r="BI41" s="100">
        <v>3521.5559293306424</v>
      </c>
      <c r="BJ41" s="100">
        <v>6.2617994753391137</v>
      </c>
      <c r="BK41" s="100">
        <v>4132.7876537238153</v>
      </c>
      <c r="BL41" s="100">
        <v>3.9796664067992853</v>
      </c>
      <c r="BM41" s="100">
        <v>2626.5798284875282</v>
      </c>
      <c r="BN41" s="100">
        <v>6.3115893904938849</v>
      </c>
      <c r="BO41" s="100">
        <v>4165.6489977259644</v>
      </c>
      <c r="BP41" s="100">
        <v>5</v>
      </c>
      <c r="BQ41" s="100">
        <v>3300</v>
      </c>
      <c r="BR41" s="100">
        <v>7</v>
      </c>
      <c r="BS41" s="100">
        <v>4620</v>
      </c>
      <c r="BT41" s="100">
        <v>5</v>
      </c>
      <c r="BU41" s="100">
        <v>3300</v>
      </c>
      <c r="BV41" s="100">
        <v>4.2818420390041645</v>
      </c>
      <c r="BW41" s="100">
        <v>2826.0157457427485</v>
      </c>
      <c r="BX41" s="100">
        <v>7.2439709952921554</v>
      </c>
      <c r="BY41" s="100">
        <v>4781.0208568928228</v>
      </c>
      <c r="BZ41" s="100">
        <v>2.2248631035098891</v>
      </c>
      <c r="CA41" s="100">
        <v>1468.4096483165267</v>
      </c>
      <c r="CB41" s="100">
        <v>4.0196489365281316</v>
      </c>
      <c r="CC41" s="100">
        <v>2652.9682981085671</v>
      </c>
      <c r="CD41" s="100">
        <v>2.7933521385003566</v>
      </c>
      <c r="CE41" s="100">
        <v>1843.6124114102354</v>
      </c>
      <c r="CF41" s="100">
        <v>3.2242244823274797</v>
      </c>
      <c r="CG41" s="100">
        <v>2127.9881583361366</v>
      </c>
      <c r="CH41" s="100">
        <v>5</v>
      </c>
      <c r="CI41" s="100">
        <v>3300</v>
      </c>
      <c r="CJ41" s="100">
        <v>5.4900812601995339</v>
      </c>
      <c r="CK41" s="100">
        <v>3623.4536317316924</v>
      </c>
      <c r="CL41" s="100">
        <v>3.1408174804120401</v>
      </c>
      <c r="CM41" s="100">
        <v>2072.9395370719467</v>
      </c>
      <c r="CN41" s="100">
        <v>8</v>
      </c>
      <c r="CO41" s="100">
        <v>5280</v>
      </c>
      <c r="CP41" s="100">
        <v>7.9953705460765034</v>
      </c>
      <c r="CQ41" s="100">
        <v>5276.9445604104922</v>
      </c>
      <c r="CR41" s="100">
        <v>2.8065312451509032</v>
      </c>
      <c r="CS41" s="100">
        <v>1852.3106217995962</v>
      </c>
      <c r="CT41" s="100">
        <v>5.7525845125975881</v>
      </c>
      <c r="CU41" s="100">
        <v>3796.7057783144082</v>
      </c>
    </row>
    <row r="42" spans="2:99">
      <c r="C42" s="99" t="s">
        <v>208</v>
      </c>
      <c r="D42" s="100">
        <v>2.4540311101127434</v>
      </c>
      <c r="E42" s="100">
        <v>2076.1103191553811</v>
      </c>
      <c r="F42" s="100">
        <v>3.0138278312968438</v>
      </c>
      <c r="G42" s="100">
        <v>2549.6983452771301</v>
      </c>
      <c r="H42" s="100">
        <v>4.291782871365589</v>
      </c>
      <c r="I42" s="100">
        <v>3630.8483091752883</v>
      </c>
      <c r="J42" s="100">
        <v>9</v>
      </c>
      <c r="K42" s="100">
        <v>7614</v>
      </c>
      <c r="L42" s="100">
        <v>6.2579460014488379</v>
      </c>
      <c r="M42" s="100">
        <v>5294.2223172257172</v>
      </c>
      <c r="N42" s="100">
        <v>4.4356540071156916</v>
      </c>
      <c r="O42" s="100">
        <v>3752.5632900198752</v>
      </c>
      <c r="P42" s="100">
        <v>3.7709240342561814</v>
      </c>
      <c r="Q42" s="100">
        <v>3190.2017329807295</v>
      </c>
      <c r="R42" s="100">
        <v>5</v>
      </c>
      <c r="S42" s="100">
        <v>4230</v>
      </c>
      <c r="T42" s="100">
        <v>8</v>
      </c>
      <c r="U42" s="100">
        <v>6768</v>
      </c>
      <c r="V42" s="100">
        <v>8</v>
      </c>
      <c r="W42" s="100">
        <v>6768</v>
      </c>
      <c r="X42" s="100">
        <v>5.9357026414019742</v>
      </c>
      <c r="Y42" s="100">
        <v>5021.6044346260705</v>
      </c>
      <c r="Z42" s="100">
        <v>3.5378822559498673</v>
      </c>
      <c r="AA42" s="100">
        <v>2993.0483885335875</v>
      </c>
      <c r="AB42" s="100">
        <v>7</v>
      </c>
      <c r="AC42" s="100">
        <v>5922</v>
      </c>
      <c r="AD42" s="100">
        <v>2.5867297424077331</v>
      </c>
      <c r="AE42" s="100">
        <v>2188.3733620769422</v>
      </c>
      <c r="AF42" s="100">
        <v>5</v>
      </c>
      <c r="AG42" s="100">
        <v>4230</v>
      </c>
      <c r="AH42" s="100">
        <v>8</v>
      </c>
      <c r="AI42" s="100">
        <v>6768</v>
      </c>
      <c r="AJ42" s="100">
        <v>6.1005418969043079</v>
      </c>
      <c r="AK42" s="100">
        <v>5161.0584447810443</v>
      </c>
      <c r="AL42" s="100">
        <v>5.1640276831313594</v>
      </c>
      <c r="AM42" s="100">
        <v>4368.7674199291305</v>
      </c>
      <c r="AN42" s="100">
        <v>1.3504820264571444</v>
      </c>
      <c r="AO42" s="100">
        <v>1142.5077943827441</v>
      </c>
      <c r="AP42" s="100">
        <v>8</v>
      </c>
      <c r="AQ42" s="100">
        <v>6768</v>
      </c>
      <c r="AR42" s="100">
        <v>7.716127850445174</v>
      </c>
      <c r="AS42" s="100">
        <v>6527.844161476617</v>
      </c>
      <c r="AT42" s="100">
        <v>4.633971143459835</v>
      </c>
      <c r="AU42" s="100">
        <v>3920.3395873670202</v>
      </c>
      <c r="AV42" s="100">
        <v>1.3841095669565753</v>
      </c>
      <c r="AW42" s="100">
        <v>1170.9566936452627</v>
      </c>
      <c r="AX42" s="100">
        <v>8</v>
      </c>
      <c r="AY42" s="100">
        <v>6768</v>
      </c>
      <c r="AZ42" s="100">
        <v>8</v>
      </c>
      <c r="BA42" s="100">
        <v>6768</v>
      </c>
      <c r="BB42" s="100">
        <v>4.8849733984730852</v>
      </c>
      <c r="BC42" s="100">
        <v>4132.68749510823</v>
      </c>
      <c r="BD42" s="100">
        <v>1.5488826731965109</v>
      </c>
      <c r="BE42" s="100">
        <v>1310.3547415242481</v>
      </c>
      <c r="BF42" s="100">
        <v>6.1505416353288673</v>
      </c>
      <c r="BG42" s="100">
        <v>5203.3582234882215</v>
      </c>
      <c r="BH42" s="100">
        <v>4.7428362684587775</v>
      </c>
      <c r="BI42" s="100">
        <v>4012.4394831161258</v>
      </c>
      <c r="BJ42" s="100">
        <v>7.1454073523259058</v>
      </c>
      <c r="BK42" s="100">
        <v>6045.0146200677164</v>
      </c>
      <c r="BL42" s="100">
        <v>3.9796664067992853</v>
      </c>
      <c r="BM42" s="100">
        <v>3366.7977801521952</v>
      </c>
      <c r="BN42" s="100">
        <v>5.5226407166821492</v>
      </c>
      <c r="BO42" s="100">
        <v>4672.1540463130978</v>
      </c>
      <c r="BP42" s="100">
        <v>5</v>
      </c>
      <c r="BQ42" s="100">
        <v>4230</v>
      </c>
      <c r="BR42" s="100">
        <v>6</v>
      </c>
      <c r="BS42" s="100">
        <v>5076</v>
      </c>
      <c r="BT42" s="100">
        <v>4</v>
      </c>
      <c r="BU42" s="100">
        <v>3384</v>
      </c>
      <c r="BV42" s="100">
        <v>4.2818420390041645</v>
      </c>
      <c r="BW42" s="100">
        <v>3622.438364997523</v>
      </c>
      <c r="BX42" s="100">
        <v>7.1336897785143201</v>
      </c>
      <c r="BY42" s="100">
        <v>6035.1015526231149</v>
      </c>
      <c r="BZ42" s="100">
        <v>2.206393691446451</v>
      </c>
      <c r="CA42" s="100">
        <v>1866.6090629636976</v>
      </c>
      <c r="CB42" s="100">
        <v>3.9965100167977261</v>
      </c>
      <c r="CC42" s="100">
        <v>3381.0474742108763</v>
      </c>
      <c r="CD42" s="100">
        <v>2.7933521385003566</v>
      </c>
      <c r="CE42" s="100">
        <v>2363.1759091713016</v>
      </c>
      <c r="CF42" s="100">
        <v>3.2242244823274797</v>
      </c>
      <c r="CG42" s="100">
        <v>2727.6939120490479</v>
      </c>
      <c r="CH42" s="100">
        <v>6</v>
      </c>
      <c r="CI42" s="100">
        <v>5076</v>
      </c>
      <c r="CJ42" s="100">
        <v>4.8864568095137697</v>
      </c>
      <c r="CK42" s="100">
        <v>4133.9424608486488</v>
      </c>
      <c r="CL42" s="100">
        <v>3.1408174804120401</v>
      </c>
      <c r="CM42" s="100">
        <v>2657.1315884285859</v>
      </c>
      <c r="CN42" s="100">
        <v>9</v>
      </c>
      <c r="CO42" s="100">
        <v>7614</v>
      </c>
      <c r="CP42" s="100">
        <v>8.0295216890378907</v>
      </c>
      <c r="CQ42" s="100">
        <v>6792.9753489260556</v>
      </c>
      <c r="CR42" s="100">
        <v>3.1838691235982752</v>
      </c>
      <c r="CS42" s="100">
        <v>2693.5532785641408</v>
      </c>
      <c r="CT42" s="100">
        <v>6.3571117925205529</v>
      </c>
      <c r="CU42" s="100">
        <v>5378.1165764723874</v>
      </c>
    </row>
    <row r="43" spans="2:99">
      <c r="C43" s="99" t="s">
        <v>209</v>
      </c>
      <c r="D43" s="100">
        <v>2.9020079999427573</v>
      </c>
      <c r="E43" s="100">
        <v>2967.0129791414752</v>
      </c>
      <c r="F43" s="100">
        <v>3.0138278312968438</v>
      </c>
      <c r="G43" s="100">
        <v>3081.3375747178929</v>
      </c>
      <c r="H43" s="100">
        <v>4.291782871365589</v>
      </c>
      <c r="I43" s="100">
        <v>4387.9188076841783</v>
      </c>
      <c r="J43" s="100">
        <v>9</v>
      </c>
      <c r="K43" s="100">
        <v>9201.6</v>
      </c>
      <c r="L43" s="100">
        <v>6.2947954302272429</v>
      </c>
      <c r="M43" s="100">
        <v>6435.7988478643329</v>
      </c>
      <c r="N43" s="100">
        <v>4.4158828945094086</v>
      </c>
      <c r="O43" s="100">
        <v>4514.7986713464197</v>
      </c>
      <c r="P43" s="100">
        <v>4.3994113732988778</v>
      </c>
      <c r="Q43" s="100">
        <v>4497.958188060773</v>
      </c>
      <c r="R43" s="100">
        <v>5</v>
      </c>
      <c r="S43" s="100">
        <v>5112</v>
      </c>
      <c r="T43" s="100">
        <v>9</v>
      </c>
      <c r="U43" s="100">
        <v>9201.6</v>
      </c>
      <c r="V43" s="100">
        <v>8</v>
      </c>
      <c r="W43" s="100">
        <v>8179.2</v>
      </c>
      <c r="X43" s="100">
        <v>5.9357026414019742</v>
      </c>
      <c r="Y43" s="100">
        <v>6068.662380569378</v>
      </c>
      <c r="Z43" s="100">
        <v>3.5378822559498673</v>
      </c>
      <c r="AA43" s="100">
        <v>3617.1308184831441</v>
      </c>
      <c r="AB43" s="100">
        <v>6</v>
      </c>
      <c r="AC43" s="100">
        <v>6134.4</v>
      </c>
      <c r="AD43" s="100">
        <v>3.1040756908892799</v>
      </c>
      <c r="AE43" s="100">
        <v>3173.6069863651996</v>
      </c>
      <c r="AF43" s="100">
        <v>5</v>
      </c>
      <c r="AG43" s="100">
        <v>5112</v>
      </c>
      <c r="AH43" s="100">
        <v>8</v>
      </c>
      <c r="AI43" s="100">
        <v>8179.2</v>
      </c>
      <c r="AJ43" s="100">
        <v>6.1005418969043079</v>
      </c>
      <c r="AK43" s="100">
        <v>6237.194035394964</v>
      </c>
      <c r="AL43" s="100">
        <v>5.1640276831313594</v>
      </c>
      <c r="AM43" s="100">
        <v>5279.701903233502</v>
      </c>
      <c r="AN43" s="100">
        <v>1.5755623642000018</v>
      </c>
      <c r="AO43" s="100">
        <v>1610.8549611580818</v>
      </c>
      <c r="AP43" s="100">
        <v>8</v>
      </c>
      <c r="AQ43" s="100">
        <v>8179.2</v>
      </c>
      <c r="AR43" s="100">
        <v>7.716127850445174</v>
      </c>
      <c r="AS43" s="100">
        <v>7888.969114295146</v>
      </c>
      <c r="AT43" s="100">
        <v>5.3297721585870637</v>
      </c>
      <c r="AU43" s="100">
        <v>5449.1590549394141</v>
      </c>
      <c r="AV43" s="100">
        <v>1.581839505093229</v>
      </c>
      <c r="AW43" s="100">
        <v>1617.2727100073173</v>
      </c>
      <c r="AX43" s="100">
        <v>9</v>
      </c>
      <c r="AY43" s="100">
        <v>9201.6</v>
      </c>
      <c r="AZ43" s="100">
        <v>8</v>
      </c>
      <c r="BA43" s="100">
        <v>8179.2</v>
      </c>
      <c r="BB43" s="100">
        <v>4.8849733984730852</v>
      </c>
      <c r="BC43" s="100">
        <v>4994.3968025988825</v>
      </c>
      <c r="BD43" s="100">
        <v>1.5488826731965109</v>
      </c>
      <c r="BE43" s="100">
        <v>1583.5776450761127</v>
      </c>
      <c r="BF43" s="100">
        <v>6.1821165416261161</v>
      </c>
      <c r="BG43" s="100">
        <v>6320.595952158541</v>
      </c>
      <c r="BH43" s="100">
        <v>4.7428362684587775</v>
      </c>
      <c r="BI43" s="100">
        <v>4849.0758008722541</v>
      </c>
      <c r="BJ43" s="100">
        <v>6.3000716435548982</v>
      </c>
      <c r="BK43" s="100">
        <v>6441.1932483705277</v>
      </c>
      <c r="BL43" s="100">
        <v>3.4188219474478894</v>
      </c>
      <c r="BM43" s="100">
        <v>3495.4035590707222</v>
      </c>
      <c r="BN43" s="100">
        <v>4.7336920428704135</v>
      </c>
      <c r="BO43" s="100">
        <v>4839.7267446307105</v>
      </c>
      <c r="BP43" s="100">
        <v>5</v>
      </c>
      <c r="BQ43" s="100">
        <v>5112</v>
      </c>
      <c r="BR43" s="100">
        <v>6</v>
      </c>
      <c r="BS43" s="100">
        <v>6134.4</v>
      </c>
      <c r="BT43" s="100">
        <v>5</v>
      </c>
      <c r="BU43" s="100">
        <v>5112</v>
      </c>
      <c r="BV43" s="100">
        <v>4.2818420390041645</v>
      </c>
      <c r="BW43" s="100">
        <v>4377.755300677858</v>
      </c>
      <c r="BX43" s="100">
        <v>6.471761245230903</v>
      </c>
      <c r="BY43" s="100">
        <v>6616.7286971240746</v>
      </c>
      <c r="BZ43" s="100">
        <v>2.6365907824976778</v>
      </c>
      <c r="CA43" s="100">
        <v>2695.6504160256259</v>
      </c>
      <c r="CB43" s="100">
        <v>3.9733710970673219</v>
      </c>
      <c r="CC43" s="100">
        <v>4062.3746096416298</v>
      </c>
      <c r="CD43" s="100">
        <v>2.4777426591218235</v>
      </c>
      <c r="CE43" s="100">
        <v>2533.244094686152</v>
      </c>
      <c r="CF43" s="100">
        <v>3.2242244823274797</v>
      </c>
      <c r="CG43" s="100">
        <v>3296.4471107316153</v>
      </c>
      <c r="CH43" s="100">
        <v>5</v>
      </c>
      <c r="CI43" s="100">
        <v>5112</v>
      </c>
      <c r="CJ43" s="100">
        <v>4.9151874115275982</v>
      </c>
      <c r="CK43" s="100">
        <v>5025.2876095458159</v>
      </c>
      <c r="CL43" s="100">
        <v>2.7918377603662581</v>
      </c>
      <c r="CM43" s="100">
        <v>2854.3749261984622</v>
      </c>
      <c r="CN43" s="100">
        <v>8</v>
      </c>
      <c r="CO43" s="100">
        <v>8179.2</v>
      </c>
      <c r="CP43" s="100">
        <v>8.8306210510339529</v>
      </c>
      <c r="CQ43" s="100">
        <v>9028.426962577114</v>
      </c>
      <c r="CR43" s="100">
        <v>2.7921689759318338</v>
      </c>
      <c r="CS43" s="100">
        <v>2854.7135609927068</v>
      </c>
      <c r="CT43" s="100">
        <v>5.7352601240814263</v>
      </c>
      <c r="CU43" s="100">
        <v>5863.7299508608503</v>
      </c>
    </row>
    <row r="44" spans="2:99">
      <c r="C44" s="99" t="s">
        <v>210</v>
      </c>
      <c r="D44" s="100">
        <v>2.9020079999427573</v>
      </c>
      <c r="E44" s="100">
        <v>2967.0129791414752</v>
      </c>
      <c r="F44" s="100">
        <v>3.0138278312968438</v>
      </c>
      <c r="G44" s="100">
        <v>3081.3375747178929</v>
      </c>
      <c r="H44" s="100">
        <v>3.8149181078805232</v>
      </c>
      <c r="I44" s="100">
        <v>3900.372273497047</v>
      </c>
      <c r="J44" s="100">
        <v>9</v>
      </c>
      <c r="K44" s="100">
        <v>9201.6</v>
      </c>
      <c r="L44" s="100">
        <v>6.2947954302272429</v>
      </c>
      <c r="M44" s="100">
        <v>6435.7988478643329</v>
      </c>
      <c r="N44" s="100">
        <v>3.9493939327493752</v>
      </c>
      <c r="O44" s="100">
        <v>4037.8603568429612</v>
      </c>
      <c r="P44" s="100">
        <v>4.3994113732988778</v>
      </c>
      <c r="Q44" s="100">
        <v>4497.958188060773</v>
      </c>
      <c r="R44" s="100">
        <v>5</v>
      </c>
      <c r="S44" s="100">
        <v>5112</v>
      </c>
      <c r="T44" s="100">
        <v>8</v>
      </c>
      <c r="U44" s="100">
        <v>8179.2</v>
      </c>
      <c r="V44" s="100">
        <v>8</v>
      </c>
      <c r="W44" s="100">
        <v>8179.2</v>
      </c>
      <c r="X44" s="100">
        <v>4.9464188678349785</v>
      </c>
      <c r="Y44" s="100">
        <v>5057.2186504744823</v>
      </c>
      <c r="Z44" s="100">
        <v>3.0956469739561339</v>
      </c>
      <c r="AA44" s="100">
        <v>3164.9894661727512</v>
      </c>
      <c r="AB44" s="100">
        <v>6</v>
      </c>
      <c r="AC44" s="100">
        <v>6134.4</v>
      </c>
      <c r="AD44" s="100">
        <v>3.1040756908892799</v>
      </c>
      <c r="AE44" s="100">
        <v>3173.6069863651996</v>
      </c>
      <c r="AF44" s="100">
        <v>5</v>
      </c>
      <c r="AG44" s="100">
        <v>5112</v>
      </c>
      <c r="AH44" s="100">
        <v>8</v>
      </c>
      <c r="AI44" s="100">
        <v>8179.2</v>
      </c>
      <c r="AJ44" s="100">
        <v>6.1005418969043079</v>
      </c>
      <c r="AK44" s="100">
        <v>6237.194035394964</v>
      </c>
      <c r="AL44" s="100">
        <v>4.5185242227399396</v>
      </c>
      <c r="AM44" s="100">
        <v>4619.7391653293143</v>
      </c>
      <c r="AN44" s="100">
        <v>1.5755623642000018</v>
      </c>
      <c r="AO44" s="100">
        <v>1610.8549611580818</v>
      </c>
      <c r="AP44" s="100">
        <v>9</v>
      </c>
      <c r="AQ44" s="100">
        <v>9201.6</v>
      </c>
      <c r="AR44" s="100">
        <v>7.716127850445174</v>
      </c>
      <c r="AS44" s="100">
        <v>7888.969114295146</v>
      </c>
      <c r="AT44" s="100">
        <v>5.3297721585870637</v>
      </c>
      <c r="AU44" s="100">
        <v>5449.1590549394141</v>
      </c>
      <c r="AV44" s="100">
        <v>1.581839505093229</v>
      </c>
      <c r="AW44" s="100">
        <v>1617.2727100073173</v>
      </c>
      <c r="AX44" s="100">
        <v>9</v>
      </c>
      <c r="AY44" s="100">
        <v>9201.6</v>
      </c>
      <c r="AZ44" s="100">
        <v>9</v>
      </c>
      <c r="BA44" s="100">
        <v>9201.6</v>
      </c>
      <c r="BB44" s="100">
        <v>4.0708111653942369</v>
      </c>
      <c r="BC44" s="100">
        <v>4161.997335499068</v>
      </c>
      <c r="BD44" s="100">
        <v>1.5488826731965109</v>
      </c>
      <c r="BE44" s="100">
        <v>1583.5776450761127</v>
      </c>
      <c r="BF44" s="100">
        <v>6.2136914479233667</v>
      </c>
      <c r="BG44" s="100">
        <v>6352.8781363568496</v>
      </c>
      <c r="BH44" s="100">
        <v>4.7428362684587775</v>
      </c>
      <c r="BI44" s="100">
        <v>4849.0758008722541</v>
      </c>
      <c r="BJ44" s="100">
        <v>7.1454073523259058</v>
      </c>
      <c r="BK44" s="100">
        <v>7305.4644770180057</v>
      </c>
      <c r="BL44" s="100">
        <v>3.4367403445610623</v>
      </c>
      <c r="BM44" s="100">
        <v>3513.7233282792299</v>
      </c>
      <c r="BN44" s="100">
        <v>5.5226407166821492</v>
      </c>
      <c r="BO44" s="100">
        <v>5646.3478687358293</v>
      </c>
      <c r="BP44" s="100">
        <v>5</v>
      </c>
      <c r="BQ44" s="100">
        <v>5112</v>
      </c>
      <c r="BR44" s="100">
        <v>7</v>
      </c>
      <c r="BS44" s="100">
        <v>7156.8</v>
      </c>
      <c r="BT44" s="100">
        <v>5</v>
      </c>
      <c r="BU44" s="100">
        <v>5112</v>
      </c>
      <c r="BV44" s="100">
        <v>4.2818420390041645</v>
      </c>
      <c r="BW44" s="100">
        <v>4377.755300677858</v>
      </c>
      <c r="BX44" s="100">
        <v>7.1336897785143201</v>
      </c>
      <c r="BY44" s="100">
        <v>7293.4844295530411</v>
      </c>
      <c r="BZ44" s="100">
        <v>2.2248631035098891</v>
      </c>
      <c r="CA44" s="100">
        <v>2274.7000370285105</v>
      </c>
      <c r="CB44" s="100">
        <v>4.4729348491670375</v>
      </c>
      <c r="CC44" s="100">
        <v>4573.128589788379</v>
      </c>
      <c r="CD44" s="100">
        <v>2.4777426591218235</v>
      </c>
      <c r="CE44" s="100">
        <v>2533.244094686152</v>
      </c>
      <c r="CF44" s="100">
        <v>3.7615952293820594</v>
      </c>
      <c r="CG44" s="100">
        <v>3845.8549625202172</v>
      </c>
      <c r="CH44" s="100">
        <v>6</v>
      </c>
      <c r="CI44" s="100">
        <v>6134.4</v>
      </c>
      <c r="CJ44" s="100">
        <v>5.432620056171876</v>
      </c>
      <c r="CK44" s="100">
        <v>5554.3107454301262</v>
      </c>
      <c r="CL44" s="100">
        <v>3.1408174804120401</v>
      </c>
      <c r="CM44" s="100">
        <v>3211.1717919732696</v>
      </c>
      <c r="CN44" s="100">
        <v>8</v>
      </c>
      <c r="CO44" s="100">
        <v>8179.2</v>
      </c>
      <c r="CP44" s="100">
        <v>8.0295216890378907</v>
      </c>
      <c r="CQ44" s="100">
        <v>8209.3829748723401</v>
      </c>
      <c r="CR44" s="100">
        <v>2.7993501105413685</v>
      </c>
      <c r="CS44" s="100">
        <v>2862.0555530174952</v>
      </c>
      <c r="CT44" s="100">
        <v>5.1134084556422996</v>
      </c>
      <c r="CU44" s="100">
        <v>5227.9488050486871</v>
      </c>
    </row>
    <row r="45" spans="2:99">
      <c r="C45" s="99" t="s">
        <v>211</v>
      </c>
      <c r="D45" s="100">
        <v>2.8913006668946233</v>
      </c>
      <c r="E45" s="100">
        <v>3611.8127930847636</v>
      </c>
      <c r="F45" s="100">
        <v>2.5223990738717394</v>
      </c>
      <c r="G45" s="100">
        <v>3150.9809230805772</v>
      </c>
      <c r="H45" s="100">
        <v>4.291782871365589</v>
      </c>
      <c r="I45" s="100">
        <v>5361.2951629098943</v>
      </c>
      <c r="J45" s="100">
        <v>9</v>
      </c>
      <c r="K45" s="100">
        <v>11242.800000000001</v>
      </c>
      <c r="L45" s="100">
        <v>6.2579460014488379</v>
      </c>
      <c r="M45" s="100">
        <v>7817.4261450098884</v>
      </c>
      <c r="N45" s="100">
        <v>4.4158828945094086</v>
      </c>
      <c r="O45" s="100">
        <v>5516.3209118211535</v>
      </c>
      <c r="P45" s="100">
        <v>3.7709240342561814</v>
      </c>
      <c r="Q45" s="100">
        <v>4710.638303592822</v>
      </c>
      <c r="R45" s="100">
        <v>5</v>
      </c>
      <c r="S45" s="100">
        <v>6246</v>
      </c>
      <c r="T45" s="100">
        <v>8</v>
      </c>
      <c r="U45" s="100">
        <v>9993.6</v>
      </c>
      <c r="V45" s="100">
        <v>8</v>
      </c>
      <c r="W45" s="100">
        <v>9993.6</v>
      </c>
      <c r="X45" s="100">
        <v>5.9357026414019742</v>
      </c>
      <c r="Y45" s="100">
        <v>7414.8797396393466</v>
      </c>
      <c r="Z45" s="100">
        <v>3.0956469739561339</v>
      </c>
      <c r="AA45" s="100">
        <v>3867.0821998660026</v>
      </c>
      <c r="AB45" s="100">
        <v>6</v>
      </c>
      <c r="AC45" s="100">
        <v>7495.2000000000007</v>
      </c>
      <c r="AD45" s="100">
        <v>2.5867297424077331</v>
      </c>
      <c r="AE45" s="100">
        <v>3231.3427942157405</v>
      </c>
      <c r="AF45" s="100">
        <v>4</v>
      </c>
      <c r="AG45" s="100">
        <v>4996.8</v>
      </c>
      <c r="AH45" s="100">
        <v>7</v>
      </c>
      <c r="AI45" s="100">
        <v>8744.4</v>
      </c>
      <c r="AJ45" s="100">
        <v>5.2290359116322644</v>
      </c>
      <c r="AK45" s="100">
        <v>6532.1116608110251</v>
      </c>
      <c r="AL45" s="100">
        <v>5.1640276831313594</v>
      </c>
      <c r="AM45" s="100">
        <v>6450.9033817676946</v>
      </c>
      <c r="AN45" s="100">
        <v>1.3504820264571444</v>
      </c>
      <c r="AO45" s="100">
        <v>1687.0221474502648</v>
      </c>
      <c r="AP45" s="100">
        <v>7</v>
      </c>
      <c r="AQ45" s="100">
        <v>8744.4</v>
      </c>
      <c r="AR45" s="100">
        <v>6.751611869139527</v>
      </c>
      <c r="AS45" s="100">
        <v>8434.1135469290966</v>
      </c>
      <c r="AT45" s="100">
        <v>5.3625696623510963</v>
      </c>
      <c r="AU45" s="100">
        <v>6698.9220222089898</v>
      </c>
      <c r="AV45" s="100">
        <v>1.581839505093229</v>
      </c>
      <c r="AW45" s="100">
        <v>1976.0339097624617</v>
      </c>
      <c r="AX45" s="100">
        <v>9</v>
      </c>
      <c r="AY45" s="100">
        <v>11242.800000000001</v>
      </c>
      <c r="AZ45" s="100">
        <v>9</v>
      </c>
      <c r="BA45" s="100">
        <v>11242.800000000001</v>
      </c>
      <c r="BB45" s="100">
        <v>4.0708111653942369</v>
      </c>
      <c r="BC45" s="100">
        <v>5085.2573078104806</v>
      </c>
      <c r="BD45" s="100">
        <v>1.3276137198827236</v>
      </c>
      <c r="BE45" s="100">
        <v>1658.4550588774985</v>
      </c>
      <c r="BF45" s="100">
        <v>6.9075187498835069</v>
      </c>
      <c r="BG45" s="100">
        <v>8628.8724223544777</v>
      </c>
      <c r="BH45" s="100">
        <v>4.7428362684587775</v>
      </c>
      <c r="BI45" s="100">
        <v>5924.7510665587051</v>
      </c>
      <c r="BJ45" s="100">
        <v>6.3000716435548982</v>
      </c>
      <c r="BK45" s="100">
        <v>7870.049497128779</v>
      </c>
      <c r="BL45" s="100">
        <v>3.4188219474478894</v>
      </c>
      <c r="BM45" s="100">
        <v>4270.7923767519032</v>
      </c>
      <c r="BN45" s="100">
        <v>5.5226407166821492</v>
      </c>
      <c r="BO45" s="100">
        <v>6898.8827832793413</v>
      </c>
      <c r="BP45" s="100">
        <v>5</v>
      </c>
      <c r="BQ45" s="100">
        <v>6246</v>
      </c>
      <c r="BR45" s="100">
        <v>6</v>
      </c>
      <c r="BS45" s="100">
        <v>7495.2000000000007</v>
      </c>
      <c r="BT45" s="100">
        <v>5</v>
      </c>
      <c r="BU45" s="100">
        <v>6246</v>
      </c>
      <c r="BV45" s="100">
        <v>4.9954823788381928</v>
      </c>
      <c r="BW45" s="100">
        <v>6240.356587644671</v>
      </c>
      <c r="BX45" s="100">
        <v>7.8691391229829586</v>
      </c>
      <c r="BY45" s="100">
        <v>9830.128592430312</v>
      </c>
      <c r="BZ45" s="100">
        <v>2.206393691446451</v>
      </c>
      <c r="CA45" s="100">
        <v>2756.2269993549066</v>
      </c>
      <c r="CB45" s="100">
        <v>3.9965100167977261</v>
      </c>
      <c r="CC45" s="100">
        <v>4992.4403129837192</v>
      </c>
      <c r="CD45" s="100">
        <v>2.7933521385003566</v>
      </c>
      <c r="CE45" s="100">
        <v>3489.4554914146456</v>
      </c>
      <c r="CF45" s="100">
        <v>3.7615952293820594</v>
      </c>
      <c r="CG45" s="100">
        <v>4698.9847605440691</v>
      </c>
      <c r="CH45" s="100">
        <v>5</v>
      </c>
      <c r="CI45" s="100">
        <v>6246</v>
      </c>
      <c r="CJ45" s="100">
        <v>4.8864568095137697</v>
      </c>
      <c r="CK45" s="100">
        <v>6104.161846444601</v>
      </c>
      <c r="CL45" s="100">
        <v>3.1408174804120401</v>
      </c>
      <c r="CM45" s="100">
        <v>3923.5091965307206</v>
      </c>
      <c r="CN45" s="100">
        <v>8</v>
      </c>
      <c r="CO45" s="100">
        <v>9993.6</v>
      </c>
      <c r="CP45" s="100">
        <v>7.9953705460765034</v>
      </c>
      <c r="CQ45" s="100">
        <v>9987.8168861587692</v>
      </c>
      <c r="CR45" s="100">
        <v>2.7993501105413685</v>
      </c>
      <c r="CS45" s="100">
        <v>3496.9481580882775</v>
      </c>
      <c r="CT45" s="100">
        <v>5.7352601240814263</v>
      </c>
      <c r="CU45" s="100">
        <v>7164.4869470025178</v>
      </c>
    </row>
    <row r="46" spans="2:99">
      <c r="C46" s="99" t="s">
        <v>212</v>
      </c>
      <c r="D46" s="100">
        <v>2.4433237770646095</v>
      </c>
      <c r="E46" s="100">
        <v>2961.3084178023068</v>
      </c>
      <c r="F46" s="100">
        <v>3.0065772438805975</v>
      </c>
      <c r="G46" s="100">
        <v>3643.9716195832843</v>
      </c>
      <c r="H46" s="100">
        <v>4.291782871365589</v>
      </c>
      <c r="I46" s="100">
        <v>5201.6408400950941</v>
      </c>
      <c r="J46" s="100">
        <v>8</v>
      </c>
      <c r="K46" s="100">
        <v>9696</v>
      </c>
      <c r="L46" s="100">
        <v>7.2947954302272429</v>
      </c>
      <c r="M46" s="100">
        <v>8841.2920614354189</v>
      </c>
      <c r="N46" s="100">
        <v>4.3961117819031257</v>
      </c>
      <c r="O46" s="100">
        <v>5328.0874796665885</v>
      </c>
      <c r="P46" s="100">
        <v>3.7709240342561814</v>
      </c>
      <c r="Q46" s="100">
        <v>4570.3599295184922</v>
      </c>
      <c r="R46" s="100">
        <v>5</v>
      </c>
      <c r="S46" s="100">
        <v>6060</v>
      </c>
      <c r="T46" s="100">
        <v>8</v>
      </c>
      <c r="U46" s="100">
        <v>9696</v>
      </c>
      <c r="V46" s="100">
        <v>8</v>
      </c>
      <c r="W46" s="100">
        <v>9696</v>
      </c>
      <c r="X46" s="100">
        <v>5.9357026414019742</v>
      </c>
      <c r="Y46" s="100">
        <v>7194.0716013791925</v>
      </c>
      <c r="Z46" s="100">
        <v>3.0956469739561339</v>
      </c>
      <c r="AA46" s="100">
        <v>3751.9241324348341</v>
      </c>
      <c r="AB46" s="100">
        <v>6</v>
      </c>
      <c r="AC46" s="100">
        <v>7272</v>
      </c>
      <c r="AD46" s="100">
        <v>2.5867297424077331</v>
      </c>
      <c r="AE46" s="100">
        <v>3135.1164477981724</v>
      </c>
      <c r="AF46" s="100">
        <v>5</v>
      </c>
      <c r="AG46" s="100">
        <v>6060</v>
      </c>
      <c r="AH46" s="100">
        <v>8</v>
      </c>
      <c r="AI46" s="100">
        <v>9696</v>
      </c>
      <c r="AJ46" s="100">
        <v>6.1005418969043079</v>
      </c>
      <c r="AK46" s="100">
        <v>7393.8567790480211</v>
      </c>
      <c r="AL46" s="100">
        <v>5.1640276831313594</v>
      </c>
      <c r="AM46" s="100">
        <v>6258.8015519552073</v>
      </c>
      <c r="AN46" s="100">
        <v>1.3504820264571444</v>
      </c>
      <c r="AO46" s="100">
        <v>1636.7842160660591</v>
      </c>
      <c r="AP46" s="100">
        <v>8</v>
      </c>
      <c r="AQ46" s="100">
        <v>9696</v>
      </c>
      <c r="AR46" s="100">
        <v>7.716127850445174</v>
      </c>
      <c r="AS46" s="100">
        <v>9351.9469547395511</v>
      </c>
      <c r="AT46" s="100">
        <v>4.633971143459835</v>
      </c>
      <c r="AU46" s="100">
        <v>5616.3730258733203</v>
      </c>
      <c r="AV46" s="100">
        <v>1.3841095669565753</v>
      </c>
      <c r="AW46" s="100">
        <v>1677.5407951513691</v>
      </c>
      <c r="AX46" s="100">
        <v>8</v>
      </c>
      <c r="AY46" s="100">
        <v>9696</v>
      </c>
      <c r="AZ46" s="100">
        <v>8</v>
      </c>
      <c r="BA46" s="100">
        <v>9696</v>
      </c>
      <c r="BB46" s="100">
        <v>4.0708111653942369</v>
      </c>
      <c r="BC46" s="100">
        <v>4933.8231324578155</v>
      </c>
      <c r="BD46" s="100">
        <v>1.5488826731965109</v>
      </c>
      <c r="BE46" s="100">
        <v>1877.2457999141711</v>
      </c>
      <c r="BF46" s="100">
        <v>6.1189667290316176</v>
      </c>
      <c r="BG46" s="100">
        <v>7416.1876755863204</v>
      </c>
      <c r="BH46" s="100">
        <v>5.3356908020161251</v>
      </c>
      <c r="BI46" s="100">
        <v>6466.8572520435437</v>
      </c>
      <c r="BJ46" s="100">
        <v>6.2809355594470064</v>
      </c>
      <c r="BK46" s="100">
        <v>7612.4938980497718</v>
      </c>
      <c r="BL46" s="100">
        <v>3.4188219474478894</v>
      </c>
      <c r="BM46" s="100">
        <v>4143.6122003068422</v>
      </c>
      <c r="BN46" s="100">
        <v>4.7336920428704135</v>
      </c>
      <c r="BO46" s="100">
        <v>5737.2347559589407</v>
      </c>
      <c r="BP46" s="100">
        <v>4</v>
      </c>
      <c r="BQ46" s="100">
        <v>4848</v>
      </c>
      <c r="BR46" s="100">
        <v>7</v>
      </c>
      <c r="BS46" s="100">
        <v>8484</v>
      </c>
      <c r="BT46" s="100">
        <v>5</v>
      </c>
      <c r="BU46" s="100">
        <v>6060</v>
      </c>
      <c r="BV46" s="100">
        <v>4.2818420390041645</v>
      </c>
      <c r="BW46" s="100">
        <v>5189.5925512730473</v>
      </c>
      <c r="BX46" s="100">
        <v>7.8691391229829586</v>
      </c>
      <c r="BY46" s="100">
        <v>9537.3966170553449</v>
      </c>
      <c r="BZ46" s="100">
        <v>2.2248631035098891</v>
      </c>
      <c r="CA46" s="100">
        <v>2696.5340814539854</v>
      </c>
      <c r="CB46" s="100">
        <v>3.9733710970673219</v>
      </c>
      <c r="CC46" s="100">
        <v>4815.7257696455945</v>
      </c>
      <c r="CD46" s="100">
        <v>2.778436788307463</v>
      </c>
      <c r="CE46" s="100">
        <v>3367.465387428645</v>
      </c>
      <c r="CF46" s="100">
        <v>3.2242244823274797</v>
      </c>
      <c r="CG46" s="100">
        <v>3907.7600725809052</v>
      </c>
      <c r="CH46" s="100">
        <v>5</v>
      </c>
      <c r="CI46" s="100">
        <v>6060</v>
      </c>
      <c r="CJ46" s="100">
        <v>4.8864568095137697</v>
      </c>
      <c r="CK46" s="100">
        <v>5922.3856531306892</v>
      </c>
      <c r="CL46" s="100">
        <v>3.1408174804120401</v>
      </c>
      <c r="CM46" s="100">
        <v>3806.6707862593926</v>
      </c>
      <c r="CN46" s="100">
        <v>9</v>
      </c>
      <c r="CO46" s="100">
        <v>10908</v>
      </c>
      <c r="CP46" s="100">
        <v>7.1601200411190513</v>
      </c>
      <c r="CQ46" s="100">
        <v>8678.06548983629</v>
      </c>
      <c r="CR46" s="100">
        <v>2.7993501105413685</v>
      </c>
      <c r="CS46" s="100">
        <v>3392.8123339761387</v>
      </c>
      <c r="CT46" s="100">
        <v>5.7525845125975881</v>
      </c>
      <c r="CU46" s="100">
        <v>6972.1324292682766</v>
      </c>
    </row>
    <row r="47" spans="2:99">
      <c r="C47" s="99" t="s">
        <v>213</v>
      </c>
      <c r="D47" s="100">
        <v>2.4219091109683424</v>
      </c>
      <c r="E47" s="100">
        <v>3699.7083579152395</v>
      </c>
      <c r="F47" s="100">
        <v>3.0065772438805975</v>
      </c>
      <c r="G47" s="100">
        <v>4592.8473977520007</v>
      </c>
      <c r="H47" s="100">
        <v>4.291782871365589</v>
      </c>
      <c r="I47" s="100">
        <v>6556.127514298073</v>
      </c>
      <c r="J47" s="100">
        <v>9</v>
      </c>
      <c r="K47" s="100">
        <v>13748.4</v>
      </c>
      <c r="L47" s="100">
        <v>6.2579460014488379</v>
      </c>
      <c r="M47" s="100">
        <v>9559.6383118132435</v>
      </c>
      <c r="N47" s="100">
        <v>3.9296228201430932</v>
      </c>
      <c r="O47" s="100">
        <v>6002.8918200505886</v>
      </c>
      <c r="P47" s="100">
        <v>3.7709240342561814</v>
      </c>
      <c r="Q47" s="100">
        <v>5760.4635547297421</v>
      </c>
      <c r="R47" s="100">
        <v>4</v>
      </c>
      <c r="S47" s="100">
        <v>6110.4</v>
      </c>
      <c r="T47" s="100">
        <v>9</v>
      </c>
      <c r="U47" s="100">
        <v>13748.4</v>
      </c>
      <c r="V47" s="100">
        <v>9</v>
      </c>
      <c r="W47" s="100">
        <v>13748.4</v>
      </c>
      <c r="X47" s="100">
        <v>4.9464188678349785</v>
      </c>
      <c r="Y47" s="100">
        <v>7556.1494625047126</v>
      </c>
      <c r="Z47" s="100">
        <v>3.0956469739561339</v>
      </c>
      <c r="AA47" s="100">
        <v>4728.9103174153897</v>
      </c>
      <c r="AB47" s="100">
        <v>6</v>
      </c>
      <c r="AC47" s="100">
        <v>9165.5999999999985</v>
      </c>
      <c r="AD47" s="100">
        <v>2.5867297424077331</v>
      </c>
      <c r="AE47" s="100">
        <v>3951.488354502053</v>
      </c>
      <c r="AF47" s="100">
        <v>5</v>
      </c>
      <c r="AG47" s="100">
        <v>7638</v>
      </c>
      <c r="AH47" s="100">
        <v>9</v>
      </c>
      <c r="AI47" s="100">
        <v>13748.4</v>
      </c>
      <c r="AJ47" s="100">
        <v>6.1005418969043079</v>
      </c>
      <c r="AK47" s="100">
        <v>9319.1878017110193</v>
      </c>
      <c r="AL47" s="100">
        <v>4.5185242227399396</v>
      </c>
      <c r="AM47" s="100">
        <v>6902.4976026575314</v>
      </c>
      <c r="AN47" s="100">
        <v>1.3504820264571444</v>
      </c>
      <c r="AO47" s="100">
        <v>2062.9963436159337</v>
      </c>
      <c r="AP47" s="100">
        <v>7</v>
      </c>
      <c r="AQ47" s="100">
        <v>10693.199999999999</v>
      </c>
      <c r="AR47" s="100">
        <v>7.716127850445174</v>
      </c>
      <c r="AS47" s="100">
        <v>11787.156904340047</v>
      </c>
      <c r="AT47" s="100">
        <v>5.3625696623510963</v>
      </c>
      <c r="AU47" s="100">
        <v>8191.8614162075346</v>
      </c>
      <c r="AV47" s="100">
        <v>1.581839505093229</v>
      </c>
      <c r="AW47" s="100">
        <v>2416.4180279804164</v>
      </c>
      <c r="AX47" s="100">
        <v>9</v>
      </c>
      <c r="AY47" s="100">
        <v>13748.4</v>
      </c>
      <c r="AZ47" s="100">
        <v>9.2085860396645884</v>
      </c>
      <c r="BA47" s="100">
        <v>14067.036034191624</v>
      </c>
      <c r="BB47" s="100">
        <v>4.0708111653942369</v>
      </c>
      <c r="BC47" s="100">
        <v>6218.5711362562361</v>
      </c>
      <c r="BD47" s="100">
        <v>1.3276137198827236</v>
      </c>
      <c r="BE47" s="100">
        <v>2028.0627184928485</v>
      </c>
      <c r="BF47" s="100">
        <v>6.9075187498835069</v>
      </c>
      <c r="BG47" s="100">
        <v>10551.925642322045</v>
      </c>
      <c r="BH47" s="100">
        <v>5.3356908020161251</v>
      </c>
      <c r="BI47" s="100">
        <v>8150.8012691598324</v>
      </c>
      <c r="BJ47" s="100">
        <v>6.2617994753391137</v>
      </c>
      <c r="BK47" s="100">
        <v>9565.5248785280291</v>
      </c>
      <c r="BL47" s="100">
        <v>3.4367403445610623</v>
      </c>
      <c r="BM47" s="100">
        <v>5249.9645503514785</v>
      </c>
      <c r="BN47" s="100">
        <v>5.5226407166821492</v>
      </c>
      <c r="BO47" s="100">
        <v>8436.3859588036503</v>
      </c>
      <c r="BP47" s="100">
        <v>4</v>
      </c>
      <c r="BQ47" s="100">
        <v>6110.4</v>
      </c>
      <c r="BR47" s="100">
        <v>6</v>
      </c>
      <c r="BS47" s="100">
        <v>9165.5999999999985</v>
      </c>
      <c r="BT47" s="100">
        <v>4</v>
      </c>
      <c r="BU47" s="100">
        <v>6110.4</v>
      </c>
      <c r="BV47" s="100">
        <v>4.2818420390041645</v>
      </c>
      <c r="BW47" s="100">
        <v>6540.9418987827612</v>
      </c>
      <c r="BX47" s="100">
        <v>7.096929372921708</v>
      </c>
      <c r="BY47" s="100">
        <v>10841.2693100752</v>
      </c>
      <c r="BZ47" s="100">
        <v>2.206393691446451</v>
      </c>
      <c r="CA47" s="100">
        <v>3370.4870030535985</v>
      </c>
      <c r="CB47" s="100">
        <v>3.9965100167977261</v>
      </c>
      <c r="CC47" s="100">
        <v>6105.068701660206</v>
      </c>
      <c r="CD47" s="100">
        <v>2.8082674886932506</v>
      </c>
      <c r="CE47" s="100">
        <v>4289.9094157278096</v>
      </c>
      <c r="CF47" s="100">
        <v>3.7615952293820594</v>
      </c>
      <c r="CG47" s="100">
        <v>5746.212872404034</v>
      </c>
      <c r="CH47" s="100">
        <v>5</v>
      </c>
      <c r="CI47" s="100">
        <v>7638</v>
      </c>
      <c r="CJ47" s="100">
        <v>4.311562960841834</v>
      </c>
      <c r="CK47" s="100">
        <v>6586.343578981985</v>
      </c>
      <c r="CL47" s="100">
        <v>3.1408174804120401</v>
      </c>
      <c r="CM47" s="100">
        <v>4797.9127830774323</v>
      </c>
      <c r="CN47" s="100">
        <v>8</v>
      </c>
      <c r="CO47" s="100">
        <v>12220.8</v>
      </c>
      <c r="CP47" s="100">
        <v>8.0295216890378907</v>
      </c>
      <c r="CQ47" s="100">
        <v>12265.897332174281</v>
      </c>
      <c r="CR47" s="100">
        <v>2.7993501105413685</v>
      </c>
      <c r="CS47" s="100">
        <v>4276.2872288629942</v>
      </c>
      <c r="CT47" s="100">
        <v>5.7352601240814263</v>
      </c>
      <c r="CU47" s="100">
        <v>8761.1833655467854</v>
      </c>
    </row>
    <row r="48" spans="2:99">
      <c r="C48" s="99" t="s">
        <v>214</v>
      </c>
      <c r="D48" s="100">
        <v>2.9127153329908908</v>
      </c>
      <c r="E48" s="100">
        <v>2527.0718229028971</v>
      </c>
      <c r="F48" s="100">
        <v>3.0065772438805975</v>
      </c>
      <c r="G48" s="100">
        <v>2608.5064167908067</v>
      </c>
      <c r="H48" s="100">
        <v>3.8149181078805232</v>
      </c>
      <c r="I48" s="100">
        <v>3309.822950397142</v>
      </c>
      <c r="J48" s="100">
        <v>9</v>
      </c>
      <c r="K48" s="100">
        <v>7808.4000000000005</v>
      </c>
      <c r="L48" s="100">
        <v>7.2947954302272429</v>
      </c>
      <c r="M48" s="100">
        <v>6328.9645152651565</v>
      </c>
      <c r="N48" s="100">
        <v>3.9493939327493752</v>
      </c>
      <c r="O48" s="100">
        <v>3426.4941760533579</v>
      </c>
      <c r="P48" s="100">
        <v>4.3994113732988778</v>
      </c>
      <c r="Q48" s="100">
        <v>3816.9293074741063</v>
      </c>
      <c r="R48" s="100">
        <v>5</v>
      </c>
      <c r="S48" s="100">
        <v>4338</v>
      </c>
      <c r="T48" s="100">
        <v>8</v>
      </c>
      <c r="U48" s="100">
        <v>6940.8</v>
      </c>
      <c r="V48" s="100">
        <v>9</v>
      </c>
      <c r="W48" s="100">
        <v>7808.4000000000005</v>
      </c>
      <c r="X48" s="100">
        <v>4.9464188678349785</v>
      </c>
      <c r="Y48" s="100">
        <v>4291.5130097336278</v>
      </c>
      <c r="Z48" s="100">
        <v>3.5378822559498673</v>
      </c>
      <c r="AA48" s="100">
        <v>3069.466645262105</v>
      </c>
      <c r="AB48" s="100">
        <v>6</v>
      </c>
      <c r="AC48" s="100">
        <v>5205.6000000000004</v>
      </c>
      <c r="AD48" s="100">
        <v>3.1040756908892799</v>
      </c>
      <c r="AE48" s="100">
        <v>2693.0960694155392</v>
      </c>
      <c r="AF48" s="100">
        <v>5</v>
      </c>
      <c r="AG48" s="100">
        <v>4338</v>
      </c>
      <c r="AH48" s="100">
        <v>8</v>
      </c>
      <c r="AI48" s="100">
        <v>6940.8</v>
      </c>
      <c r="AJ48" s="100">
        <v>6.1005418969043079</v>
      </c>
      <c r="AK48" s="100">
        <v>5292.8301497541779</v>
      </c>
      <c r="AL48" s="100">
        <v>4.5185242227399396</v>
      </c>
      <c r="AM48" s="100">
        <v>3920.2716156491715</v>
      </c>
      <c r="AN48" s="100">
        <v>1.3504820264571444</v>
      </c>
      <c r="AO48" s="100">
        <v>1171.6782061542185</v>
      </c>
      <c r="AP48" s="100">
        <v>7</v>
      </c>
      <c r="AQ48" s="100">
        <v>6073.2</v>
      </c>
      <c r="AR48" s="100">
        <v>7.716127850445174</v>
      </c>
      <c r="AS48" s="100">
        <v>6694.5125230462336</v>
      </c>
      <c r="AT48" s="100">
        <v>5.3297721585870637</v>
      </c>
      <c r="AU48" s="100">
        <v>4624.1103247901365</v>
      </c>
      <c r="AV48" s="100">
        <v>1.581839505093229</v>
      </c>
      <c r="AW48" s="100">
        <v>1372.4039546188856</v>
      </c>
      <c r="AX48" s="100">
        <v>8</v>
      </c>
      <c r="AY48" s="100">
        <v>6940.8</v>
      </c>
      <c r="AZ48" s="100">
        <v>8.2085860396645884</v>
      </c>
      <c r="BA48" s="100">
        <v>7121.7692480129972</v>
      </c>
      <c r="BB48" s="100">
        <v>4.8849733984730852</v>
      </c>
      <c r="BC48" s="100">
        <v>4238.2029205152485</v>
      </c>
      <c r="BD48" s="100">
        <v>1.5488826731965109</v>
      </c>
      <c r="BE48" s="100">
        <v>1343.8106072652929</v>
      </c>
      <c r="BF48" s="100">
        <v>6.1821165416261161</v>
      </c>
      <c r="BG48" s="100">
        <v>5363.6043115148186</v>
      </c>
      <c r="BH48" s="100">
        <v>4.7428362684587775</v>
      </c>
      <c r="BI48" s="100">
        <v>4114.8847465148356</v>
      </c>
      <c r="BJ48" s="100">
        <v>7.1645434364337977</v>
      </c>
      <c r="BK48" s="100">
        <v>6215.9578854499632</v>
      </c>
      <c r="BL48" s="100">
        <v>3.9975848039124577</v>
      </c>
      <c r="BM48" s="100">
        <v>3468.3045758744483</v>
      </c>
      <c r="BN48" s="100">
        <v>4.7336920428704135</v>
      </c>
      <c r="BO48" s="100">
        <v>4106.9512163943709</v>
      </c>
      <c r="BP48" s="100">
        <v>5</v>
      </c>
      <c r="BQ48" s="100">
        <v>4338</v>
      </c>
      <c r="BR48" s="100">
        <v>6</v>
      </c>
      <c r="BS48" s="100">
        <v>5205.6000000000004</v>
      </c>
      <c r="BT48" s="100">
        <v>5</v>
      </c>
      <c r="BU48" s="100">
        <v>4338</v>
      </c>
      <c r="BV48" s="100">
        <v>4.2818420390041645</v>
      </c>
      <c r="BW48" s="100">
        <v>3714.9261530400131</v>
      </c>
      <c r="BX48" s="100">
        <v>7.9058995285755715</v>
      </c>
      <c r="BY48" s="100">
        <v>6859.1584309921664</v>
      </c>
      <c r="BZ48" s="100">
        <v>2.2248631035098891</v>
      </c>
      <c r="CA48" s="100">
        <v>1930.2912286051799</v>
      </c>
      <c r="CB48" s="100">
        <v>3.9733710970673219</v>
      </c>
      <c r="CC48" s="100">
        <v>3447.2967638156088</v>
      </c>
      <c r="CD48" s="100">
        <v>2.4777426591218235</v>
      </c>
      <c r="CE48" s="100">
        <v>2149.689531054094</v>
      </c>
      <c r="CF48" s="100">
        <v>3.2242244823274797</v>
      </c>
      <c r="CG48" s="100">
        <v>2797.3371608673215</v>
      </c>
      <c r="CH48" s="100">
        <v>5</v>
      </c>
      <c r="CI48" s="100">
        <v>4338</v>
      </c>
      <c r="CJ48" s="100">
        <v>5.4613506581857045</v>
      </c>
      <c r="CK48" s="100">
        <v>4738.2678310419178</v>
      </c>
      <c r="CL48" s="100">
        <v>2.7918377603662581</v>
      </c>
      <c r="CM48" s="100">
        <v>2422.1984408937656</v>
      </c>
      <c r="CN48" s="100">
        <v>9</v>
      </c>
      <c r="CO48" s="100">
        <v>7808.4000000000005</v>
      </c>
      <c r="CP48" s="100">
        <v>8.8306210510339529</v>
      </c>
      <c r="CQ48" s="100">
        <v>7661.4468238770578</v>
      </c>
      <c r="CR48" s="100">
        <v>3.19105025820781</v>
      </c>
      <c r="CS48" s="100">
        <v>2768.555204021096</v>
      </c>
      <c r="CT48" s="100">
        <v>6.3571117925205529</v>
      </c>
      <c r="CU48" s="100">
        <v>5515.4301911908315</v>
      </c>
    </row>
    <row r="49" spans="2:99">
      <c r="B49" s="99" t="s">
        <v>129</v>
      </c>
      <c r="C49" s="99" t="s">
        <v>215</v>
      </c>
      <c r="D49" s="100">
        <v>2.9422253417338693</v>
      </c>
      <c r="E49" s="100">
        <v>2898.6804066762079</v>
      </c>
      <c r="F49" s="100">
        <v>4.5367574340377317</v>
      </c>
      <c r="G49" s="100">
        <v>4469.6134240139727</v>
      </c>
      <c r="H49" s="100">
        <v>5.1877253993470225</v>
      </c>
      <c r="I49" s="100">
        <v>5110.9470634366862</v>
      </c>
      <c r="J49" s="100">
        <v>6.1867218314648893</v>
      </c>
      <c r="K49" s="100">
        <v>6095.1583483592085</v>
      </c>
      <c r="L49" s="100">
        <v>5.3226221869881458</v>
      </c>
      <c r="M49" s="100">
        <v>5243.8473786207205</v>
      </c>
      <c r="N49" s="100">
        <v>3.4757713263721417</v>
      </c>
      <c r="O49" s="100">
        <v>3424.3299107418338</v>
      </c>
      <c r="P49" s="100">
        <v>2.4007898327712009</v>
      </c>
      <c r="Q49" s="100">
        <v>2365.258143246187</v>
      </c>
      <c r="R49" s="100">
        <v>4</v>
      </c>
      <c r="S49" s="100">
        <v>3940.7999999999997</v>
      </c>
      <c r="T49" s="100">
        <v>5</v>
      </c>
      <c r="U49" s="100">
        <v>4926</v>
      </c>
      <c r="V49" s="100">
        <v>6</v>
      </c>
      <c r="W49" s="100">
        <v>5911.2</v>
      </c>
      <c r="X49" s="100">
        <v>4.2413377052726133</v>
      </c>
      <c r="Y49" s="100">
        <v>4178.5659072345779</v>
      </c>
      <c r="Z49" s="100">
        <v>5</v>
      </c>
      <c r="AA49" s="100">
        <v>4926</v>
      </c>
      <c r="AB49" s="100">
        <v>6.0192534846973755</v>
      </c>
      <c r="AC49" s="100">
        <v>5930.1685331238541</v>
      </c>
      <c r="AD49" s="100">
        <v>2.3877494061896547</v>
      </c>
      <c r="AE49" s="100">
        <v>2352.4107149780475</v>
      </c>
      <c r="AF49" s="100">
        <v>2.2140617346667741</v>
      </c>
      <c r="AG49" s="100">
        <v>2181.2936209937056</v>
      </c>
      <c r="AH49" s="100">
        <v>5.5925176498753633</v>
      </c>
      <c r="AI49" s="100">
        <v>5509.7483886572072</v>
      </c>
      <c r="AJ49" s="100">
        <v>6.7028993332302012</v>
      </c>
      <c r="AK49" s="100">
        <v>6603.696423098394</v>
      </c>
      <c r="AL49" s="100">
        <v>6.3710600846368344</v>
      </c>
      <c r="AM49" s="100">
        <v>6276.7683953842088</v>
      </c>
      <c r="AN49" s="100">
        <v>5.0744174979834105</v>
      </c>
      <c r="AO49" s="100">
        <v>4999.316119013256</v>
      </c>
      <c r="AP49" s="100">
        <v>4.1985193625727639</v>
      </c>
      <c r="AQ49" s="100">
        <v>4136.3812760066867</v>
      </c>
      <c r="AR49" s="100">
        <v>4.3853812288692975</v>
      </c>
      <c r="AS49" s="100">
        <v>4320.4775866820319</v>
      </c>
      <c r="AT49" s="100">
        <v>4.3992149842610946</v>
      </c>
      <c r="AU49" s="100">
        <v>4334.1066024940301</v>
      </c>
      <c r="AV49" s="100">
        <v>5</v>
      </c>
      <c r="AW49" s="100">
        <v>4926</v>
      </c>
      <c r="AX49" s="100">
        <v>4.3392702549562658</v>
      </c>
      <c r="AY49" s="100">
        <v>4275.0490551829125</v>
      </c>
      <c r="AZ49" s="100">
        <v>2.8425674703325523</v>
      </c>
      <c r="BA49" s="100">
        <v>2800.4974717716304</v>
      </c>
      <c r="BB49" s="100">
        <v>0.93759741209738956</v>
      </c>
      <c r="BC49" s="100">
        <v>923.72097039834819</v>
      </c>
      <c r="BD49" s="100">
        <v>5.3573605354686871</v>
      </c>
      <c r="BE49" s="100">
        <v>5278.0715995437504</v>
      </c>
      <c r="BF49" s="100">
        <v>4.3037962497014135</v>
      </c>
      <c r="BG49" s="100">
        <v>4240.1000652058319</v>
      </c>
      <c r="BH49" s="100">
        <v>3.9663728302520851</v>
      </c>
      <c r="BI49" s="100">
        <v>3907.6705123643542</v>
      </c>
      <c r="BJ49" s="100">
        <v>5</v>
      </c>
      <c r="BK49" s="100">
        <v>4926</v>
      </c>
      <c r="BL49" s="100">
        <v>7.0423192738435745</v>
      </c>
      <c r="BM49" s="100">
        <v>6938.092948590689</v>
      </c>
      <c r="BN49" s="100">
        <v>1.1234420837547994</v>
      </c>
      <c r="BO49" s="100">
        <v>1106.8151409152283</v>
      </c>
      <c r="BP49" s="100">
        <v>5</v>
      </c>
      <c r="BQ49" s="100">
        <v>4926</v>
      </c>
      <c r="BR49" s="100">
        <v>4</v>
      </c>
      <c r="BS49" s="100">
        <v>3940.7999999999997</v>
      </c>
      <c r="BT49" s="100">
        <v>6</v>
      </c>
      <c r="BU49" s="100">
        <v>5911.2</v>
      </c>
      <c r="BV49" s="100">
        <v>5</v>
      </c>
      <c r="BW49" s="100">
        <v>4926</v>
      </c>
      <c r="BX49" s="100">
        <v>5.2627144662738585</v>
      </c>
      <c r="BY49" s="100">
        <v>5184.8262921730047</v>
      </c>
      <c r="BZ49" s="100">
        <v>4.6671567432486185</v>
      </c>
      <c r="CA49" s="100">
        <v>4598.0828234485389</v>
      </c>
      <c r="CB49" s="100">
        <v>3.9617640716877118</v>
      </c>
      <c r="CC49" s="100">
        <v>3903.1299634267334</v>
      </c>
      <c r="CD49" s="100">
        <v>3.771442012593051</v>
      </c>
      <c r="CE49" s="100">
        <v>3715.6246708066737</v>
      </c>
      <c r="CF49" s="100">
        <v>3.3197416670863342</v>
      </c>
      <c r="CG49" s="100">
        <v>3270.6094904134561</v>
      </c>
      <c r="CH49" s="100">
        <v>2.9724785873588035</v>
      </c>
      <c r="CI49" s="100">
        <v>2928.4859042658932</v>
      </c>
      <c r="CJ49" s="100">
        <v>3.0400494592336087</v>
      </c>
      <c r="CK49" s="100">
        <v>2995.0567272369512</v>
      </c>
      <c r="CL49" s="100">
        <v>4.3171216044533507</v>
      </c>
      <c r="CM49" s="100">
        <v>4253.2282047074405</v>
      </c>
      <c r="CN49" s="100">
        <v>3.6866596555459972</v>
      </c>
      <c r="CO49" s="100">
        <v>3632.0970926439163</v>
      </c>
      <c r="CP49" s="100">
        <v>4.2655673347622747</v>
      </c>
      <c r="CQ49" s="100">
        <v>4202.436938207793</v>
      </c>
      <c r="CR49" s="100">
        <v>3.3075149234089132</v>
      </c>
      <c r="CS49" s="100">
        <v>3258.5637025424612</v>
      </c>
      <c r="CT49" s="100">
        <v>7</v>
      </c>
      <c r="CU49" s="100">
        <v>6896.4</v>
      </c>
    </row>
    <row r="50" spans="2:99">
      <c r="C50" s="99" t="s">
        <v>216</v>
      </c>
      <c r="D50" s="100">
        <v>2.3790797787758078</v>
      </c>
      <c r="E50" s="100">
        <v>670.90049761477781</v>
      </c>
      <c r="F50" s="100">
        <v>2.5078978990392464</v>
      </c>
      <c r="G50" s="100">
        <v>707.22720752906753</v>
      </c>
      <c r="H50" s="100">
        <v>2.3843238174253272</v>
      </c>
      <c r="I50" s="100">
        <v>672.37931651394229</v>
      </c>
      <c r="J50" s="100">
        <v>6</v>
      </c>
      <c r="K50" s="100">
        <v>1692</v>
      </c>
      <c r="L50" s="100">
        <v>6.2947954302272429</v>
      </c>
      <c r="M50" s="100">
        <v>1775.1323113240826</v>
      </c>
      <c r="N50" s="100">
        <v>2.451071484437862</v>
      </c>
      <c r="O50" s="100">
        <v>691.2021586114771</v>
      </c>
      <c r="P50" s="100">
        <v>3.1424366952134841</v>
      </c>
      <c r="Q50" s="100">
        <v>886.16714805020251</v>
      </c>
      <c r="R50" s="100">
        <v>4</v>
      </c>
      <c r="S50" s="100">
        <v>1128</v>
      </c>
      <c r="T50" s="100">
        <v>6</v>
      </c>
      <c r="U50" s="100">
        <v>1692</v>
      </c>
      <c r="V50" s="100">
        <v>6</v>
      </c>
      <c r="W50" s="100">
        <v>1692</v>
      </c>
      <c r="X50" s="100">
        <v>6.9249864149689699</v>
      </c>
      <c r="Y50" s="100">
        <v>1952.8461690212496</v>
      </c>
      <c r="Z50" s="100">
        <v>2.2111764099686666</v>
      </c>
      <c r="AA50" s="100">
        <v>623.55174761116393</v>
      </c>
      <c r="AB50" s="100">
        <v>6</v>
      </c>
      <c r="AC50" s="100">
        <v>1692</v>
      </c>
      <c r="AD50" s="100">
        <v>2.5867297424077331</v>
      </c>
      <c r="AE50" s="100">
        <v>729.4577873589808</v>
      </c>
      <c r="AF50" s="100">
        <v>4</v>
      </c>
      <c r="AG50" s="100">
        <v>1128</v>
      </c>
      <c r="AH50" s="100">
        <v>6</v>
      </c>
      <c r="AI50" s="100">
        <v>1692</v>
      </c>
      <c r="AJ50" s="100">
        <v>5.2290359116322644</v>
      </c>
      <c r="AK50" s="100">
        <v>1474.5881270802986</v>
      </c>
      <c r="AL50" s="100">
        <v>3.8730207623485198</v>
      </c>
      <c r="AM50" s="100">
        <v>1092.1918549822826</v>
      </c>
      <c r="AN50" s="100">
        <v>1.3504820264571444</v>
      </c>
      <c r="AO50" s="100">
        <v>380.83593146091471</v>
      </c>
      <c r="AP50" s="100">
        <v>6</v>
      </c>
      <c r="AQ50" s="100">
        <v>1692</v>
      </c>
      <c r="AR50" s="100">
        <v>3.858063925222587</v>
      </c>
      <c r="AS50" s="100">
        <v>1087.9740269127694</v>
      </c>
      <c r="AT50" s="100">
        <v>3.9053726245685731</v>
      </c>
      <c r="AU50" s="100">
        <v>1101.3150801283377</v>
      </c>
      <c r="AV50" s="100">
        <v>1.1863796288199218</v>
      </c>
      <c r="AW50" s="100">
        <v>334.55905532721795</v>
      </c>
      <c r="AX50" s="100">
        <v>5</v>
      </c>
      <c r="AY50" s="100">
        <v>1410</v>
      </c>
      <c r="AZ50" s="100">
        <v>3.1738216997204902</v>
      </c>
      <c r="BA50" s="100">
        <v>895.01771932117822</v>
      </c>
      <c r="BB50" s="100">
        <v>3.25664893231539</v>
      </c>
      <c r="BC50" s="100">
        <v>918.37499891293999</v>
      </c>
      <c r="BD50" s="100">
        <v>1.1284569563295139</v>
      </c>
      <c r="BE50" s="100">
        <v>318.22486168492293</v>
      </c>
      <c r="BF50" s="100">
        <v>3.2489328022993065</v>
      </c>
      <c r="BG50" s="100">
        <v>916.19905024840443</v>
      </c>
      <c r="BH50" s="100">
        <v>2.9642726677867364</v>
      </c>
      <c r="BI50" s="100">
        <v>835.92489231585967</v>
      </c>
      <c r="BJ50" s="100">
        <v>5.1868307572733974</v>
      </c>
      <c r="BK50" s="100">
        <v>1462.6862735510981</v>
      </c>
      <c r="BL50" s="100">
        <v>3.4367403445610623</v>
      </c>
      <c r="BM50" s="100">
        <v>969.16077716621953</v>
      </c>
      <c r="BN50" s="100">
        <v>3.1557946952469424</v>
      </c>
      <c r="BO50" s="100">
        <v>889.93410405963778</v>
      </c>
      <c r="BP50" s="100">
        <v>6</v>
      </c>
      <c r="BQ50" s="100">
        <v>1692</v>
      </c>
      <c r="BR50" s="100">
        <v>4</v>
      </c>
      <c r="BS50" s="100">
        <v>1128</v>
      </c>
      <c r="BT50" s="100">
        <v>6</v>
      </c>
      <c r="BU50" s="100">
        <v>1692</v>
      </c>
      <c r="BV50" s="100">
        <v>4.2818420390041645</v>
      </c>
      <c r="BW50" s="100">
        <v>1207.4794549991743</v>
      </c>
      <c r="BX50" s="100">
        <v>4.6700189059601191</v>
      </c>
      <c r="BY50" s="100">
        <v>1316.9453314807536</v>
      </c>
      <c r="BZ50" s="100">
        <v>2.6181213704342396</v>
      </c>
      <c r="CA50" s="100">
        <v>738.3102264624556</v>
      </c>
      <c r="CB50" s="100">
        <v>3.5432241041588202</v>
      </c>
      <c r="CC50" s="100">
        <v>999.18919737278725</v>
      </c>
      <c r="CD50" s="100">
        <v>2.0726410785859271</v>
      </c>
      <c r="CE50" s="100">
        <v>584.48478416123146</v>
      </c>
      <c r="CF50" s="100">
        <v>3.7615952293820594</v>
      </c>
      <c r="CG50" s="100">
        <v>1060.7698546857407</v>
      </c>
      <c r="CH50" s="100">
        <v>5</v>
      </c>
      <c r="CI50" s="100">
        <v>1410</v>
      </c>
      <c r="CJ50" s="100">
        <v>3.1617752634979626</v>
      </c>
      <c r="CK50" s="100">
        <v>891.6206243064255</v>
      </c>
      <c r="CL50" s="100">
        <v>2.7918377603662581</v>
      </c>
      <c r="CM50" s="100">
        <v>787.2982484232848</v>
      </c>
      <c r="CN50" s="100">
        <v>5</v>
      </c>
      <c r="CO50" s="100">
        <v>1410</v>
      </c>
      <c r="CP50" s="100">
        <v>4.3811593825555875</v>
      </c>
      <c r="CQ50" s="100">
        <v>1235.4869458806756</v>
      </c>
      <c r="CR50" s="100">
        <v>2.828074648979507</v>
      </c>
      <c r="CS50" s="100">
        <v>797.51705101222092</v>
      </c>
      <c r="CT50" s="100">
        <v>4.5262055642354957</v>
      </c>
      <c r="CU50" s="100">
        <v>1276.3899691144097</v>
      </c>
    </row>
    <row r="51" spans="2:99">
      <c r="C51" s="99" t="s">
        <v>217</v>
      </c>
      <c r="D51" s="100">
        <v>1.9096882228495262</v>
      </c>
      <c r="E51" s="100">
        <v>1631.6376176026351</v>
      </c>
      <c r="F51" s="100">
        <v>2.0092185541978957</v>
      </c>
      <c r="G51" s="100">
        <v>1716.6763327066822</v>
      </c>
      <c r="H51" s="100">
        <v>2.3843238174253272</v>
      </c>
      <c r="I51" s="100">
        <v>2037.1662696081994</v>
      </c>
      <c r="J51" s="100">
        <v>6</v>
      </c>
      <c r="K51" s="100">
        <v>5126.3999999999996</v>
      </c>
      <c r="L51" s="100">
        <v>6.2579460014488379</v>
      </c>
      <c r="M51" s="100">
        <v>5346.789063637887</v>
      </c>
      <c r="N51" s="100">
        <v>2.451071484437862</v>
      </c>
      <c r="O51" s="100">
        <v>2094.1954763037093</v>
      </c>
      <c r="P51" s="100">
        <v>3.1424366952134841</v>
      </c>
      <c r="Q51" s="100">
        <v>2684.897912390401</v>
      </c>
      <c r="R51" s="100">
        <v>4</v>
      </c>
      <c r="S51" s="100">
        <v>3417.6</v>
      </c>
      <c r="T51" s="100">
        <v>6</v>
      </c>
      <c r="U51" s="100">
        <v>5126.3999999999996</v>
      </c>
      <c r="V51" s="100">
        <v>5</v>
      </c>
      <c r="W51" s="100">
        <v>4272</v>
      </c>
      <c r="X51" s="100">
        <v>6.9249864149689699</v>
      </c>
      <c r="Y51" s="100">
        <v>5916.7083929494875</v>
      </c>
      <c r="Z51" s="100">
        <v>1.7689411279749336</v>
      </c>
      <c r="AA51" s="100">
        <v>1511.3832997417833</v>
      </c>
      <c r="AB51" s="100">
        <v>6</v>
      </c>
      <c r="AC51" s="100">
        <v>5126.3999999999996</v>
      </c>
      <c r="AD51" s="100">
        <v>2.0693837939261868</v>
      </c>
      <c r="AE51" s="100">
        <v>1768.0815135305338</v>
      </c>
      <c r="AF51" s="100">
        <v>3</v>
      </c>
      <c r="AG51" s="100">
        <v>2563.1999999999998</v>
      </c>
      <c r="AH51" s="100">
        <v>5</v>
      </c>
      <c r="AI51" s="100">
        <v>4272</v>
      </c>
      <c r="AJ51" s="100">
        <v>5.2290359116322644</v>
      </c>
      <c r="AK51" s="100">
        <v>4467.6882828986063</v>
      </c>
      <c r="AL51" s="100">
        <v>3.8730207623485198</v>
      </c>
      <c r="AM51" s="100">
        <v>3309.1089393505754</v>
      </c>
      <c r="AN51" s="100">
        <v>1.3504820264571444</v>
      </c>
      <c r="AO51" s="100">
        <v>1153.8518434049843</v>
      </c>
      <c r="AP51" s="100">
        <v>6</v>
      </c>
      <c r="AQ51" s="100">
        <v>5126.3999999999996</v>
      </c>
      <c r="AR51" s="100">
        <v>3.858063925222587</v>
      </c>
      <c r="AS51" s="100">
        <v>3296.3298177101783</v>
      </c>
      <c r="AT51" s="100">
        <v>3.1439766019132778</v>
      </c>
      <c r="AU51" s="100">
        <v>2686.2136086747046</v>
      </c>
      <c r="AV51" s="100">
        <v>0.98864969068326813</v>
      </c>
      <c r="AW51" s="100">
        <v>844.70229571978427</v>
      </c>
      <c r="AX51" s="100">
        <v>4</v>
      </c>
      <c r="AY51" s="100">
        <v>3417.6</v>
      </c>
      <c r="AZ51" s="100">
        <v>4.1564395297484413</v>
      </c>
      <c r="BA51" s="100">
        <v>3551.2619342170683</v>
      </c>
      <c r="BB51" s="100">
        <v>3.25664893231539</v>
      </c>
      <c r="BC51" s="100">
        <v>2782.4808477702691</v>
      </c>
      <c r="BD51" s="100">
        <v>1.1284569563295139</v>
      </c>
      <c r="BE51" s="100">
        <v>964.15362348793667</v>
      </c>
      <c r="BF51" s="100">
        <v>3.9427601042594467</v>
      </c>
      <c r="BG51" s="100">
        <v>3368.6942330792713</v>
      </c>
      <c r="BH51" s="100">
        <v>2.9642726677867364</v>
      </c>
      <c r="BI51" s="100">
        <v>2532.6745673569876</v>
      </c>
      <c r="BJ51" s="100">
        <v>4.5137198054734222</v>
      </c>
      <c r="BK51" s="100">
        <v>3856.522201796492</v>
      </c>
      <c r="BL51" s="100">
        <v>3.9617480096861128</v>
      </c>
      <c r="BM51" s="100">
        <v>3384.9174994758146</v>
      </c>
      <c r="BN51" s="100">
        <v>3.1557946952469424</v>
      </c>
      <c r="BO51" s="100">
        <v>2696.3109876189874</v>
      </c>
      <c r="BP51" s="100">
        <v>6</v>
      </c>
      <c r="BQ51" s="100">
        <v>5126.3999999999996</v>
      </c>
      <c r="BR51" s="100">
        <v>5</v>
      </c>
      <c r="BS51" s="100">
        <v>4272</v>
      </c>
      <c r="BT51" s="100">
        <v>6</v>
      </c>
      <c r="BU51" s="100">
        <v>5126.3999999999996</v>
      </c>
      <c r="BV51" s="100">
        <v>4.2818420390041645</v>
      </c>
      <c r="BW51" s="100">
        <v>3658.405838125158</v>
      </c>
      <c r="BX51" s="100">
        <v>4.6700189059601191</v>
      </c>
      <c r="BY51" s="100">
        <v>3990.0641532523255</v>
      </c>
      <c r="BZ51" s="100">
        <v>2.5996519583708011</v>
      </c>
      <c r="CA51" s="100">
        <v>2221.1426332320125</v>
      </c>
      <c r="CB51" s="100">
        <v>3.0667992717895092</v>
      </c>
      <c r="CC51" s="100">
        <v>2620.2732978169565</v>
      </c>
      <c r="CD51" s="100">
        <v>1.7421162490144997</v>
      </c>
      <c r="CE51" s="100">
        <v>1488.4641231579885</v>
      </c>
      <c r="CF51" s="100">
        <v>3.7615952293820594</v>
      </c>
      <c r="CG51" s="100">
        <v>3213.9069639840313</v>
      </c>
      <c r="CH51" s="100">
        <v>4</v>
      </c>
      <c r="CI51" s="100">
        <v>3417.6</v>
      </c>
      <c r="CJ51" s="100">
        <v>3.7941303161975553</v>
      </c>
      <c r="CK51" s="100">
        <v>3241.704942159191</v>
      </c>
      <c r="CL51" s="100">
        <v>2.4428580403204756</v>
      </c>
      <c r="CM51" s="100">
        <v>2087.1779096498144</v>
      </c>
      <c r="CN51" s="100">
        <v>5</v>
      </c>
      <c r="CO51" s="100">
        <v>4272</v>
      </c>
      <c r="CP51" s="100">
        <v>4.4153105255169764</v>
      </c>
      <c r="CQ51" s="100">
        <v>3772.4413130017047</v>
      </c>
      <c r="CR51" s="100">
        <v>2.4220122320939965</v>
      </c>
      <c r="CS51" s="100">
        <v>2069.3672511011105</v>
      </c>
      <c r="CT51" s="100">
        <v>4.5088811757193339</v>
      </c>
      <c r="CU51" s="100">
        <v>3852.3880765345989</v>
      </c>
    </row>
    <row r="52" spans="2:99">
      <c r="C52" s="99" t="s">
        <v>218</v>
      </c>
      <c r="D52" s="100">
        <v>1.9096882228495262</v>
      </c>
      <c r="E52" s="100">
        <v>1031.2316403387442</v>
      </c>
      <c r="F52" s="100">
        <v>2.5006473116230001</v>
      </c>
      <c r="G52" s="100">
        <v>1350.3495482764201</v>
      </c>
      <c r="H52" s="100">
        <v>2.3843238174253272</v>
      </c>
      <c r="I52" s="100">
        <v>1287.5348614096768</v>
      </c>
      <c r="J52" s="100">
        <v>6</v>
      </c>
      <c r="K52" s="100">
        <v>3240</v>
      </c>
      <c r="L52" s="100">
        <v>6.2947954302272429</v>
      </c>
      <c r="M52" s="100">
        <v>3399.1895323227113</v>
      </c>
      <c r="N52" s="100">
        <v>2.451071484437862</v>
      </c>
      <c r="O52" s="100">
        <v>1323.5786015964454</v>
      </c>
      <c r="P52" s="100">
        <v>3.1424366952134841</v>
      </c>
      <c r="Q52" s="100">
        <v>1696.9158154152815</v>
      </c>
      <c r="R52" s="100">
        <v>5</v>
      </c>
      <c r="S52" s="100">
        <v>2700</v>
      </c>
      <c r="T52" s="100">
        <v>6</v>
      </c>
      <c r="U52" s="100">
        <v>3240</v>
      </c>
      <c r="V52" s="100">
        <v>6</v>
      </c>
      <c r="W52" s="100">
        <v>3240</v>
      </c>
      <c r="X52" s="100">
        <v>5.9357026414019742</v>
      </c>
      <c r="Y52" s="100">
        <v>3205.2794263570659</v>
      </c>
      <c r="Z52" s="100">
        <v>2.2111764099686666</v>
      </c>
      <c r="AA52" s="100">
        <v>1194.0352613830801</v>
      </c>
      <c r="AB52" s="100">
        <v>5</v>
      </c>
      <c r="AC52" s="100">
        <v>2700</v>
      </c>
      <c r="AD52" s="100">
        <v>2.0693837939261868</v>
      </c>
      <c r="AE52" s="100">
        <v>1117.4672487201408</v>
      </c>
      <c r="AF52" s="100">
        <v>4</v>
      </c>
      <c r="AG52" s="100">
        <v>2160</v>
      </c>
      <c r="AH52" s="100">
        <v>6</v>
      </c>
      <c r="AI52" s="100">
        <v>3240</v>
      </c>
      <c r="AJ52" s="100">
        <v>5.2290359116322644</v>
      </c>
      <c r="AK52" s="100">
        <v>2823.6793922814227</v>
      </c>
      <c r="AL52" s="100">
        <v>4.5185242227399396</v>
      </c>
      <c r="AM52" s="100">
        <v>2440.0030802795673</v>
      </c>
      <c r="AN52" s="100">
        <v>1.3504820264571444</v>
      </c>
      <c r="AO52" s="100">
        <v>729.26029428685797</v>
      </c>
      <c r="AP52" s="100">
        <v>6</v>
      </c>
      <c r="AQ52" s="100">
        <v>3240</v>
      </c>
      <c r="AR52" s="100">
        <v>3.858063925222587</v>
      </c>
      <c r="AS52" s="100">
        <v>2083.3545196201972</v>
      </c>
      <c r="AT52" s="100">
        <v>3.1767741056773109</v>
      </c>
      <c r="AU52" s="100">
        <v>1715.458017065748</v>
      </c>
      <c r="AV52" s="100">
        <v>1.1863796288199218</v>
      </c>
      <c r="AW52" s="100">
        <v>640.64499956275779</v>
      </c>
      <c r="AX52" s="100">
        <v>4</v>
      </c>
      <c r="AY52" s="100">
        <v>2160</v>
      </c>
      <c r="AZ52" s="100">
        <v>3.1738216997204902</v>
      </c>
      <c r="BA52" s="100">
        <v>1713.8637178490646</v>
      </c>
      <c r="BB52" s="100">
        <v>3.25664893231539</v>
      </c>
      <c r="BC52" s="100">
        <v>1758.5904234503105</v>
      </c>
      <c r="BD52" s="100">
        <v>1.1260000463561166</v>
      </c>
      <c r="BE52" s="100">
        <v>608.04002503230299</v>
      </c>
      <c r="BF52" s="100">
        <v>3.9427601042594467</v>
      </c>
      <c r="BG52" s="100">
        <v>2129.0904563001013</v>
      </c>
      <c r="BH52" s="100">
        <v>2.9642726677867364</v>
      </c>
      <c r="BI52" s="100">
        <v>1600.7072406048376</v>
      </c>
      <c r="BJ52" s="100">
        <v>5.1868307572733974</v>
      </c>
      <c r="BK52" s="100">
        <v>2800.8886089276348</v>
      </c>
      <c r="BL52" s="100">
        <v>3.4546587416742347</v>
      </c>
      <c r="BM52" s="100">
        <v>1865.5157205040866</v>
      </c>
      <c r="BN52" s="100">
        <v>3.1557946952469424</v>
      </c>
      <c r="BO52" s="100">
        <v>1704.1291354333489</v>
      </c>
      <c r="BP52" s="100">
        <v>6</v>
      </c>
      <c r="BQ52" s="100">
        <v>3240</v>
      </c>
      <c r="BR52" s="100">
        <v>4</v>
      </c>
      <c r="BS52" s="100">
        <v>2160</v>
      </c>
      <c r="BT52" s="100">
        <v>6</v>
      </c>
      <c r="BU52" s="100">
        <v>3240</v>
      </c>
      <c r="BV52" s="100">
        <v>4.2818420390041645</v>
      </c>
      <c r="BW52" s="100">
        <v>2312.1947010622489</v>
      </c>
      <c r="BX52" s="100">
        <v>4.7067793115527312</v>
      </c>
      <c r="BY52" s="100">
        <v>2541.660828238475</v>
      </c>
      <c r="BZ52" s="100">
        <v>2.6181213704342396</v>
      </c>
      <c r="CA52" s="100">
        <v>1413.7855400344895</v>
      </c>
      <c r="CB52" s="100">
        <v>3.0667992717895092</v>
      </c>
      <c r="CC52" s="100">
        <v>1656.071606766335</v>
      </c>
      <c r="CD52" s="100">
        <v>2.0875564287788206</v>
      </c>
      <c r="CE52" s="100">
        <v>1127.2804715405632</v>
      </c>
      <c r="CF52" s="100">
        <v>3.7615952293820594</v>
      </c>
      <c r="CG52" s="100">
        <v>2031.261423866312</v>
      </c>
      <c r="CH52" s="100">
        <v>4</v>
      </c>
      <c r="CI52" s="100">
        <v>2160</v>
      </c>
      <c r="CJ52" s="100">
        <v>3.7941303161975553</v>
      </c>
      <c r="CK52" s="100">
        <v>2048.8303707466798</v>
      </c>
      <c r="CL52" s="100">
        <v>2.4428580403204756</v>
      </c>
      <c r="CM52" s="100">
        <v>1319.1433417730568</v>
      </c>
      <c r="CN52" s="100">
        <v>5</v>
      </c>
      <c r="CO52" s="100">
        <v>2700</v>
      </c>
      <c r="CP52" s="100">
        <v>4.4153105255169764</v>
      </c>
      <c r="CQ52" s="100">
        <v>2384.2676837791673</v>
      </c>
      <c r="CR52" s="100">
        <v>2.4291933667035313</v>
      </c>
      <c r="CS52" s="100">
        <v>1311.7644180199068</v>
      </c>
      <c r="CT52" s="100">
        <v>3.9216782843125295</v>
      </c>
      <c r="CU52" s="100">
        <v>2117.7062735287659</v>
      </c>
    </row>
    <row r="53" spans="2:99">
      <c r="C53" s="99" t="s">
        <v>219</v>
      </c>
      <c r="D53" s="100">
        <v>1.92039555589766</v>
      </c>
      <c r="E53" s="100">
        <v>781.21691213916813</v>
      </c>
      <c r="F53" s="100">
        <v>2.5078978990392464</v>
      </c>
      <c r="G53" s="100">
        <v>1020.2128653291654</v>
      </c>
      <c r="H53" s="100">
        <v>2.3843238174253272</v>
      </c>
      <c r="I53" s="100">
        <v>969.94292892862313</v>
      </c>
      <c r="J53" s="100">
        <v>7</v>
      </c>
      <c r="K53" s="100">
        <v>2847.6</v>
      </c>
      <c r="L53" s="100">
        <v>6.2947954302272429</v>
      </c>
      <c r="M53" s="100">
        <v>2560.7227810164422</v>
      </c>
      <c r="N53" s="100">
        <v>2.004353635284112</v>
      </c>
      <c r="O53" s="100">
        <v>815.37105883357685</v>
      </c>
      <c r="P53" s="100">
        <v>3.1424366952134841</v>
      </c>
      <c r="Q53" s="100">
        <v>1278.3432476128453</v>
      </c>
      <c r="R53" s="100">
        <v>4</v>
      </c>
      <c r="S53" s="100">
        <v>1627.2</v>
      </c>
      <c r="T53" s="100">
        <v>6</v>
      </c>
      <c r="U53" s="100">
        <v>2440.8000000000002</v>
      </c>
      <c r="V53" s="100">
        <v>6</v>
      </c>
      <c r="W53" s="100">
        <v>2440.8000000000002</v>
      </c>
      <c r="X53" s="100">
        <v>6.9249864149689699</v>
      </c>
      <c r="Y53" s="100">
        <v>2817.0844736093773</v>
      </c>
      <c r="Z53" s="100">
        <v>1.7689411279749336</v>
      </c>
      <c r="AA53" s="100">
        <v>719.605250860203</v>
      </c>
      <c r="AB53" s="100">
        <v>6</v>
      </c>
      <c r="AC53" s="100">
        <v>2440.8000000000002</v>
      </c>
      <c r="AD53" s="100">
        <v>2.5867297424077331</v>
      </c>
      <c r="AE53" s="100">
        <v>1052.2816592114659</v>
      </c>
      <c r="AF53" s="100">
        <v>4</v>
      </c>
      <c r="AG53" s="100">
        <v>1627.2</v>
      </c>
      <c r="AH53" s="100">
        <v>6</v>
      </c>
      <c r="AI53" s="100">
        <v>2440.8000000000002</v>
      </c>
      <c r="AJ53" s="100">
        <v>6.1005418969043079</v>
      </c>
      <c r="AK53" s="100">
        <v>2481.7004436606726</v>
      </c>
      <c r="AL53" s="100">
        <v>4.5185242227399396</v>
      </c>
      <c r="AM53" s="100">
        <v>1838.1356538106074</v>
      </c>
      <c r="AN53" s="100">
        <v>1.3504820264571444</v>
      </c>
      <c r="AO53" s="100">
        <v>549.37608836276638</v>
      </c>
      <c r="AP53" s="100">
        <v>6</v>
      </c>
      <c r="AQ53" s="100">
        <v>2440.8000000000002</v>
      </c>
      <c r="AR53" s="100">
        <v>3.858063925222587</v>
      </c>
      <c r="AS53" s="100">
        <v>1569.4604047805485</v>
      </c>
      <c r="AT53" s="100">
        <v>3.1767741056773109</v>
      </c>
      <c r="AU53" s="100">
        <v>1292.31170618953</v>
      </c>
      <c r="AV53" s="100">
        <v>1.1863796288199218</v>
      </c>
      <c r="AW53" s="100">
        <v>482.6192330039442</v>
      </c>
      <c r="AX53" s="100">
        <v>4</v>
      </c>
      <c r="AY53" s="100">
        <v>1627.2</v>
      </c>
      <c r="AZ53" s="100">
        <v>4.1564395297484413</v>
      </c>
      <c r="BA53" s="100">
        <v>1690.8396007016661</v>
      </c>
      <c r="BB53" s="100">
        <v>3.25664893231539</v>
      </c>
      <c r="BC53" s="100">
        <v>1324.8047856659007</v>
      </c>
      <c r="BD53" s="100">
        <v>1.1260000463561166</v>
      </c>
      <c r="BE53" s="100">
        <v>458.05681885766825</v>
      </c>
      <c r="BF53" s="100">
        <v>3.9111851979621974</v>
      </c>
      <c r="BG53" s="100">
        <v>1591.0701385310219</v>
      </c>
      <c r="BH53" s="100">
        <v>2.3714181342293887</v>
      </c>
      <c r="BI53" s="100">
        <v>964.69289700451532</v>
      </c>
      <c r="BJ53" s="100">
        <v>4.5137198054734222</v>
      </c>
      <c r="BK53" s="100">
        <v>1836.1812168665881</v>
      </c>
      <c r="BL53" s="100">
        <v>3.9796664067992853</v>
      </c>
      <c r="BM53" s="100">
        <v>1618.9282942859493</v>
      </c>
      <c r="BN53" s="100">
        <v>3.1557946952469424</v>
      </c>
      <c r="BO53" s="100">
        <v>1283.7772820264563</v>
      </c>
      <c r="BP53" s="100">
        <v>6</v>
      </c>
      <c r="BQ53" s="100">
        <v>2440.8000000000002</v>
      </c>
      <c r="BR53" s="100">
        <v>5</v>
      </c>
      <c r="BS53" s="100">
        <v>2034</v>
      </c>
      <c r="BT53" s="100">
        <v>7</v>
      </c>
      <c r="BU53" s="100">
        <v>2847.6</v>
      </c>
      <c r="BV53" s="100">
        <v>4.2818420390041645</v>
      </c>
      <c r="BW53" s="100">
        <v>1741.8533414668941</v>
      </c>
      <c r="BX53" s="100">
        <v>4.6700189059601191</v>
      </c>
      <c r="BY53" s="100">
        <v>1899.7636909445764</v>
      </c>
      <c r="BZ53" s="100">
        <v>3.0298490494220283</v>
      </c>
      <c r="CA53" s="100">
        <v>1232.5425933048812</v>
      </c>
      <c r="CB53" s="100">
        <v>3.0667992717895092</v>
      </c>
      <c r="CC53" s="100">
        <v>1247.5739437639725</v>
      </c>
      <c r="CD53" s="100">
        <v>2.0726410785859271</v>
      </c>
      <c r="CE53" s="100">
        <v>843.15039076875519</v>
      </c>
      <c r="CF53" s="100">
        <v>3.7615952293820594</v>
      </c>
      <c r="CG53" s="100">
        <v>1530.2169393126219</v>
      </c>
      <c r="CH53" s="100">
        <v>4</v>
      </c>
      <c r="CI53" s="100">
        <v>1627.2</v>
      </c>
      <c r="CJ53" s="100">
        <v>3.7941303161975553</v>
      </c>
      <c r="CK53" s="100">
        <v>1543.4522126291656</v>
      </c>
      <c r="CL53" s="100">
        <v>2.4428580403204756</v>
      </c>
      <c r="CM53" s="100">
        <v>993.7546508023695</v>
      </c>
      <c r="CN53" s="100">
        <v>5</v>
      </c>
      <c r="CO53" s="100">
        <v>2034</v>
      </c>
      <c r="CP53" s="100">
        <v>4.4153105255169764</v>
      </c>
      <c r="CQ53" s="100">
        <v>1796.1483217803061</v>
      </c>
      <c r="CR53" s="100">
        <v>2.436374501313066</v>
      </c>
      <c r="CS53" s="100">
        <v>991.11714713415529</v>
      </c>
      <c r="CT53" s="100">
        <v>3.9216782843125295</v>
      </c>
      <c r="CU53" s="100">
        <v>1595.338726058337</v>
      </c>
    </row>
    <row r="54" spans="2:99">
      <c r="C54" s="99" t="s">
        <v>220</v>
      </c>
      <c r="D54" s="100">
        <v>2.3790797787758078</v>
      </c>
      <c r="E54" s="100">
        <v>796.5159099341405</v>
      </c>
      <c r="F54" s="100">
        <v>2.5078978990392464</v>
      </c>
      <c r="G54" s="100">
        <v>839.64421659833977</v>
      </c>
      <c r="H54" s="100">
        <v>2.3843238174253272</v>
      </c>
      <c r="I54" s="100">
        <v>798.27161407399956</v>
      </c>
      <c r="J54" s="100">
        <v>6</v>
      </c>
      <c r="K54" s="100">
        <v>2008.8000000000002</v>
      </c>
      <c r="L54" s="100">
        <v>7.2947954302272429</v>
      </c>
      <c r="M54" s="100">
        <v>2442.2975100400809</v>
      </c>
      <c r="N54" s="100">
        <v>2.470842597044145</v>
      </c>
      <c r="O54" s="100">
        <v>827.23810149037979</v>
      </c>
      <c r="P54" s="100">
        <v>3.1424366952134841</v>
      </c>
      <c r="Q54" s="100">
        <v>1052.0878055574744</v>
      </c>
      <c r="R54" s="100">
        <v>5</v>
      </c>
      <c r="S54" s="100">
        <v>1674</v>
      </c>
      <c r="T54" s="100">
        <v>6</v>
      </c>
      <c r="U54" s="100">
        <v>2008.8000000000002</v>
      </c>
      <c r="V54" s="100">
        <v>5</v>
      </c>
      <c r="W54" s="100">
        <v>1674</v>
      </c>
      <c r="X54" s="100">
        <v>5.9357026414019742</v>
      </c>
      <c r="Y54" s="100">
        <v>1987.2732443413811</v>
      </c>
      <c r="Z54" s="100">
        <v>2.2111764099686666</v>
      </c>
      <c r="AA54" s="100">
        <v>740.30186205750965</v>
      </c>
      <c r="AB54" s="100">
        <v>7</v>
      </c>
      <c r="AC54" s="100">
        <v>2343.6</v>
      </c>
      <c r="AD54" s="100">
        <v>2.5867297424077331</v>
      </c>
      <c r="AE54" s="100">
        <v>866.03711775810905</v>
      </c>
      <c r="AF54" s="100">
        <v>3</v>
      </c>
      <c r="AG54" s="100">
        <v>1004.4000000000001</v>
      </c>
      <c r="AH54" s="100">
        <v>6</v>
      </c>
      <c r="AI54" s="100">
        <v>2008.8000000000002</v>
      </c>
      <c r="AJ54" s="100">
        <v>5.2290359116322644</v>
      </c>
      <c r="AK54" s="100">
        <v>1750.6812232144821</v>
      </c>
      <c r="AL54" s="100">
        <v>3.8730207623485198</v>
      </c>
      <c r="AM54" s="100">
        <v>1296.6873512342845</v>
      </c>
      <c r="AN54" s="100">
        <v>1.3504820264571444</v>
      </c>
      <c r="AO54" s="100">
        <v>452.14138245785199</v>
      </c>
      <c r="AP54" s="100">
        <v>6</v>
      </c>
      <c r="AQ54" s="100">
        <v>2008.8000000000002</v>
      </c>
      <c r="AR54" s="100">
        <v>3.858063925222587</v>
      </c>
      <c r="AS54" s="100">
        <v>1291.6798021645222</v>
      </c>
      <c r="AT54" s="100">
        <v>3.1767741056773109</v>
      </c>
      <c r="AU54" s="100">
        <v>1063.5839705807637</v>
      </c>
      <c r="AV54" s="100">
        <v>1.1863796288199218</v>
      </c>
      <c r="AW54" s="100">
        <v>397.19989972890983</v>
      </c>
      <c r="AX54" s="100">
        <v>4</v>
      </c>
      <c r="AY54" s="100">
        <v>1339.2</v>
      </c>
      <c r="AZ54" s="100">
        <v>3.1738216997204902</v>
      </c>
      <c r="BA54" s="100">
        <v>1062.5955050664202</v>
      </c>
      <c r="BB54" s="100">
        <v>3.25664893231539</v>
      </c>
      <c r="BC54" s="100">
        <v>1090.3260625391927</v>
      </c>
      <c r="BD54" s="100">
        <v>1.1284569563295139</v>
      </c>
      <c r="BE54" s="100">
        <v>377.8073889791213</v>
      </c>
      <c r="BF54" s="100">
        <v>3.9427601042594467</v>
      </c>
      <c r="BG54" s="100">
        <v>1320.0360829060628</v>
      </c>
      <c r="BH54" s="100">
        <v>2.9642726677867364</v>
      </c>
      <c r="BI54" s="100">
        <v>992.4384891749994</v>
      </c>
      <c r="BJ54" s="100">
        <v>5.3781915983523216</v>
      </c>
      <c r="BK54" s="100">
        <v>1800.6185471283572</v>
      </c>
      <c r="BL54" s="100">
        <v>3.9975848039124577</v>
      </c>
      <c r="BM54" s="100">
        <v>1338.3913923498908</v>
      </c>
      <c r="BN54" s="100">
        <v>3.1557946952469424</v>
      </c>
      <c r="BO54" s="100">
        <v>1056.5600639686763</v>
      </c>
      <c r="BP54" s="100">
        <v>6</v>
      </c>
      <c r="BQ54" s="100">
        <v>2008.8000000000002</v>
      </c>
      <c r="BR54" s="100">
        <v>4</v>
      </c>
      <c r="BS54" s="100">
        <v>1339.2</v>
      </c>
      <c r="BT54" s="100">
        <v>7</v>
      </c>
      <c r="BU54" s="100">
        <v>2343.6</v>
      </c>
      <c r="BV54" s="100">
        <v>4.2818420390041645</v>
      </c>
      <c r="BW54" s="100">
        <v>1433.5607146585944</v>
      </c>
      <c r="BX54" s="100">
        <v>4.7067793115527312</v>
      </c>
      <c r="BY54" s="100">
        <v>1575.8297135078544</v>
      </c>
      <c r="BZ54" s="100">
        <v>2.5996519583708011</v>
      </c>
      <c r="CA54" s="100">
        <v>870.36347566254426</v>
      </c>
      <c r="CB54" s="100">
        <v>3.0436603520591046</v>
      </c>
      <c r="CC54" s="100">
        <v>1019.0174858693882</v>
      </c>
      <c r="CD54" s="100">
        <v>2.0875564287788206</v>
      </c>
      <c r="CE54" s="100">
        <v>698.91389235514919</v>
      </c>
      <c r="CF54" s="100">
        <v>3.7615952293820594</v>
      </c>
      <c r="CG54" s="100">
        <v>1259.3820827971135</v>
      </c>
      <c r="CH54" s="100">
        <v>5</v>
      </c>
      <c r="CI54" s="100">
        <v>1674</v>
      </c>
      <c r="CJ54" s="100">
        <v>3.7366691121698978</v>
      </c>
      <c r="CK54" s="100">
        <v>1251.0368187544818</v>
      </c>
      <c r="CL54" s="100">
        <v>2.4428580403204756</v>
      </c>
      <c r="CM54" s="100">
        <v>817.8688718992953</v>
      </c>
      <c r="CN54" s="100">
        <v>4</v>
      </c>
      <c r="CO54" s="100">
        <v>1339.2</v>
      </c>
      <c r="CP54" s="100">
        <v>4.3811593825555875</v>
      </c>
      <c r="CQ54" s="100">
        <v>1466.8121612796108</v>
      </c>
      <c r="CR54" s="100">
        <v>2.4291933667035313</v>
      </c>
      <c r="CS54" s="100">
        <v>813.29393917234233</v>
      </c>
      <c r="CT54" s="100">
        <v>4.5262055642354957</v>
      </c>
      <c r="CU54" s="100">
        <v>1515.3736229060439</v>
      </c>
    </row>
    <row r="55" spans="2:99">
      <c r="C55" s="99" t="s">
        <v>221</v>
      </c>
      <c r="D55" s="100">
        <v>1.92039555589766</v>
      </c>
      <c r="E55" s="100">
        <v>1274.3744908936872</v>
      </c>
      <c r="F55" s="100">
        <v>2.5006473116230001</v>
      </c>
      <c r="G55" s="100">
        <v>1659.4295559930229</v>
      </c>
      <c r="H55" s="100">
        <v>2.3843238174253272</v>
      </c>
      <c r="I55" s="100">
        <v>1582.2372852434471</v>
      </c>
      <c r="J55" s="100">
        <v>6</v>
      </c>
      <c r="K55" s="100">
        <v>3981.6000000000004</v>
      </c>
      <c r="L55" s="100">
        <v>7.2579460014488379</v>
      </c>
      <c r="M55" s="100">
        <v>4816.3729665614492</v>
      </c>
      <c r="N55" s="100">
        <v>2.451071484437862</v>
      </c>
      <c r="O55" s="100">
        <v>1626.5310370729653</v>
      </c>
      <c r="P55" s="100">
        <v>3.1424366952134841</v>
      </c>
      <c r="Q55" s="100">
        <v>2085.3209909436682</v>
      </c>
      <c r="R55" s="100">
        <v>4</v>
      </c>
      <c r="S55" s="100">
        <v>2654.4</v>
      </c>
      <c r="T55" s="100">
        <v>5</v>
      </c>
      <c r="U55" s="100">
        <v>3318</v>
      </c>
      <c r="V55" s="100">
        <v>5</v>
      </c>
      <c r="W55" s="100">
        <v>3318</v>
      </c>
      <c r="X55" s="100">
        <v>6.9249864149689699</v>
      </c>
      <c r="Y55" s="100">
        <v>4595.4209849734088</v>
      </c>
      <c r="Z55" s="100">
        <v>2.2111764099686666</v>
      </c>
      <c r="AA55" s="100">
        <v>1467.3366656552073</v>
      </c>
      <c r="AB55" s="100">
        <v>6</v>
      </c>
      <c r="AC55" s="100">
        <v>3981.6000000000004</v>
      </c>
      <c r="AD55" s="100">
        <v>2.0693837939261868</v>
      </c>
      <c r="AE55" s="100">
        <v>1373.2430856494175</v>
      </c>
      <c r="AF55" s="100">
        <v>4</v>
      </c>
      <c r="AG55" s="100">
        <v>2654.4</v>
      </c>
      <c r="AH55" s="100">
        <v>5</v>
      </c>
      <c r="AI55" s="100">
        <v>3318</v>
      </c>
      <c r="AJ55" s="100">
        <v>6.1005418969043079</v>
      </c>
      <c r="AK55" s="100">
        <v>4048.3196027856989</v>
      </c>
      <c r="AL55" s="100">
        <v>3.8730207623485198</v>
      </c>
      <c r="AM55" s="100">
        <v>2570.1365778944778</v>
      </c>
      <c r="AN55" s="100">
        <v>1.3504820264571444</v>
      </c>
      <c r="AO55" s="100">
        <v>896.17987275696112</v>
      </c>
      <c r="AP55" s="100">
        <v>6</v>
      </c>
      <c r="AQ55" s="100">
        <v>3981.6000000000004</v>
      </c>
      <c r="AR55" s="100">
        <v>3.858063925222587</v>
      </c>
      <c r="AS55" s="100">
        <v>2560.2112207777086</v>
      </c>
      <c r="AT55" s="100">
        <v>3.1767741056773109</v>
      </c>
      <c r="AU55" s="100">
        <v>2108.1072965274634</v>
      </c>
      <c r="AV55" s="100">
        <v>1.1863796288199218</v>
      </c>
      <c r="AW55" s="100">
        <v>787.2815216849001</v>
      </c>
      <c r="AX55" s="100">
        <v>4</v>
      </c>
      <c r="AY55" s="100">
        <v>2654.4</v>
      </c>
      <c r="AZ55" s="100">
        <v>3.1564395297484409</v>
      </c>
      <c r="BA55" s="100">
        <v>2094.6132719410652</v>
      </c>
      <c r="BB55" s="100">
        <v>4.0708111653942369</v>
      </c>
      <c r="BC55" s="100">
        <v>2701.3902893556156</v>
      </c>
      <c r="BD55" s="100">
        <v>0.90718800301572688</v>
      </c>
      <c r="BE55" s="100">
        <v>602.00995880123639</v>
      </c>
      <c r="BF55" s="100">
        <v>3.2173578960020572</v>
      </c>
      <c r="BG55" s="100">
        <v>2135.0386997869655</v>
      </c>
      <c r="BH55" s="100">
        <v>2.9642726677867364</v>
      </c>
      <c r="BI55" s="100">
        <v>1967.0913423432783</v>
      </c>
      <c r="BJ55" s="100">
        <v>4.322358964394498</v>
      </c>
      <c r="BK55" s="100">
        <v>2868.3174087721891</v>
      </c>
      <c r="BL55" s="100">
        <v>3.9975848039124577</v>
      </c>
      <c r="BM55" s="100">
        <v>2652.7972758763071</v>
      </c>
      <c r="BN55" s="100">
        <v>3.1557946952469424</v>
      </c>
      <c r="BO55" s="100">
        <v>2094.185359765871</v>
      </c>
      <c r="BP55" s="100">
        <v>5</v>
      </c>
      <c r="BQ55" s="100">
        <v>3318</v>
      </c>
      <c r="BR55" s="100">
        <v>4</v>
      </c>
      <c r="BS55" s="100">
        <v>2654.4</v>
      </c>
      <c r="BT55" s="100">
        <v>6</v>
      </c>
      <c r="BU55" s="100">
        <v>3981.6000000000004</v>
      </c>
      <c r="BV55" s="100">
        <v>4.2818420390041645</v>
      </c>
      <c r="BW55" s="100">
        <v>2841.4303770831639</v>
      </c>
      <c r="BX55" s="100">
        <v>4.6700189059601191</v>
      </c>
      <c r="BY55" s="100">
        <v>3099.0245459951352</v>
      </c>
      <c r="BZ55" s="100">
        <v>3.0113796373585897</v>
      </c>
      <c r="CA55" s="100">
        <v>1998.3515273511603</v>
      </c>
      <c r="CB55" s="100">
        <v>3.0436603520591046</v>
      </c>
      <c r="CC55" s="100">
        <v>2019.7730096264218</v>
      </c>
      <c r="CD55" s="100">
        <v>1.7421162490144997</v>
      </c>
      <c r="CE55" s="100">
        <v>1156.068342846022</v>
      </c>
      <c r="CF55" s="100">
        <v>3.7615952293820594</v>
      </c>
      <c r="CG55" s="100">
        <v>2496.1945942179345</v>
      </c>
      <c r="CH55" s="100">
        <v>4</v>
      </c>
      <c r="CI55" s="100">
        <v>2654.4</v>
      </c>
      <c r="CJ55" s="100">
        <v>3.7366691121698978</v>
      </c>
      <c r="CK55" s="100">
        <v>2479.6536228359441</v>
      </c>
      <c r="CL55" s="100">
        <v>2.0938783202746936</v>
      </c>
      <c r="CM55" s="100">
        <v>1389.4976533342867</v>
      </c>
      <c r="CN55" s="100">
        <v>5</v>
      </c>
      <c r="CO55" s="100">
        <v>3318</v>
      </c>
      <c r="CP55" s="100">
        <v>4.3811593825555875</v>
      </c>
      <c r="CQ55" s="100">
        <v>2907.3373662638878</v>
      </c>
      <c r="CR55" s="100">
        <v>2.4291933667035313</v>
      </c>
      <c r="CS55" s="100">
        <v>1612.0127181444634</v>
      </c>
      <c r="CT55" s="100">
        <v>4.5262055642354957</v>
      </c>
      <c r="CU55" s="100">
        <v>3003.590012426675</v>
      </c>
    </row>
    <row r="56" spans="2:99">
      <c r="C56" s="99" t="s">
        <v>222</v>
      </c>
      <c r="D56" s="100">
        <v>2.198123416098237</v>
      </c>
      <c r="E56" s="100">
        <v>2157.6779452420292</v>
      </c>
      <c r="F56" s="100">
        <v>3.1128019505757596</v>
      </c>
      <c r="G56" s="100">
        <v>3055.5263946851655</v>
      </c>
      <c r="H56" s="100">
        <v>2.6240245785403244</v>
      </c>
      <c r="I56" s="100">
        <v>2575.7425262951824</v>
      </c>
      <c r="J56" s="100">
        <v>5.1689429809166088</v>
      </c>
      <c r="K56" s="100">
        <v>5073.8344300677427</v>
      </c>
      <c r="L56" s="100">
        <v>4.5807097603280367</v>
      </c>
      <c r="M56" s="100">
        <v>4496.424700738</v>
      </c>
      <c r="N56" s="100">
        <v>3.0836027262396666</v>
      </c>
      <c r="O56" s="100">
        <v>3026.8644360768562</v>
      </c>
      <c r="P56" s="100">
        <v>3.7973679320067015</v>
      </c>
      <c r="Q56" s="100">
        <v>3727.4963620577778</v>
      </c>
      <c r="R56" s="100">
        <v>2.5562909838807339</v>
      </c>
      <c r="S56" s="100">
        <v>2509.2552297773282</v>
      </c>
      <c r="T56" s="100">
        <v>4.7442389569651953</v>
      </c>
      <c r="U56" s="100">
        <v>4656.944960157035</v>
      </c>
      <c r="V56" s="100">
        <v>3.7016391085670932</v>
      </c>
      <c r="W56" s="100">
        <v>3633.5289489694583</v>
      </c>
      <c r="X56" s="100">
        <v>6.5022281094967544</v>
      </c>
      <c r="Y56" s="100">
        <v>6382.5871122820135</v>
      </c>
      <c r="Z56" s="100">
        <v>2.7439156061294558</v>
      </c>
      <c r="AA56" s="100">
        <v>2693.4275589766735</v>
      </c>
      <c r="AB56" s="100">
        <v>2.1774479720941602</v>
      </c>
      <c r="AC56" s="100">
        <v>2137.3829294076272</v>
      </c>
      <c r="AD56" s="100">
        <v>4.533402436446119</v>
      </c>
      <c r="AE56" s="100">
        <v>4449.98783161551</v>
      </c>
      <c r="AF56" s="100">
        <v>1.6410913500745783</v>
      </c>
      <c r="AG56" s="100">
        <v>1610.8952692332059</v>
      </c>
      <c r="AH56" s="100">
        <v>6.1217632063255145</v>
      </c>
      <c r="AI56" s="100">
        <v>6009.1227633291246</v>
      </c>
      <c r="AJ56" s="100">
        <v>4.5930570160610156</v>
      </c>
      <c r="AK56" s="100">
        <v>4508.5447669654923</v>
      </c>
      <c r="AL56" s="100">
        <v>2.6484144949153761</v>
      </c>
      <c r="AM56" s="100">
        <v>2599.6836682089329</v>
      </c>
      <c r="AN56" s="100">
        <v>2.8786241356540145</v>
      </c>
      <c r="AO56" s="100">
        <v>2825.6574515579805</v>
      </c>
      <c r="AP56" s="100">
        <v>3.2598330522910968</v>
      </c>
      <c r="AQ56" s="100">
        <v>3199.8521241289404</v>
      </c>
      <c r="AR56" s="100">
        <v>3.8244201942222213</v>
      </c>
      <c r="AS56" s="100">
        <v>3754.0508626485321</v>
      </c>
      <c r="AT56" s="100">
        <v>1.2798019624639541</v>
      </c>
      <c r="AU56" s="100">
        <v>1256.2536063546172</v>
      </c>
      <c r="AV56" s="100">
        <v>4.19236777940566</v>
      </c>
      <c r="AW56" s="100">
        <v>4115.2282122645956</v>
      </c>
      <c r="AX56" s="100">
        <v>3.4892710062525527</v>
      </c>
      <c r="AY56" s="100">
        <v>3425.0684197375053</v>
      </c>
      <c r="AZ56" s="100">
        <v>3.4736599335391065</v>
      </c>
      <c r="BA56" s="100">
        <v>3409.7445907619867</v>
      </c>
      <c r="BB56" s="100">
        <v>0.87455814998193981</v>
      </c>
      <c r="BC56" s="100">
        <v>858.46628002227203</v>
      </c>
      <c r="BD56" s="100">
        <v>2.6692530949072015</v>
      </c>
      <c r="BE56" s="100">
        <v>2620.1388379609089</v>
      </c>
      <c r="BF56" s="100">
        <v>3.5214844931336704</v>
      </c>
      <c r="BG56" s="100">
        <v>3456.6891784600107</v>
      </c>
      <c r="BH56" s="100">
        <v>2.8664410105850289</v>
      </c>
      <c r="BI56" s="100">
        <v>2813.6984959902643</v>
      </c>
      <c r="BJ56" s="100">
        <v>0.8817564418167716</v>
      </c>
      <c r="BK56" s="100">
        <v>865.53212328734287</v>
      </c>
      <c r="BL56" s="100">
        <v>3.5946108570836035</v>
      </c>
      <c r="BM56" s="100">
        <v>3528.4700173132651</v>
      </c>
      <c r="BN56" s="100">
        <v>1.7664174892768243</v>
      </c>
      <c r="BO56" s="100">
        <v>1733.9154074741305</v>
      </c>
      <c r="BP56" s="100">
        <v>5</v>
      </c>
      <c r="BQ56" s="100">
        <v>4908</v>
      </c>
      <c r="BR56" s="100">
        <v>3.1114221504177126</v>
      </c>
      <c r="BS56" s="100">
        <v>3054.1719828500263</v>
      </c>
      <c r="BT56" s="100">
        <v>3.422294827136398</v>
      </c>
      <c r="BU56" s="100">
        <v>3359.3246023170877</v>
      </c>
      <c r="BV56" s="100">
        <v>3.6698375879405685</v>
      </c>
      <c r="BW56" s="100">
        <v>3602.3125763224616</v>
      </c>
      <c r="BX56" s="100">
        <v>2.5963020045069394</v>
      </c>
      <c r="BY56" s="100">
        <v>2548.5300476240113</v>
      </c>
      <c r="BZ56" s="100">
        <v>2.6409183497749962</v>
      </c>
      <c r="CA56" s="100">
        <v>2592.3254521391359</v>
      </c>
      <c r="CB56" s="100">
        <v>2.431495185923275</v>
      </c>
      <c r="CC56" s="100">
        <v>2386.7556745022866</v>
      </c>
      <c r="CD56" s="100">
        <v>1.6204559575307755</v>
      </c>
      <c r="CE56" s="100">
        <v>1590.639567912209</v>
      </c>
      <c r="CF56" s="100">
        <v>2.084658919380828</v>
      </c>
      <c r="CG56" s="100">
        <v>2046.3011952642205</v>
      </c>
      <c r="CH56" s="100">
        <v>1.8657605344753414</v>
      </c>
      <c r="CI56" s="100">
        <v>1831.4305406409949</v>
      </c>
      <c r="CJ56" s="100">
        <v>2.6484436798014941</v>
      </c>
      <c r="CK56" s="100">
        <v>2599.7123160931465</v>
      </c>
      <c r="CL56" s="100">
        <v>2.8573067232289331</v>
      </c>
      <c r="CM56" s="100">
        <v>2804.7322795215205</v>
      </c>
      <c r="CN56" s="100">
        <v>2.0660740909910751</v>
      </c>
      <c r="CO56" s="100">
        <v>2028.0583277168391</v>
      </c>
      <c r="CP56" s="100">
        <v>5.1393590721484452</v>
      </c>
      <c r="CQ56" s="100">
        <v>5044.7948652209134</v>
      </c>
      <c r="CR56" s="100">
        <v>3.9895342980337909</v>
      </c>
      <c r="CS56" s="100">
        <v>3916.1268669499686</v>
      </c>
      <c r="CT56" s="100">
        <v>3.9454663938958592</v>
      </c>
      <c r="CU56" s="100">
        <v>3872.8698122481751</v>
      </c>
    </row>
    <row r="57" spans="2:99">
      <c r="C57" s="99" t="s">
        <v>223</v>
      </c>
      <c r="D57" s="100">
        <v>1.8989808898013927</v>
      </c>
      <c r="E57" s="100">
        <v>2679.8418316877255</v>
      </c>
      <c r="F57" s="100">
        <v>2.5006473116230001</v>
      </c>
      <c r="G57" s="100">
        <v>3528.9134861623779</v>
      </c>
      <c r="H57" s="100">
        <v>2.3843238174253272</v>
      </c>
      <c r="I57" s="100">
        <v>3364.7577711506219</v>
      </c>
      <c r="J57" s="100">
        <v>6</v>
      </c>
      <c r="K57" s="100">
        <v>8467.2000000000007</v>
      </c>
      <c r="L57" s="100">
        <v>6.2579460014488379</v>
      </c>
      <c r="M57" s="100">
        <v>8831.2133972446009</v>
      </c>
      <c r="N57" s="100">
        <v>2.451071484437862</v>
      </c>
      <c r="O57" s="100">
        <v>3458.9520788387113</v>
      </c>
      <c r="P57" s="100">
        <v>3.7709240342561814</v>
      </c>
      <c r="Q57" s="100">
        <v>5321.5279971423233</v>
      </c>
      <c r="R57" s="100">
        <v>5</v>
      </c>
      <c r="S57" s="100">
        <v>7056</v>
      </c>
      <c r="T57" s="100">
        <v>6</v>
      </c>
      <c r="U57" s="100">
        <v>8467.2000000000007</v>
      </c>
      <c r="V57" s="100">
        <v>5</v>
      </c>
      <c r="W57" s="100">
        <v>7056</v>
      </c>
      <c r="X57" s="100">
        <v>5.9357026414019742</v>
      </c>
      <c r="Y57" s="100">
        <v>8376.4635675464669</v>
      </c>
      <c r="Z57" s="100">
        <v>2.2111764099686666</v>
      </c>
      <c r="AA57" s="100">
        <v>3120.4121497477822</v>
      </c>
      <c r="AB57" s="100">
        <v>5</v>
      </c>
      <c r="AC57" s="100">
        <v>7056</v>
      </c>
      <c r="AD57" s="100">
        <v>2.5867297424077331</v>
      </c>
      <c r="AE57" s="100">
        <v>3650.393012485793</v>
      </c>
      <c r="AF57" s="100">
        <v>3</v>
      </c>
      <c r="AG57" s="100">
        <v>4233.6000000000004</v>
      </c>
      <c r="AH57" s="100">
        <v>5</v>
      </c>
      <c r="AI57" s="100">
        <v>7056</v>
      </c>
      <c r="AJ57" s="100">
        <v>5.2290359116322644</v>
      </c>
      <c r="AK57" s="100">
        <v>7379.2154784954519</v>
      </c>
      <c r="AL57" s="100">
        <v>3.8730207623485198</v>
      </c>
      <c r="AM57" s="100">
        <v>5465.6068998262317</v>
      </c>
      <c r="AN57" s="100">
        <v>1.3504820264571444</v>
      </c>
      <c r="AO57" s="100">
        <v>1905.8002357363223</v>
      </c>
      <c r="AP57" s="100">
        <v>5</v>
      </c>
      <c r="AQ57" s="100">
        <v>7056</v>
      </c>
      <c r="AR57" s="100">
        <v>2.89354794391694</v>
      </c>
      <c r="AS57" s="100">
        <v>4083.374858455586</v>
      </c>
      <c r="AT57" s="100">
        <v>3.1439766019132778</v>
      </c>
      <c r="AU57" s="100">
        <v>4436.7797806200178</v>
      </c>
      <c r="AV57" s="100">
        <v>0.98864969068326813</v>
      </c>
      <c r="AW57" s="100">
        <v>1395.182443492228</v>
      </c>
      <c r="AX57" s="100">
        <v>4</v>
      </c>
      <c r="AY57" s="100">
        <v>5644.8</v>
      </c>
      <c r="AZ57" s="100">
        <v>3.139057359776392</v>
      </c>
      <c r="BA57" s="100">
        <v>4429.8377461164446</v>
      </c>
      <c r="BB57" s="100">
        <v>3.25664893231539</v>
      </c>
      <c r="BC57" s="100">
        <v>4595.7829732834789</v>
      </c>
      <c r="BD57" s="100">
        <v>1.1284569563295139</v>
      </c>
      <c r="BE57" s="100">
        <v>1592.4784567722102</v>
      </c>
      <c r="BF57" s="100">
        <v>3.9111851979621974</v>
      </c>
      <c r="BG57" s="100">
        <v>5519.4645513642536</v>
      </c>
      <c r="BH57" s="100">
        <v>2.3714181342293887</v>
      </c>
      <c r="BI57" s="100">
        <v>3346.5452710245136</v>
      </c>
      <c r="BJ57" s="100">
        <v>4.4945837213655295</v>
      </c>
      <c r="BK57" s="100">
        <v>6342.7565475910351</v>
      </c>
      <c r="BL57" s="100">
        <v>3.4367403445610623</v>
      </c>
      <c r="BM57" s="100">
        <v>4849.9279742445715</v>
      </c>
      <c r="BN57" s="100">
        <v>3.1557946952469424</v>
      </c>
      <c r="BO57" s="100">
        <v>4453.4574739324853</v>
      </c>
      <c r="BP57" s="100">
        <v>5</v>
      </c>
      <c r="BQ57" s="100">
        <v>7056</v>
      </c>
      <c r="BR57" s="100">
        <v>4</v>
      </c>
      <c r="BS57" s="100">
        <v>5644.8</v>
      </c>
      <c r="BT57" s="100">
        <v>6</v>
      </c>
      <c r="BU57" s="100">
        <v>8467.2000000000007</v>
      </c>
      <c r="BV57" s="100">
        <v>4.2818420390041645</v>
      </c>
      <c r="BW57" s="100">
        <v>6042.5354854426769</v>
      </c>
      <c r="BX57" s="100">
        <v>4.6700189059601191</v>
      </c>
      <c r="BY57" s="100">
        <v>6590.3306800909204</v>
      </c>
      <c r="BZ57" s="100">
        <v>2.5996519583708011</v>
      </c>
      <c r="CA57" s="100">
        <v>3668.6288436528748</v>
      </c>
      <c r="CB57" s="100">
        <v>3.0436603520591046</v>
      </c>
      <c r="CC57" s="100">
        <v>4295.2134888258088</v>
      </c>
      <c r="CD57" s="100">
        <v>2.0726410785859271</v>
      </c>
      <c r="CE57" s="100">
        <v>2924.9110901004606</v>
      </c>
      <c r="CF57" s="100">
        <v>3.7615952293820594</v>
      </c>
      <c r="CG57" s="100">
        <v>5308.3631877039625</v>
      </c>
      <c r="CH57" s="100">
        <v>4</v>
      </c>
      <c r="CI57" s="100">
        <v>5644.8</v>
      </c>
      <c r="CJ57" s="100">
        <v>3.1617752634979626</v>
      </c>
      <c r="CK57" s="100">
        <v>4461.8972518483251</v>
      </c>
      <c r="CL57" s="100">
        <v>2.4428580403204756</v>
      </c>
      <c r="CM57" s="100">
        <v>3447.3612665002552</v>
      </c>
      <c r="CN57" s="100">
        <v>4</v>
      </c>
      <c r="CO57" s="100">
        <v>5644.8</v>
      </c>
      <c r="CP57" s="100">
        <v>4.4153105255169764</v>
      </c>
      <c r="CQ57" s="100">
        <v>6230.8862136095577</v>
      </c>
      <c r="CR57" s="100">
        <v>2.4291933667035313</v>
      </c>
      <c r="CS57" s="100">
        <v>3428.0776790920236</v>
      </c>
      <c r="CT57" s="100">
        <v>3.9216782843125295</v>
      </c>
      <c r="CU57" s="100">
        <v>5534.2723948218418</v>
      </c>
    </row>
    <row r="58" spans="2:99">
      <c r="C58" s="99" t="s">
        <v>224</v>
      </c>
      <c r="D58" s="100">
        <v>2.9422253417338693</v>
      </c>
      <c r="E58" s="100">
        <v>3463.5876722891112</v>
      </c>
      <c r="F58" s="100">
        <v>3.6853803113468215</v>
      </c>
      <c r="G58" s="100">
        <v>4338.4297025174783</v>
      </c>
      <c r="H58" s="100">
        <v>4.8417486077661982</v>
      </c>
      <c r="I58" s="100">
        <v>5699.7064610623684</v>
      </c>
      <c r="J58" s="100">
        <v>5.311346585740278</v>
      </c>
      <c r="K58" s="100">
        <v>6252.5172007334559</v>
      </c>
      <c r="L58" s="100">
        <v>5.3226221869881458</v>
      </c>
      <c r="M58" s="100">
        <v>6265.7908385224455</v>
      </c>
      <c r="N58" s="100">
        <v>3.4757713263721417</v>
      </c>
      <c r="O58" s="100">
        <v>4091.6780054052851</v>
      </c>
      <c r="P58" s="100">
        <v>2.4007898327712009</v>
      </c>
      <c r="Q58" s="100">
        <v>2826.209791138258</v>
      </c>
      <c r="R58" s="100">
        <v>4</v>
      </c>
      <c r="S58" s="100">
        <v>4708.8</v>
      </c>
      <c r="T58" s="100">
        <v>5</v>
      </c>
      <c r="U58" s="100">
        <v>5886</v>
      </c>
      <c r="V58" s="100">
        <v>5</v>
      </c>
      <c r="W58" s="100">
        <v>5886</v>
      </c>
      <c r="X58" s="100">
        <v>3.6354323188050972</v>
      </c>
      <c r="Y58" s="100">
        <v>4279.6309256973609</v>
      </c>
      <c r="Z58" s="100">
        <v>4</v>
      </c>
      <c r="AA58" s="100">
        <v>4708.8</v>
      </c>
      <c r="AB58" s="100">
        <v>5.9868109463687045</v>
      </c>
      <c r="AC58" s="100">
        <v>7047.6738460652396</v>
      </c>
      <c r="AD58" s="100">
        <v>2.3877494061896547</v>
      </c>
      <c r="AE58" s="100">
        <v>2810.8586009664618</v>
      </c>
      <c r="AF58" s="100">
        <v>2.2140617346667741</v>
      </c>
      <c r="AG58" s="100">
        <v>2606.3934740497266</v>
      </c>
      <c r="AH58" s="100">
        <v>5.626790010320514</v>
      </c>
      <c r="AI58" s="100">
        <v>6623.8572001493094</v>
      </c>
      <c r="AJ58" s="100">
        <v>6.7028993332302012</v>
      </c>
      <c r="AK58" s="100">
        <v>7890.6530950785927</v>
      </c>
      <c r="AL58" s="100">
        <v>7.3582681456036969</v>
      </c>
      <c r="AM58" s="100">
        <v>8662.1532610046725</v>
      </c>
      <c r="AN58" s="100">
        <v>5.0744174979834105</v>
      </c>
      <c r="AO58" s="100">
        <v>5973.6042786260714</v>
      </c>
      <c r="AP58" s="100">
        <v>4.1985193625727639</v>
      </c>
      <c r="AQ58" s="100">
        <v>4942.496993620658</v>
      </c>
      <c r="AR58" s="100">
        <v>4.4282013654103309</v>
      </c>
      <c r="AS58" s="100">
        <v>5212.8786473610417</v>
      </c>
      <c r="AT58" s="100">
        <v>4.3493131112284571</v>
      </c>
      <c r="AU58" s="100">
        <v>5120.0113945381399</v>
      </c>
      <c r="AV58" s="100">
        <v>5</v>
      </c>
      <c r="AW58" s="100">
        <v>5886</v>
      </c>
      <c r="AX58" s="100">
        <v>5.2700182910008682</v>
      </c>
      <c r="AY58" s="100">
        <v>6203.8655321662227</v>
      </c>
      <c r="AZ58" s="100">
        <v>2.8425674703325523</v>
      </c>
      <c r="BA58" s="100">
        <v>3346.2704260754808</v>
      </c>
      <c r="BB58" s="100">
        <v>0.94187060056015881</v>
      </c>
      <c r="BC58" s="100">
        <v>1108.770070979419</v>
      </c>
      <c r="BD58" s="100">
        <v>5.3176538093054999</v>
      </c>
      <c r="BE58" s="100">
        <v>6259.9420643144349</v>
      </c>
      <c r="BF58" s="100">
        <v>4.2630844888749495</v>
      </c>
      <c r="BG58" s="100">
        <v>5018.5030603035912</v>
      </c>
      <c r="BH58" s="100">
        <v>3.9994454596347877</v>
      </c>
      <c r="BI58" s="100">
        <v>4708.1471950820724</v>
      </c>
      <c r="BJ58" s="100">
        <v>5</v>
      </c>
      <c r="BK58" s="100">
        <v>5886</v>
      </c>
      <c r="BL58" s="100">
        <v>7.0346248604174706</v>
      </c>
      <c r="BM58" s="100">
        <v>8281.1603856834463</v>
      </c>
      <c r="BN58" s="100">
        <v>0.84258156281609953</v>
      </c>
      <c r="BO58" s="100">
        <v>991.8870157471124</v>
      </c>
      <c r="BP58" s="100">
        <v>6</v>
      </c>
      <c r="BQ58" s="100">
        <v>7063.2000000000007</v>
      </c>
      <c r="BR58" s="100">
        <v>5</v>
      </c>
      <c r="BS58" s="100">
        <v>5886</v>
      </c>
      <c r="BT58" s="100">
        <v>5</v>
      </c>
      <c r="BU58" s="100">
        <v>5886</v>
      </c>
      <c r="BV58" s="100">
        <v>6</v>
      </c>
      <c r="BW58" s="100">
        <v>7063.2000000000007</v>
      </c>
      <c r="BX58" s="100">
        <v>6.2251838282347354</v>
      </c>
      <c r="BY58" s="100">
        <v>7328.2864025979306</v>
      </c>
      <c r="BZ58" s="100">
        <v>3.8943190267837244</v>
      </c>
      <c r="CA58" s="100">
        <v>4584.392358329801</v>
      </c>
      <c r="CB58" s="100">
        <v>3.9617640716877118</v>
      </c>
      <c r="CC58" s="100">
        <v>4663.7886651907747</v>
      </c>
      <c r="CD58" s="100">
        <v>3.1694453666762583</v>
      </c>
      <c r="CE58" s="100">
        <v>3731.0710856512915</v>
      </c>
      <c r="CF58" s="100">
        <v>2.8702526016729504</v>
      </c>
      <c r="CG58" s="100">
        <v>3378.8613626893975</v>
      </c>
      <c r="CH58" s="100">
        <v>2.9991086648688126</v>
      </c>
      <c r="CI58" s="100">
        <v>3530.5507202835661</v>
      </c>
      <c r="CJ58" s="100">
        <v>2.5687982735575687</v>
      </c>
      <c r="CK58" s="100">
        <v>3023.9893276319699</v>
      </c>
      <c r="CL58" s="100">
        <v>4.3171216044533507</v>
      </c>
      <c r="CM58" s="100">
        <v>5082.1155527624842</v>
      </c>
      <c r="CN58" s="100">
        <v>4.6083245694324972</v>
      </c>
      <c r="CO58" s="100">
        <v>5424.9196831359359</v>
      </c>
      <c r="CP58" s="100">
        <v>4.2316606269551587</v>
      </c>
      <c r="CQ58" s="100">
        <v>4981.5108900516134</v>
      </c>
      <c r="CR58" s="100">
        <v>3.3075149234089132</v>
      </c>
      <c r="CS58" s="100">
        <v>3893.6065678369728</v>
      </c>
      <c r="CT58" s="100">
        <v>6</v>
      </c>
      <c r="CU58" s="100">
        <v>7063.2000000000007</v>
      </c>
    </row>
    <row r="59" spans="2:99">
      <c r="C59" s="99" t="s">
        <v>225</v>
      </c>
      <c r="D59" s="100">
        <v>2.3790797787758078</v>
      </c>
      <c r="E59" s="100">
        <v>722.28862083633521</v>
      </c>
      <c r="F59" s="100">
        <v>2.5078978990392464</v>
      </c>
      <c r="G59" s="100">
        <v>761.39780214831512</v>
      </c>
      <c r="H59" s="100">
        <v>2.8611885809103925</v>
      </c>
      <c r="I59" s="100">
        <v>868.6568531643951</v>
      </c>
      <c r="J59" s="100">
        <v>6</v>
      </c>
      <c r="K59" s="100">
        <v>1821.6</v>
      </c>
      <c r="L59" s="100">
        <v>7.2947954302272429</v>
      </c>
      <c r="M59" s="100">
        <v>2214.6998926169908</v>
      </c>
      <c r="N59" s="100">
        <v>2.451071484437862</v>
      </c>
      <c r="O59" s="100">
        <v>744.14530267533485</v>
      </c>
      <c r="P59" s="100">
        <v>3.1424366952134841</v>
      </c>
      <c r="Q59" s="100">
        <v>954.04378066681363</v>
      </c>
      <c r="R59" s="100">
        <v>5</v>
      </c>
      <c r="S59" s="100">
        <v>1517.9999999999998</v>
      </c>
      <c r="T59" s="100">
        <v>6</v>
      </c>
      <c r="U59" s="100">
        <v>1821.6</v>
      </c>
      <c r="V59" s="100">
        <v>6</v>
      </c>
      <c r="W59" s="100">
        <v>1821.6</v>
      </c>
      <c r="X59" s="100">
        <v>6.9249864149689699</v>
      </c>
      <c r="Y59" s="100">
        <v>2102.425875584579</v>
      </c>
      <c r="Z59" s="100">
        <v>2.2111764099686666</v>
      </c>
      <c r="AA59" s="100">
        <v>671.31315806648706</v>
      </c>
      <c r="AB59" s="100">
        <v>6</v>
      </c>
      <c r="AC59" s="100">
        <v>1821.6</v>
      </c>
      <c r="AD59" s="100">
        <v>2.0693837939261868</v>
      </c>
      <c r="AE59" s="100">
        <v>628.26491983599021</v>
      </c>
      <c r="AF59" s="100">
        <v>3</v>
      </c>
      <c r="AG59" s="100">
        <v>910.8</v>
      </c>
      <c r="AH59" s="100">
        <v>6</v>
      </c>
      <c r="AI59" s="100">
        <v>1821.6</v>
      </c>
      <c r="AJ59" s="100">
        <v>6.9720478821763514</v>
      </c>
      <c r="AK59" s="100">
        <v>2116.7137370287401</v>
      </c>
      <c r="AL59" s="100">
        <v>4.5185242227399396</v>
      </c>
      <c r="AM59" s="100">
        <v>1371.8239540238455</v>
      </c>
      <c r="AN59" s="100">
        <v>1.3504820264571444</v>
      </c>
      <c r="AO59" s="100">
        <v>410.00634323238899</v>
      </c>
      <c r="AP59" s="100">
        <v>6</v>
      </c>
      <c r="AQ59" s="100">
        <v>1821.6</v>
      </c>
      <c r="AR59" s="100">
        <v>3.858063925222587</v>
      </c>
      <c r="AS59" s="100">
        <v>1171.3082076975772</v>
      </c>
      <c r="AT59" s="100">
        <v>3.1767741056773109</v>
      </c>
      <c r="AU59" s="100">
        <v>964.46861848363153</v>
      </c>
      <c r="AV59" s="100">
        <v>1.1863796288199218</v>
      </c>
      <c r="AW59" s="100">
        <v>360.18485530972822</v>
      </c>
      <c r="AX59" s="100">
        <v>4</v>
      </c>
      <c r="AY59" s="100">
        <v>1214.3999999999999</v>
      </c>
      <c r="AZ59" s="100">
        <v>4.1564395297484413</v>
      </c>
      <c r="BA59" s="100">
        <v>1261.8950412316267</v>
      </c>
      <c r="BB59" s="100">
        <v>3.25664893231539</v>
      </c>
      <c r="BC59" s="100">
        <v>988.71861585095223</v>
      </c>
      <c r="BD59" s="100">
        <v>1.1284569563295139</v>
      </c>
      <c r="BE59" s="100">
        <v>342.59953194164041</v>
      </c>
      <c r="BF59" s="100">
        <v>3.9111851979621974</v>
      </c>
      <c r="BG59" s="100">
        <v>1187.4358261013231</v>
      </c>
      <c r="BH59" s="100">
        <v>2.9642726677867364</v>
      </c>
      <c r="BI59" s="100">
        <v>899.95318194005301</v>
      </c>
      <c r="BJ59" s="100">
        <v>5.3781915983523216</v>
      </c>
      <c r="BK59" s="100">
        <v>1632.8189692597646</v>
      </c>
      <c r="BL59" s="100">
        <v>3.4188219474478894</v>
      </c>
      <c r="BM59" s="100">
        <v>1037.9543432451792</v>
      </c>
      <c r="BN59" s="100">
        <v>3.1557946952469424</v>
      </c>
      <c r="BO59" s="100">
        <v>958.09926947697159</v>
      </c>
      <c r="BP59" s="100">
        <v>6</v>
      </c>
      <c r="BQ59" s="100">
        <v>1821.6</v>
      </c>
      <c r="BR59" s="100">
        <v>4</v>
      </c>
      <c r="BS59" s="100">
        <v>1214.3999999999999</v>
      </c>
      <c r="BT59" s="100">
        <v>6</v>
      </c>
      <c r="BU59" s="100">
        <v>1821.6</v>
      </c>
      <c r="BV59" s="100">
        <v>4.9954823788381928</v>
      </c>
      <c r="BW59" s="100">
        <v>1516.6284502152751</v>
      </c>
      <c r="BX59" s="100">
        <v>4.6700189059601191</v>
      </c>
      <c r="BY59" s="100">
        <v>1417.817739849492</v>
      </c>
      <c r="BZ59" s="100">
        <v>3.0298490494220283</v>
      </c>
      <c r="CA59" s="100">
        <v>919.86217140452766</v>
      </c>
      <c r="CB59" s="100">
        <v>3.0667992717895092</v>
      </c>
      <c r="CC59" s="100">
        <v>931.08025891529485</v>
      </c>
      <c r="CD59" s="100">
        <v>2.0726410785859271</v>
      </c>
      <c r="CE59" s="100">
        <v>629.25383145868739</v>
      </c>
      <c r="CF59" s="100">
        <v>3.2242244823274797</v>
      </c>
      <c r="CG59" s="100">
        <v>978.8745528346227</v>
      </c>
      <c r="CH59" s="100">
        <v>4</v>
      </c>
      <c r="CI59" s="100">
        <v>1214.3999999999999</v>
      </c>
      <c r="CJ59" s="100">
        <v>3.21923646752562</v>
      </c>
      <c r="CK59" s="100">
        <v>977.36019154077815</v>
      </c>
      <c r="CL59" s="100">
        <v>2.4428580403204756</v>
      </c>
      <c r="CM59" s="100">
        <v>741.65170104129629</v>
      </c>
      <c r="CN59" s="100">
        <v>5</v>
      </c>
      <c r="CO59" s="100">
        <v>1517.9999999999998</v>
      </c>
      <c r="CP59" s="100">
        <v>4.4153105255169764</v>
      </c>
      <c r="CQ59" s="100">
        <v>1340.4882755469539</v>
      </c>
      <c r="CR59" s="100">
        <v>2.436374501313066</v>
      </c>
      <c r="CS59" s="100">
        <v>739.68329859864673</v>
      </c>
      <c r="CT59" s="100">
        <v>3.904353895796369</v>
      </c>
      <c r="CU59" s="100">
        <v>1185.3618427637775</v>
      </c>
    </row>
    <row r="60" spans="2:99">
      <c r="C60" s="99" t="s">
        <v>226</v>
      </c>
      <c r="D60" s="100">
        <v>1.92039555589766</v>
      </c>
      <c r="E60" s="100">
        <v>1251.3297442229152</v>
      </c>
      <c r="F60" s="100">
        <v>2.5078978990392464</v>
      </c>
      <c r="G60" s="100">
        <v>1634.1462710139731</v>
      </c>
      <c r="H60" s="100">
        <v>2.3843238174253272</v>
      </c>
      <c r="I60" s="100">
        <v>1553.6253994343433</v>
      </c>
      <c r="J60" s="100">
        <v>6</v>
      </c>
      <c r="K60" s="100">
        <v>3909.6000000000004</v>
      </c>
      <c r="L60" s="100">
        <v>6.2947954302272429</v>
      </c>
      <c r="M60" s="100">
        <v>4101.6887023360714</v>
      </c>
      <c r="N60" s="100">
        <v>2.451071484437862</v>
      </c>
      <c r="O60" s="100">
        <v>1597.118179259711</v>
      </c>
      <c r="P60" s="100">
        <v>3.1424366952134841</v>
      </c>
      <c r="Q60" s="100">
        <v>2047.6117506011062</v>
      </c>
      <c r="R60" s="100">
        <v>5</v>
      </c>
      <c r="S60" s="100">
        <v>3258</v>
      </c>
      <c r="T60" s="100">
        <v>6</v>
      </c>
      <c r="U60" s="100">
        <v>3909.6000000000004</v>
      </c>
      <c r="V60" s="100">
        <v>6</v>
      </c>
      <c r="W60" s="100">
        <v>3909.6000000000004</v>
      </c>
      <c r="X60" s="100">
        <v>6.9249864149689699</v>
      </c>
      <c r="Y60" s="100">
        <v>4512.3211479937809</v>
      </c>
      <c r="Z60" s="100">
        <v>2.2111764099686666</v>
      </c>
      <c r="AA60" s="100">
        <v>1440.8025487355833</v>
      </c>
      <c r="AB60" s="100">
        <v>5</v>
      </c>
      <c r="AC60" s="100">
        <v>3258</v>
      </c>
      <c r="AD60" s="100">
        <v>2.5867297424077331</v>
      </c>
      <c r="AE60" s="100">
        <v>1685.5131001528789</v>
      </c>
      <c r="AF60" s="100">
        <v>3</v>
      </c>
      <c r="AG60" s="100">
        <v>1954.8000000000002</v>
      </c>
      <c r="AH60" s="100">
        <v>6</v>
      </c>
      <c r="AI60" s="100">
        <v>3909.6000000000004</v>
      </c>
      <c r="AJ60" s="100">
        <v>5.2290359116322644</v>
      </c>
      <c r="AK60" s="100">
        <v>3407.2398000195835</v>
      </c>
      <c r="AL60" s="100">
        <v>4.5185242227399396</v>
      </c>
      <c r="AM60" s="100">
        <v>2944.2703835373445</v>
      </c>
      <c r="AN60" s="100">
        <v>1.3504820264571444</v>
      </c>
      <c r="AO60" s="100">
        <v>879.97408843947539</v>
      </c>
      <c r="AP60" s="100">
        <v>6</v>
      </c>
      <c r="AQ60" s="100">
        <v>3909.6000000000004</v>
      </c>
      <c r="AR60" s="100">
        <v>3.858063925222587</v>
      </c>
      <c r="AS60" s="100">
        <v>2513.9144536750377</v>
      </c>
      <c r="AT60" s="100">
        <v>3.1767741056773109</v>
      </c>
      <c r="AU60" s="100">
        <v>2069.986007259336</v>
      </c>
      <c r="AV60" s="100">
        <v>0.98864969068326813</v>
      </c>
      <c r="AW60" s="100">
        <v>644.20413844921757</v>
      </c>
      <c r="AX60" s="100">
        <v>4</v>
      </c>
      <c r="AY60" s="100">
        <v>2606.4</v>
      </c>
      <c r="AZ60" s="100">
        <v>3.1564395297484409</v>
      </c>
      <c r="BA60" s="100">
        <v>2056.7359975840841</v>
      </c>
      <c r="BB60" s="100">
        <v>3.25664893231539</v>
      </c>
      <c r="BC60" s="100">
        <v>2122.032444296708</v>
      </c>
      <c r="BD60" s="100">
        <v>1.1284569563295139</v>
      </c>
      <c r="BE60" s="100">
        <v>735.30255274431136</v>
      </c>
      <c r="BF60" s="100">
        <v>3.9427601042594467</v>
      </c>
      <c r="BG60" s="100">
        <v>2569.1024839354554</v>
      </c>
      <c r="BH60" s="100">
        <v>2.9642726677867364</v>
      </c>
      <c r="BI60" s="100">
        <v>1931.5200703298374</v>
      </c>
      <c r="BJ60" s="100">
        <v>5.1868307572733974</v>
      </c>
      <c r="BK60" s="100">
        <v>3379.7389214393456</v>
      </c>
      <c r="BL60" s="100">
        <v>3.4367403445610623</v>
      </c>
      <c r="BM60" s="100">
        <v>2239.3800085159883</v>
      </c>
      <c r="BN60" s="100">
        <v>3.1557946952469424</v>
      </c>
      <c r="BO60" s="100">
        <v>2056.3158234229077</v>
      </c>
      <c r="BP60" s="100">
        <v>5</v>
      </c>
      <c r="BQ60" s="100">
        <v>3258</v>
      </c>
      <c r="BR60" s="100">
        <v>4</v>
      </c>
      <c r="BS60" s="100">
        <v>2606.4</v>
      </c>
      <c r="BT60" s="100">
        <v>6</v>
      </c>
      <c r="BU60" s="100">
        <v>3909.6000000000004</v>
      </c>
      <c r="BV60" s="100">
        <v>4.2818420390041645</v>
      </c>
      <c r="BW60" s="100">
        <v>2790.0482726151135</v>
      </c>
      <c r="BX60" s="100">
        <v>4.6700189059601191</v>
      </c>
      <c r="BY60" s="100">
        <v>3042.9843191236137</v>
      </c>
      <c r="BZ60" s="100">
        <v>3.0298490494220283</v>
      </c>
      <c r="CA60" s="100">
        <v>1974.2496406033936</v>
      </c>
      <c r="CB60" s="100">
        <v>3.5432241041588202</v>
      </c>
      <c r="CC60" s="100">
        <v>2308.7648262698872</v>
      </c>
      <c r="CD60" s="100">
        <v>2.0726410785859271</v>
      </c>
      <c r="CE60" s="100">
        <v>1350.53292680659</v>
      </c>
      <c r="CF60" s="100">
        <v>3.7615952293820594</v>
      </c>
      <c r="CG60" s="100">
        <v>2451.05545146535</v>
      </c>
      <c r="CH60" s="100">
        <v>5</v>
      </c>
      <c r="CI60" s="100">
        <v>3258</v>
      </c>
      <c r="CJ60" s="100">
        <v>3.7653997141837263</v>
      </c>
      <c r="CK60" s="100">
        <v>2453.5344537621163</v>
      </c>
      <c r="CL60" s="100">
        <v>2.4428580403204756</v>
      </c>
      <c r="CM60" s="100">
        <v>1591.766299072822</v>
      </c>
      <c r="CN60" s="100">
        <v>5</v>
      </c>
      <c r="CO60" s="100">
        <v>3258</v>
      </c>
      <c r="CP60" s="100">
        <v>4.4153105255169764</v>
      </c>
      <c r="CQ60" s="100">
        <v>2877.0163384268621</v>
      </c>
      <c r="CR60" s="100">
        <v>2.4291933667035313</v>
      </c>
      <c r="CS60" s="100">
        <v>1582.8623977440211</v>
      </c>
      <c r="CT60" s="100">
        <v>4.5088811757193339</v>
      </c>
      <c r="CU60" s="100">
        <v>2937.9869740987178</v>
      </c>
    </row>
    <row r="61" spans="2:99">
      <c r="C61" s="99" t="s">
        <v>227</v>
      </c>
      <c r="D61" s="100">
        <v>1.9096882228495262</v>
      </c>
      <c r="E61" s="100">
        <v>1817.259312863609</v>
      </c>
      <c r="F61" s="100">
        <v>2.5078978990392464</v>
      </c>
      <c r="G61" s="100">
        <v>2386.5156407257468</v>
      </c>
      <c r="H61" s="100">
        <v>2.3843238174253272</v>
      </c>
      <c r="I61" s="100">
        <v>2268.9225446619412</v>
      </c>
      <c r="J61" s="100">
        <v>7</v>
      </c>
      <c r="K61" s="100">
        <v>6661.1999999999989</v>
      </c>
      <c r="L61" s="100">
        <v>6.2947954302272429</v>
      </c>
      <c r="M61" s="100">
        <v>5990.1273314042437</v>
      </c>
      <c r="N61" s="100">
        <v>2.451071484437862</v>
      </c>
      <c r="O61" s="100">
        <v>2332.4396245910693</v>
      </c>
      <c r="P61" s="100">
        <v>3.1424366952134841</v>
      </c>
      <c r="Q61" s="100">
        <v>2990.3427591651512</v>
      </c>
      <c r="R61" s="100">
        <v>4</v>
      </c>
      <c r="S61" s="100">
        <v>3806.3999999999996</v>
      </c>
      <c r="T61" s="100">
        <v>5</v>
      </c>
      <c r="U61" s="100">
        <v>4758</v>
      </c>
      <c r="V61" s="100">
        <v>6</v>
      </c>
      <c r="W61" s="100">
        <v>5709.5999999999995</v>
      </c>
      <c r="X61" s="100">
        <v>6.9249864149689699</v>
      </c>
      <c r="Y61" s="100">
        <v>6589.8170724844713</v>
      </c>
      <c r="Z61" s="100">
        <v>2.2111764099686666</v>
      </c>
      <c r="AA61" s="100">
        <v>2104.1554717261829</v>
      </c>
      <c r="AB61" s="100">
        <v>5</v>
      </c>
      <c r="AC61" s="100">
        <v>4758</v>
      </c>
      <c r="AD61" s="100">
        <v>2.5867297424077331</v>
      </c>
      <c r="AE61" s="100">
        <v>2461.5320228751984</v>
      </c>
      <c r="AF61" s="100">
        <v>4</v>
      </c>
      <c r="AG61" s="100">
        <v>3806.3999999999996</v>
      </c>
      <c r="AH61" s="100">
        <v>6</v>
      </c>
      <c r="AI61" s="100">
        <v>5709.5999999999995</v>
      </c>
      <c r="AJ61" s="100">
        <v>6.1005418969043079</v>
      </c>
      <c r="AK61" s="100">
        <v>5805.2756690941387</v>
      </c>
      <c r="AL61" s="100">
        <v>4.5185242227399396</v>
      </c>
      <c r="AM61" s="100">
        <v>4299.8276503593261</v>
      </c>
      <c r="AN61" s="100">
        <v>1.125401688714287</v>
      </c>
      <c r="AO61" s="100">
        <v>1070.9322469805154</v>
      </c>
      <c r="AP61" s="100">
        <v>6</v>
      </c>
      <c r="AQ61" s="100">
        <v>5709.5999999999995</v>
      </c>
      <c r="AR61" s="100">
        <v>3.858063925222587</v>
      </c>
      <c r="AS61" s="100">
        <v>3671.3336312418132</v>
      </c>
      <c r="AT61" s="100">
        <v>3.1767741056773109</v>
      </c>
      <c r="AU61" s="100">
        <v>3023.0182389625288</v>
      </c>
      <c r="AV61" s="100">
        <v>0.98864969068326813</v>
      </c>
      <c r="AW61" s="100">
        <v>940.79904565419781</v>
      </c>
      <c r="AX61" s="100">
        <v>4</v>
      </c>
      <c r="AY61" s="100">
        <v>3806.3999999999996</v>
      </c>
      <c r="AZ61" s="100">
        <v>3.1738216997204902</v>
      </c>
      <c r="BA61" s="100">
        <v>3020.2087294540183</v>
      </c>
      <c r="BB61" s="100">
        <v>3.25664893231539</v>
      </c>
      <c r="BC61" s="100">
        <v>3099.027123991325</v>
      </c>
      <c r="BD61" s="100">
        <v>0.90718800301572688</v>
      </c>
      <c r="BE61" s="100">
        <v>863.28010366976559</v>
      </c>
      <c r="BF61" s="100">
        <v>3.2489328022993065</v>
      </c>
      <c r="BG61" s="100">
        <v>3091.68445466802</v>
      </c>
      <c r="BH61" s="100">
        <v>2.9642726677867364</v>
      </c>
      <c r="BI61" s="100">
        <v>2820.8018706658581</v>
      </c>
      <c r="BJ61" s="100">
        <v>4.322358964394498</v>
      </c>
      <c r="BK61" s="100">
        <v>4113.1567905178035</v>
      </c>
      <c r="BL61" s="100">
        <v>3.9975848039124577</v>
      </c>
      <c r="BM61" s="100">
        <v>3804.1016994030942</v>
      </c>
      <c r="BN61" s="100">
        <v>3.1557946952469424</v>
      </c>
      <c r="BO61" s="100">
        <v>3003.05423199699</v>
      </c>
      <c r="BP61" s="100">
        <v>5</v>
      </c>
      <c r="BQ61" s="100">
        <v>4758</v>
      </c>
      <c r="BR61" s="100">
        <v>5</v>
      </c>
      <c r="BS61" s="100">
        <v>4758</v>
      </c>
      <c r="BT61" s="100">
        <v>6</v>
      </c>
      <c r="BU61" s="100">
        <v>5709.5999999999995</v>
      </c>
      <c r="BV61" s="100">
        <v>4.2818420390041645</v>
      </c>
      <c r="BW61" s="100">
        <v>4074.6008843163627</v>
      </c>
      <c r="BX61" s="100">
        <v>3.9345695614914793</v>
      </c>
      <c r="BY61" s="100">
        <v>3744.1363947152913</v>
      </c>
      <c r="BZ61" s="100">
        <v>2.5996519583708011</v>
      </c>
      <c r="CA61" s="100">
        <v>2473.828803585654</v>
      </c>
      <c r="CB61" s="100">
        <v>3.0436603520591046</v>
      </c>
      <c r="CC61" s="100">
        <v>2896.3471910194435</v>
      </c>
      <c r="CD61" s="100">
        <v>2.0726410785859271</v>
      </c>
      <c r="CE61" s="100">
        <v>1972.325250382368</v>
      </c>
      <c r="CF61" s="100">
        <v>3.7615952293820594</v>
      </c>
      <c r="CG61" s="100">
        <v>3579.5340202799675</v>
      </c>
      <c r="CH61" s="100">
        <v>5</v>
      </c>
      <c r="CI61" s="100">
        <v>4758</v>
      </c>
      <c r="CJ61" s="100">
        <v>3.7941303161975553</v>
      </c>
      <c r="CK61" s="100">
        <v>3610.4944088935931</v>
      </c>
      <c r="CL61" s="100">
        <v>2.4428580403204756</v>
      </c>
      <c r="CM61" s="100">
        <v>2324.6237111689643</v>
      </c>
      <c r="CN61" s="100">
        <v>4</v>
      </c>
      <c r="CO61" s="100">
        <v>3806.3999999999996</v>
      </c>
      <c r="CP61" s="100">
        <v>4.3811593825555875</v>
      </c>
      <c r="CQ61" s="100">
        <v>4169.1112684398968</v>
      </c>
      <c r="CR61" s="100">
        <v>2.4291933667035313</v>
      </c>
      <c r="CS61" s="100">
        <v>2311.6204077550801</v>
      </c>
      <c r="CT61" s="100">
        <v>3.8870295072802077</v>
      </c>
      <c r="CU61" s="100">
        <v>3698.8972791278452</v>
      </c>
    </row>
    <row r="62" spans="2:99">
      <c r="C62" s="99" t="s">
        <v>228</v>
      </c>
      <c r="D62" s="100">
        <v>2.198123416098237</v>
      </c>
      <c r="E62" s="100">
        <v>3669.1076061511772</v>
      </c>
      <c r="F62" s="100">
        <v>3.1128019505757596</v>
      </c>
      <c r="G62" s="100">
        <v>5195.889015901058</v>
      </c>
      <c r="H62" s="100">
        <v>2.6240245785403244</v>
      </c>
      <c r="I62" s="100">
        <v>4380.0218264995101</v>
      </c>
      <c r="J62" s="100">
        <v>3.6921021292261491</v>
      </c>
      <c r="K62" s="100">
        <v>6162.8568741042882</v>
      </c>
      <c r="L62" s="100">
        <v>4.5807097603280367</v>
      </c>
      <c r="M62" s="100">
        <v>7646.1207319395589</v>
      </c>
      <c r="N62" s="100">
        <v>3.0639504008956306</v>
      </c>
      <c r="O62" s="100">
        <v>5114.3460091749866</v>
      </c>
      <c r="P62" s="100">
        <v>3.8261738555965765</v>
      </c>
      <c r="Q62" s="100">
        <v>6386.6493997618054</v>
      </c>
      <c r="R62" s="100">
        <v>2.5671384861094322</v>
      </c>
      <c r="S62" s="100">
        <v>4285.0675610138642</v>
      </c>
      <c r="T62" s="100">
        <v>4.7014063633264271</v>
      </c>
      <c r="U62" s="100">
        <v>7847.5875016644723</v>
      </c>
      <c r="V62" s="100">
        <v>3.0846992571392446</v>
      </c>
      <c r="W62" s="100">
        <v>5148.980000016827</v>
      </c>
      <c r="X62" s="100">
        <v>6.5022281094967544</v>
      </c>
      <c r="Y62" s="100">
        <v>10853.519160371983</v>
      </c>
      <c r="Z62" s="100">
        <v>2.2270280016059218</v>
      </c>
      <c r="AA62" s="100">
        <v>3717.3551402806047</v>
      </c>
      <c r="AB62" s="100">
        <v>1.8145399767451338</v>
      </c>
      <c r="AC62" s="100">
        <v>3028.8301291829775</v>
      </c>
      <c r="AD62" s="100">
        <v>3.6776118657607659</v>
      </c>
      <c r="AE62" s="100">
        <v>6138.6697263278711</v>
      </c>
      <c r="AF62" s="100">
        <v>1.6410913500745783</v>
      </c>
      <c r="AG62" s="100">
        <v>2739.309681544486</v>
      </c>
      <c r="AH62" s="100">
        <v>6.1217632063255145</v>
      </c>
      <c r="AI62" s="100">
        <v>10218.44714399855</v>
      </c>
      <c r="AJ62" s="100">
        <v>4.5930570160610156</v>
      </c>
      <c r="AK62" s="100">
        <v>7666.7307712090478</v>
      </c>
      <c r="AL62" s="100">
        <v>2.2775555131087182</v>
      </c>
      <c r="AM62" s="100">
        <v>3801.6956624810723</v>
      </c>
      <c r="AN62" s="100">
        <v>2.4279004413003542</v>
      </c>
      <c r="AO62" s="100">
        <v>4052.6514166185511</v>
      </c>
      <c r="AP62" s="100">
        <v>3.2598330522910968</v>
      </c>
      <c r="AQ62" s="100">
        <v>5441.3133308842989</v>
      </c>
      <c r="AR62" s="100">
        <v>3.4525665132270782</v>
      </c>
      <c r="AS62" s="100">
        <v>5763.0240238786391</v>
      </c>
      <c r="AT62" s="100">
        <v>1.2798019624639541</v>
      </c>
      <c r="AU62" s="100">
        <v>2136.2454357448323</v>
      </c>
      <c r="AV62" s="100">
        <v>4.19236777940566</v>
      </c>
      <c r="AW62" s="100">
        <v>6997.9002973839279</v>
      </c>
      <c r="AX62" s="100">
        <v>2.8151319399341084</v>
      </c>
      <c r="AY62" s="100">
        <v>4699.0182341380141</v>
      </c>
      <c r="AZ62" s="100">
        <v>2.6052449501543302</v>
      </c>
      <c r="BA62" s="100">
        <v>4348.6748707976085</v>
      </c>
      <c r="BB62" s="100">
        <v>0.71258355925425698</v>
      </c>
      <c r="BC62" s="100">
        <v>1189.4444771072058</v>
      </c>
      <c r="BD62" s="100">
        <v>3.3365663686340019</v>
      </c>
      <c r="BE62" s="100">
        <v>5569.3965825238765</v>
      </c>
      <c r="BF62" s="100">
        <v>2.875582791717358</v>
      </c>
      <c r="BG62" s="100">
        <v>4799.9227959346144</v>
      </c>
      <c r="BH62" s="100">
        <v>2.8664410105850289</v>
      </c>
      <c r="BI62" s="100">
        <v>4784.66333486853</v>
      </c>
      <c r="BJ62" s="100">
        <v>0.92575548001947783</v>
      </c>
      <c r="BK62" s="100">
        <v>1545.2710472485123</v>
      </c>
      <c r="BL62" s="100">
        <v>3.5877201528977216</v>
      </c>
      <c r="BM62" s="100">
        <v>5988.6224792168769</v>
      </c>
      <c r="BN62" s="100">
        <v>2.3552233190357659</v>
      </c>
      <c r="BO62" s="100">
        <v>3931.3387641345007</v>
      </c>
      <c r="BP62" s="100">
        <v>5</v>
      </c>
      <c r="BQ62" s="100">
        <v>8346</v>
      </c>
      <c r="BR62" s="100">
        <v>3.1114221504177126</v>
      </c>
      <c r="BS62" s="100">
        <v>5193.585853477246</v>
      </c>
      <c r="BT62" s="100">
        <v>4.1067537925636772</v>
      </c>
      <c r="BU62" s="100">
        <v>6854.9934305472898</v>
      </c>
      <c r="BV62" s="100">
        <v>3.6698375879405685</v>
      </c>
      <c r="BW62" s="100">
        <v>6125.6929017903967</v>
      </c>
      <c r="BX62" s="100">
        <v>2.1956714687040337</v>
      </c>
      <c r="BY62" s="100">
        <v>3665.0148155607731</v>
      </c>
      <c r="BZ62" s="100">
        <v>2.6030986352369552</v>
      </c>
      <c r="CA62" s="100">
        <v>4345.0922419375256</v>
      </c>
      <c r="CB62" s="100">
        <v>2.431495185923275</v>
      </c>
      <c r="CC62" s="100">
        <v>4058.6517643431307</v>
      </c>
      <c r="CD62" s="100">
        <v>1.6204559575307755</v>
      </c>
      <c r="CE62" s="100">
        <v>2704.8650843103705</v>
      </c>
      <c r="CF62" s="100">
        <v>2.0736432785961387</v>
      </c>
      <c r="CG62" s="100">
        <v>3461.3253606326748</v>
      </c>
      <c r="CH62" s="100">
        <v>1.8445907264950652</v>
      </c>
      <c r="CI62" s="100">
        <v>3078.9908406655627</v>
      </c>
      <c r="CJ62" s="100">
        <v>2.2036688696132112</v>
      </c>
      <c r="CK62" s="100">
        <v>3678.3640771583723</v>
      </c>
      <c r="CL62" s="100">
        <v>2.8396590435524494</v>
      </c>
      <c r="CM62" s="100">
        <v>4739.9588754977485</v>
      </c>
      <c r="CN62" s="100">
        <v>2.0660740909910751</v>
      </c>
      <c r="CO62" s="100">
        <v>3448.6908726823026</v>
      </c>
      <c r="CP62" s="100">
        <v>5.1393590721484452</v>
      </c>
      <c r="CQ62" s="100">
        <v>8578.618163230185</v>
      </c>
      <c r="CR62" s="100">
        <v>3.9895342980337909</v>
      </c>
      <c r="CS62" s="100">
        <v>6659.3306502780042</v>
      </c>
      <c r="CT62" s="100">
        <v>3.3921778939038729</v>
      </c>
      <c r="CU62" s="100">
        <v>5662.2233405043453</v>
      </c>
    </row>
    <row r="63" spans="2:99">
      <c r="C63" s="99" t="s">
        <v>229</v>
      </c>
      <c r="D63" s="100">
        <v>2.3683724457276738</v>
      </c>
      <c r="E63" s="100">
        <v>1884.2771178209373</v>
      </c>
      <c r="F63" s="100">
        <v>2.5078978990392464</v>
      </c>
      <c r="G63" s="100">
        <v>1995.2835684756244</v>
      </c>
      <c r="H63" s="100">
        <v>2.3843238174253272</v>
      </c>
      <c r="I63" s="100">
        <v>1896.9680291435905</v>
      </c>
      <c r="J63" s="100">
        <v>6</v>
      </c>
      <c r="K63" s="100">
        <v>4773.6000000000004</v>
      </c>
      <c r="L63" s="100">
        <v>6.2579460014488379</v>
      </c>
      <c r="M63" s="100">
        <v>4978.8218387526958</v>
      </c>
      <c r="N63" s="100">
        <v>2.470842597044145</v>
      </c>
      <c r="O63" s="100">
        <v>1965.8023702083219</v>
      </c>
      <c r="P63" s="100">
        <v>3.1424366952134841</v>
      </c>
      <c r="Q63" s="100">
        <v>2500.1226347118481</v>
      </c>
      <c r="R63" s="100">
        <v>5</v>
      </c>
      <c r="S63" s="100">
        <v>3978</v>
      </c>
      <c r="T63" s="100">
        <v>5</v>
      </c>
      <c r="U63" s="100">
        <v>3978</v>
      </c>
      <c r="V63" s="100">
        <v>5</v>
      </c>
      <c r="W63" s="100">
        <v>3978</v>
      </c>
      <c r="X63" s="100">
        <v>6.9249864149689699</v>
      </c>
      <c r="Y63" s="100">
        <v>5509.519191749313</v>
      </c>
      <c r="Z63" s="100">
        <v>1.7689411279749336</v>
      </c>
      <c r="AA63" s="100">
        <v>1407.3695614168573</v>
      </c>
      <c r="AB63" s="100">
        <v>6</v>
      </c>
      <c r="AC63" s="100">
        <v>4773.6000000000004</v>
      </c>
      <c r="AD63" s="100">
        <v>2.5867297424077331</v>
      </c>
      <c r="AE63" s="100">
        <v>2058.0021830595924</v>
      </c>
      <c r="AF63" s="100">
        <v>4</v>
      </c>
      <c r="AG63" s="100">
        <v>3182.4</v>
      </c>
      <c r="AH63" s="100">
        <v>5</v>
      </c>
      <c r="AI63" s="100">
        <v>3978</v>
      </c>
      <c r="AJ63" s="100">
        <v>6.1005418969043079</v>
      </c>
      <c r="AK63" s="100">
        <v>4853.5911331770676</v>
      </c>
      <c r="AL63" s="100">
        <v>4.5185242227399396</v>
      </c>
      <c r="AM63" s="100">
        <v>3594.9378716118958</v>
      </c>
      <c r="AN63" s="100">
        <v>1.3504820264571444</v>
      </c>
      <c r="AO63" s="100">
        <v>1074.4435002493042</v>
      </c>
      <c r="AP63" s="100">
        <v>6</v>
      </c>
      <c r="AQ63" s="100">
        <v>4773.6000000000004</v>
      </c>
      <c r="AR63" s="100">
        <v>3.858063925222587</v>
      </c>
      <c r="AS63" s="100">
        <v>3069.4756589070903</v>
      </c>
      <c r="AT63" s="100">
        <v>3.8725751208045396</v>
      </c>
      <c r="AU63" s="100">
        <v>3081.0207661120917</v>
      </c>
      <c r="AV63" s="100">
        <v>1.1863796288199218</v>
      </c>
      <c r="AW63" s="100">
        <v>943.88363268912974</v>
      </c>
      <c r="AX63" s="100">
        <v>5</v>
      </c>
      <c r="AY63" s="100">
        <v>3978</v>
      </c>
      <c r="AZ63" s="100">
        <v>3.1564395297484409</v>
      </c>
      <c r="BA63" s="100">
        <v>2511.2632898678598</v>
      </c>
      <c r="BB63" s="100">
        <v>4.0708111653942369</v>
      </c>
      <c r="BC63" s="100">
        <v>3238.7373631876549</v>
      </c>
      <c r="BD63" s="100">
        <v>1.1284569563295139</v>
      </c>
      <c r="BE63" s="100">
        <v>897.80035445576129</v>
      </c>
      <c r="BF63" s="100">
        <v>3.9427601042594467</v>
      </c>
      <c r="BG63" s="100">
        <v>3136.8599389488159</v>
      </c>
      <c r="BH63" s="100">
        <v>2.9642726677867364</v>
      </c>
      <c r="BI63" s="100">
        <v>2358.3753344911274</v>
      </c>
      <c r="BJ63" s="100">
        <v>5.3590555142444289</v>
      </c>
      <c r="BK63" s="100">
        <v>4263.6645671328679</v>
      </c>
      <c r="BL63" s="100">
        <v>3.9617480096861128</v>
      </c>
      <c r="BM63" s="100">
        <v>3151.9667165062715</v>
      </c>
      <c r="BN63" s="100">
        <v>3.1557946952469424</v>
      </c>
      <c r="BO63" s="100">
        <v>2510.7502595384676</v>
      </c>
      <c r="BP63" s="100">
        <v>5</v>
      </c>
      <c r="BQ63" s="100">
        <v>3978</v>
      </c>
      <c r="BR63" s="100">
        <v>4</v>
      </c>
      <c r="BS63" s="100">
        <v>3182.4</v>
      </c>
      <c r="BT63" s="100">
        <v>6</v>
      </c>
      <c r="BU63" s="100">
        <v>4773.6000000000004</v>
      </c>
      <c r="BV63" s="100">
        <v>4.2818420390041645</v>
      </c>
      <c r="BW63" s="100">
        <v>3406.6335262317134</v>
      </c>
      <c r="BX63" s="100">
        <v>4.6700189059601191</v>
      </c>
      <c r="BY63" s="100">
        <v>3715.4670415818709</v>
      </c>
      <c r="BZ63" s="100">
        <v>2.6181213704342396</v>
      </c>
      <c r="CA63" s="100">
        <v>2082.977362317481</v>
      </c>
      <c r="CB63" s="100">
        <v>3.0436603520591046</v>
      </c>
      <c r="CC63" s="100">
        <v>2421.5361760982237</v>
      </c>
      <c r="CD63" s="100">
        <v>2.0726410785859271</v>
      </c>
      <c r="CE63" s="100">
        <v>1648.9932421229637</v>
      </c>
      <c r="CF63" s="100">
        <v>3.2242244823274797</v>
      </c>
      <c r="CG63" s="100">
        <v>2565.1929981397429</v>
      </c>
      <c r="CH63" s="100">
        <v>5</v>
      </c>
      <c r="CI63" s="100">
        <v>3978</v>
      </c>
      <c r="CJ63" s="100">
        <v>3.7653997141837263</v>
      </c>
      <c r="CK63" s="100">
        <v>2995.7520126045729</v>
      </c>
      <c r="CL63" s="100">
        <v>2.0938783202746936</v>
      </c>
      <c r="CM63" s="100">
        <v>1665.8895916105462</v>
      </c>
      <c r="CN63" s="100">
        <v>5</v>
      </c>
      <c r="CO63" s="100">
        <v>3978</v>
      </c>
      <c r="CP63" s="100">
        <v>4.4153105255169764</v>
      </c>
      <c r="CQ63" s="100">
        <v>3512.8210541013063</v>
      </c>
      <c r="CR63" s="100">
        <v>2.828074648979507</v>
      </c>
      <c r="CS63" s="100">
        <v>2250.0161907280958</v>
      </c>
      <c r="CT63" s="100">
        <v>4.5262055642354957</v>
      </c>
      <c r="CU63" s="100">
        <v>3601.0491469057606</v>
      </c>
    </row>
    <row r="64" spans="2:99">
      <c r="C64" s="99" t="s">
        <v>230</v>
      </c>
      <c r="D64" s="100">
        <v>1.8989808898013927</v>
      </c>
      <c r="E64" s="100">
        <v>1916.4515139875652</v>
      </c>
      <c r="F64" s="100">
        <v>2.5006473116230001</v>
      </c>
      <c r="G64" s="100">
        <v>2523.6532668899313</v>
      </c>
      <c r="H64" s="100">
        <v>2.3843238174253272</v>
      </c>
      <c r="I64" s="100">
        <v>2406.2595965456399</v>
      </c>
      <c r="J64" s="100">
        <v>6</v>
      </c>
      <c r="K64" s="100">
        <v>6055.1999999999989</v>
      </c>
      <c r="L64" s="100">
        <v>6.2947954302272429</v>
      </c>
      <c r="M64" s="100">
        <v>6352.7075481853326</v>
      </c>
      <c r="N64" s="100">
        <v>2.451071484437862</v>
      </c>
      <c r="O64" s="100">
        <v>2473.6213420946901</v>
      </c>
      <c r="P64" s="100">
        <v>3.7709240342561814</v>
      </c>
      <c r="Q64" s="100">
        <v>3805.6165353713377</v>
      </c>
      <c r="R64" s="100">
        <v>5</v>
      </c>
      <c r="S64" s="100">
        <v>5045.9999999999991</v>
      </c>
      <c r="T64" s="100">
        <v>5</v>
      </c>
      <c r="U64" s="100">
        <v>5045.9999999999991</v>
      </c>
      <c r="V64" s="100">
        <v>5</v>
      </c>
      <c r="W64" s="100">
        <v>5045.9999999999991</v>
      </c>
      <c r="X64" s="100">
        <v>6.9249864149689699</v>
      </c>
      <c r="Y64" s="100">
        <v>6988.696289986683</v>
      </c>
      <c r="Z64" s="100">
        <v>2.2111764099686666</v>
      </c>
      <c r="AA64" s="100">
        <v>2231.5192329403781</v>
      </c>
      <c r="AB64" s="100">
        <v>6</v>
      </c>
      <c r="AC64" s="100">
        <v>6055.1999999999989</v>
      </c>
      <c r="AD64" s="100">
        <v>2.0693837939261868</v>
      </c>
      <c r="AE64" s="100">
        <v>2088.4221248303074</v>
      </c>
      <c r="AF64" s="100">
        <v>3</v>
      </c>
      <c r="AG64" s="100">
        <v>3027.5999999999995</v>
      </c>
      <c r="AH64" s="100">
        <v>6</v>
      </c>
      <c r="AI64" s="100">
        <v>6055.1999999999989</v>
      </c>
      <c r="AJ64" s="100">
        <v>6.1005418969043079</v>
      </c>
      <c r="AK64" s="100">
        <v>6156.6668823558266</v>
      </c>
      <c r="AL64" s="100">
        <v>4.5185242227399396</v>
      </c>
      <c r="AM64" s="100">
        <v>4560.0946455891462</v>
      </c>
      <c r="AN64" s="100">
        <v>1.3504820264571444</v>
      </c>
      <c r="AO64" s="100">
        <v>1362.9064611005499</v>
      </c>
      <c r="AP64" s="100">
        <v>5</v>
      </c>
      <c r="AQ64" s="100">
        <v>5045.9999999999991</v>
      </c>
      <c r="AR64" s="100">
        <v>2.89354794391694</v>
      </c>
      <c r="AS64" s="100">
        <v>2920.1685850009753</v>
      </c>
      <c r="AT64" s="100">
        <v>3.1767741056773109</v>
      </c>
      <c r="AU64" s="100">
        <v>3206.0004274495413</v>
      </c>
      <c r="AV64" s="100">
        <v>1.1863796288199218</v>
      </c>
      <c r="AW64" s="100">
        <v>1197.2943214050649</v>
      </c>
      <c r="AX64" s="100">
        <v>4</v>
      </c>
      <c r="AY64" s="100">
        <v>4036.7999999999993</v>
      </c>
      <c r="AZ64" s="100">
        <v>3.1564395297484409</v>
      </c>
      <c r="BA64" s="100">
        <v>3185.4787734221259</v>
      </c>
      <c r="BB64" s="100">
        <v>3.25664893231539</v>
      </c>
      <c r="BC64" s="100">
        <v>3286.6101024926911</v>
      </c>
      <c r="BD64" s="100">
        <v>1.1260000463561166</v>
      </c>
      <c r="BE64" s="100">
        <v>1136.3592467825927</v>
      </c>
      <c r="BF64" s="100">
        <v>3.9427601042594467</v>
      </c>
      <c r="BG64" s="100">
        <v>3979.0334972186329</v>
      </c>
      <c r="BH64" s="100">
        <v>2.9642726677867364</v>
      </c>
      <c r="BI64" s="100">
        <v>2991.5439763303739</v>
      </c>
      <c r="BJ64" s="100">
        <v>4.4945837213655295</v>
      </c>
      <c r="BK64" s="100">
        <v>4535.9338916020915</v>
      </c>
      <c r="BL64" s="100">
        <v>3.9975848039124577</v>
      </c>
      <c r="BM64" s="100">
        <v>4034.3625841084518</v>
      </c>
      <c r="BN64" s="100">
        <v>2.3668460214352067</v>
      </c>
      <c r="BO64" s="100">
        <v>2388.6210048324101</v>
      </c>
      <c r="BP64" s="100">
        <v>5</v>
      </c>
      <c r="BQ64" s="100">
        <v>5045.9999999999991</v>
      </c>
      <c r="BR64" s="100">
        <v>4</v>
      </c>
      <c r="BS64" s="100">
        <v>4036.7999999999993</v>
      </c>
      <c r="BT64" s="100">
        <v>6</v>
      </c>
      <c r="BU64" s="100">
        <v>6055.1999999999989</v>
      </c>
      <c r="BV64" s="100">
        <v>4.2818420390041645</v>
      </c>
      <c r="BW64" s="100">
        <v>4321.2349857630024</v>
      </c>
      <c r="BX64" s="100">
        <v>4.6700189059601191</v>
      </c>
      <c r="BY64" s="100">
        <v>4712.9830798949515</v>
      </c>
      <c r="BZ64" s="100">
        <v>2.6181213704342396</v>
      </c>
      <c r="CA64" s="100">
        <v>2642.2080870422342</v>
      </c>
      <c r="CB64" s="100">
        <v>3.0436603520591046</v>
      </c>
      <c r="CC64" s="100">
        <v>3071.6620272980476</v>
      </c>
      <c r="CD64" s="100">
        <v>1.7421162490144997</v>
      </c>
      <c r="CE64" s="100">
        <v>1758.1437185054328</v>
      </c>
      <c r="CF64" s="100">
        <v>3.2242244823274797</v>
      </c>
      <c r="CG64" s="100">
        <v>3253.887347564892</v>
      </c>
      <c r="CH64" s="100">
        <v>5</v>
      </c>
      <c r="CI64" s="100">
        <v>5045.9999999999991</v>
      </c>
      <c r="CJ64" s="100">
        <v>3.7653997141837263</v>
      </c>
      <c r="CK64" s="100">
        <v>3800.0413915542158</v>
      </c>
      <c r="CL64" s="100">
        <v>2.4428580403204756</v>
      </c>
      <c r="CM64" s="100">
        <v>2465.3323342914236</v>
      </c>
      <c r="CN64" s="100">
        <v>4</v>
      </c>
      <c r="CO64" s="100">
        <v>4036.7999999999993</v>
      </c>
      <c r="CP64" s="100">
        <v>4.3811593825555875</v>
      </c>
      <c r="CQ64" s="100">
        <v>4421.4660488750978</v>
      </c>
      <c r="CR64" s="100">
        <v>2.436374501313066</v>
      </c>
      <c r="CS64" s="100">
        <v>2458.7891467251457</v>
      </c>
      <c r="CT64" s="100">
        <v>3.904353895796369</v>
      </c>
      <c r="CU64" s="100">
        <v>3940.2739516376951</v>
      </c>
    </row>
    <row r="65" spans="2:99">
      <c r="C65" s="99" t="s">
        <v>231</v>
      </c>
      <c r="D65" s="100">
        <v>1.9096882228495262</v>
      </c>
      <c r="E65" s="100">
        <v>1959.340116643614</v>
      </c>
      <c r="F65" s="100">
        <v>2.5006473116230001</v>
      </c>
      <c r="G65" s="100">
        <v>2565.6641417251981</v>
      </c>
      <c r="H65" s="100">
        <v>2.3843238174253272</v>
      </c>
      <c r="I65" s="100">
        <v>2446.3162366783858</v>
      </c>
      <c r="J65" s="100">
        <v>6</v>
      </c>
      <c r="K65" s="100">
        <v>6156</v>
      </c>
      <c r="L65" s="100">
        <v>7.2579460014488379</v>
      </c>
      <c r="M65" s="100">
        <v>7446.6525974865081</v>
      </c>
      <c r="N65" s="100">
        <v>1.9845825226778291</v>
      </c>
      <c r="O65" s="100">
        <v>2036.1816682674526</v>
      </c>
      <c r="P65" s="100">
        <v>3.7709240342561814</v>
      </c>
      <c r="Q65" s="100">
        <v>3868.9680591468423</v>
      </c>
      <c r="R65" s="100">
        <v>5</v>
      </c>
      <c r="S65" s="100">
        <v>5130</v>
      </c>
      <c r="T65" s="100">
        <v>5</v>
      </c>
      <c r="U65" s="100">
        <v>5130</v>
      </c>
      <c r="V65" s="100">
        <v>5</v>
      </c>
      <c r="W65" s="100">
        <v>5130</v>
      </c>
      <c r="X65" s="100">
        <v>6.9249864149689699</v>
      </c>
      <c r="Y65" s="100">
        <v>7105.0360617581628</v>
      </c>
      <c r="Z65" s="100">
        <v>1.7689411279749336</v>
      </c>
      <c r="AA65" s="100">
        <v>1814.9335973022819</v>
      </c>
      <c r="AB65" s="100">
        <v>5</v>
      </c>
      <c r="AC65" s="100">
        <v>5130</v>
      </c>
      <c r="AD65" s="100">
        <v>2.5867297424077331</v>
      </c>
      <c r="AE65" s="100">
        <v>2653.9847157103341</v>
      </c>
      <c r="AF65" s="100">
        <v>4</v>
      </c>
      <c r="AG65" s="100">
        <v>4104</v>
      </c>
      <c r="AH65" s="100">
        <v>5</v>
      </c>
      <c r="AI65" s="100">
        <v>5130</v>
      </c>
      <c r="AJ65" s="100">
        <v>6.1005418969043079</v>
      </c>
      <c r="AK65" s="100">
        <v>6259.15598622382</v>
      </c>
      <c r="AL65" s="100">
        <v>4.5185242227399396</v>
      </c>
      <c r="AM65" s="100">
        <v>4636.0058525311779</v>
      </c>
      <c r="AN65" s="100">
        <v>1.3504820264571444</v>
      </c>
      <c r="AO65" s="100">
        <v>1385.5945591450302</v>
      </c>
      <c r="AP65" s="100">
        <v>6</v>
      </c>
      <c r="AQ65" s="100">
        <v>6156</v>
      </c>
      <c r="AR65" s="100">
        <v>3.858063925222587</v>
      </c>
      <c r="AS65" s="100">
        <v>3958.3735872783741</v>
      </c>
      <c r="AT65" s="100">
        <v>3.1439766019132778</v>
      </c>
      <c r="AU65" s="100">
        <v>3225.7199935630229</v>
      </c>
      <c r="AV65" s="100">
        <v>1.1863796288199218</v>
      </c>
      <c r="AW65" s="100">
        <v>1217.2254991692398</v>
      </c>
      <c r="AX65" s="100">
        <v>4</v>
      </c>
      <c r="AY65" s="100">
        <v>4104</v>
      </c>
      <c r="AZ65" s="100">
        <v>3.1564395297484409</v>
      </c>
      <c r="BA65" s="100">
        <v>3238.5069575219004</v>
      </c>
      <c r="BB65" s="100">
        <v>3.25664893231539</v>
      </c>
      <c r="BC65" s="100">
        <v>3341.32180455559</v>
      </c>
      <c r="BD65" s="100">
        <v>0.90718800301572688</v>
      </c>
      <c r="BE65" s="100">
        <v>930.7748910941358</v>
      </c>
      <c r="BF65" s="100">
        <v>3.9111851979621974</v>
      </c>
      <c r="BG65" s="100">
        <v>4012.8760131092145</v>
      </c>
      <c r="BH65" s="100">
        <v>2.9642726677867364</v>
      </c>
      <c r="BI65" s="100">
        <v>3041.3437571491913</v>
      </c>
      <c r="BJ65" s="100">
        <v>4.4945837213655295</v>
      </c>
      <c r="BK65" s="100">
        <v>4611.4428981210331</v>
      </c>
      <c r="BL65" s="100">
        <v>3.9796664067992853</v>
      </c>
      <c r="BM65" s="100">
        <v>4083.1377333760665</v>
      </c>
      <c r="BN65" s="100">
        <v>3.1557946952469424</v>
      </c>
      <c r="BO65" s="100">
        <v>3237.8453573233628</v>
      </c>
      <c r="BP65" s="100">
        <v>6</v>
      </c>
      <c r="BQ65" s="100">
        <v>6156</v>
      </c>
      <c r="BR65" s="100">
        <v>4</v>
      </c>
      <c r="BS65" s="100">
        <v>4104</v>
      </c>
      <c r="BT65" s="100">
        <v>6</v>
      </c>
      <c r="BU65" s="100">
        <v>6156</v>
      </c>
      <c r="BV65" s="100">
        <v>3.5682016991701375</v>
      </c>
      <c r="BW65" s="100">
        <v>3660.9749433485613</v>
      </c>
      <c r="BX65" s="100">
        <v>3.8978091558988686</v>
      </c>
      <c r="BY65" s="100">
        <v>3999.152193952239</v>
      </c>
      <c r="BZ65" s="100">
        <v>2.5996519583708011</v>
      </c>
      <c r="CA65" s="100">
        <v>2667.2429092884418</v>
      </c>
      <c r="CB65" s="100">
        <v>3.0205214323287</v>
      </c>
      <c r="CC65" s="100">
        <v>3099.0549895692461</v>
      </c>
      <c r="CD65" s="100">
        <v>2.0726410785859271</v>
      </c>
      <c r="CE65" s="100">
        <v>2126.5297466291613</v>
      </c>
      <c r="CF65" s="100">
        <v>3.2242244823274797</v>
      </c>
      <c r="CG65" s="100">
        <v>3308.054318867994</v>
      </c>
      <c r="CH65" s="100">
        <v>4</v>
      </c>
      <c r="CI65" s="100">
        <v>4104</v>
      </c>
      <c r="CJ65" s="100">
        <v>3.7366691121698978</v>
      </c>
      <c r="CK65" s="100">
        <v>3833.8225090863152</v>
      </c>
      <c r="CL65" s="100">
        <v>2.4428580403204756</v>
      </c>
      <c r="CM65" s="100">
        <v>2506.372349368808</v>
      </c>
      <c r="CN65" s="100">
        <v>5</v>
      </c>
      <c r="CO65" s="100">
        <v>5130</v>
      </c>
      <c r="CP65" s="100">
        <v>4.3811593825555875</v>
      </c>
      <c r="CQ65" s="100">
        <v>4495.0695265020331</v>
      </c>
      <c r="CR65" s="100">
        <v>2.4220122320939965</v>
      </c>
      <c r="CS65" s="100">
        <v>2484.9845501284403</v>
      </c>
      <c r="CT65" s="100">
        <v>3.904353895796369</v>
      </c>
      <c r="CU65" s="100">
        <v>4005.8670970870749</v>
      </c>
    </row>
    <row r="66" spans="2:99">
      <c r="C66" s="99" t="s">
        <v>232</v>
      </c>
      <c r="D66" s="100">
        <v>1.9096882228495262</v>
      </c>
      <c r="E66" s="100">
        <v>2273.2928604800759</v>
      </c>
      <c r="F66" s="100">
        <v>2.5006473116230001</v>
      </c>
      <c r="G66" s="100">
        <v>2976.7705597560189</v>
      </c>
      <c r="H66" s="100">
        <v>2.3843238174253272</v>
      </c>
      <c r="I66" s="100">
        <v>2838.2990722631093</v>
      </c>
      <c r="J66" s="100">
        <v>6</v>
      </c>
      <c r="K66" s="100">
        <v>7142.4</v>
      </c>
      <c r="L66" s="100">
        <v>7.2579460014488379</v>
      </c>
      <c r="M66" s="100">
        <v>8639.8589201246959</v>
      </c>
      <c r="N66" s="100">
        <v>2.4313003718315795</v>
      </c>
      <c r="O66" s="100">
        <v>2894.2199626283118</v>
      </c>
      <c r="P66" s="100">
        <v>3.1424366952134841</v>
      </c>
      <c r="Q66" s="100">
        <v>3740.756641982131</v>
      </c>
      <c r="R66" s="100">
        <v>4</v>
      </c>
      <c r="S66" s="100">
        <v>4761.5999999999995</v>
      </c>
      <c r="T66" s="100">
        <v>6</v>
      </c>
      <c r="U66" s="100">
        <v>7142.4</v>
      </c>
      <c r="V66" s="100">
        <v>5</v>
      </c>
      <c r="W66" s="100">
        <v>5951.9999999999991</v>
      </c>
      <c r="X66" s="100">
        <v>6.9249864149689699</v>
      </c>
      <c r="Y66" s="100">
        <v>8243.50382837906</v>
      </c>
      <c r="Z66" s="100">
        <v>2.2111764099686666</v>
      </c>
      <c r="AA66" s="100">
        <v>2632.1843984267002</v>
      </c>
      <c r="AB66" s="100">
        <v>6</v>
      </c>
      <c r="AC66" s="100">
        <v>7142.4</v>
      </c>
      <c r="AD66" s="100">
        <v>2.5867297424077331</v>
      </c>
      <c r="AE66" s="100">
        <v>3079.2430853621649</v>
      </c>
      <c r="AF66" s="100">
        <v>3</v>
      </c>
      <c r="AG66" s="100">
        <v>3571.2</v>
      </c>
      <c r="AH66" s="100">
        <v>5</v>
      </c>
      <c r="AI66" s="100">
        <v>5951.9999999999991</v>
      </c>
      <c r="AJ66" s="100">
        <v>5.2290359116322644</v>
      </c>
      <c r="AK66" s="100">
        <v>6224.6443492070466</v>
      </c>
      <c r="AL66" s="100">
        <v>3.8730207623485198</v>
      </c>
      <c r="AM66" s="100">
        <v>4610.4439154996771</v>
      </c>
      <c r="AN66" s="100">
        <v>1.3504820264571444</v>
      </c>
      <c r="AO66" s="100">
        <v>1607.6138042945845</v>
      </c>
      <c r="AP66" s="100">
        <v>6</v>
      </c>
      <c r="AQ66" s="100">
        <v>7142.4</v>
      </c>
      <c r="AR66" s="100">
        <v>3.858063925222587</v>
      </c>
      <c r="AS66" s="100">
        <v>4592.6392965849673</v>
      </c>
      <c r="AT66" s="100">
        <v>3.1767741056773109</v>
      </c>
      <c r="AU66" s="100">
        <v>3781.6318953982704</v>
      </c>
      <c r="AV66" s="100">
        <v>1.1863796288199218</v>
      </c>
      <c r="AW66" s="100">
        <v>1412.2663101472347</v>
      </c>
      <c r="AX66" s="100">
        <v>4</v>
      </c>
      <c r="AY66" s="100">
        <v>4761.5999999999995</v>
      </c>
      <c r="AZ66" s="100">
        <v>3.1564395297484409</v>
      </c>
      <c r="BA66" s="100">
        <v>3757.4256162125434</v>
      </c>
      <c r="BB66" s="100">
        <v>3.25664893231539</v>
      </c>
      <c r="BC66" s="100">
        <v>3876.7148890282397</v>
      </c>
      <c r="BD66" s="100">
        <v>0.90473109304232957</v>
      </c>
      <c r="BE66" s="100">
        <v>1076.9918931575889</v>
      </c>
      <c r="BF66" s="100">
        <v>3.2173578960020572</v>
      </c>
      <c r="BG66" s="100">
        <v>3829.9428394008487</v>
      </c>
      <c r="BH66" s="100">
        <v>2.9642726677867364</v>
      </c>
      <c r="BI66" s="100">
        <v>3528.6701837333308</v>
      </c>
      <c r="BJ66" s="100">
        <v>4.4945837213655295</v>
      </c>
      <c r="BK66" s="100">
        <v>5350.352461913526</v>
      </c>
      <c r="BL66" s="100">
        <v>3.9617480096861128</v>
      </c>
      <c r="BM66" s="100">
        <v>4716.0648307303481</v>
      </c>
      <c r="BN66" s="100">
        <v>3.1557946952469424</v>
      </c>
      <c r="BO66" s="100">
        <v>3756.6580052219597</v>
      </c>
      <c r="BP66" s="100">
        <v>5</v>
      </c>
      <c r="BQ66" s="100">
        <v>5951.9999999999991</v>
      </c>
      <c r="BR66" s="100">
        <v>4</v>
      </c>
      <c r="BS66" s="100">
        <v>4761.5999999999995</v>
      </c>
      <c r="BT66" s="100">
        <v>6</v>
      </c>
      <c r="BU66" s="100">
        <v>7142.4</v>
      </c>
      <c r="BV66" s="100">
        <v>4.2818420390041645</v>
      </c>
      <c r="BW66" s="100">
        <v>5097.1047632305572</v>
      </c>
      <c r="BX66" s="100">
        <v>4.6700189059601191</v>
      </c>
      <c r="BY66" s="100">
        <v>5559.1905056549249</v>
      </c>
      <c r="BZ66" s="100">
        <v>2.5996519583708011</v>
      </c>
      <c r="CA66" s="100">
        <v>3094.6256912446011</v>
      </c>
      <c r="CB66" s="100">
        <v>3.0436603520591046</v>
      </c>
      <c r="CC66" s="100">
        <v>3623.1732830911578</v>
      </c>
      <c r="CD66" s="100">
        <v>2.057725728393033</v>
      </c>
      <c r="CE66" s="100">
        <v>2449.5167070790662</v>
      </c>
      <c r="CF66" s="100">
        <v>3.2242244823274797</v>
      </c>
      <c r="CG66" s="100">
        <v>3838.1168237626316</v>
      </c>
      <c r="CH66" s="100">
        <v>5</v>
      </c>
      <c r="CI66" s="100">
        <v>5951.9999999999991</v>
      </c>
      <c r="CJ66" s="100">
        <v>3.1905058655117915</v>
      </c>
      <c r="CK66" s="100">
        <v>3797.9781823052363</v>
      </c>
      <c r="CL66" s="100">
        <v>2.0938783202746936</v>
      </c>
      <c r="CM66" s="100">
        <v>2492.5527524549948</v>
      </c>
      <c r="CN66" s="100">
        <v>4</v>
      </c>
      <c r="CO66" s="100">
        <v>4761.5999999999995</v>
      </c>
      <c r="CP66" s="100">
        <v>4.3811593825555875</v>
      </c>
      <c r="CQ66" s="100">
        <v>5215.3321289941705</v>
      </c>
      <c r="CR66" s="100">
        <v>2.4291933667035313</v>
      </c>
      <c r="CS66" s="100">
        <v>2891.7117837238834</v>
      </c>
      <c r="CT66" s="100">
        <v>3.9216782843125295</v>
      </c>
      <c r="CU66" s="100">
        <v>4668.3658296456342</v>
      </c>
    </row>
    <row r="67" spans="2:99">
      <c r="C67" s="99" t="s">
        <v>233</v>
      </c>
      <c r="D67" s="100">
        <v>1.92039555589766</v>
      </c>
      <c r="E67" s="100">
        <v>2156.988288384252</v>
      </c>
      <c r="F67" s="100">
        <v>2.5006473116230001</v>
      </c>
      <c r="G67" s="100">
        <v>2808.7270604149539</v>
      </c>
      <c r="H67" s="100">
        <v>2.3843238174253272</v>
      </c>
      <c r="I67" s="100">
        <v>2678.0725117321276</v>
      </c>
      <c r="J67" s="100">
        <v>6</v>
      </c>
      <c r="K67" s="100">
        <v>6739.2000000000007</v>
      </c>
      <c r="L67" s="100">
        <v>6.2947954302272429</v>
      </c>
      <c r="M67" s="100">
        <v>7070.3142272312398</v>
      </c>
      <c r="N67" s="100">
        <v>2.451071484437862</v>
      </c>
      <c r="O67" s="100">
        <v>2753.0434913206068</v>
      </c>
      <c r="P67" s="100">
        <v>3.1424366952134841</v>
      </c>
      <c r="Q67" s="100">
        <v>3529.5848960637854</v>
      </c>
      <c r="R67" s="100">
        <v>5</v>
      </c>
      <c r="S67" s="100">
        <v>5616</v>
      </c>
      <c r="T67" s="100">
        <v>6</v>
      </c>
      <c r="U67" s="100">
        <v>6739.2000000000007</v>
      </c>
      <c r="V67" s="100">
        <v>5</v>
      </c>
      <c r="W67" s="100">
        <v>5616</v>
      </c>
      <c r="X67" s="100">
        <v>6.9249864149689699</v>
      </c>
      <c r="Y67" s="100">
        <v>7778.1447412931475</v>
      </c>
      <c r="Z67" s="100">
        <v>1.7689411279749336</v>
      </c>
      <c r="AA67" s="100">
        <v>1986.8746749414456</v>
      </c>
      <c r="AB67" s="100">
        <v>6</v>
      </c>
      <c r="AC67" s="100">
        <v>6739.2000000000007</v>
      </c>
      <c r="AD67" s="100">
        <v>2.5867297424077331</v>
      </c>
      <c r="AE67" s="100">
        <v>2905.4148466723659</v>
      </c>
      <c r="AF67" s="100">
        <v>4</v>
      </c>
      <c r="AG67" s="100">
        <v>4492.8</v>
      </c>
      <c r="AH67" s="100">
        <v>6</v>
      </c>
      <c r="AI67" s="100">
        <v>6739.2000000000007</v>
      </c>
      <c r="AJ67" s="100">
        <v>6.1005418969043079</v>
      </c>
      <c r="AK67" s="100">
        <v>6852.1286586029191</v>
      </c>
      <c r="AL67" s="100">
        <v>3.8730207623485198</v>
      </c>
      <c r="AM67" s="100">
        <v>4350.1769202698579</v>
      </c>
      <c r="AN67" s="100">
        <v>1.125401688714287</v>
      </c>
      <c r="AO67" s="100">
        <v>1264.0511767638873</v>
      </c>
      <c r="AP67" s="100">
        <v>6</v>
      </c>
      <c r="AQ67" s="100">
        <v>6739.2000000000007</v>
      </c>
      <c r="AR67" s="100">
        <v>2.89354794391694</v>
      </c>
      <c r="AS67" s="100">
        <v>3250.033050607507</v>
      </c>
      <c r="AT67" s="100">
        <v>3.1767741056773109</v>
      </c>
      <c r="AU67" s="100">
        <v>3568.1526754967558</v>
      </c>
      <c r="AV67" s="100">
        <v>0.98864969068326813</v>
      </c>
      <c r="AW67" s="100">
        <v>1110.4513325754467</v>
      </c>
      <c r="AX67" s="100">
        <v>4</v>
      </c>
      <c r="AY67" s="100">
        <v>4492.8</v>
      </c>
      <c r="AZ67" s="100">
        <v>4.1738216997204898</v>
      </c>
      <c r="BA67" s="100">
        <v>4688.0365331260546</v>
      </c>
      <c r="BB67" s="100">
        <v>3.25664893231539</v>
      </c>
      <c r="BC67" s="100">
        <v>3657.8680807766464</v>
      </c>
      <c r="BD67" s="100">
        <v>0.90718800301572688</v>
      </c>
      <c r="BE67" s="100">
        <v>1018.9535649872645</v>
      </c>
      <c r="BF67" s="100">
        <v>3.185782989704808</v>
      </c>
      <c r="BG67" s="100">
        <v>3578.2714540364404</v>
      </c>
      <c r="BH67" s="100">
        <v>2.9642726677867364</v>
      </c>
      <c r="BI67" s="100">
        <v>3329.4710604580623</v>
      </c>
      <c r="BJ67" s="100">
        <v>5.1868307572733974</v>
      </c>
      <c r="BK67" s="100">
        <v>5825.84830656948</v>
      </c>
      <c r="BL67" s="100">
        <v>3.4188219474478894</v>
      </c>
      <c r="BM67" s="100">
        <v>3840.0208113734693</v>
      </c>
      <c r="BN67" s="100">
        <v>3.1557946952469424</v>
      </c>
      <c r="BO67" s="100">
        <v>3544.5886017013659</v>
      </c>
      <c r="BP67" s="100">
        <v>5</v>
      </c>
      <c r="BQ67" s="100">
        <v>5616</v>
      </c>
      <c r="BR67" s="100">
        <v>4</v>
      </c>
      <c r="BS67" s="100">
        <v>4492.8</v>
      </c>
      <c r="BT67" s="100">
        <v>6</v>
      </c>
      <c r="BU67" s="100">
        <v>6739.2000000000007</v>
      </c>
      <c r="BV67" s="100">
        <v>4.2818420390041645</v>
      </c>
      <c r="BW67" s="100">
        <v>4809.3649782094781</v>
      </c>
      <c r="BX67" s="100">
        <v>3.9345695614914793</v>
      </c>
      <c r="BY67" s="100">
        <v>4419.3085314672298</v>
      </c>
      <c r="BZ67" s="100">
        <v>2.5996519583708011</v>
      </c>
      <c r="CA67" s="100">
        <v>2919.9290796420837</v>
      </c>
      <c r="CB67" s="100">
        <v>3.0436603520591046</v>
      </c>
      <c r="CC67" s="100">
        <v>3418.6393074327866</v>
      </c>
      <c r="CD67" s="100">
        <v>1.7421162490144997</v>
      </c>
      <c r="CE67" s="100">
        <v>1956.744970893086</v>
      </c>
      <c r="CF67" s="100">
        <v>3.2242244823274797</v>
      </c>
      <c r="CG67" s="100">
        <v>3621.4489385502252</v>
      </c>
      <c r="CH67" s="100">
        <v>5</v>
      </c>
      <c r="CI67" s="100">
        <v>5616</v>
      </c>
      <c r="CJ67" s="100">
        <v>3.1905058655117915</v>
      </c>
      <c r="CK67" s="100">
        <v>3583.5761881428443</v>
      </c>
      <c r="CL67" s="100">
        <v>2.0938783202746936</v>
      </c>
      <c r="CM67" s="100">
        <v>2351.8441293325359</v>
      </c>
      <c r="CN67" s="100">
        <v>4</v>
      </c>
      <c r="CO67" s="100">
        <v>4492.8</v>
      </c>
      <c r="CP67" s="100">
        <v>3.5459088775981367</v>
      </c>
      <c r="CQ67" s="100">
        <v>3982.7648513182271</v>
      </c>
      <c r="CR67" s="100">
        <v>2.4220122320939965</v>
      </c>
      <c r="CS67" s="100">
        <v>2720.404139087977</v>
      </c>
      <c r="CT67" s="100">
        <v>3.904353895796369</v>
      </c>
      <c r="CU67" s="100">
        <v>4385.3702957584819</v>
      </c>
    </row>
    <row r="68" spans="2:99">
      <c r="C68" s="99" t="s">
        <v>234</v>
      </c>
      <c r="D68" s="100">
        <v>1.9096882228495262</v>
      </c>
      <c r="E68" s="100">
        <v>1973.0898718481305</v>
      </c>
      <c r="F68" s="100">
        <v>2.5078978990392464</v>
      </c>
      <c r="G68" s="100">
        <v>2591.1601092873493</v>
      </c>
      <c r="H68" s="100">
        <v>2.3843238174253272</v>
      </c>
      <c r="I68" s="100">
        <v>2463.4833681638484</v>
      </c>
      <c r="J68" s="100">
        <v>5</v>
      </c>
      <c r="K68" s="100">
        <v>5166</v>
      </c>
      <c r="L68" s="100">
        <v>6.2579460014488379</v>
      </c>
      <c r="M68" s="100">
        <v>6465.7098086969399</v>
      </c>
      <c r="N68" s="100">
        <v>2.451071484437862</v>
      </c>
      <c r="O68" s="100">
        <v>2532.4470577211991</v>
      </c>
      <c r="P68" s="100">
        <v>3.1424366952134841</v>
      </c>
      <c r="Q68" s="100">
        <v>3246.7655934945719</v>
      </c>
      <c r="R68" s="100">
        <v>5</v>
      </c>
      <c r="S68" s="100">
        <v>5166</v>
      </c>
      <c r="T68" s="100">
        <v>5</v>
      </c>
      <c r="U68" s="100">
        <v>5166</v>
      </c>
      <c r="V68" s="100">
        <v>5</v>
      </c>
      <c r="W68" s="100">
        <v>5166</v>
      </c>
      <c r="X68" s="100">
        <v>6.9249864149689699</v>
      </c>
      <c r="Y68" s="100">
        <v>7154.8959639459399</v>
      </c>
      <c r="Z68" s="100">
        <v>1.7689411279749336</v>
      </c>
      <c r="AA68" s="100">
        <v>1827.6699734237015</v>
      </c>
      <c r="AB68" s="100">
        <v>6</v>
      </c>
      <c r="AC68" s="100">
        <v>6199.2000000000007</v>
      </c>
      <c r="AD68" s="100">
        <v>2.0693837939261868</v>
      </c>
      <c r="AE68" s="100">
        <v>2138.0873358845361</v>
      </c>
      <c r="AF68" s="100">
        <v>4</v>
      </c>
      <c r="AG68" s="100">
        <v>4132.8</v>
      </c>
      <c r="AH68" s="100">
        <v>5</v>
      </c>
      <c r="AI68" s="100">
        <v>5166</v>
      </c>
      <c r="AJ68" s="100">
        <v>6.1005418969043079</v>
      </c>
      <c r="AK68" s="100">
        <v>6303.0798878815312</v>
      </c>
      <c r="AL68" s="100">
        <v>3.8730207623485198</v>
      </c>
      <c r="AM68" s="100">
        <v>4001.605051658491</v>
      </c>
      <c r="AN68" s="100">
        <v>1.125401688714287</v>
      </c>
      <c r="AO68" s="100">
        <v>1162.7650247796014</v>
      </c>
      <c r="AP68" s="100">
        <v>6</v>
      </c>
      <c r="AQ68" s="100">
        <v>6199.2000000000007</v>
      </c>
      <c r="AR68" s="100">
        <v>3.858063925222587</v>
      </c>
      <c r="AS68" s="100">
        <v>3986.1516475399771</v>
      </c>
      <c r="AT68" s="100">
        <v>3.9053726245685731</v>
      </c>
      <c r="AU68" s="100">
        <v>4035.03099570425</v>
      </c>
      <c r="AV68" s="100">
        <v>1.1863796288199218</v>
      </c>
      <c r="AW68" s="100">
        <v>1225.7674324967431</v>
      </c>
      <c r="AX68" s="100">
        <v>4</v>
      </c>
      <c r="AY68" s="100">
        <v>4132.8</v>
      </c>
      <c r="AZ68" s="100">
        <v>4.139057359776392</v>
      </c>
      <c r="BA68" s="100">
        <v>4276.4740641209683</v>
      </c>
      <c r="BB68" s="100">
        <v>4.0708111653942369</v>
      </c>
      <c r="BC68" s="100">
        <v>4205.9620960853254</v>
      </c>
      <c r="BD68" s="100">
        <v>0.90718800301572688</v>
      </c>
      <c r="BE68" s="100">
        <v>937.30664471584907</v>
      </c>
      <c r="BF68" s="100">
        <v>3.9427601042594467</v>
      </c>
      <c r="BG68" s="100">
        <v>4073.6597397208607</v>
      </c>
      <c r="BH68" s="100">
        <v>2.9642726677867364</v>
      </c>
      <c r="BI68" s="100">
        <v>3062.6865203572561</v>
      </c>
      <c r="BJ68" s="100">
        <v>5.3781915983523216</v>
      </c>
      <c r="BK68" s="100">
        <v>5556.7475594176185</v>
      </c>
      <c r="BL68" s="100">
        <v>3.9975848039124577</v>
      </c>
      <c r="BM68" s="100">
        <v>4130.3046194023518</v>
      </c>
      <c r="BN68" s="100">
        <v>2.3668460214352067</v>
      </c>
      <c r="BO68" s="100">
        <v>2445.4253093468556</v>
      </c>
      <c r="BP68" s="100">
        <v>5</v>
      </c>
      <c r="BQ68" s="100">
        <v>5166</v>
      </c>
      <c r="BR68" s="100">
        <v>4</v>
      </c>
      <c r="BS68" s="100">
        <v>4132.8</v>
      </c>
      <c r="BT68" s="100">
        <v>6</v>
      </c>
      <c r="BU68" s="100">
        <v>6199.2000000000007</v>
      </c>
      <c r="BV68" s="100">
        <v>4.2818420390041645</v>
      </c>
      <c r="BW68" s="100">
        <v>4423.9991946991031</v>
      </c>
      <c r="BX68" s="100">
        <v>3.9345695614914793</v>
      </c>
      <c r="BY68" s="100">
        <v>4065.1972709329966</v>
      </c>
      <c r="BZ68" s="100">
        <v>2.6181213704342396</v>
      </c>
      <c r="CA68" s="100">
        <v>2705.0429999326566</v>
      </c>
      <c r="CB68" s="100">
        <v>3.0667992717895092</v>
      </c>
      <c r="CC68" s="100">
        <v>3168.617007612921</v>
      </c>
      <c r="CD68" s="100">
        <v>2.0726410785859271</v>
      </c>
      <c r="CE68" s="100">
        <v>2141.4527623949798</v>
      </c>
      <c r="CF68" s="100">
        <v>3.7615952293820594</v>
      </c>
      <c r="CG68" s="100">
        <v>3886.480190997544</v>
      </c>
      <c r="CH68" s="100">
        <v>5</v>
      </c>
      <c r="CI68" s="100">
        <v>5166</v>
      </c>
      <c r="CJ68" s="100">
        <v>3.1905058655117915</v>
      </c>
      <c r="CK68" s="100">
        <v>3296.4306602467832</v>
      </c>
      <c r="CL68" s="100">
        <v>2.4428580403204756</v>
      </c>
      <c r="CM68" s="100">
        <v>2523.9609272591156</v>
      </c>
      <c r="CN68" s="100">
        <v>4</v>
      </c>
      <c r="CO68" s="100">
        <v>4132.8</v>
      </c>
      <c r="CP68" s="100">
        <v>4.4153105255169764</v>
      </c>
      <c r="CQ68" s="100">
        <v>4561.8988349641404</v>
      </c>
      <c r="CR68" s="100">
        <v>2.4291933667035313</v>
      </c>
      <c r="CS68" s="100">
        <v>2509.8425864780884</v>
      </c>
      <c r="CT68" s="100">
        <v>4.5435299527516566</v>
      </c>
      <c r="CU68" s="100">
        <v>4694.3751471830119</v>
      </c>
    </row>
    <row r="69" spans="2:99">
      <c r="C69" s="99" t="s">
        <v>235</v>
      </c>
      <c r="D69" s="100">
        <v>1.9096882228495262</v>
      </c>
      <c r="E69" s="100">
        <v>1448.3075482090806</v>
      </c>
      <c r="F69" s="100">
        <v>2.5006473116230001</v>
      </c>
      <c r="G69" s="100">
        <v>1896.4909211348831</v>
      </c>
      <c r="H69" s="100">
        <v>2.3843238174253272</v>
      </c>
      <c r="I69" s="100">
        <v>1808.2711831353681</v>
      </c>
      <c r="J69" s="100">
        <v>7</v>
      </c>
      <c r="K69" s="100">
        <v>5308.8</v>
      </c>
      <c r="L69" s="100">
        <v>6.2947954302272429</v>
      </c>
      <c r="M69" s="100">
        <v>4773.9728542843404</v>
      </c>
      <c r="N69" s="100">
        <v>1.9845825226778291</v>
      </c>
      <c r="O69" s="100">
        <v>1505.1073851988656</v>
      </c>
      <c r="P69" s="100">
        <v>3.1424366952134841</v>
      </c>
      <c r="Q69" s="100">
        <v>2383.2239896499063</v>
      </c>
      <c r="R69" s="100">
        <v>5</v>
      </c>
      <c r="S69" s="100">
        <v>3792</v>
      </c>
      <c r="T69" s="100">
        <v>5</v>
      </c>
      <c r="U69" s="100">
        <v>3792</v>
      </c>
      <c r="V69" s="100">
        <v>6</v>
      </c>
      <c r="W69" s="100">
        <v>4550.3999999999996</v>
      </c>
      <c r="X69" s="100">
        <v>5.9357026414019742</v>
      </c>
      <c r="Y69" s="100">
        <v>4501.6368832392573</v>
      </c>
      <c r="Z69" s="100">
        <v>1.7689411279749336</v>
      </c>
      <c r="AA69" s="100">
        <v>1341.5649514561896</v>
      </c>
      <c r="AB69" s="100">
        <v>5</v>
      </c>
      <c r="AC69" s="100">
        <v>3792</v>
      </c>
      <c r="AD69" s="100">
        <v>2.5867297424077331</v>
      </c>
      <c r="AE69" s="100">
        <v>1961.7758366420248</v>
      </c>
      <c r="AF69" s="100">
        <v>4</v>
      </c>
      <c r="AG69" s="100">
        <v>3033.6</v>
      </c>
      <c r="AH69" s="100">
        <v>5</v>
      </c>
      <c r="AI69" s="100">
        <v>3792</v>
      </c>
      <c r="AJ69" s="100">
        <v>6.1005418969043079</v>
      </c>
      <c r="AK69" s="100">
        <v>4626.6509746122274</v>
      </c>
      <c r="AL69" s="100">
        <v>4.5185242227399396</v>
      </c>
      <c r="AM69" s="100">
        <v>3426.8487705259699</v>
      </c>
      <c r="AN69" s="100">
        <v>1.125401688714287</v>
      </c>
      <c r="AO69" s="100">
        <v>853.50464072091529</v>
      </c>
      <c r="AP69" s="100">
        <v>6</v>
      </c>
      <c r="AQ69" s="100">
        <v>4550.3999999999996</v>
      </c>
      <c r="AR69" s="100">
        <v>3.858063925222587</v>
      </c>
      <c r="AS69" s="100">
        <v>2925.9556808888101</v>
      </c>
      <c r="AT69" s="100">
        <v>3.1439766019132778</v>
      </c>
      <c r="AU69" s="100">
        <v>2384.3918548910297</v>
      </c>
      <c r="AV69" s="100">
        <v>0.98864969068326813</v>
      </c>
      <c r="AW69" s="100">
        <v>749.79192541419059</v>
      </c>
      <c r="AX69" s="100">
        <v>4</v>
      </c>
      <c r="AY69" s="100">
        <v>3033.6</v>
      </c>
      <c r="AZ69" s="100">
        <v>3.1738216997204902</v>
      </c>
      <c r="BA69" s="100">
        <v>2407.0263770680199</v>
      </c>
      <c r="BB69" s="100">
        <v>4.0708111653942369</v>
      </c>
      <c r="BC69" s="100">
        <v>3087.3031878349893</v>
      </c>
      <c r="BD69" s="100">
        <v>1.1284569563295139</v>
      </c>
      <c r="BE69" s="100">
        <v>855.82175568030334</v>
      </c>
      <c r="BF69" s="100">
        <v>3.2173578960020572</v>
      </c>
      <c r="BG69" s="100">
        <v>2440.0442283279604</v>
      </c>
      <c r="BH69" s="100">
        <v>2.9642726677867364</v>
      </c>
      <c r="BI69" s="100">
        <v>2248.1043912494606</v>
      </c>
      <c r="BJ69" s="100">
        <v>4.4945837213655295</v>
      </c>
      <c r="BK69" s="100">
        <v>3408.6922942836177</v>
      </c>
      <c r="BL69" s="100">
        <v>3.9796664067992853</v>
      </c>
      <c r="BM69" s="100">
        <v>3018.1790029165777</v>
      </c>
      <c r="BN69" s="100">
        <v>3.1557946952469424</v>
      </c>
      <c r="BO69" s="100">
        <v>2393.3546968752812</v>
      </c>
      <c r="BP69" s="100">
        <v>5</v>
      </c>
      <c r="BQ69" s="100">
        <v>3792</v>
      </c>
      <c r="BR69" s="100">
        <v>4</v>
      </c>
      <c r="BS69" s="100">
        <v>3033.6</v>
      </c>
      <c r="BT69" s="100">
        <v>6</v>
      </c>
      <c r="BU69" s="100">
        <v>4550.3999999999996</v>
      </c>
      <c r="BV69" s="100">
        <v>4.2818420390041645</v>
      </c>
      <c r="BW69" s="100">
        <v>3247.3490023807581</v>
      </c>
      <c r="BX69" s="100">
        <v>4.7067793115527312</v>
      </c>
      <c r="BY69" s="100">
        <v>3569.6214298815912</v>
      </c>
      <c r="BZ69" s="100">
        <v>2.6181213704342396</v>
      </c>
      <c r="CA69" s="100">
        <v>1985.5832473373273</v>
      </c>
      <c r="CB69" s="100">
        <v>3.0667992717895092</v>
      </c>
      <c r="CC69" s="100">
        <v>2325.8605677251635</v>
      </c>
      <c r="CD69" s="100">
        <v>2.0726410785859271</v>
      </c>
      <c r="CE69" s="100">
        <v>1571.8909939995669</v>
      </c>
      <c r="CF69" s="100">
        <v>3.7615952293820594</v>
      </c>
      <c r="CG69" s="100">
        <v>2852.7938219633538</v>
      </c>
      <c r="CH69" s="100">
        <v>5</v>
      </c>
      <c r="CI69" s="100">
        <v>3792</v>
      </c>
      <c r="CJ69" s="100">
        <v>3.1905058655117915</v>
      </c>
      <c r="CK69" s="100">
        <v>2419.6796484041424</v>
      </c>
      <c r="CL69" s="100">
        <v>2.4428580403204756</v>
      </c>
      <c r="CM69" s="100">
        <v>1852.6635377790487</v>
      </c>
      <c r="CN69" s="100">
        <v>4</v>
      </c>
      <c r="CO69" s="100">
        <v>3033.6</v>
      </c>
      <c r="CP69" s="100">
        <v>4.4153105255169764</v>
      </c>
      <c r="CQ69" s="100">
        <v>3348.5715025520749</v>
      </c>
      <c r="CR69" s="100">
        <v>2.4291933667035313</v>
      </c>
      <c r="CS69" s="100">
        <v>1842.300249307958</v>
      </c>
      <c r="CT69" s="100">
        <v>4.5435299527516566</v>
      </c>
      <c r="CU69" s="100">
        <v>3445.8131161668562</v>
      </c>
    </row>
    <row r="70" spans="2:99">
      <c r="C70" s="99" t="s">
        <v>236</v>
      </c>
      <c r="D70" s="100">
        <v>1.9096882228495262</v>
      </c>
      <c r="E70" s="100">
        <v>1022.0651368690664</v>
      </c>
      <c r="F70" s="100">
        <v>2.5006473116230001</v>
      </c>
      <c r="G70" s="100">
        <v>1338.3464411806294</v>
      </c>
      <c r="H70" s="100">
        <v>2.3843238174253272</v>
      </c>
      <c r="I70" s="100">
        <v>1276.090107086035</v>
      </c>
      <c r="J70" s="100">
        <v>6</v>
      </c>
      <c r="K70" s="100">
        <v>3211.2</v>
      </c>
      <c r="L70" s="100">
        <v>6.2947954302272429</v>
      </c>
      <c r="M70" s="100">
        <v>3368.9745142576198</v>
      </c>
      <c r="N70" s="100">
        <v>2.451071484437862</v>
      </c>
      <c r="O70" s="100">
        <v>1311.8134584711436</v>
      </c>
      <c r="P70" s="100">
        <v>3.1424366952134841</v>
      </c>
      <c r="Q70" s="100">
        <v>1681.8321192782564</v>
      </c>
      <c r="R70" s="100">
        <v>5</v>
      </c>
      <c r="S70" s="100">
        <v>2675.9999999999995</v>
      </c>
      <c r="T70" s="100">
        <v>5</v>
      </c>
      <c r="U70" s="100">
        <v>2675.9999999999995</v>
      </c>
      <c r="V70" s="100">
        <v>5</v>
      </c>
      <c r="W70" s="100">
        <v>2675.9999999999995</v>
      </c>
      <c r="X70" s="100">
        <v>6.9249864149689699</v>
      </c>
      <c r="Y70" s="100">
        <v>3706.2527292913924</v>
      </c>
      <c r="Z70" s="100">
        <v>1.7689411279749336</v>
      </c>
      <c r="AA70" s="100">
        <v>946.73729169218439</v>
      </c>
      <c r="AB70" s="100">
        <v>7</v>
      </c>
      <c r="AC70" s="100">
        <v>3746.3999999999996</v>
      </c>
      <c r="AD70" s="100">
        <v>2.0693837939261868</v>
      </c>
      <c r="AE70" s="100">
        <v>1107.534206509295</v>
      </c>
      <c r="AF70" s="100">
        <v>3</v>
      </c>
      <c r="AG70" s="100">
        <v>1605.6</v>
      </c>
      <c r="AH70" s="100">
        <v>5</v>
      </c>
      <c r="AI70" s="100">
        <v>2675.9999999999995</v>
      </c>
      <c r="AJ70" s="100">
        <v>6.1005418969043079</v>
      </c>
      <c r="AK70" s="100">
        <v>3265.0100232231853</v>
      </c>
      <c r="AL70" s="100">
        <v>4.5185242227399396</v>
      </c>
      <c r="AM70" s="100">
        <v>2418.3141640104154</v>
      </c>
      <c r="AN70" s="100">
        <v>1.3504820264571444</v>
      </c>
      <c r="AO70" s="100">
        <v>722.77798055986364</v>
      </c>
      <c r="AP70" s="100">
        <v>5</v>
      </c>
      <c r="AQ70" s="100">
        <v>2675.9999999999995</v>
      </c>
      <c r="AR70" s="100">
        <v>3.858063925222587</v>
      </c>
      <c r="AS70" s="100">
        <v>2064.8358127791284</v>
      </c>
      <c r="AT70" s="100">
        <v>3.1767741056773109</v>
      </c>
      <c r="AU70" s="100">
        <v>1700.2095013584965</v>
      </c>
      <c r="AV70" s="100">
        <v>0.98864969068326813</v>
      </c>
      <c r="AW70" s="100">
        <v>529.12531445368506</v>
      </c>
      <c r="AX70" s="100">
        <v>5</v>
      </c>
      <c r="AY70" s="100">
        <v>2675.9999999999995</v>
      </c>
      <c r="AZ70" s="100">
        <v>4.1564395297484413</v>
      </c>
      <c r="BA70" s="100">
        <v>2224.5264363213655</v>
      </c>
      <c r="BB70" s="100">
        <v>3.25664893231539</v>
      </c>
      <c r="BC70" s="100">
        <v>1742.9585085751964</v>
      </c>
      <c r="BD70" s="100">
        <v>1.1260000463561166</v>
      </c>
      <c r="BE70" s="100">
        <v>602.6352248097935</v>
      </c>
      <c r="BF70" s="100">
        <v>3.9743350105566964</v>
      </c>
      <c r="BG70" s="100">
        <v>2127.0640976499435</v>
      </c>
      <c r="BH70" s="100">
        <v>2.9642726677867364</v>
      </c>
      <c r="BI70" s="100">
        <v>1586.478731799461</v>
      </c>
      <c r="BJ70" s="100">
        <v>4.4945837213655295</v>
      </c>
      <c r="BK70" s="100">
        <v>2405.5012076748312</v>
      </c>
      <c r="BL70" s="100">
        <v>3.4546587416742347</v>
      </c>
      <c r="BM70" s="100">
        <v>1848.9333585440502</v>
      </c>
      <c r="BN70" s="100">
        <v>3.1557946952469424</v>
      </c>
      <c r="BO70" s="100">
        <v>1688.9813208961634</v>
      </c>
      <c r="BP70" s="100">
        <v>5</v>
      </c>
      <c r="BQ70" s="100">
        <v>2675.9999999999995</v>
      </c>
      <c r="BR70" s="100">
        <v>4</v>
      </c>
      <c r="BS70" s="100">
        <v>2140.7999999999997</v>
      </c>
      <c r="BT70" s="100">
        <v>6</v>
      </c>
      <c r="BU70" s="100">
        <v>3211.2</v>
      </c>
      <c r="BV70" s="100">
        <v>4.9954823788381928</v>
      </c>
      <c r="BW70" s="100">
        <v>2673.5821691542005</v>
      </c>
      <c r="BX70" s="100">
        <v>4.6700189059601191</v>
      </c>
      <c r="BY70" s="100">
        <v>2499.3941184698556</v>
      </c>
      <c r="BZ70" s="100">
        <v>2.6181213704342396</v>
      </c>
      <c r="CA70" s="100">
        <v>1401.2185574564048</v>
      </c>
      <c r="CB70" s="100">
        <v>3.0667992717895092</v>
      </c>
      <c r="CC70" s="100">
        <v>1641.350970261745</v>
      </c>
      <c r="CD70" s="100">
        <v>2.0726410785859271</v>
      </c>
      <c r="CE70" s="100">
        <v>1109.277505259188</v>
      </c>
      <c r="CF70" s="100">
        <v>3.2242244823274797</v>
      </c>
      <c r="CG70" s="100">
        <v>1725.6049429416669</v>
      </c>
      <c r="CH70" s="100">
        <v>4</v>
      </c>
      <c r="CI70" s="100">
        <v>2140.7999999999997</v>
      </c>
      <c r="CJ70" s="100">
        <v>3.1905058655117915</v>
      </c>
      <c r="CK70" s="100">
        <v>1707.5587392219106</v>
      </c>
      <c r="CL70" s="100">
        <v>2.4428580403204756</v>
      </c>
      <c r="CM70" s="100">
        <v>1307.4176231795184</v>
      </c>
      <c r="CN70" s="100">
        <v>5</v>
      </c>
      <c r="CO70" s="100">
        <v>2675.9999999999995</v>
      </c>
      <c r="CP70" s="100">
        <v>4.3811593825555875</v>
      </c>
      <c r="CQ70" s="100">
        <v>2344.7965015437503</v>
      </c>
      <c r="CR70" s="100">
        <v>2.4220122320939965</v>
      </c>
      <c r="CS70" s="100">
        <v>1296.2609466167069</v>
      </c>
      <c r="CT70" s="100">
        <v>3.8870295072802077</v>
      </c>
      <c r="CU70" s="100">
        <v>2080.3381922963667</v>
      </c>
    </row>
    <row r="71" spans="2:99">
      <c r="B71" s="99" t="s">
        <v>130</v>
      </c>
      <c r="C71" s="99" t="s">
        <v>237</v>
      </c>
      <c r="D71" s="100">
        <v>4.4133380126008035</v>
      </c>
      <c r="E71" s="100">
        <v>2489.1226391068531</v>
      </c>
      <c r="F71" s="100">
        <v>2.5541313680727327</v>
      </c>
      <c r="G71" s="100">
        <v>1440.5300915930213</v>
      </c>
      <c r="H71" s="100">
        <v>2.9050491646597192</v>
      </c>
      <c r="I71" s="100">
        <v>1638.4477288680816</v>
      </c>
      <c r="J71" s="100">
        <v>3.5015009828984418</v>
      </c>
      <c r="K71" s="100">
        <v>1974.8465543547211</v>
      </c>
      <c r="L71" s="100">
        <v>4.0498037852108348</v>
      </c>
      <c r="M71" s="100">
        <v>2284.0893348589107</v>
      </c>
      <c r="N71" s="100">
        <v>3.539710730593725</v>
      </c>
      <c r="O71" s="100">
        <v>1996.3968520548608</v>
      </c>
      <c r="P71" s="100">
        <v>2.4007898327712009</v>
      </c>
      <c r="Q71" s="100">
        <v>1354.0454656829572</v>
      </c>
      <c r="R71" s="100">
        <v>5</v>
      </c>
      <c r="S71" s="100">
        <v>2820</v>
      </c>
      <c r="T71" s="100">
        <v>5</v>
      </c>
      <c r="U71" s="100">
        <v>2820</v>
      </c>
      <c r="V71" s="100">
        <v>6</v>
      </c>
      <c r="W71" s="100">
        <v>3384</v>
      </c>
      <c r="X71" s="100">
        <v>2.4236215458700645</v>
      </c>
      <c r="Y71" s="100">
        <v>1366.9225518707165</v>
      </c>
      <c r="Z71" s="100">
        <v>6</v>
      </c>
      <c r="AA71" s="100">
        <v>3384</v>
      </c>
      <c r="AB71" s="100">
        <v>4.79976098172334</v>
      </c>
      <c r="AC71" s="100">
        <v>2707.0651936919639</v>
      </c>
      <c r="AD71" s="100">
        <v>3.7074232091558526</v>
      </c>
      <c r="AE71" s="100">
        <v>2090.986689963901</v>
      </c>
      <c r="AF71" s="100">
        <v>2.2140617346667741</v>
      </c>
      <c r="AG71" s="100">
        <v>1248.7308183520606</v>
      </c>
      <c r="AH71" s="100">
        <v>4.4605092722994231</v>
      </c>
      <c r="AI71" s="100">
        <v>2515.7272295768748</v>
      </c>
      <c r="AJ71" s="100">
        <v>3.8302281904172579</v>
      </c>
      <c r="AK71" s="100">
        <v>2160.2486993953335</v>
      </c>
      <c r="AL71" s="100">
        <v>3.9488322438674497</v>
      </c>
      <c r="AM71" s="100">
        <v>2227.1413855412416</v>
      </c>
      <c r="AN71" s="100">
        <v>3.3829449986556068</v>
      </c>
      <c r="AO71" s="100">
        <v>1907.9809792417623</v>
      </c>
      <c r="AP71" s="100">
        <v>4.1985193625727639</v>
      </c>
      <c r="AQ71" s="100">
        <v>2367.9649204910388</v>
      </c>
      <c r="AR71" s="100">
        <v>4</v>
      </c>
      <c r="AS71" s="100">
        <v>2256</v>
      </c>
      <c r="AT71" s="100">
        <v>4.6986262224569151</v>
      </c>
      <c r="AU71" s="100">
        <v>2650.0251894656999</v>
      </c>
      <c r="AV71" s="100">
        <v>3</v>
      </c>
      <c r="AW71" s="100">
        <v>1692</v>
      </c>
      <c r="AX71" s="100">
        <v>5.8486074066009817</v>
      </c>
      <c r="AY71" s="100">
        <v>3298.6145773229537</v>
      </c>
      <c r="AZ71" s="100">
        <v>3.7851310705923216</v>
      </c>
      <c r="BA71" s="100">
        <v>2134.8139238140693</v>
      </c>
      <c r="BB71" s="100">
        <v>1.1292648804940446</v>
      </c>
      <c r="BC71" s="100">
        <v>636.90539259864113</v>
      </c>
      <c r="BD71" s="100">
        <v>4</v>
      </c>
      <c r="BE71" s="100">
        <v>2256</v>
      </c>
      <c r="BF71" s="100">
        <v>4.8199586007628756</v>
      </c>
      <c r="BG71" s="100">
        <v>2718.4566508302619</v>
      </c>
      <c r="BH71" s="100">
        <v>4.5215244647470483</v>
      </c>
      <c r="BI71" s="100">
        <v>2550.1397981173354</v>
      </c>
      <c r="BJ71" s="100">
        <v>3</v>
      </c>
      <c r="BK71" s="100">
        <v>1692</v>
      </c>
      <c r="BL71" s="100">
        <v>4.0538608939827316</v>
      </c>
      <c r="BM71" s="100">
        <v>2286.3775442062606</v>
      </c>
      <c r="BN71" s="100">
        <v>1.4043026046934992</v>
      </c>
      <c r="BO71" s="100">
        <v>792.02666904713351</v>
      </c>
      <c r="BP71" s="100">
        <v>4</v>
      </c>
      <c r="BQ71" s="100">
        <v>2256</v>
      </c>
      <c r="BR71" s="100">
        <v>4</v>
      </c>
      <c r="BS71" s="100">
        <v>2256</v>
      </c>
      <c r="BT71" s="100">
        <v>5</v>
      </c>
      <c r="BU71" s="100">
        <v>2820</v>
      </c>
      <c r="BV71" s="100">
        <v>4</v>
      </c>
      <c r="BW71" s="100">
        <v>2256</v>
      </c>
      <c r="BX71" s="100">
        <v>5.5254289325477162</v>
      </c>
      <c r="BY71" s="100">
        <v>3116.3419179569119</v>
      </c>
      <c r="BZ71" s="100">
        <v>3.3926553104521524</v>
      </c>
      <c r="CA71" s="100">
        <v>1913.4575950950139</v>
      </c>
      <c r="CB71" s="100">
        <v>2.4848836990891936</v>
      </c>
      <c r="CC71" s="100">
        <v>1401.4744062863051</v>
      </c>
      <c r="CD71" s="100">
        <v>2.7269108578517627</v>
      </c>
      <c r="CE71" s="100">
        <v>1537.9777238283941</v>
      </c>
      <c r="CF71" s="100">
        <v>2.2474453270669219</v>
      </c>
      <c r="CG71" s="100">
        <v>1267.5591644657441</v>
      </c>
      <c r="CH71" s="100">
        <v>3.5509962583245578</v>
      </c>
      <c r="CI71" s="100">
        <v>2002.7618896950505</v>
      </c>
      <c r="CJ71" s="100">
        <v>2.3562559283801989</v>
      </c>
      <c r="CK71" s="100">
        <v>1328.9283436064322</v>
      </c>
      <c r="CL71" s="100">
        <v>4.3171216044533507</v>
      </c>
      <c r="CM71" s="100">
        <v>2434.8565849116899</v>
      </c>
      <c r="CN71" s="100">
        <v>5.529989483318996</v>
      </c>
      <c r="CO71" s="100">
        <v>3118.9140685919137</v>
      </c>
      <c r="CP71" s="100">
        <v>4.2994740425693925</v>
      </c>
      <c r="CQ71" s="100">
        <v>2424.9033600091375</v>
      </c>
      <c r="CR71" s="100">
        <v>2.2050099489392756</v>
      </c>
      <c r="CS71" s="100">
        <v>1243.6256112017513</v>
      </c>
      <c r="CT71" s="100">
        <v>4</v>
      </c>
      <c r="CU71" s="100">
        <v>2256</v>
      </c>
    </row>
    <row r="72" spans="2:99">
      <c r="C72" s="99" t="s">
        <v>238</v>
      </c>
      <c r="D72" s="100">
        <v>4.4133380126008035</v>
      </c>
      <c r="E72" s="100">
        <v>328.35234813749975</v>
      </c>
      <c r="F72" s="100">
        <v>2.5541313680727327</v>
      </c>
      <c r="G72" s="100">
        <v>190.02737378461129</v>
      </c>
      <c r="H72" s="100">
        <v>2.9050491646597192</v>
      </c>
      <c r="I72" s="100">
        <v>216.13565785068309</v>
      </c>
      <c r="J72" s="100">
        <v>3.5015009828984418</v>
      </c>
      <c r="K72" s="100">
        <v>260.51167312764403</v>
      </c>
      <c r="L72" s="100">
        <v>3.6074174656038447</v>
      </c>
      <c r="M72" s="100">
        <v>268.391859440926</v>
      </c>
      <c r="N72" s="100">
        <v>3.5716804327045164</v>
      </c>
      <c r="O72" s="100">
        <v>265.73302419321601</v>
      </c>
      <c r="P72" s="100">
        <v>1.9206318662169608</v>
      </c>
      <c r="Q72" s="100">
        <v>142.89501084654188</v>
      </c>
      <c r="R72" s="100">
        <v>5</v>
      </c>
      <c r="S72" s="100">
        <v>371.99999999999994</v>
      </c>
      <c r="T72" s="100">
        <v>4</v>
      </c>
      <c r="U72" s="100">
        <v>297.59999999999997</v>
      </c>
      <c r="V72" s="100">
        <v>6</v>
      </c>
      <c r="W72" s="100">
        <v>446.4</v>
      </c>
      <c r="X72" s="100">
        <v>2.4236215458700645</v>
      </c>
      <c r="Y72" s="100">
        <v>180.31744301273278</v>
      </c>
      <c r="Z72" s="100">
        <v>5</v>
      </c>
      <c r="AA72" s="100">
        <v>371.99999999999994</v>
      </c>
      <c r="AB72" s="100">
        <v>5.759713178068008</v>
      </c>
      <c r="AC72" s="100">
        <v>428.52266044825973</v>
      </c>
      <c r="AD72" s="100">
        <v>3.686456692510625</v>
      </c>
      <c r="AE72" s="100">
        <v>274.2723779227905</v>
      </c>
      <c r="AF72" s="100">
        <v>2.2140617346667741</v>
      </c>
      <c r="AG72" s="100">
        <v>164.72619305920799</v>
      </c>
      <c r="AH72" s="100">
        <v>3.5684074178395377</v>
      </c>
      <c r="AI72" s="100">
        <v>265.48951188726159</v>
      </c>
      <c r="AJ72" s="100">
        <v>3.8302281904172579</v>
      </c>
      <c r="AK72" s="100">
        <v>284.96897736704398</v>
      </c>
      <c r="AL72" s="100">
        <v>4.9360403048343127</v>
      </c>
      <c r="AM72" s="100">
        <v>367.24139867967284</v>
      </c>
      <c r="AN72" s="100">
        <v>2.5372087489917052</v>
      </c>
      <c r="AO72" s="100">
        <v>188.76833092498285</v>
      </c>
      <c r="AP72" s="100">
        <v>4.1985193625727639</v>
      </c>
      <c r="AQ72" s="100">
        <v>312.3698405754136</v>
      </c>
      <c r="AR72" s="100">
        <v>4</v>
      </c>
      <c r="AS72" s="100">
        <v>297.59999999999997</v>
      </c>
      <c r="AT72" s="100">
        <v>5.598822476391641</v>
      </c>
      <c r="AU72" s="100">
        <v>416.55239224353807</v>
      </c>
      <c r="AV72" s="100">
        <v>3</v>
      </c>
      <c r="AW72" s="100">
        <v>223.2</v>
      </c>
      <c r="AX72" s="100">
        <v>5.8486074066009817</v>
      </c>
      <c r="AY72" s="100">
        <v>435.13639105111298</v>
      </c>
      <c r="AZ72" s="100">
        <v>3.7851310705923216</v>
      </c>
      <c r="BA72" s="100">
        <v>281.61375165206869</v>
      </c>
      <c r="BB72" s="100">
        <v>1.1292648804940446</v>
      </c>
      <c r="BC72" s="100">
        <v>84.01730710875691</v>
      </c>
      <c r="BD72" s="100">
        <v>4</v>
      </c>
      <c r="BE72" s="100">
        <v>297.59999999999997</v>
      </c>
      <c r="BF72" s="100">
        <v>4.8199586007628756</v>
      </c>
      <c r="BG72" s="100">
        <v>358.60491989675791</v>
      </c>
      <c r="BH72" s="100">
        <v>4.5215244647470483</v>
      </c>
      <c r="BI72" s="100">
        <v>336.40142017718034</v>
      </c>
      <c r="BJ72" s="100">
        <v>4</v>
      </c>
      <c r="BK72" s="100">
        <v>297.59999999999997</v>
      </c>
      <c r="BL72" s="100">
        <v>4.0538608939827316</v>
      </c>
      <c r="BM72" s="100">
        <v>301.6072505123152</v>
      </c>
      <c r="BN72" s="100">
        <v>1.4043026046934992</v>
      </c>
      <c r="BO72" s="100">
        <v>104.48011378919632</v>
      </c>
      <c r="BP72" s="100">
        <v>3</v>
      </c>
      <c r="BQ72" s="100">
        <v>223.2</v>
      </c>
      <c r="BR72" s="100">
        <v>4</v>
      </c>
      <c r="BS72" s="100">
        <v>297.59999999999997</v>
      </c>
      <c r="BT72" s="100">
        <v>5</v>
      </c>
      <c r="BU72" s="100">
        <v>371.99999999999994</v>
      </c>
      <c r="BV72" s="100">
        <v>4</v>
      </c>
      <c r="BW72" s="100">
        <v>297.59999999999997</v>
      </c>
      <c r="BX72" s="100">
        <v>6.5254289325477162</v>
      </c>
      <c r="BY72" s="100">
        <v>485.49191258155003</v>
      </c>
      <c r="BZ72" s="100">
        <v>4.1353625824577884</v>
      </c>
      <c r="CA72" s="100">
        <v>307.67097613485942</v>
      </c>
      <c r="CB72" s="100">
        <v>1.863662774316895</v>
      </c>
      <c r="CC72" s="100">
        <v>138.65651040917697</v>
      </c>
      <c r="CD72" s="100">
        <v>3.3023304809198391</v>
      </c>
      <c r="CE72" s="100">
        <v>245.69338778043598</v>
      </c>
      <c r="CF72" s="100">
        <v>2.2474453270669219</v>
      </c>
      <c r="CG72" s="100">
        <v>167.20993233377897</v>
      </c>
      <c r="CH72" s="100">
        <v>4.1028838517803035</v>
      </c>
      <c r="CI72" s="100">
        <v>305.25455857245453</v>
      </c>
      <c r="CJ72" s="100">
        <v>2.3562559283801989</v>
      </c>
      <c r="CK72" s="100">
        <v>175.30544107148677</v>
      </c>
      <c r="CL72" s="100">
        <v>4.3171216044533507</v>
      </c>
      <c r="CM72" s="100">
        <v>321.19384737132924</v>
      </c>
      <c r="CN72" s="100">
        <v>5.529989483318996</v>
      </c>
      <c r="CO72" s="100">
        <v>411.43121755893327</v>
      </c>
      <c r="CP72" s="100">
        <v>4.2994740425693925</v>
      </c>
      <c r="CQ72" s="100">
        <v>319.88086876716278</v>
      </c>
      <c r="CR72" s="100">
        <v>2.2050099489392756</v>
      </c>
      <c r="CS72" s="100">
        <v>164.05274020108209</v>
      </c>
      <c r="CT72" s="100">
        <v>4</v>
      </c>
      <c r="CU72" s="100">
        <v>297.59999999999997</v>
      </c>
    </row>
    <row r="73" spans="2:99">
      <c r="C73" s="99" t="s">
        <v>239</v>
      </c>
      <c r="D73" s="100">
        <v>4.4133380126008035</v>
      </c>
      <c r="E73" s="100">
        <v>2467.9386166463692</v>
      </c>
      <c r="F73" s="100">
        <v>2.5541313680727327</v>
      </c>
      <c r="G73" s="100">
        <v>1428.270261026272</v>
      </c>
      <c r="H73" s="100">
        <v>3.8733988862129589</v>
      </c>
      <c r="I73" s="100">
        <v>2166.0046571702865</v>
      </c>
      <c r="J73" s="100">
        <v>3.5015009828984418</v>
      </c>
      <c r="K73" s="100">
        <v>1958.0393496368083</v>
      </c>
      <c r="L73" s="100">
        <v>4.0498037852108348</v>
      </c>
      <c r="M73" s="100">
        <v>2264.6502766898984</v>
      </c>
      <c r="N73" s="100">
        <v>3.5716804327045164</v>
      </c>
      <c r="O73" s="100">
        <v>1997.2836979683652</v>
      </c>
      <c r="P73" s="100">
        <v>1.9206318662169608</v>
      </c>
      <c r="Q73" s="100">
        <v>1074.0173395885242</v>
      </c>
      <c r="R73" s="100">
        <v>5</v>
      </c>
      <c r="S73" s="100">
        <v>2795.9999999999995</v>
      </c>
      <c r="T73" s="100">
        <v>4</v>
      </c>
      <c r="U73" s="100">
        <v>2236.7999999999997</v>
      </c>
      <c r="V73" s="100">
        <v>5</v>
      </c>
      <c r="W73" s="100">
        <v>2795.9999999999995</v>
      </c>
      <c r="X73" s="100">
        <v>2.4236215458700645</v>
      </c>
      <c r="Y73" s="100">
        <v>1355.2891684505398</v>
      </c>
      <c r="Z73" s="100">
        <v>5</v>
      </c>
      <c r="AA73" s="100">
        <v>2795.9999999999995</v>
      </c>
      <c r="AB73" s="100">
        <v>4.79976098172334</v>
      </c>
      <c r="AC73" s="100">
        <v>2684.0263409796912</v>
      </c>
      <c r="AD73" s="100">
        <v>3.7074232091558526</v>
      </c>
      <c r="AE73" s="100">
        <v>2073.1910585599526</v>
      </c>
      <c r="AF73" s="100">
        <v>2.2140617346667741</v>
      </c>
      <c r="AG73" s="100">
        <v>1238.10332202566</v>
      </c>
      <c r="AH73" s="100">
        <v>4.4605092722994231</v>
      </c>
      <c r="AI73" s="100">
        <v>2494.3167850698369</v>
      </c>
      <c r="AJ73" s="100">
        <v>3.8302281904172579</v>
      </c>
      <c r="AK73" s="100">
        <v>2141.8636040813303</v>
      </c>
      <c r="AL73" s="100">
        <v>4.9360403048343127</v>
      </c>
      <c r="AM73" s="100">
        <v>2760.2337384633474</v>
      </c>
      <c r="AN73" s="100">
        <v>2.5372087489917052</v>
      </c>
      <c r="AO73" s="100">
        <v>1418.8071324361613</v>
      </c>
      <c r="AP73" s="100">
        <v>4.1985193625727639</v>
      </c>
      <c r="AQ73" s="100">
        <v>2347.8120275506894</v>
      </c>
      <c r="AR73" s="100">
        <v>4</v>
      </c>
      <c r="AS73" s="100">
        <v>2236.7999999999997</v>
      </c>
      <c r="AT73" s="100">
        <v>4.598822476391641</v>
      </c>
      <c r="AU73" s="100">
        <v>2571.6615287982054</v>
      </c>
      <c r="AV73" s="100">
        <v>3</v>
      </c>
      <c r="AW73" s="100">
        <v>1677.6</v>
      </c>
      <c r="AX73" s="100">
        <v>4.8738395055008183</v>
      </c>
      <c r="AY73" s="100">
        <v>2725.4510514760573</v>
      </c>
      <c r="AZ73" s="100">
        <v>3.7851310705923216</v>
      </c>
      <c r="BA73" s="100">
        <v>2116.6452946752261</v>
      </c>
      <c r="BB73" s="100">
        <v>1.1292648804940446</v>
      </c>
      <c r="BC73" s="100">
        <v>631.48492117226965</v>
      </c>
      <c r="BD73" s="100">
        <v>4</v>
      </c>
      <c r="BE73" s="100">
        <v>2236.7999999999997</v>
      </c>
      <c r="BF73" s="100">
        <v>4.8199586007628756</v>
      </c>
      <c r="BG73" s="100">
        <v>2695.3208495465997</v>
      </c>
      <c r="BH73" s="100">
        <v>3.7679370539558739</v>
      </c>
      <c r="BI73" s="100">
        <v>2107.0304005721246</v>
      </c>
      <c r="BJ73" s="100">
        <v>3</v>
      </c>
      <c r="BK73" s="100">
        <v>1677.6</v>
      </c>
      <c r="BL73" s="100">
        <v>4.0461664805566269</v>
      </c>
      <c r="BM73" s="100">
        <v>2262.6162959272656</v>
      </c>
      <c r="BN73" s="100">
        <v>1.4043026046934992</v>
      </c>
      <c r="BO73" s="100">
        <v>785.28601654460465</v>
      </c>
      <c r="BP73" s="100">
        <v>3</v>
      </c>
      <c r="BQ73" s="100">
        <v>1677.6</v>
      </c>
      <c r="BR73" s="100">
        <v>4</v>
      </c>
      <c r="BS73" s="100">
        <v>2236.7999999999997</v>
      </c>
      <c r="BT73" s="100">
        <v>5</v>
      </c>
      <c r="BU73" s="100">
        <v>2795.9999999999995</v>
      </c>
      <c r="BV73" s="100">
        <v>4</v>
      </c>
      <c r="BW73" s="100">
        <v>2236.7999999999997</v>
      </c>
      <c r="BX73" s="100">
        <v>5.4878982945085939</v>
      </c>
      <c r="BY73" s="100">
        <v>3068.8327262892053</v>
      </c>
      <c r="BZ73" s="100">
        <v>3.3323944215336367</v>
      </c>
      <c r="CA73" s="100">
        <v>1863.4749605216095</v>
      </c>
      <c r="CB73" s="100">
        <v>1.863662774316895</v>
      </c>
      <c r="CC73" s="100">
        <v>1042.1602233980075</v>
      </c>
      <c r="CD73" s="100">
        <v>2.7003338350030468</v>
      </c>
      <c r="CE73" s="100">
        <v>1510.0266805337035</v>
      </c>
      <c r="CF73" s="100">
        <v>2.2474453270669219</v>
      </c>
      <c r="CG73" s="100">
        <v>1256.7714268958225</v>
      </c>
      <c r="CH73" s="100">
        <v>3.5509962583245578</v>
      </c>
      <c r="CI73" s="100">
        <v>1985.7171076550924</v>
      </c>
      <c r="CJ73" s="100">
        <v>2.3562559283801989</v>
      </c>
      <c r="CK73" s="100">
        <v>1317.6183151502071</v>
      </c>
      <c r="CL73" s="100">
        <v>3.7003899466743002</v>
      </c>
      <c r="CM73" s="100">
        <v>2069.2580581802686</v>
      </c>
      <c r="CN73" s="100">
        <v>5.529989483318996</v>
      </c>
      <c r="CO73" s="100">
        <v>3092.3701190719821</v>
      </c>
      <c r="CP73" s="100">
        <v>4.2994740425693925</v>
      </c>
      <c r="CQ73" s="100">
        <v>2404.2658846048039</v>
      </c>
      <c r="CR73" s="100">
        <v>2.2050099489392756</v>
      </c>
      <c r="CS73" s="100">
        <v>1233.0415634468427</v>
      </c>
      <c r="CT73" s="100">
        <v>4</v>
      </c>
      <c r="CU73" s="100">
        <v>2236.7999999999997</v>
      </c>
    </row>
    <row r="74" spans="2:99">
      <c r="C74" s="99" t="s">
        <v>240</v>
      </c>
      <c r="D74" s="100">
        <v>3.6777816771673368</v>
      </c>
      <c r="E74" s="100">
        <v>1482.8815722338702</v>
      </c>
      <c r="F74" s="100">
        <v>2.5541313680727327</v>
      </c>
      <c r="G74" s="100">
        <v>1029.8257676069259</v>
      </c>
      <c r="H74" s="100">
        <v>3.8733988862129589</v>
      </c>
      <c r="I74" s="100">
        <v>1561.754430921065</v>
      </c>
      <c r="J74" s="100">
        <v>4.3768762286230523</v>
      </c>
      <c r="K74" s="100">
        <v>1764.7564953808146</v>
      </c>
      <c r="L74" s="100">
        <v>4.0838335021036798</v>
      </c>
      <c r="M74" s="100">
        <v>1646.6016680482037</v>
      </c>
      <c r="N74" s="100">
        <v>3.5716804327045164</v>
      </c>
      <c r="O74" s="100">
        <v>1440.101550466461</v>
      </c>
      <c r="P74" s="100">
        <v>1.9206318662169608</v>
      </c>
      <c r="Q74" s="100">
        <v>774.39876845867855</v>
      </c>
      <c r="R74" s="100">
        <v>5</v>
      </c>
      <c r="S74" s="100">
        <v>2016</v>
      </c>
      <c r="T74" s="100">
        <v>5</v>
      </c>
      <c r="U74" s="100">
        <v>2016</v>
      </c>
      <c r="V74" s="100">
        <v>6</v>
      </c>
      <c r="W74" s="100">
        <v>2419.1999999999998</v>
      </c>
      <c r="X74" s="100">
        <v>2.4236215458700645</v>
      </c>
      <c r="Y74" s="100">
        <v>977.20420729480998</v>
      </c>
      <c r="Z74" s="100">
        <v>5</v>
      </c>
      <c r="AA74" s="100">
        <v>2016</v>
      </c>
      <c r="AB74" s="100">
        <v>4.79976098172334</v>
      </c>
      <c r="AC74" s="100">
        <v>1935.2636278308507</v>
      </c>
      <c r="AD74" s="100">
        <v>3.7074232091558526</v>
      </c>
      <c r="AE74" s="100">
        <v>1494.8330379316396</v>
      </c>
      <c r="AF74" s="100">
        <v>2.2140617346667741</v>
      </c>
      <c r="AG74" s="100">
        <v>892.70969141764328</v>
      </c>
      <c r="AH74" s="100">
        <v>4.4605092722994231</v>
      </c>
      <c r="AI74" s="100">
        <v>1798.4773385911274</v>
      </c>
      <c r="AJ74" s="100">
        <v>3.8302281904172579</v>
      </c>
      <c r="AK74" s="100">
        <v>1544.3480063762383</v>
      </c>
      <c r="AL74" s="100">
        <v>3.9488322438674497</v>
      </c>
      <c r="AM74" s="100">
        <v>1592.1691607273556</v>
      </c>
      <c r="AN74" s="100">
        <v>3.3829449986556068</v>
      </c>
      <c r="AO74" s="100">
        <v>1364.0034234579407</v>
      </c>
      <c r="AP74" s="100">
        <v>3.4987661354773034</v>
      </c>
      <c r="AQ74" s="100">
        <v>1410.7025058244487</v>
      </c>
      <c r="AR74" s="100">
        <v>4</v>
      </c>
      <c r="AS74" s="100">
        <v>1612.8</v>
      </c>
      <c r="AT74" s="100">
        <v>4</v>
      </c>
      <c r="AU74" s="100">
        <v>1612.8</v>
      </c>
      <c r="AV74" s="100">
        <v>3</v>
      </c>
      <c r="AW74" s="100">
        <v>1209.5999999999999</v>
      </c>
      <c r="AX74" s="100">
        <v>4.8738395055008183</v>
      </c>
      <c r="AY74" s="100">
        <v>1965.1320886179299</v>
      </c>
      <c r="AZ74" s="100">
        <v>3.8000077401455634</v>
      </c>
      <c r="BA74" s="100">
        <v>1532.1631208266911</v>
      </c>
      <c r="BB74" s="100">
        <v>1.1292648804940446</v>
      </c>
      <c r="BC74" s="100">
        <v>455.31959981519879</v>
      </c>
      <c r="BD74" s="100">
        <v>4</v>
      </c>
      <c r="BE74" s="100">
        <v>1612.8</v>
      </c>
      <c r="BF74" s="100">
        <v>4.8199586007628756</v>
      </c>
      <c r="BG74" s="100">
        <v>1943.4073078275915</v>
      </c>
      <c r="BH74" s="100">
        <v>4.5215244647470483</v>
      </c>
      <c r="BI74" s="100">
        <v>1823.0786641860097</v>
      </c>
      <c r="BJ74" s="100">
        <v>3</v>
      </c>
      <c r="BK74" s="100">
        <v>1209.5999999999999</v>
      </c>
      <c r="BL74" s="100">
        <v>4.0500136872696793</v>
      </c>
      <c r="BM74" s="100">
        <v>1632.9655187071346</v>
      </c>
      <c r="BN74" s="100">
        <v>1.4043026046934992</v>
      </c>
      <c r="BO74" s="100">
        <v>566.21481021241891</v>
      </c>
      <c r="BP74" s="100">
        <v>3</v>
      </c>
      <c r="BQ74" s="100">
        <v>1209.5999999999999</v>
      </c>
      <c r="BR74" s="100">
        <v>4</v>
      </c>
      <c r="BS74" s="100">
        <v>1612.8</v>
      </c>
      <c r="BT74" s="100">
        <v>5</v>
      </c>
      <c r="BU74" s="100">
        <v>2016</v>
      </c>
      <c r="BV74" s="100">
        <v>3</v>
      </c>
      <c r="BW74" s="100">
        <v>1209.5999999999999</v>
      </c>
      <c r="BX74" s="100">
        <v>5.5254289325477162</v>
      </c>
      <c r="BY74" s="100">
        <v>2227.8529456032393</v>
      </c>
      <c r="BZ74" s="100">
        <v>4.0751016935392723</v>
      </c>
      <c r="CA74" s="100">
        <v>1643.0810028350345</v>
      </c>
      <c r="CB74" s="100">
        <v>1.863662774316895</v>
      </c>
      <c r="CC74" s="100">
        <v>751.428830604572</v>
      </c>
      <c r="CD74" s="100">
        <v>2.7003338350030468</v>
      </c>
      <c r="CE74" s="100">
        <v>1088.7746022732285</v>
      </c>
      <c r="CF74" s="100">
        <v>1.7979562616535374</v>
      </c>
      <c r="CG74" s="100">
        <v>724.93596469870624</v>
      </c>
      <c r="CH74" s="100">
        <v>3.5509962583245578</v>
      </c>
      <c r="CI74" s="100">
        <v>1431.7616913564616</v>
      </c>
      <c r="CJ74" s="100">
        <v>2.3562559283801989</v>
      </c>
      <c r="CK74" s="100">
        <v>950.04239032289615</v>
      </c>
      <c r="CL74" s="100">
        <v>3.7003899466743002</v>
      </c>
      <c r="CM74" s="100">
        <v>1491.9972264990779</v>
      </c>
      <c r="CN74" s="100">
        <v>4.6083245694324972</v>
      </c>
      <c r="CO74" s="100">
        <v>1858.0764663951829</v>
      </c>
      <c r="CP74" s="100">
        <v>4.2994740425693925</v>
      </c>
      <c r="CQ74" s="100">
        <v>1733.5479339639789</v>
      </c>
      <c r="CR74" s="100">
        <v>2.2050099489392756</v>
      </c>
      <c r="CS74" s="100">
        <v>889.06001141231593</v>
      </c>
      <c r="CT74" s="100">
        <v>4</v>
      </c>
      <c r="CU74" s="100">
        <v>1612.8</v>
      </c>
    </row>
    <row r="75" spans="2:99">
      <c r="C75" s="99" t="s">
        <v>241</v>
      </c>
      <c r="D75" s="100">
        <v>4.4133380126008035</v>
      </c>
      <c r="E75" s="100">
        <v>2838.6590097048365</v>
      </c>
      <c r="F75" s="100">
        <v>2.5541313680727327</v>
      </c>
      <c r="G75" s="100">
        <v>1642.8172959443814</v>
      </c>
      <c r="H75" s="100">
        <v>2.9050491646597192</v>
      </c>
      <c r="I75" s="100">
        <v>1868.5276227091313</v>
      </c>
      <c r="J75" s="100">
        <v>3.5015009828984418</v>
      </c>
      <c r="K75" s="100">
        <v>2252.1654322002773</v>
      </c>
      <c r="L75" s="100">
        <v>3.6074174656038447</v>
      </c>
      <c r="M75" s="100">
        <v>2320.2909138763926</v>
      </c>
      <c r="N75" s="100">
        <v>3.5716804327045164</v>
      </c>
      <c r="O75" s="100">
        <v>2297.3048543155446</v>
      </c>
      <c r="P75" s="100">
        <v>1.9206318662169608</v>
      </c>
      <c r="Q75" s="100">
        <v>1235.3504163507491</v>
      </c>
      <c r="R75" s="100">
        <v>5</v>
      </c>
      <c r="S75" s="100">
        <v>3215.9999999999995</v>
      </c>
      <c r="T75" s="100">
        <v>5</v>
      </c>
      <c r="U75" s="100">
        <v>3215.9999999999995</v>
      </c>
      <c r="V75" s="100">
        <v>6</v>
      </c>
      <c r="W75" s="100">
        <v>3859.2</v>
      </c>
      <c r="X75" s="100">
        <v>2.4236215458700645</v>
      </c>
      <c r="Y75" s="100">
        <v>1558.8733783036253</v>
      </c>
      <c r="Z75" s="100">
        <v>5</v>
      </c>
      <c r="AA75" s="100">
        <v>3215.9999999999995</v>
      </c>
      <c r="AB75" s="100">
        <v>4.79976098172334</v>
      </c>
      <c r="AC75" s="100">
        <v>3087.2062634444519</v>
      </c>
      <c r="AD75" s="100">
        <v>3.7283897258010814</v>
      </c>
      <c r="AE75" s="100">
        <v>2398.1002716352555</v>
      </c>
      <c r="AF75" s="100">
        <v>2.2140617346667741</v>
      </c>
      <c r="AG75" s="100">
        <v>1424.0845077376689</v>
      </c>
      <c r="AH75" s="100">
        <v>3.5684074178395377</v>
      </c>
      <c r="AI75" s="100">
        <v>2295.1996511543903</v>
      </c>
      <c r="AJ75" s="100">
        <v>3.8302281904172579</v>
      </c>
      <c r="AK75" s="100">
        <v>2463.60277207638</v>
      </c>
      <c r="AL75" s="100">
        <v>3.9488322438674497</v>
      </c>
      <c r="AM75" s="100">
        <v>2539.8888992555435</v>
      </c>
      <c r="AN75" s="100">
        <v>2.5372087489917052</v>
      </c>
      <c r="AO75" s="100">
        <v>1631.9326673514647</v>
      </c>
      <c r="AP75" s="100">
        <v>4.1985193625727639</v>
      </c>
      <c r="AQ75" s="100">
        <v>2700.4876540068017</v>
      </c>
      <c r="AR75" s="100">
        <v>3</v>
      </c>
      <c r="AS75" s="100">
        <v>1929.6</v>
      </c>
      <c r="AT75" s="100">
        <v>5</v>
      </c>
      <c r="AU75" s="100">
        <v>3215.9999999999995</v>
      </c>
      <c r="AV75" s="100">
        <v>3</v>
      </c>
      <c r="AW75" s="100">
        <v>1929.6</v>
      </c>
      <c r="AX75" s="100">
        <v>4.8738395055008183</v>
      </c>
      <c r="AY75" s="100">
        <v>3134.8535699381259</v>
      </c>
      <c r="AZ75" s="100">
        <v>3.7851310705923216</v>
      </c>
      <c r="BA75" s="100">
        <v>2434.596304604981</v>
      </c>
      <c r="BB75" s="100">
        <v>1.1292648804940446</v>
      </c>
      <c r="BC75" s="100">
        <v>726.34317113376937</v>
      </c>
      <c r="BD75" s="100">
        <v>4</v>
      </c>
      <c r="BE75" s="100">
        <v>2572.7999999999997</v>
      </c>
      <c r="BF75" s="100">
        <v>4.8199586007628756</v>
      </c>
      <c r="BG75" s="100">
        <v>3100.1973720106812</v>
      </c>
      <c r="BH75" s="100">
        <v>4.5215244647470483</v>
      </c>
      <c r="BI75" s="100">
        <v>2908.2445357253009</v>
      </c>
      <c r="BJ75" s="100">
        <v>3</v>
      </c>
      <c r="BK75" s="100">
        <v>1929.6</v>
      </c>
      <c r="BL75" s="100">
        <v>4.0500136872696793</v>
      </c>
      <c r="BM75" s="100">
        <v>2604.9688036518573</v>
      </c>
      <c r="BN75" s="100">
        <v>1.4043026046934992</v>
      </c>
      <c r="BO75" s="100">
        <v>903.24743533885862</v>
      </c>
      <c r="BP75" s="100">
        <v>4</v>
      </c>
      <c r="BQ75" s="100">
        <v>2572.7999999999997</v>
      </c>
      <c r="BR75" s="100">
        <v>4</v>
      </c>
      <c r="BS75" s="100">
        <v>2572.7999999999997</v>
      </c>
      <c r="BT75" s="100">
        <v>4</v>
      </c>
      <c r="BU75" s="100">
        <v>2572.7999999999997</v>
      </c>
      <c r="BV75" s="100">
        <v>3</v>
      </c>
      <c r="BW75" s="100">
        <v>1929.6</v>
      </c>
      <c r="BX75" s="100">
        <v>5.5629595705868393</v>
      </c>
      <c r="BY75" s="100">
        <v>3578.0955958014547</v>
      </c>
      <c r="BZ75" s="100">
        <v>4.1052321379985299</v>
      </c>
      <c r="CA75" s="100">
        <v>2640.485311160654</v>
      </c>
      <c r="CB75" s="100">
        <v>1.863662774316895</v>
      </c>
      <c r="CC75" s="100">
        <v>1198.7078964406267</v>
      </c>
      <c r="CD75" s="100">
        <v>2.7269108578517627</v>
      </c>
      <c r="CE75" s="100">
        <v>1753.9490637702536</v>
      </c>
      <c r="CF75" s="100">
        <v>2.2474453270669219</v>
      </c>
      <c r="CG75" s="100">
        <v>1445.556834369444</v>
      </c>
      <c r="CH75" s="100">
        <v>3.5776263358345677</v>
      </c>
      <c r="CI75" s="100">
        <v>2301.1292592087939</v>
      </c>
      <c r="CJ75" s="100">
        <v>2.3562559283801989</v>
      </c>
      <c r="CK75" s="100">
        <v>1515.5438131341439</v>
      </c>
      <c r="CL75" s="100">
        <v>4.3171216044533507</v>
      </c>
      <c r="CM75" s="100">
        <v>2776.7726159843951</v>
      </c>
      <c r="CN75" s="100">
        <v>5.529989483318996</v>
      </c>
      <c r="CO75" s="100">
        <v>3556.8892356707779</v>
      </c>
      <c r="CP75" s="100">
        <v>4.2994740425693925</v>
      </c>
      <c r="CQ75" s="100">
        <v>2765.4217041806328</v>
      </c>
      <c r="CR75" s="100">
        <v>2.2050099489392756</v>
      </c>
      <c r="CS75" s="100">
        <v>1418.2623991577418</v>
      </c>
      <c r="CT75" s="100">
        <v>4</v>
      </c>
      <c r="CU75" s="100">
        <v>2572.7999999999997</v>
      </c>
    </row>
    <row r="76" spans="2:99">
      <c r="C76" s="99" t="s">
        <v>242</v>
      </c>
      <c r="D76" s="100">
        <v>3.6777816771673368</v>
      </c>
      <c r="E76" s="100">
        <v>2864.2563701779218</v>
      </c>
      <c r="F76" s="100">
        <v>2.5541313680727327</v>
      </c>
      <c r="G76" s="100">
        <v>1989.1575094550442</v>
      </c>
      <c r="H76" s="100">
        <v>2.9050491646597192</v>
      </c>
      <c r="I76" s="100">
        <v>2262.4522894369893</v>
      </c>
      <c r="J76" s="100">
        <v>3.5015009828984418</v>
      </c>
      <c r="K76" s="100">
        <v>2726.9689654813064</v>
      </c>
      <c r="L76" s="100">
        <v>4.3289009587246134</v>
      </c>
      <c r="M76" s="100">
        <v>3371.3480666547289</v>
      </c>
      <c r="N76" s="100">
        <v>3.539710730593725</v>
      </c>
      <c r="O76" s="100">
        <v>2756.7267169863931</v>
      </c>
      <c r="P76" s="100">
        <v>2.4007898327712009</v>
      </c>
      <c r="Q76" s="100">
        <v>1869.7351217622113</v>
      </c>
      <c r="R76" s="100">
        <v>5</v>
      </c>
      <c r="S76" s="100">
        <v>3894</v>
      </c>
      <c r="T76" s="100">
        <v>5</v>
      </c>
      <c r="U76" s="100">
        <v>3894</v>
      </c>
      <c r="V76" s="100">
        <v>5</v>
      </c>
      <c r="W76" s="100">
        <v>3894</v>
      </c>
      <c r="X76" s="100">
        <v>2.4236215458700645</v>
      </c>
      <c r="Y76" s="100">
        <v>1887.5164599236061</v>
      </c>
      <c r="Z76" s="100">
        <v>5</v>
      </c>
      <c r="AA76" s="100">
        <v>3894</v>
      </c>
      <c r="AB76" s="100">
        <v>4.79976098172334</v>
      </c>
      <c r="AC76" s="100">
        <v>3738.0538525661368</v>
      </c>
      <c r="AD76" s="100">
        <v>3.7074232091558526</v>
      </c>
      <c r="AE76" s="100">
        <v>2887.3411952905776</v>
      </c>
      <c r="AF76" s="100">
        <v>2.2140617346667741</v>
      </c>
      <c r="AG76" s="100">
        <v>1724.3112789584836</v>
      </c>
      <c r="AH76" s="100">
        <v>3.5684074178395377</v>
      </c>
      <c r="AI76" s="100">
        <v>2779.0756970134316</v>
      </c>
      <c r="AJ76" s="100">
        <v>2.8726711428129432</v>
      </c>
      <c r="AK76" s="100">
        <v>2237.2362860227199</v>
      </c>
      <c r="AL76" s="100">
        <v>3.9488322438674497</v>
      </c>
      <c r="AM76" s="100">
        <v>3075.3505515239694</v>
      </c>
      <c r="AN76" s="100">
        <v>3.3829449986556068</v>
      </c>
      <c r="AO76" s="100">
        <v>2634.6375649529864</v>
      </c>
      <c r="AP76" s="100">
        <v>3.4987661354773034</v>
      </c>
      <c r="AQ76" s="100">
        <v>2724.8390663097239</v>
      </c>
      <c r="AR76" s="100">
        <v>4</v>
      </c>
      <c r="AS76" s="100">
        <v>3115.2</v>
      </c>
      <c r="AT76" s="100">
        <v>4.598822476391641</v>
      </c>
      <c r="AU76" s="100">
        <v>3581.5629446138096</v>
      </c>
      <c r="AV76" s="100">
        <v>3</v>
      </c>
      <c r="AW76" s="100">
        <v>2336.3999999999996</v>
      </c>
      <c r="AX76" s="100">
        <v>4.8738395055008183</v>
      </c>
      <c r="AY76" s="100">
        <v>3795.7462068840373</v>
      </c>
      <c r="AZ76" s="100">
        <v>3.8000077401455634</v>
      </c>
      <c r="BA76" s="100">
        <v>2959.4460280253647</v>
      </c>
      <c r="BB76" s="100">
        <v>1.1292648804940446</v>
      </c>
      <c r="BC76" s="100">
        <v>879.47148892876191</v>
      </c>
      <c r="BD76" s="100">
        <v>4</v>
      </c>
      <c r="BE76" s="100">
        <v>3115.2</v>
      </c>
      <c r="BF76" s="100">
        <v>3.8559668806103002</v>
      </c>
      <c r="BG76" s="100">
        <v>3003.0270066193016</v>
      </c>
      <c r="BH76" s="100">
        <v>3.7679370539558739</v>
      </c>
      <c r="BI76" s="100">
        <v>2934.4693776208342</v>
      </c>
      <c r="BJ76" s="100">
        <v>4</v>
      </c>
      <c r="BK76" s="100">
        <v>3115.2</v>
      </c>
      <c r="BL76" s="100">
        <v>4.0538608939827316</v>
      </c>
      <c r="BM76" s="100">
        <v>3157.1468642337513</v>
      </c>
      <c r="BN76" s="100">
        <v>1.4043026046934992</v>
      </c>
      <c r="BO76" s="100">
        <v>1093.6708685352971</v>
      </c>
      <c r="BP76" s="100">
        <v>3</v>
      </c>
      <c r="BQ76" s="100">
        <v>2336.3999999999996</v>
      </c>
      <c r="BR76" s="100">
        <v>4</v>
      </c>
      <c r="BS76" s="100">
        <v>3115.2</v>
      </c>
      <c r="BT76" s="100">
        <v>5</v>
      </c>
      <c r="BU76" s="100">
        <v>3894</v>
      </c>
      <c r="BV76" s="100">
        <v>4</v>
      </c>
      <c r="BW76" s="100">
        <v>3115.2</v>
      </c>
      <c r="BX76" s="100">
        <v>5.5254289325477162</v>
      </c>
      <c r="BY76" s="100">
        <v>4303.2040526681612</v>
      </c>
      <c r="BZ76" s="100">
        <v>4.1353625824577884</v>
      </c>
      <c r="CA76" s="100">
        <v>3220.6203792181254</v>
      </c>
      <c r="CB76" s="100">
        <v>2.4848836990891936</v>
      </c>
      <c r="CC76" s="100">
        <v>1935.227424850664</v>
      </c>
      <c r="CD76" s="100">
        <v>2.7269108578517627</v>
      </c>
      <c r="CE76" s="100">
        <v>2123.7181760949525</v>
      </c>
      <c r="CF76" s="100">
        <v>2.5290874170049689</v>
      </c>
      <c r="CG76" s="100">
        <v>1969.6532803634695</v>
      </c>
      <c r="CH76" s="100">
        <v>2.9724785873588035</v>
      </c>
      <c r="CI76" s="100">
        <v>2314.9663238350363</v>
      </c>
      <c r="CJ76" s="100">
        <v>2.3562559283801989</v>
      </c>
      <c r="CK76" s="100">
        <v>1835.0521170224988</v>
      </c>
      <c r="CL76" s="100">
        <v>3.7003899466743002</v>
      </c>
      <c r="CM76" s="100">
        <v>2881.8636904699447</v>
      </c>
      <c r="CN76" s="100">
        <v>5.529989483318996</v>
      </c>
      <c r="CO76" s="100">
        <v>4306.7558096088342</v>
      </c>
      <c r="CP76" s="100">
        <v>4.2655673347622747</v>
      </c>
      <c r="CQ76" s="100">
        <v>3322.0238403128592</v>
      </c>
      <c r="CR76" s="100">
        <v>2.2050099489392756</v>
      </c>
      <c r="CS76" s="100">
        <v>1717.2617482339078</v>
      </c>
      <c r="CT76" s="100">
        <v>3</v>
      </c>
      <c r="CU76" s="100">
        <v>2336.3999999999996</v>
      </c>
    </row>
    <row r="77" spans="2:99">
      <c r="C77" s="99" t="s">
        <v>243</v>
      </c>
      <c r="D77" s="100">
        <v>3.6777816771673368</v>
      </c>
      <c r="E77" s="100">
        <v>1023.8944189233865</v>
      </c>
      <c r="F77" s="100">
        <v>2.5541313680727327</v>
      </c>
      <c r="G77" s="100">
        <v>711.07017287144868</v>
      </c>
      <c r="H77" s="100">
        <v>2.9050491646597192</v>
      </c>
      <c r="I77" s="100">
        <v>808.76568744126575</v>
      </c>
      <c r="J77" s="100">
        <v>4.3768762286230523</v>
      </c>
      <c r="K77" s="100">
        <v>1218.5223420486577</v>
      </c>
      <c r="L77" s="100">
        <v>4.3289009587246134</v>
      </c>
      <c r="M77" s="100">
        <v>1205.1660269089323</v>
      </c>
      <c r="N77" s="100">
        <v>3.5716804327045164</v>
      </c>
      <c r="O77" s="100">
        <v>994.35583246493729</v>
      </c>
      <c r="P77" s="100">
        <v>2.4007898327712009</v>
      </c>
      <c r="Q77" s="100">
        <v>668.37988944350229</v>
      </c>
      <c r="R77" s="100">
        <v>5</v>
      </c>
      <c r="S77" s="100">
        <v>1392</v>
      </c>
      <c r="T77" s="100">
        <v>5</v>
      </c>
      <c r="U77" s="100">
        <v>1392</v>
      </c>
      <c r="V77" s="100">
        <v>6</v>
      </c>
      <c r="W77" s="100">
        <v>1670.3999999999999</v>
      </c>
      <c r="X77" s="100">
        <v>2.4236215458700645</v>
      </c>
      <c r="Y77" s="100">
        <v>674.73623837022592</v>
      </c>
      <c r="Z77" s="100">
        <v>6</v>
      </c>
      <c r="AA77" s="100">
        <v>1670.3999999999999</v>
      </c>
      <c r="AB77" s="100">
        <v>5.759713178068008</v>
      </c>
      <c r="AC77" s="100">
        <v>1603.5041487741332</v>
      </c>
      <c r="AD77" s="100">
        <v>3.6654901758653962</v>
      </c>
      <c r="AE77" s="100">
        <v>1020.4724649609262</v>
      </c>
      <c r="AF77" s="100">
        <v>2.2140617346667741</v>
      </c>
      <c r="AG77" s="100">
        <v>616.39478693122987</v>
      </c>
      <c r="AH77" s="100">
        <v>4.4605092722994231</v>
      </c>
      <c r="AI77" s="100">
        <v>1241.8057814081592</v>
      </c>
      <c r="AJ77" s="100">
        <v>3.8302281904172579</v>
      </c>
      <c r="AK77" s="100">
        <v>1066.3355282121645</v>
      </c>
      <c r="AL77" s="100">
        <v>4.9360403048343127</v>
      </c>
      <c r="AM77" s="100">
        <v>1374.1936208658726</v>
      </c>
      <c r="AN77" s="100">
        <v>2.5372087489917052</v>
      </c>
      <c r="AO77" s="100">
        <v>706.35891571929074</v>
      </c>
      <c r="AP77" s="100">
        <v>3.4987661354773034</v>
      </c>
      <c r="AQ77" s="100">
        <v>974.05649211688115</v>
      </c>
      <c r="AR77" s="100">
        <v>3</v>
      </c>
      <c r="AS77" s="100">
        <v>835.19999999999993</v>
      </c>
      <c r="AT77" s="100">
        <v>5</v>
      </c>
      <c r="AU77" s="100">
        <v>1392</v>
      </c>
      <c r="AV77" s="100">
        <v>3</v>
      </c>
      <c r="AW77" s="100">
        <v>835.19999999999993</v>
      </c>
      <c r="AX77" s="100">
        <v>5.8486074066009817</v>
      </c>
      <c r="AY77" s="100">
        <v>1628.2523019977132</v>
      </c>
      <c r="AZ77" s="100">
        <v>3.8148844096988057</v>
      </c>
      <c r="BA77" s="100">
        <v>1062.0638196601474</v>
      </c>
      <c r="BB77" s="100">
        <v>1.1292648804940446</v>
      </c>
      <c r="BC77" s="100">
        <v>314.38734272954201</v>
      </c>
      <c r="BD77" s="100">
        <v>4</v>
      </c>
      <c r="BE77" s="100">
        <v>1113.5999999999999</v>
      </c>
      <c r="BF77" s="100">
        <v>4.8199586007628756</v>
      </c>
      <c r="BG77" s="100">
        <v>1341.8764744523844</v>
      </c>
      <c r="BH77" s="100">
        <v>3.7679370539558739</v>
      </c>
      <c r="BI77" s="100">
        <v>1048.9936758213153</v>
      </c>
      <c r="BJ77" s="100">
        <v>3</v>
      </c>
      <c r="BK77" s="100">
        <v>835.19999999999993</v>
      </c>
      <c r="BL77" s="100">
        <v>4.057708100695784</v>
      </c>
      <c r="BM77" s="100">
        <v>1129.6659352337063</v>
      </c>
      <c r="BN77" s="100">
        <v>1.1234420837547994</v>
      </c>
      <c r="BO77" s="100">
        <v>312.76627611733613</v>
      </c>
      <c r="BP77" s="100">
        <v>3</v>
      </c>
      <c r="BQ77" s="100">
        <v>835.19999999999993</v>
      </c>
      <c r="BR77" s="100">
        <v>4</v>
      </c>
      <c r="BS77" s="100">
        <v>1113.5999999999999</v>
      </c>
      <c r="BT77" s="100">
        <v>4</v>
      </c>
      <c r="BU77" s="100">
        <v>1113.5999999999999</v>
      </c>
      <c r="BV77" s="100">
        <v>4</v>
      </c>
      <c r="BW77" s="100">
        <v>1113.5999999999999</v>
      </c>
      <c r="BX77" s="100">
        <v>6.4878982945085939</v>
      </c>
      <c r="BY77" s="100">
        <v>1806.2308851911923</v>
      </c>
      <c r="BZ77" s="100">
        <v>3.3926553104521524</v>
      </c>
      <c r="CA77" s="100">
        <v>944.5152384298791</v>
      </c>
      <c r="CB77" s="100">
        <v>1.863662774316895</v>
      </c>
      <c r="CC77" s="100">
        <v>518.84371636982348</v>
      </c>
      <c r="CD77" s="100">
        <v>2.67375681215433</v>
      </c>
      <c r="CE77" s="100">
        <v>744.37389650376542</v>
      </c>
      <c r="CF77" s="100">
        <v>2.101263127740665</v>
      </c>
      <c r="CG77" s="100">
        <v>584.99165476300107</v>
      </c>
      <c r="CH77" s="100">
        <v>3.5509962583245578</v>
      </c>
      <c r="CI77" s="100">
        <v>988.59735831755677</v>
      </c>
      <c r="CJ77" s="100">
        <v>2.3562559283801989</v>
      </c>
      <c r="CK77" s="100">
        <v>655.98165046104737</v>
      </c>
      <c r="CL77" s="100">
        <v>4.3171216044533507</v>
      </c>
      <c r="CM77" s="100">
        <v>1201.8866546798126</v>
      </c>
      <c r="CN77" s="100">
        <v>5.529989483318996</v>
      </c>
      <c r="CO77" s="100">
        <v>1539.5490721560084</v>
      </c>
      <c r="CP77" s="100">
        <v>4.3333807503765094</v>
      </c>
      <c r="CQ77" s="100">
        <v>1206.4132009048201</v>
      </c>
      <c r="CR77" s="100">
        <v>2.2050099489392756</v>
      </c>
      <c r="CS77" s="100">
        <v>613.87476978469431</v>
      </c>
      <c r="CT77" s="100">
        <v>4</v>
      </c>
      <c r="CU77" s="100">
        <v>1113.5999999999999</v>
      </c>
    </row>
    <row r="78" spans="2:99">
      <c r="C78" s="99" t="s">
        <v>244</v>
      </c>
      <c r="D78" s="100">
        <v>4.4133380126008035</v>
      </c>
      <c r="E78" s="100">
        <v>2436.1625829556433</v>
      </c>
      <c r="F78" s="100">
        <v>2.5541313680727327</v>
      </c>
      <c r="G78" s="100">
        <v>1409.8805151761485</v>
      </c>
      <c r="H78" s="100">
        <v>2.9050491646597192</v>
      </c>
      <c r="I78" s="100">
        <v>1603.5871388921651</v>
      </c>
      <c r="J78" s="100">
        <v>3.5015009828984418</v>
      </c>
      <c r="K78" s="100">
        <v>1932.8285425599399</v>
      </c>
      <c r="L78" s="100">
        <v>3.6074174656038447</v>
      </c>
      <c r="M78" s="100">
        <v>1991.2944410133223</v>
      </c>
      <c r="N78" s="100">
        <v>3.539710730593725</v>
      </c>
      <c r="O78" s="100">
        <v>1953.9203232877362</v>
      </c>
      <c r="P78" s="100">
        <v>2.4007898327712009</v>
      </c>
      <c r="Q78" s="100">
        <v>1325.2359876897028</v>
      </c>
      <c r="R78" s="100">
        <v>5</v>
      </c>
      <c r="S78" s="100">
        <v>2760</v>
      </c>
      <c r="T78" s="100">
        <v>4</v>
      </c>
      <c r="U78" s="100">
        <v>2208</v>
      </c>
      <c r="V78" s="100">
        <v>5</v>
      </c>
      <c r="W78" s="100">
        <v>2760</v>
      </c>
      <c r="X78" s="100">
        <v>2.4236215458700645</v>
      </c>
      <c r="Y78" s="100">
        <v>1337.8390933202757</v>
      </c>
      <c r="Z78" s="100">
        <v>6</v>
      </c>
      <c r="AA78" s="100">
        <v>3312</v>
      </c>
      <c r="AB78" s="100">
        <v>4.79976098172334</v>
      </c>
      <c r="AC78" s="100">
        <v>2649.4680619112837</v>
      </c>
      <c r="AD78" s="100">
        <v>3.686456692510625</v>
      </c>
      <c r="AE78" s="100">
        <v>2034.9240942658651</v>
      </c>
      <c r="AF78" s="100">
        <v>2.2140617346667741</v>
      </c>
      <c r="AG78" s="100">
        <v>1222.1620775360593</v>
      </c>
      <c r="AH78" s="100">
        <v>3.5684074178395377</v>
      </c>
      <c r="AI78" s="100">
        <v>1969.7608946474247</v>
      </c>
      <c r="AJ78" s="100">
        <v>3.8302281904172579</v>
      </c>
      <c r="AK78" s="100">
        <v>2114.2859611103263</v>
      </c>
      <c r="AL78" s="100">
        <v>4.9360403048343127</v>
      </c>
      <c r="AM78" s="100">
        <v>2724.6942482685404</v>
      </c>
      <c r="AN78" s="100">
        <v>2.5372087489917052</v>
      </c>
      <c r="AO78" s="100">
        <v>1400.5392294434214</v>
      </c>
      <c r="AP78" s="100">
        <v>4.1985193625727639</v>
      </c>
      <c r="AQ78" s="100">
        <v>2317.5826881401658</v>
      </c>
      <c r="AR78" s="100">
        <v>4</v>
      </c>
      <c r="AS78" s="100">
        <v>2208</v>
      </c>
      <c r="AT78" s="100">
        <v>4</v>
      </c>
      <c r="AU78" s="100">
        <v>2208</v>
      </c>
      <c r="AV78" s="100">
        <v>3</v>
      </c>
      <c r="AW78" s="100">
        <v>1656</v>
      </c>
      <c r="AX78" s="100">
        <v>4.8738395055008183</v>
      </c>
      <c r="AY78" s="100">
        <v>2690.3594070364516</v>
      </c>
      <c r="AZ78" s="100">
        <v>3.7851310705923216</v>
      </c>
      <c r="BA78" s="100">
        <v>2089.3923509669617</v>
      </c>
      <c r="BB78" s="100">
        <v>1.1292648804940446</v>
      </c>
      <c r="BC78" s="100">
        <v>623.35421403271266</v>
      </c>
      <c r="BD78" s="100">
        <v>4</v>
      </c>
      <c r="BE78" s="100">
        <v>2208</v>
      </c>
      <c r="BF78" s="100">
        <v>4.8199586007628756</v>
      </c>
      <c r="BG78" s="100">
        <v>2660.6171476211075</v>
      </c>
      <c r="BH78" s="100">
        <v>4.5215244647470483</v>
      </c>
      <c r="BI78" s="100">
        <v>2495.8815045403708</v>
      </c>
      <c r="BJ78" s="100">
        <v>3</v>
      </c>
      <c r="BK78" s="100">
        <v>1656</v>
      </c>
      <c r="BL78" s="100">
        <v>4.0461664805566269</v>
      </c>
      <c r="BM78" s="100">
        <v>2233.4838972672578</v>
      </c>
      <c r="BN78" s="100">
        <v>1.4043026046934992</v>
      </c>
      <c r="BO78" s="100">
        <v>775.17503779081153</v>
      </c>
      <c r="BP78" s="100">
        <v>3</v>
      </c>
      <c r="BQ78" s="100">
        <v>1656</v>
      </c>
      <c r="BR78" s="100">
        <v>4</v>
      </c>
      <c r="BS78" s="100">
        <v>2208</v>
      </c>
      <c r="BT78" s="100">
        <v>5</v>
      </c>
      <c r="BU78" s="100">
        <v>2760</v>
      </c>
      <c r="BV78" s="100">
        <v>4</v>
      </c>
      <c r="BW78" s="100">
        <v>2208</v>
      </c>
      <c r="BX78" s="100">
        <v>6.5629595705868393</v>
      </c>
      <c r="BY78" s="100">
        <v>3622.7536829639353</v>
      </c>
      <c r="BZ78" s="100">
        <v>3.3323944215336367</v>
      </c>
      <c r="CA78" s="100">
        <v>1839.4817206865675</v>
      </c>
      <c r="CB78" s="100">
        <v>1.863662774316895</v>
      </c>
      <c r="CC78" s="100">
        <v>1028.7418514229259</v>
      </c>
      <c r="CD78" s="100">
        <v>2.7003338350030468</v>
      </c>
      <c r="CE78" s="100">
        <v>1490.5842769216817</v>
      </c>
      <c r="CF78" s="100">
        <v>2.2474453270669219</v>
      </c>
      <c r="CG78" s="100">
        <v>1240.589820540941</v>
      </c>
      <c r="CH78" s="100">
        <v>3.5509962583245578</v>
      </c>
      <c r="CI78" s="100">
        <v>1960.1499345951559</v>
      </c>
      <c r="CJ78" s="100">
        <v>2.3562559283801989</v>
      </c>
      <c r="CK78" s="100">
        <v>1300.6532724658698</v>
      </c>
      <c r="CL78" s="100">
        <v>4.3171216044533507</v>
      </c>
      <c r="CM78" s="100">
        <v>2383.0511256582495</v>
      </c>
      <c r="CN78" s="100">
        <v>5.529989483318996</v>
      </c>
      <c r="CO78" s="100">
        <v>3052.5541947920856</v>
      </c>
      <c r="CP78" s="100">
        <v>4.3333807503765094</v>
      </c>
      <c r="CQ78" s="100">
        <v>2392.0261742078333</v>
      </c>
      <c r="CR78" s="100">
        <v>2.2050099489392756</v>
      </c>
      <c r="CS78" s="100">
        <v>1217.1654918144802</v>
      </c>
      <c r="CT78" s="100">
        <v>4</v>
      </c>
      <c r="CU78" s="100">
        <v>2208</v>
      </c>
    </row>
    <row r="79" spans="2:99">
      <c r="C79" s="99" t="s">
        <v>245</v>
      </c>
      <c r="D79" s="100">
        <v>4.4133380126008035</v>
      </c>
      <c r="E79" s="100">
        <v>3341.7795431413283</v>
      </c>
      <c r="F79" s="100">
        <v>2.5541313680727327</v>
      </c>
      <c r="G79" s="100">
        <v>1933.988271904673</v>
      </c>
      <c r="H79" s="100">
        <v>2.9050491646597192</v>
      </c>
      <c r="I79" s="100">
        <v>2199.7032274803391</v>
      </c>
      <c r="J79" s="100">
        <v>4.3768762286230523</v>
      </c>
      <c r="K79" s="100">
        <v>3314.1706803133748</v>
      </c>
      <c r="L79" s="100">
        <v>3.6074174656038447</v>
      </c>
      <c r="M79" s="100">
        <v>2731.5365049552311</v>
      </c>
      <c r="N79" s="100">
        <v>3.5716804327045164</v>
      </c>
      <c r="O79" s="100">
        <v>2704.4764236438596</v>
      </c>
      <c r="P79" s="100">
        <v>2.4007898327712009</v>
      </c>
      <c r="Q79" s="100">
        <v>1817.8780613743531</v>
      </c>
      <c r="R79" s="100">
        <v>5</v>
      </c>
      <c r="S79" s="100">
        <v>3785.9999999999995</v>
      </c>
      <c r="T79" s="100">
        <v>4</v>
      </c>
      <c r="U79" s="100">
        <v>3028.7999999999997</v>
      </c>
      <c r="V79" s="100">
        <v>5</v>
      </c>
      <c r="W79" s="100">
        <v>3785.9999999999995</v>
      </c>
      <c r="X79" s="100">
        <v>2.4236215458700645</v>
      </c>
      <c r="Y79" s="100">
        <v>1835.1662345328127</v>
      </c>
      <c r="Z79" s="100">
        <v>5</v>
      </c>
      <c r="AA79" s="100">
        <v>3785.9999999999995</v>
      </c>
      <c r="AB79" s="100">
        <v>5.759713178068008</v>
      </c>
      <c r="AC79" s="100">
        <v>4361.2548184330954</v>
      </c>
      <c r="AD79" s="100">
        <v>3.6654901758653962</v>
      </c>
      <c r="AE79" s="100">
        <v>2775.5091611652779</v>
      </c>
      <c r="AF79" s="100">
        <v>2.2140617346667741</v>
      </c>
      <c r="AG79" s="100">
        <v>1676.4875454896812</v>
      </c>
      <c r="AH79" s="100">
        <v>4.4605092722994231</v>
      </c>
      <c r="AI79" s="100">
        <v>3377.4976209851229</v>
      </c>
      <c r="AJ79" s="100">
        <v>3.8302281904172579</v>
      </c>
      <c r="AK79" s="100">
        <v>2900.2487857839474</v>
      </c>
      <c r="AL79" s="100">
        <v>3.9488322438674497</v>
      </c>
      <c r="AM79" s="100">
        <v>2990.0557750564326</v>
      </c>
      <c r="AN79" s="100">
        <v>3.3829449986556068</v>
      </c>
      <c r="AO79" s="100">
        <v>2561.5659529820255</v>
      </c>
      <c r="AP79" s="100">
        <v>4.1985193625727639</v>
      </c>
      <c r="AQ79" s="100">
        <v>3179.1188613400964</v>
      </c>
      <c r="AR79" s="100">
        <v>4</v>
      </c>
      <c r="AS79" s="100">
        <v>3028.7999999999997</v>
      </c>
      <c r="AT79" s="100">
        <v>4.598822476391641</v>
      </c>
      <c r="AU79" s="100">
        <v>3482.2283791237501</v>
      </c>
      <c r="AV79" s="100">
        <v>3</v>
      </c>
      <c r="AW79" s="100">
        <v>2271.6</v>
      </c>
      <c r="AX79" s="100">
        <v>4.8738395055008183</v>
      </c>
      <c r="AY79" s="100">
        <v>3690.4712735652192</v>
      </c>
      <c r="AZ79" s="100">
        <v>3.8148844096988057</v>
      </c>
      <c r="BA79" s="100">
        <v>2888.6304750239356</v>
      </c>
      <c r="BB79" s="100">
        <v>1.1292648804940446</v>
      </c>
      <c r="BC79" s="100">
        <v>855.07936751009049</v>
      </c>
      <c r="BD79" s="100">
        <v>4</v>
      </c>
      <c r="BE79" s="100">
        <v>3028.7999999999997</v>
      </c>
      <c r="BF79" s="100">
        <v>4.8199586007628756</v>
      </c>
      <c r="BG79" s="100">
        <v>3649.6726524976493</v>
      </c>
      <c r="BH79" s="100">
        <v>3.7679370539558739</v>
      </c>
      <c r="BI79" s="100">
        <v>2853.0819372553874</v>
      </c>
      <c r="BJ79" s="100">
        <v>4</v>
      </c>
      <c r="BK79" s="100">
        <v>3028.7999999999997</v>
      </c>
      <c r="BL79" s="100">
        <v>4.0538608939827316</v>
      </c>
      <c r="BM79" s="100">
        <v>3069.583468923724</v>
      </c>
      <c r="BN79" s="100">
        <v>1.1234420837547994</v>
      </c>
      <c r="BO79" s="100">
        <v>850.67034581913401</v>
      </c>
      <c r="BP79" s="100">
        <v>3</v>
      </c>
      <c r="BQ79" s="100">
        <v>2271.6</v>
      </c>
      <c r="BR79" s="100">
        <v>4</v>
      </c>
      <c r="BS79" s="100">
        <v>3028.7999999999997</v>
      </c>
      <c r="BT79" s="100">
        <v>4</v>
      </c>
      <c r="BU79" s="100">
        <v>3028.7999999999997</v>
      </c>
      <c r="BV79" s="100">
        <v>3</v>
      </c>
      <c r="BW79" s="100">
        <v>2271.6</v>
      </c>
      <c r="BX79" s="100">
        <v>5.5254289325477162</v>
      </c>
      <c r="BY79" s="100">
        <v>4183.8547877251303</v>
      </c>
      <c r="BZ79" s="100">
        <v>3.3625248659928944</v>
      </c>
      <c r="CA79" s="100">
        <v>2546.1038285298196</v>
      </c>
      <c r="CB79" s="100">
        <v>2.4848836990891936</v>
      </c>
      <c r="CC79" s="100">
        <v>1881.5539369503372</v>
      </c>
      <c r="CD79" s="100">
        <v>2.7003338350030468</v>
      </c>
      <c r="CE79" s="100">
        <v>2044.6927798643069</v>
      </c>
      <c r="CF79" s="100">
        <v>1.7979562616535374</v>
      </c>
      <c r="CG79" s="100">
        <v>1361.4124813240585</v>
      </c>
      <c r="CH79" s="100">
        <v>3.025738742378822</v>
      </c>
      <c r="CI79" s="100">
        <v>2291.0893757292438</v>
      </c>
      <c r="CJ79" s="100">
        <v>2.3562559283801989</v>
      </c>
      <c r="CK79" s="100">
        <v>1784.1569889694865</v>
      </c>
      <c r="CL79" s="100">
        <v>4.3171216044533507</v>
      </c>
      <c r="CM79" s="100">
        <v>3268.9244788920769</v>
      </c>
      <c r="CN79" s="100">
        <v>4.6083245694324972</v>
      </c>
      <c r="CO79" s="100">
        <v>3489.4233639742865</v>
      </c>
      <c r="CP79" s="100">
        <v>4.2994740425693925</v>
      </c>
      <c r="CQ79" s="100">
        <v>3255.5617450335435</v>
      </c>
      <c r="CR79" s="100">
        <v>2.2050099489392756</v>
      </c>
      <c r="CS79" s="100">
        <v>1669.6335333368193</v>
      </c>
      <c r="CT79" s="100">
        <v>4</v>
      </c>
      <c r="CU79" s="100">
        <v>3028.7999999999997</v>
      </c>
    </row>
    <row r="80" spans="2:99">
      <c r="C80" s="99" t="s">
        <v>246</v>
      </c>
      <c r="D80" s="100">
        <v>4.4133380126008035</v>
      </c>
      <c r="E80" s="100">
        <v>3553.6197677461669</v>
      </c>
      <c r="F80" s="100">
        <v>2.5541313680727327</v>
      </c>
      <c r="G80" s="100">
        <v>2056.5865775721641</v>
      </c>
      <c r="H80" s="100">
        <v>2.9050491646597192</v>
      </c>
      <c r="I80" s="100">
        <v>2339.1455873840055</v>
      </c>
      <c r="J80" s="100">
        <v>3.5015009828984418</v>
      </c>
      <c r="K80" s="100">
        <v>2819.4085914298253</v>
      </c>
      <c r="L80" s="100">
        <v>4.015774068317989</v>
      </c>
      <c r="M80" s="100">
        <v>3233.5012798096445</v>
      </c>
      <c r="N80" s="100">
        <v>3.5716804327045164</v>
      </c>
      <c r="O80" s="100">
        <v>2875.9170844136765</v>
      </c>
      <c r="P80" s="100">
        <v>2.4007898327712009</v>
      </c>
      <c r="Q80" s="100">
        <v>1933.1159733473708</v>
      </c>
      <c r="R80" s="100">
        <v>4</v>
      </c>
      <c r="S80" s="100">
        <v>3220.7999999999997</v>
      </c>
      <c r="T80" s="100">
        <v>4</v>
      </c>
      <c r="U80" s="100">
        <v>3220.7999999999997</v>
      </c>
      <c r="V80" s="100">
        <v>6</v>
      </c>
      <c r="W80" s="100">
        <v>4831.2</v>
      </c>
      <c r="X80" s="100">
        <v>2.4236215458700645</v>
      </c>
      <c r="Y80" s="100">
        <v>1951.5000687345757</v>
      </c>
      <c r="Z80" s="100">
        <v>6</v>
      </c>
      <c r="AA80" s="100">
        <v>4831.2</v>
      </c>
      <c r="AB80" s="100">
        <v>5.759713178068008</v>
      </c>
      <c r="AC80" s="100">
        <v>4637.7210509803599</v>
      </c>
      <c r="AD80" s="100">
        <v>3.6654901758653962</v>
      </c>
      <c r="AE80" s="100">
        <v>2951.4526896068169</v>
      </c>
      <c r="AF80" s="100">
        <v>2.2140617346667741</v>
      </c>
      <c r="AG80" s="100">
        <v>1782.7625087536865</v>
      </c>
      <c r="AH80" s="100">
        <v>3.5684074178395377</v>
      </c>
      <c r="AI80" s="100">
        <v>2873.2816528443955</v>
      </c>
      <c r="AJ80" s="100">
        <v>3.8302281904172579</v>
      </c>
      <c r="AK80" s="100">
        <v>3084.099738923976</v>
      </c>
      <c r="AL80" s="100">
        <v>3.9488322438674497</v>
      </c>
      <c r="AM80" s="100">
        <v>3179.5997227620701</v>
      </c>
      <c r="AN80" s="100">
        <v>3.3829449986556068</v>
      </c>
      <c r="AO80" s="100">
        <v>2723.9473129174944</v>
      </c>
      <c r="AP80" s="100">
        <v>4.1985193625727639</v>
      </c>
      <c r="AQ80" s="100">
        <v>3380.6477907435892</v>
      </c>
      <c r="AR80" s="100">
        <v>4</v>
      </c>
      <c r="AS80" s="100">
        <v>3220.7999999999997</v>
      </c>
      <c r="AT80" s="100">
        <v>5.598822476391641</v>
      </c>
      <c r="AU80" s="100">
        <v>4508.1718579905491</v>
      </c>
      <c r="AV80" s="100">
        <v>3</v>
      </c>
      <c r="AW80" s="100">
        <v>2415.6</v>
      </c>
      <c r="AX80" s="100">
        <v>5.8486074066009817</v>
      </c>
      <c r="AY80" s="100">
        <v>4709.2986837951103</v>
      </c>
      <c r="AZ80" s="100">
        <v>3.7851310705923216</v>
      </c>
      <c r="BA80" s="100">
        <v>3047.7875380409369</v>
      </c>
      <c r="BB80" s="100">
        <v>1.1292648804940446</v>
      </c>
      <c r="BC80" s="100">
        <v>909.28408177380459</v>
      </c>
      <c r="BD80" s="100">
        <v>4</v>
      </c>
      <c r="BE80" s="100">
        <v>3220.7999999999997</v>
      </c>
      <c r="BF80" s="100">
        <v>4.8199586007628756</v>
      </c>
      <c r="BG80" s="100">
        <v>3881.0306653342673</v>
      </c>
      <c r="BH80" s="100">
        <v>3.7679370539558739</v>
      </c>
      <c r="BI80" s="100">
        <v>3033.9429158452695</v>
      </c>
      <c r="BJ80" s="100">
        <v>3</v>
      </c>
      <c r="BK80" s="100">
        <v>2415.6</v>
      </c>
      <c r="BL80" s="100">
        <v>4.0538608939827316</v>
      </c>
      <c r="BM80" s="100">
        <v>3264.1687918348953</v>
      </c>
      <c r="BN80" s="100">
        <v>1.4043026046934992</v>
      </c>
      <c r="BO80" s="100">
        <v>1130.7444572992056</v>
      </c>
      <c r="BP80" s="100">
        <v>4</v>
      </c>
      <c r="BQ80" s="100">
        <v>3220.7999999999997</v>
      </c>
      <c r="BR80" s="100">
        <v>4</v>
      </c>
      <c r="BS80" s="100">
        <v>3220.7999999999997</v>
      </c>
      <c r="BT80" s="100">
        <v>4</v>
      </c>
      <c r="BU80" s="100">
        <v>3220.7999999999997</v>
      </c>
      <c r="BV80" s="100">
        <v>4</v>
      </c>
      <c r="BW80" s="100">
        <v>3220.7999999999997</v>
      </c>
      <c r="BX80" s="100">
        <v>5.5629595705868393</v>
      </c>
      <c r="BY80" s="100">
        <v>4479.2950462365225</v>
      </c>
      <c r="BZ80" s="100">
        <v>3.3323944215336367</v>
      </c>
      <c r="CA80" s="100">
        <v>2683.2439882188842</v>
      </c>
      <c r="CB80" s="100">
        <v>2.4848836990891936</v>
      </c>
      <c r="CC80" s="100">
        <v>2000.8283545066186</v>
      </c>
      <c r="CD80" s="100">
        <v>2.7003338350030468</v>
      </c>
      <c r="CE80" s="100">
        <v>2174.3088039444533</v>
      </c>
      <c r="CF80" s="100">
        <v>1.7979562616535374</v>
      </c>
      <c r="CG80" s="100">
        <v>1447.7143818834281</v>
      </c>
      <c r="CH80" s="100">
        <v>3.5509962583245578</v>
      </c>
      <c r="CI80" s="100">
        <v>2859.2621872029335</v>
      </c>
      <c r="CJ80" s="100">
        <v>1.8850047427041594</v>
      </c>
      <c r="CK80" s="100">
        <v>1517.805818825389</v>
      </c>
      <c r="CL80" s="100">
        <v>3.7003899466743002</v>
      </c>
      <c r="CM80" s="100">
        <v>2979.5539850621462</v>
      </c>
      <c r="CN80" s="100">
        <v>5.529989483318996</v>
      </c>
      <c r="CO80" s="100">
        <v>4452.7475319684554</v>
      </c>
      <c r="CP80" s="100">
        <v>4.2994740425693925</v>
      </c>
      <c r="CQ80" s="100">
        <v>3461.9364990768745</v>
      </c>
      <c r="CR80" s="100">
        <v>2.2050099489392756</v>
      </c>
      <c r="CS80" s="100">
        <v>1775.4740108859046</v>
      </c>
      <c r="CT80" s="100">
        <v>4</v>
      </c>
      <c r="CU80" s="100">
        <v>3220.7999999999997</v>
      </c>
    </row>
    <row r="81" spans="2:99">
      <c r="C81" s="99" t="s">
        <v>247</v>
      </c>
      <c r="D81" s="100">
        <v>4.4133380126008035</v>
      </c>
      <c r="E81" s="100">
        <v>3325.8915262959658</v>
      </c>
      <c r="F81" s="100">
        <v>2.5541313680727327</v>
      </c>
      <c r="G81" s="100">
        <v>1924.7933989796113</v>
      </c>
      <c r="H81" s="100">
        <v>3.8733988862129589</v>
      </c>
      <c r="I81" s="100">
        <v>2918.9934006500857</v>
      </c>
      <c r="J81" s="100">
        <v>3.5015009828984418</v>
      </c>
      <c r="K81" s="100">
        <v>2638.7311407122656</v>
      </c>
      <c r="L81" s="100">
        <v>3.6074174656038447</v>
      </c>
      <c r="M81" s="100">
        <v>2718.5498020790574</v>
      </c>
      <c r="N81" s="100">
        <v>3.539710730593725</v>
      </c>
      <c r="O81" s="100">
        <v>2667.5260065754314</v>
      </c>
      <c r="P81" s="100">
        <v>2.4007898327712009</v>
      </c>
      <c r="Q81" s="100">
        <v>1809.235217976377</v>
      </c>
      <c r="R81" s="100">
        <v>5</v>
      </c>
      <c r="S81" s="100">
        <v>3768</v>
      </c>
      <c r="T81" s="100">
        <v>4</v>
      </c>
      <c r="U81" s="100">
        <v>3014.4</v>
      </c>
      <c r="V81" s="100">
        <v>5</v>
      </c>
      <c r="W81" s="100">
        <v>3768</v>
      </c>
      <c r="X81" s="100">
        <v>2.4236215458700645</v>
      </c>
      <c r="Y81" s="100">
        <v>1826.4411969676808</v>
      </c>
      <c r="Z81" s="100">
        <v>6</v>
      </c>
      <c r="AA81" s="100">
        <v>4521.6000000000004</v>
      </c>
      <c r="AB81" s="100">
        <v>5.759713178068008</v>
      </c>
      <c r="AC81" s="100">
        <v>4340.519850992051</v>
      </c>
      <c r="AD81" s="100">
        <v>3.7074232091558526</v>
      </c>
      <c r="AE81" s="100">
        <v>2793.9141304198506</v>
      </c>
      <c r="AF81" s="100">
        <v>2.2140617346667741</v>
      </c>
      <c r="AG81" s="100">
        <v>1668.5169232448811</v>
      </c>
      <c r="AH81" s="100">
        <v>3.5684074178395377</v>
      </c>
      <c r="AI81" s="100">
        <v>2689.1518300838757</v>
      </c>
      <c r="AJ81" s="100">
        <v>3.8302281904172579</v>
      </c>
      <c r="AK81" s="100">
        <v>2886.4599642984458</v>
      </c>
      <c r="AL81" s="100">
        <v>3.9488322438674497</v>
      </c>
      <c r="AM81" s="100">
        <v>2975.8399789785103</v>
      </c>
      <c r="AN81" s="100">
        <v>2.5372087489917052</v>
      </c>
      <c r="AO81" s="100">
        <v>1912.040513240149</v>
      </c>
      <c r="AP81" s="100">
        <v>4.1985193625727639</v>
      </c>
      <c r="AQ81" s="100">
        <v>3164.004191634835</v>
      </c>
      <c r="AR81" s="100">
        <v>4</v>
      </c>
      <c r="AS81" s="100">
        <v>3014.4</v>
      </c>
      <c r="AT81" s="100">
        <v>5.6487243494242776</v>
      </c>
      <c r="AU81" s="100">
        <v>4256.8786697261357</v>
      </c>
      <c r="AV81" s="100">
        <v>3</v>
      </c>
      <c r="AW81" s="100">
        <v>2260.8000000000002</v>
      </c>
      <c r="AX81" s="100">
        <v>4.8738395055008183</v>
      </c>
      <c r="AY81" s="100">
        <v>3672.9254513454166</v>
      </c>
      <c r="AZ81" s="100">
        <v>3.7851310705923216</v>
      </c>
      <c r="BA81" s="100">
        <v>2852.4747747983738</v>
      </c>
      <c r="BB81" s="100">
        <v>1.1292648804940446</v>
      </c>
      <c r="BC81" s="100">
        <v>851.014013940312</v>
      </c>
      <c r="BD81" s="100">
        <v>4</v>
      </c>
      <c r="BE81" s="100">
        <v>3014.4</v>
      </c>
      <c r="BF81" s="100">
        <v>4.8199586007628756</v>
      </c>
      <c r="BG81" s="100">
        <v>3632.3208015349032</v>
      </c>
      <c r="BH81" s="100">
        <v>3.7679370539558739</v>
      </c>
      <c r="BI81" s="100">
        <v>2839.5173638611468</v>
      </c>
      <c r="BJ81" s="100">
        <v>4</v>
      </c>
      <c r="BK81" s="100">
        <v>3014.4</v>
      </c>
      <c r="BL81" s="100">
        <v>4.0500136872696793</v>
      </c>
      <c r="BM81" s="100">
        <v>3052.0903147264303</v>
      </c>
      <c r="BN81" s="100">
        <v>1.4043026046934992</v>
      </c>
      <c r="BO81" s="100">
        <v>1058.2824428970209</v>
      </c>
      <c r="BP81" s="100">
        <v>3</v>
      </c>
      <c r="BQ81" s="100">
        <v>2260.8000000000002</v>
      </c>
      <c r="BR81" s="100">
        <v>4</v>
      </c>
      <c r="BS81" s="100">
        <v>3014.4</v>
      </c>
      <c r="BT81" s="100">
        <v>5</v>
      </c>
      <c r="BU81" s="100">
        <v>3768</v>
      </c>
      <c r="BV81" s="100">
        <v>3</v>
      </c>
      <c r="BW81" s="100">
        <v>2260.8000000000002</v>
      </c>
      <c r="BX81" s="100">
        <v>6.4878982945085939</v>
      </c>
      <c r="BY81" s="100">
        <v>4889.2801547416766</v>
      </c>
      <c r="BZ81" s="100">
        <v>3.3625248659928944</v>
      </c>
      <c r="CA81" s="100">
        <v>2533.9987390122451</v>
      </c>
      <c r="CB81" s="100">
        <v>1.863662774316895</v>
      </c>
      <c r="CC81" s="100">
        <v>1404.4562667252121</v>
      </c>
      <c r="CD81" s="100">
        <v>2.7269108578517627</v>
      </c>
      <c r="CE81" s="100">
        <v>2055.0000224770884</v>
      </c>
      <c r="CF81" s="100">
        <v>2.5290874170049689</v>
      </c>
      <c r="CG81" s="100">
        <v>1905.9202774549447</v>
      </c>
      <c r="CH81" s="100">
        <v>3.5509962583245578</v>
      </c>
      <c r="CI81" s="100">
        <v>2676.0307802733869</v>
      </c>
      <c r="CJ81" s="100">
        <v>1.8850047427041594</v>
      </c>
      <c r="CK81" s="100">
        <v>1420.5395741018547</v>
      </c>
      <c r="CL81" s="100">
        <v>4.3171216044533507</v>
      </c>
      <c r="CM81" s="100">
        <v>3253.3828411160453</v>
      </c>
      <c r="CN81" s="100">
        <v>5.529989483318996</v>
      </c>
      <c r="CO81" s="100">
        <v>4167.4000746291958</v>
      </c>
      <c r="CP81" s="100">
        <v>4.3333807503765094</v>
      </c>
      <c r="CQ81" s="100">
        <v>3265.6357334837376</v>
      </c>
      <c r="CR81" s="100">
        <v>2.2050099489392756</v>
      </c>
      <c r="CS81" s="100">
        <v>1661.6954975206381</v>
      </c>
      <c r="CT81" s="100">
        <v>4</v>
      </c>
      <c r="CU81" s="100">
        <v>3014.4</v>
      </c>
    </row>
    <row r="82" spans="2:99">
      <c r="C82" s="99" t="s">
        <v>248</v>
      </c>
      <c r="D82" s="100">
        <v>4.4133380126008035</v>
      </c>
      <c r="E82" s="100">
        <v>2245.5063808112882</v>
      </c>
      <c r="F82" s="100">
        <v>2.5541313680727327</v>
      </c>
      <c r="G82" s="100">
        <v>1299.542040075406</v>
      </c>
      <c r="H82" s="100">
        <v>2.9050491646597192</v>
      </c>
      <c r="I82" s="100">
        <v>1478.0890149788647</v>
      </c>
      <c r="J82" s="100">
        <v>4.3768762286230523</v>
      </c>
      <c r="K82" s="100">
        <v>2226.9546251234087</v>
      </c>
      <c r="L82" s="100">
        <v>3.6074174656038447</v>
      </c>
      <c r="M82" s="100">
        <v>1835.4540064992359</v>
      </c>
      <c r="N82" s="100">
        <v>3.539710730593725</v>
      </c>
      <c r="O82" s="100">
        <v>1801.0048197260869</v>
      </c>
      <c r="P82" s="100">
        <v>2.4007898327712009</v>
      </c>
      <c r="Q82" s="100">
        <v>1221.5218669139867</v>
      </c>
      <c r="R82" s="100">
        <v>5</v>
      </c>
      <c r="S82" s="100">
        <v>2543.9999999999995</v>
      </c>
      <c r="T82" s="100">
        <v>5</v>
      </c>
      <c r="U82" s="100">
        <v>2543.9999999999995</v>
      </c>
      <c r="V82" s="100">
        <v>5</v>
      </c>
      <c r="W82" s="100">
        <v>2543.9999999999995</v>
      </c>
      <c r="X82" s="100">
        <v>2.4236215458700645</v>
      </c>
      <c r="Y82" s="100">
        <v>1233.1386425386886</v>
      </c>
      <c r="Z82" s="100">
        <v>6</v>
      </c>
      <c r="AA82" s="100">
        <v>3052.7999999999993</v>
      </c>
      <c r="AB82" s="100">
        <v>4.79976098172334</v>
      </c>
      <c r="AC82" s="100">
        <v>2442.1183875008351</v>
      </c>
      <c r="AD82" s="100">
        <v>3.6654901758653962</v>
      </c>
      <c r="AE82" s="100">
        <v>1865.0014014803132</v>
      </c>
      <c r="AF82" s="100">
        <v>2.2140617346667741</v>
      </c>
      <c r="AG82" s="100">
        <v>1126.5146105984545</v>
      </c>
      <c r="AH82" s="100">
        <v>3.5684074178395377</v>
      </c>
      <c r="AI82" s="100">
        <v>1815.6056941967565</v>
      </c>
      <c r="AJ82" s="100">
        <v>3.8302281904172579</v>
      </c>
      <c r="AK82" s="100">
        <v>1948.8201032843003</v>
      </c>
      <c r="AL82" s="100">
        <v>3.9488322438674497</v>
      </c>
      <c r="AM82" s="100">
        <v>2009.1658456797579</v>
      </c>
      <c r="AN82" s="100">
        <v>3.3829449986556068</v>
      </c>
      <c r="AO82" s="100">
        <v>1721.2424153159725</v>
      </c>
      <c r="AP82" s="100">
        <v>4.1985193625727639</v>
      </c>
      <c r="AQ82" s="100">
        <v>2136.2066516770219</v>
      </c>
      <c r="AR82" s="100">
        <v>4</v>
      </c>
      <c r="AS82" s="100">
        <v>2035.1999999999996</v>
      </c>
      <c r="AT82" s="100">
        <v>4.598822476391641</v>
      </c>
      <c r="AU82" s="100">
        <v>2339.8808759880667</v>
      </c>
      <c r="AV82" s="100">
        <v>3</v>
      </c>
      <c r="AW82" s="100">
        <v>1526.3999999999996</v>
      </c>
      <c r="AX82" s="100">
        <v>4.8738395055008183</v>
      </c>
      <c r="AY82" s="100">
        <v>2479.8095403988159</v>
      </c>
      <c r="AZ82" s="100">
        <v>3.7851310705923216</v>
      </c>
      <c r="BA82" s="100">
        <v>1925.8746887173729</v>
      </c>
      <c r="BB82" s="100">
        <v>1.1292648804940446</v>
      </c>
      <c r="BC82" s="100">
        <v>574.56997119536982</v>
      </c>
      <c r="BD82" s="100">
        <v>4</v>
      </c>
      <c r="BE82" s="100">
        <v>2035.1999999999996</v>
      </c>
      <c r="BF82" s="100">
        <v>4.8199586007628756</v>
      </c>
      <c r="BG82" s="100">
        <v>2452.3949360681509</v>
      </c>
      <c r="BH82" s="100">
        <v>4.5215244647470483</v>
      </c>
      <c r="BI82" s="100">
        <v>2300.5516476632979</v>
      </c>
      <c r="BJ82" s="100">
        <v>4</v>
      </c>
      <c r="BK82" s="100">
        <v>2035.1999999999996</v>
      </c>
      <c r="BL82" s="100">
        <v>4.0500136872696793</v>
      </c>
      <c r="BM82" s="100">
        <v>2060.6469640828122</v>
      </c>
      <c r="BN82" s="100">
        <v>1.1234420837547994</v>
      </c>
      <c r="BO82" s="100">
        <v>571.60733221444184</v>
      </c>
      <c r="BP82" s="100">
        <v>3</v>
      </c>
      <c r="BQ82" s="100">
        <v>1526.3999999999996</v>
      </c>
      <c r="BR82" s="100">
        <v>4</v>
      </c>
      <c r="BS82" s="100">
        <v>2035.1999999999996</v>
      </c>
      <c r="BT82" s="100">
        <v>5</v>
      </c>
      <c r="BU82" s="100">
        <v>2543.9999999999995</v>
      </c>
      <c r="BV82" s="100">
        <v>3</v>
      </c>
      <c r="BW82" s="100">
        <v>1526.3999999999996</v>
      </c>
      <c r="BX82" s="100">
        <v>6.5254289325477162</v>
      </c>
      <c r="BY82" s="100">
        <v>3320.1382408802774</v>
      </c>
      <c r="BZ82" s="100">
        <v>3.3625248659928944</v>
      </c>
      <c r="CA82" s="100">
        <v>1710.8526518171843</v>
      </c>
      <c r="CB82" s="100">
        <v>1.863662774316895</v>
      </c>
      <c r="CC82" s="100">
        <v>948.23161957243599</v>
      </c>
      <c r="CD82" s="100">
        <v>2.7003338350030468</v>
      </c>
      <c r="CE82" s="100">
        <v>1373.92985524955</v>
      </c>
      <c r="CF82" s="100">
        <v>2.5507521931540498</v>
      </c>
      <c r="CG82" s="100">
        <v>1297.8227158767802</v>
      </c>
      <c r="CH82" s="100">
        <v>3.5509962583245578</v>
      </c>
      <c r="CI82" s="100">
        <v>1806.7468962355347</v>
      </c>
      <c r="CJ82" s="100">
        <v>2.3562559283801989</v>
      </c>
      <c r="CK82" s="100">
        <v>1198.863016359845</v>
      </c>
      <c r="CL82" s="100">
        <v>4.3171216044533507</v>
      </c>
      <c r="CM82" s="100">
        <v>2196.5514723458646</v>
      </c>
      <c r="CN82" s="100">
        <v>5.529989483318996</v>
      </c>
      <c r="CO82" s="100">
        <v>2813.6586491127046</v>
      </c>
      <c r="CP82" s="100">
        <v>4.2994740425693925</v>
      </c>
      <c r="CQ82" s="100">
        <v>2187.5723928593065</v>
      </c>
      <c r="CR82" s="100">
        <v>2.2050099489392756</v>
      </c>
      <c r="CS82" s="100">
        <v>1121.9090620203033</v>
      </c>
      <c r="CT82" s="100">
        <v>4</v>
      </c>
      <c r="CU82" s="100">
        <v>2035.1999999999996</v>
      </c>
    </row>
    <row r="83" spans="2:99">
      <c r="C83" s="99" t="s">
        <v>249</v>
      </c>
      <c r="D83" s="100">
        <v>4.4133380126008035</v>
      </c>
      <c r="E83" s="100">
        <v>3797.2360260417313</v>
      </c>
      <c r="F83" s="100">
        <v>2.5541313680727327</v>
      </c>
      <c r="G83" s="100">
        <v>2197.5746290897791</v>
      </c>
      <c r="H83" s="100">
        <v>2.9050491646597192</v>
      </c>
      <c r="I83" s="100">
        <v>2499.5043012732222</v>
      </c>
      <c r="J83" s="100">
        <v>3.5015009828984418</v>
      </c>
      <c r="K83" s="100">
        <v>3012.6914456858194</v>
      </c>
      <c r="L83" s="100">
        <v>3.6074174656038447</v>
      </c>
      <c r="M83" s="100">
        <v>3103.821987405548</v>
      </c>
      <c r="N83" s="100">
        <v>3.539710730593725</v>
      </c>
      <c r="O83" s="100">
        <v>3045.567112602841</v>
      </c>
      <c r="P83" s="100">
        <v>1.9206318662169608</v>
      </c>
      <c r="Q83" s="100">
        <v>1652.5116576930729</v>
      </c>
      <c r="R83" s="100">
        <v>5</v>
      </c>
      <c r="S83" s="100">
        <v>4302</v>
      </c>
      <c r="T83" s="100">
        <v>5</v>
      </c>
      <c r="U83" s="100">
        <v>4302</v>
      </c>
      <c r="V83" s="100">
        <v>5</v>
      </c>
      <c r="W83" s="100">
        <v>4302</v>
      </c>
      <c r="X83" s="100">
        <v>2.4236215458700645</v>
      </c>
      <c r="Y83" s="100">
        <v>2085.2839780666036</v>
      </c>
      <c r="Z83" s="100">
        <v>6</v>
      </c>
      <c r="AA83" s="100">
        <v>5162.3999999999996</v>
      </c>
      <c r="AB83" s="100">
        <v>4.79976098172334</v>
      </c>
      <c r="AC83" s="100">
        <v>4129.7143486747618</v>
      </c>
      <c r="AD83" s="100">
        <v>3.686456692510625</v>
      </c>
      <c r="AE83" s="100">
        <v>3171.8273382361417</v>
      </c>
      <c r="AF83" s="100">
        <v>2.2140617346667741</v>
      </c>
      <c r="AG83" s="100">
        <v>1904.9787165072923</v>
      </c>
      <c r="AH83" s="100">
        <v>3.5684074178395377</v>
      </c>
      <c r="AI83" s="100">
        <v>3070.2577423091384</v>
      </c>
      <c r="AJ83" s="100">
        <v>2.8726711428129432</v>
      </c>
      <c r="AK83" s="100">
        <v>2471.6462512762564</v>
      </c>
      <c r="AL83" s="100">
        <v>4.9360403048343127</v>
      </c>
      <c r="AM83" s="100">
        <v>4246.9690782794423</v>
      </c>
      <c r="AN83" s="100">
        <v>3.3829449986556068</v>
      </c>
      <c r="AO83" s="100">
        <v>2910.6858768432839</v>
      </c>
      <c r="AP83" s="100">
        <v>3.4987661354773034</v>
      </c>
      <c r="AQ83" s="100">
        <v>3010.3383829646718</v>
      </c>
      <c r="AR83" s="100">
        <v>4</v>
      </c>
      <c r="AS83" s="100">
        <v>3441.6</v>
      </c>
      <c r="AT83" s="100">
        <v>4.5489206033590044</v>
      </c>
      <c r="AU83" s="100">
        <v>3913.8912871300872</v>
      </c>
      <c r="AV83" s="100">
        <v>3</v>
      </c>
      <c r="AW83" s="100">
        <v>2581.1999999999998</v>
      </c>
      <c r="AX83" s="100">
        <v>4.8738395055008183</v>
      </c>
      <c r="AY83" s="100">
        <v>4193.4515105329037</v>
      </c>
      <c r="AZ83" s="100">
        <v>3.7702544010390802</v>
      </c>
      <c r="BA83" s="100">
        <v>3243.9268866540247</v>
      </c>
      <c r="BB83" s="100">
        <v>1.1292648804940446</v>
      </c>
      <c r="BC83" s="100">
        <v>971.61950317707601</v>
      </c>
      <c r="BD83" s="100">
        <v>4</v>
      </c>
      <c r="BE83" s="100">
        <v>3441.6</v>
      </c>
      <c r="BF83" s="100">
        <v>4.8199586007628756</v>
      </c>
      <c r="BG83" s="100">
        <v>4147.0923800963783</v>
      </c>
      <c r="BH83" s="100">
        <v>3.7679370539558739</v>
      </c>
      <c r="BI83" s="100">
        <v>3241.9330412236336</v>
      </c>
      <c r="BJ83" s="100">
        <v>3</v>
      </c>
      <c r="BK83" s="100">
        <v>2581.1999999999998</v>
      </c>
      <c r="BL83" s="100">
        <v>4.0500136872696793</v>
      </c>
      <c r="BM83" s="100">
        <v>3484.6317765268318</v>
      </c>
      <c r="BN83" s="100">
        <v>1.4043026046934992</v>
      </c>
      <c r="BO83" s="100">
        <v>1208.2619610782867</v>
      </c>
      <c r="BP83" s="100">
        <v>3</v>
      </c>
      <c r="BQ83" s="100">
        <v>2581.1999999999998</v>
      </c>
      <c r="BR83" s="100">
        <v>4</v>
      </c>
      <c r="BS83" s="100">
        <v>3441.6</v>
      </c>
      <c r="BT83" s="100">
        <v>5</v>
      </c>
      <c r="BU83" s="100">
        <v>4302</v>
      </c>
      <c r="BV83" s="100">
        <v>3</v>
      </c>
      <c r="BW83" s="100">
        <v>2581.1999999999998</v>
      </c>
      <c r="BX83" s="100">
        <v>6.5629595705868393</v>
      </c>
      <c r="BY83" s="100">
        <v>5646.7704145329162</v>
      </c>
      <c r="BZ83" s="100">
        <v>4.0751016935392723</v>
      </c>
      <c r="CA83" s="100">
        <v>3506.2174971211898</v>
      </c>
      <c r="CB83" s="100">
        <v>1.863662774316895</v>
      </c>
      <c r="CC83" s="100">
        <v>1603.4954510222565</v>
      </c>
      <c r="CD83" s="100">
        <v>2.7003338350030468</v>
      </c>
      <c r="CE83" s="100">
        <v>2323.3672316366215</v>
      </c>
      <c r="CF83" s="100">
        <v>1.7979562616535374</v>
      </c>
      <c r="CG83" s="100">
        <v>1546.9615675267034</v>
      </c>
      <c r="CH83" s="100">
        <v>3.5243661808145488</v>
      </c>
      <c r="CI83" s="100">
        <v>3032.3646619728379</v>
      </c>
      <c r="CJ83" s="100">
        <v>2.3562559283801989</v>
      </c>
      <c r="CK83" s="100">
        <v>2027.322600778323</v>
      </c>
      <c r="CL83" s="100">
        <v>3.7003899466743002</v>
      </c>
      <c r="CM83" s="100">
        <v>3183.815510118568</v>
      </c>
      <c r="CN83" s="100">
        <v>5.529989483318996</v>
      </c>
      <c r="CO83" s="100">
        <v>4758.0029514476637</v>
      </c>
      <c r="CP83" s="100">
        <v>4.2994740425693925</v>
      </c>
      <c r="CQ83" s="100">
        <v>3699.267466226705</v>
      </c>
      <c r="CR83" s="100">
        <v>2.2050099489392756</v>
      </c>
      <c r="CS83" s="100">
        <v>1897.1905600673526</v>
      </c>
      <c r="CT83" s="100">
        <v>4</v>
      </c>
      <c r="CU83" s="100">
        <v>3441.6</v>
      </c>
    </row>
    <row r="84" spans="2:99">
      <c r="C84" s="99" t="s">
        <v>250</v>
      </c>
      <c r="D84" s="100">
        <v>4.4133380126008035</v>
      </c>
      <c r="E84" s="100">
        <v>3447.6996554437474</v>
      </c>
      <c r="F84" s="100">
        <v>2.5541313680727327</v>
      </c>
      <c r="G84" s="100">
        <v>1995.2874247384186</v>
      </c>
      <c r="H84" s="100">
        <v>3.8733988862129589</v>
      </c>
      <c r="I84" s="100">
        <v>3025.8992099095631</v>
      </c>
      <c r="J84" s="100">
        <v>3.5015009828984418</v>
      </c>
      <c r="K84" s="100">
        <v>2735.3725678402625</v>
      </c>
      <c r="L84" s="100">
        <v>3.6074174656038447</v>
      </c>
      <c r="M84" s="100">
        <v>2818.1145241297231</v>
      </c>
      <c r="N84" s="100">
        <v>3.5716804327045164</v>
      </c>
      <c r="O84" s="100">
        <v>2790.1967540287678</v>
      </c>
      <c r="P84" s="100">
        <v>2.4007898327712009</v>
      </c>
      <c r="Q84" s="100">
        <v>1875.4970173608619</v>
      </c>
      <c r="R84" s="100">
        <v>5</v>
      </c>
      <c r="S84" s="100">
        <v>3905.9999999999995</v>
      </c>
      <c r="T84" s="100">
        <v>5</v>
      </c>
      <c r="U84" s="100">
        <v>3905.9999999999995</v>
      </c>
      <c r="V84" s="100">
        <v>5</v>
      </c>
      <c r="W84" s="100">
        <v>3905.9999999999995</v>
      </c>
      <c r="X84" s="100">
        <v>2.4236215458700645</v>
      </c>
      <c r="Y84" s="100">
        <v>1893.3331516336943</v>
      </c>
      <c r="Z84" s="100">
        <v>5</v>
      </c>
      <c r="AA84" s="100">
        <v>3905.9999999999995</v>
      </c>
      <c r="AB84" s="100">
        <v>4.79976098172334</v>
      </c>
      <c r="AC84" s="100">
        <v>3749.5732789222729</v>
      </c>
      <c r="AD84" s="100">
        <v>3.686456692510625</v>
      </c>
      <c r="AE84" s="100">
        <v>2879.8599681893002</v>
      </c>
      <c r="AF84" s="100">
        <v>2.2140617346667741</v>
      </c>
      <c r="AG84" s="100">
        <v>1729.6250271216838</v>
      </c>
      <c r="AH84" s="100">
        <v>3.5684074178395377</v>
      </c>
      <c r="AI84" s="100">
        <v>2787.6398748162464</v>
      </c>
      <c r="AJ84" s="100">
        <v>3.8302281904172579</v>
      </c>
      <c r="AK84" s="100">
        <v>2992.1742623539617</v>
      </c>
      <c r="AL84" s="100">
        <v>3.9488322438674497</v>
      </c>
      <c r="AM84" s="100">
        <v>3084.8277489092516</v>
      </c>
      <c r="AN84" s="100">
        <v>3.3829449986556068</v>
      </c>
      <c r="AO84" s="100">
        <v>2642.7566329497599</v>
      </c>
      <c r="AP84" s="100">
        <v>4.1985193625727639</v>
      </c>
      <c r="AQ84" s="100">
        <v>3279.8833260418428</v>
      </c>
      <c r="AR84" s="100">
        <v>4</v>
      </c>
      <c r="AS84" s="100">
        <v>3124.7999999999997</v>
      </c>
      <c r="AT84" s="100">
        <v>4</v>
      </c>
      <c r="AU84" s="100">
        <v>3124.7999999999997</v>
      </c>
      <c r="AV84" s="100">
        <v>3</v>
      </c>
      <c r="AW84" s="100">
        <v>2343.6</v>
      </c>
      <c r="AX84" s="100">
        <v>4.8738395055008183</v>
      </c>
      <c r="AY84" s="100">
        <v>3807.443421697239</v>
      </c>
      <c r="AZ84" s="100">
        <v>3.8000077401455634</v>
      </c>
      <c r="BA84" s="100">
        <v>2968.5660466017139</v>
      </c>
      <c r="BB84" s="100">
        <v>1.1292648804940446</v>
      </c>
      <c r="BC84" s="100">
        <v>882.18172464194754</v>
      </c>
      <c r="BD84" s="100">
        <v>4</v>
      </c>
      <c r="BE84" s="100">
        <v>3124.7999999999997</v>
      </c>
      <c r="BF84" s="100">
        <v>4.8199586007628756</v>
      </c>
      <c r="BG84" s="100">
        <v>3765.3516589159581</v>
      </c>
      <c r="BH84" s="100">
        <v>3.7679370539558739</v>
      </c>
      <c r="BI84" s="100">
        <v>2943.5124265503282</v>
      </c>
      <c r="BJ84" s="100">
        <v>3</v>
      </c>
      <c r="BK84" s="100">
        <v>2343.6</v>
      </c>
      <c r="BL84" s="100">
        <v>4.0500136872696793</v>
      </c>
      <c r="BM84" s="100">
        <v>3163.8706924950729</v>
      </c>
      <c r="BN84" s="100">
        <v>1.4043026046934992</v>
      </c>
      <c r="BO84" s="100">
        <v>1097.0411947865614</v>
      </c>
      <c r="BP84" s="100">
        <v>4</v>
      </c>
      <c r="BQ84" s="100">
        <v>3124.7999999999997</v>
      </c>
      <c r="BR84" s="100">
        <v>4</v>
      </c>
      <c r="BS84" s="100">
        <v>3124.7999999999997</v>
      </c>
      <c r="BT84" s="100">
        <v>5</v>
      </c>
      <c r="BU84" s="100">
        <v>3905.9999999999995</v>
      </c>
      <c r="BV84" s="100">
        <v>3</v>
      </c>
      <c r="BW84" s="100">
        <v>2343.6</v>
      </c>
      <c r="BX84" s="100">
        <v>5.4878982945085939</v>
      </c>
      <c r="BY84" s="100">
        <v>4287.1461476701134</v>
      </c>
      <c r="BZ84" s="100">
        <v>3.3323944215336367</v>
      </c>
      <c r="CA84" s="100">
        <v>2603.2665221020766</v>
      </c>
      <c r="CB84" s="100">
        <v>1.863662774316895</v>
      </c>
      <c r="CC84" s="100">
        <v>1455.8933592963583</v>
      </c>
      <c r="CD84" s="100">
        <v>2.67375681215433</v>
      </c>
      <c r="CE84" s="100">
        <v>2088.7388216549625</v>
      </c>
      <c r="CF84" s="100">
        <v>2.101263127740665</v>
      </c>
      <c r="CG84" s="100">
        <v>1641.5067553910073</v>
      </c>
      <c r="CH84" s="100">
        <v>3.5243661808145488</v>
      </c>
      <c r="CI84" s="100">
        <v>2753.2348604523254</v>
      </c>
      <c r="CJ84" s="100">
        <v>1.8850047427041594</v>
      </c>
      <c r="CK84" s="100">
        <v>1472.5657050004893</v>
      </c>
      <c r="CL84" s="100">
        <v>3.7003899466743002</v>
      </c>
      <c r="CM84" s="100">
        <v>2890.7446263419629</v>
      </c>
      <c r="CN84" s="100">
        <v>4.6083245694324972</v>
      </c>
      <c r="CO84" s="100">
        <v>3600.0231536406664</v>
      </c>
      <c r="CP84" s="100">
        <v>4.3333807503765094</v>
      </c>
      <c r="CQ84" s="100">
        <v>3385.2370421941287</v>
      </c>
      <c r="CR84" s="100">
        <v>2.2050099489392756</v>
      </c>
      <c r="CS84" s="100">
        <v>1722.5537721113619</v>
      </c>
      <c r="CT84" s="100">
        <v>4</v>
      </c>
      <c r="CU84" s="100">
        <v>3124.7999999999997</v>
      </c>
    </row>
    <row r="85" spans="2:99">
      <c r="C85" s="99" t="s">
        <v>251</v>
      </c>
      <c r="D85" s="100">
        <v>4.4133380126008035</v>
      </c>
      <c r="E85" s="100">
        <v>662.00070189012058</v>
      </c>
      <c r="F85" s="100">
        <v>2.5541313680727327</v>
      </c>
      <c r="G85" s="100">
        <v>383.1197052109099</v>
      </c>
      <c r="H85" s="100">
        <v>3.8733988862129589</v>
      </c>
      <c r="I85" s="100">
        <v>581.00983293194383</v>
      </c>
      <c r="J85" s="100">
        <v>4.3768762286230523</v>
      </c>
      <c r="K85" s="100">
        <v>656.53143429345789</v>
      </c>
      <c r="L85" s="100">
        <v>4.805316995224449</v>
      </c>
      <c r="M85" s="100">
        <v>720.79754928366731</v>
      </c>
      <c r="N85" s="100">
        <v>3.539710730593725</v>
      </c>
      <c r="O85" s="100">
        <v>530.95660958905876</v>
      </c>
      <c r="P85" s="100">
        <v>1.9206318662169608</v>
      </c>
      <c r="Q85" s="100">
        <v>288.0947799325441</v>
      </c>
      <c r="R85" s="100">
        <v>5</v>
      </c>
      <c r="S85" s="100">
        <v>750</v>
      </c>
      <c r="T85" s="100">
        <v>4</v>
      </c>
      <c r="U85" s="100">
        <v>600</v>
      </c>
      <c r="V85" s="100">
        <v>5</v>
      </c>
      <c r="W85" s="100">
        <v>750</v>
      </c>
      <c r="X85" s="100">
        <v>3.0295269323375806</v>
      </c>
      <c r="Y85" s="100">
        <v>454.42903985063708</v>
      </c>
      <c r="Z85" s="100">
        <v>6</v>
      </c>
      <c r="AA85" s="100">
        <v>900</v>
      </c>
      <c r="AB85" s="100">
        <v>5.759713178068008</v>
      </c>
      <c r="AC85" s="100">
        <v>863.95697671020116</v>
      </c>
      <c r="AD85" s="100">
        <v>3.686456692510625</v>
      </c>
      <c r="AE85" s="100">
        <v>552.96850387659379</v>
      </c>
      <c r="AF85" s="100">
        <v>2.2140617346667741</v>
      </c>
      <c r="AG85" s="100">
        <v>332.10926020001614</v>
      </c>
      <c r="AH85" s="100">
        <v>3.5684074178395377</v>
      </c>
      <c r="AI85" s="100">
        <v>535.26111267593069</v>
      </c>
      <c r="AJ85" s="100">
        <v>3.8302281904172579</v>
      </c>
      <c r="AK85" s="100">
        <v>574.53422856258874</v>
      </c>
      <c r="AL85" s="100">
        <v>3.9488322438674497</v>
      </c>
      <c r="AM85" s="100">
        <v>592.32483658011745</v>
      </c>
      <c r="AN85" s="100">
        <v>3.3829449986556068</v>
      </c>
      <c r="AO85" s="100">
        <v>507.44174979834105</v>
      </c>
      <c r="AP85" s="100">
        <v>4.1985193625727639</v>
      </c>
      <c r="AQ85" s="100">
        <v>629.77790438591455</v>
      </c>
      <c r="AR85" s="100">
        <v>3</v>
      </c>
      <c r="AS85" s="100">
        <v>450</v>
      </c>
      <c r="AT85" s="100">
        <v>5</v>
      </c>
      <c r="AU85" s="100">
        <v>750</v>
      </c>
      <c r="AV85" s="100">
        <v>3</v>
      </c>
      <c r="AW85" s="100">
        <v>450</v>
      </c>
      <c r="AX85" s="100">
        <v>5.8486074066009817</v>
      </c>
      <c r="AY85" s="100">
        <v>877.29111099014722</v>
      </c>
      <c r="AZ85" s="100">
        <v>3.8148844096988057</v>
      </c>
      <c r="BA85" s="100">
        <v>572.2326614548208</v>
      </c>
      <c r="BB85" s="100">
        <v>1.1292648804940446</v>
      </c>
      <c r="BC85" s="100">
        <v>169.38973207410669</v>
      </c>
      <c r="BD85" s="100">
        <v>4</v>
      </c>
      <c r="BE85" s="100">
        <v>600</v>
      </c>
      <c r="BF85" s="100">
        <v>5.3899232523333831</v>
      </c>
      <c r="BG85" s="100">
        <v>808.48848785000746</v>
      </c>
      <c r="BH85" s="100">
        <v>3.7679370539558739</v>
      </c>
      <c r="BI85" s="100">
        <v>565.19055809338113</v>
      </c>
      <c r="BJ85" s="100">
        <v>3</v>
      </c>
      <c r="BK85" s="100">
        <v>450</v>
      </c>
      <c r="BL85" s="100">
        <v>4.0538608939827316</v>
      </c>
      <c r="BM85" s="100">
        <v>608.07913409740979</v>
      </c>
      <c r="BN85" s="100">
        <v>1.4043026046934992</v>
      </c>
      <c r="BO85" s="100">
        <v>210.64539070402489</v>
      </c>
      <c r="BP85" s="100">
        <v>4</v>
      </c>
      <c r="BQ85" s="100">
        <v>600</v>
      </c>
      <c r="BR85" s="100">
        <v>4</v>
      </c>
      <c r="BS85" s="100">
        <v>600</v>
      </c>
      <c r="BT85" s="100">
        <v>5</v>
      </c>
      <c r="BU85" s="100">
        <v>750</v>
      </c>
      <c r="BV85" s="100">
        <v>3</v>
      </c>
      <c r="BW85" s="100">
        <v>450</v>
      </c>
      <c r="BX85" s="100">
        <v>6.5629595705868393</v>
      </c>
      <c r="BY85" s="100">
        <v>984.44393558802585</v>
      </c>
      <c r="BZ85" s="100">
        <v>4.1353625824577884</v>
      </c>
      <c r="CA85" s="100">
        <v>620.30438736866824</v>
      </c>
      <c r="CB85" s="100">
        <v>2.4848836990891936</v>
      </c>
      <c r="CC85" s="100">
        <v>372.73255486337905</v>
      </c>
      <c r="CD85" s="100">
        <v>2.7003338350030468</v>
      </c>
      <c r="CE85" s="100">
        <v>405.05007525045704</v>
      </c>
      <c r="CF85" s="100">
        <v>2.2474453270669219</v>
      </c>
      <c r="CG85" s="100">
        <v>337.11679906003826</v>
      </c>
      <c r="CH85" s="100">
        <v>3.5509962583245578</v>
      </c>
      <c r="CI85" s="100">
        <v>532.64943874868368</v>
      </c>
      <c r="CJ85" s="100">
        <v>2.3562559283801989</v>
      </c>
      <c r="CK85" s="100">
        <v>353.43838925702983</v>
      </c>
      <c r="CL85" s="100">
        <v>3.7003899466743002</v>
      </c>
      <c r="CM85" s="100">
        <v>555.05849200114505</v>
      </c>
      <c r="CN85" s="100">
        <v>4.6083245694324972</v>
      </c>
      <c r="CO85" s="100">
        <v>691.24868541487456</v>
      </c>
      <c r="CP85" s="100">
        <v>4.2994740425693925</v>
      </c>
      <c r="CQ85" s="100">
        <v>644.92110638540885</v>
      </c>
      <c r="CR85" s="100">
        <v>2.2050099489392756</v>
      </c>
      <c r="CS85" s="100">
        <v>330.75149234089133</v>
      </c>
      <c r="CT85" s="100">
        <v>4</v>
      </c>
      <c r="CU85" s="100">
        <v>600</v>
      </c>
    </row>
    <row r="86" spans="2:99">
      <c r="C86" s="99" t="s">
        <v>252</v>
      </c>
      <c r="D86" s="100">
        <v>4.4133380126008035</v>
      </c>
      <c r="E86" s="100">
        <v>2383.202526804434</v>
      </c>
      <c r="F86" s="100">
        <v>2.5541313680727327</v>
      </c>
      <c r="G86" s="100">
        <v>1379.2309387592757</v>
      </c>
      <c r="H86" s="100">
        <v>3.8733988862129589</v>
      </c>
      <c r="I86" s="100">
        <v>2091.6353985549977</v>
      </c>
      <c r="J86" s="100">
        <v>4.3768762286230523</v>
      </c>
      <c r="K86" s="100">
        <v>2363.5131634564482</v>
      </c>
      <c r="L86" s="100">
        <v>3.6074174656038447</v>
      </c>
      <c r="M86" s="100">
        <v>1948.005431426076</v>
      </c>
      <c r="N86" s="100">
        <v>3.539710730593725</v>
      </c>
      <c r="O86" s="100">
        <v>1911.4437945206114</v>
      </c>
      <c r="P86" s="100">
        <v>1.9206318662169608</v>
      </c>
      <c r="Q86" s="100">
        <v>1037.1412077571588</v>
      </c>
      <c r="R86" s="100">
        <v>5</v>
      </c>
      <c r="S86" s="100">
        <v>2700</v>
      </c>
      <c r="T86" s="100">
        <v>5</v>
      </c>
      <c r="U86" s="100">
        <v>2700</v>
      </c>
      <c r="V86" s="100">
        <v>6</v>
      </c>
      <c r="W86" s="100">
        <v>3240</v>
      </c>
      <c r="X86" s="100">
        <v>2.4236215458700645</v>
      </c>
      <c r="Y86" s="100">
        <v>1308.7556347698348</v>
      </c>
      <c r="Z86" s="100">
        <v>6</v>
      </c>
      <c r="AA86" s="100">
        <v>3240</v>
      </c>
      <c r="AB86" s="100">
        <v>4.79976098172334</v>
      </c>
      <c r="AC86" s="100">
        <v>2591.8709301306035</v>
      </c>
      <c r="AD86" s="100">
        <v>3.7074232091558526</v>
      </c>
      <c r="AE86" s="100">
        <v>2002.0085329441604</v>
      </c>
      <c r="AF86" s="100">
        <v>2.2140617346667741</v>
      </c>
      <c r="AG86" s="100">
        <v>1195.593336720058</v>
      </c>
      <c r="AH86" s="100">
        <v>3.5684074178395377</v>
      </c>
      <c r="AI86" s="100">
        <v>1926.9400056333504</v>
      </c>
      <c r="AJ86" s="100">
        <v>3.8302281904172579</v>
      </c>
      <c r="AK86" s="100">
        <v>2068.3232228253191</v>
      </c>
      <c r="AL86" s="100">
        <v>3.9488322438674497</v>
      </c>
      <c r="AM86" s="100">
        <v>2132.369411688423</v>
      </c>
      <c r="AN86" s="100">
        <v>2.5372087489917052</v>
      </c>
      <c r="AO86" s="100">
        <v>1370.0927244555207</v>
      </c>
      <c r="AP86" s="100">
        <v>4.1985193625727639</v>
      </c>
      <c r="AQ86" s="100">
        <v>2267.2004557892924</v>
      </c>
      <c r="AR86" s="100">
        <v>4</v>
      </c>
      <c r="AS86" s="100">
        <v>2160</v>
      </c>
      <c r="AT86" s="100">
        <v>5</v>
      </c>
      <c r="AU86" s="100">
        <v>2700</v>
      </c>
      <c r="AV86" s="100">
        <v>3</v>
      </c>
      <c r="AW86" s="100">
        <v>1620</v>
      </c>
      <c r="AX86" s="100">
        <v>4.8738395055008183</v>
      </c>
      <c r="AY86" s="100">
        <v>2631.8733329704419</v>
      </c>
      <c r="AZ86" s="100">
        <v>3.8148844096988057</v>
      </c>
      <c r="BA86" s="100">
        <v>2060.037581237355</v>
      </c>
      <c r="BB86" s="100">
        <v>1.1292648804940446</v>
      </c>
      <c r="BC86" s="100">
        <v>609.80303546678408</v>
      </c>
      <c r="BD86" s="100">
        <v>4</v>
      </c>
      <c r="BE86" s="100">
        <v>2160</v>
      </c>
      <c r="BF86" s="100">
        <v>4.8199586007628756</v>
      </c>
      <c r="BG86" s="100">
        <v>2602.7776444119527</v>
      </c>
      <c r="BH86" s="100">
        <v>3.7679370539558739</v>
      </c>
      <c r="BI86" s="100">
        <v>2034.6860091361718</v>
      </c>
      <c r="BJ86" s="100">
        <v>3</v>
      </c>
      <c r="BK86" s="100">
        <v>1620</v>
      </c>
      <c r="BL86" s="100">
        <v>4.0538608939827316</v>
      </c>
      <c r="BM86" s="100">
        <v>2189.0848827506752</v>
      </c>
      <c r="BN86" s="100">
        <v>1.4043026046934992</v>
      </c>
      <c r="BO86" s="100">
        <v>758.32340653448955</v>
      </c>
      <c r="BP86" s="100">
        <v>3</v>
      </c>
      <c r="BQ86" s="100">
        <v>1620</v>
      </c>
      <c r="BR86" s="100">
        <v>4</v>
      </c>
      <c r="BS86" s="100">
        <v>2160</v>
      </c>
      <c r="BT86" s="100">
        <v>4</v>
      </c>
      <c r="BU86" s="100">
        <v>2160</v>
      </c>
      <c r="BV86" s="100">
        <v>4</v>
      </c>
      <c r="BW86" s="100">
        <v>2160</v>
      </c>
      <c r="BX86" s="100">
        <v>6.5254289325477162</v>
      </c>
      <c r="BY86" s="100">
        <v>3523.7316235757667</v>
      </c>
      <c r="BZ86" s="100">
        <v>4.0751016935392723</v>
      </c>
      <c r="CA86" s="100">
        <v>2200.5549145112072</v>
      </c>
      <c r="CB86" s="100">
        <v>1.863662774316895</v>
      </c>
      <c r="CC86" s="100">
        <v>1006.3778981311233</v>
      </c>
      <c r="CD86" s="100">
        <v>2.67375681215433</v>
      </c>
      <c r="CE86" s="100">
        <v>1443.8286785633381</v>
      </c>
      <c r="CF86" s="100">
        <v>2.2474453270669219</v>
      </c>
      <c r="CG86" s="100">
        <v>1213.6204766161379</v>
      </c>
      <c r="CH86" s="100">
        <v>3.5509962583245578</v>
      </c>
      <c r="CI86" s="100">
        <v>1917.5379794952612</v>
      </c>
      <c r="CJ86" s="100">
        <v>2.3562559283801989</v>
      </c>
      <c r="CK86" s="100">
        <v>1272.3782013253074</v>
      </c>
      <c r="CL86" s="100">
        <v>3.7003899466743002</v>
      </c>
      <c r="CM86" s="100">
        <v>1998.2105712041221</v>
      </c>
      <c r="CN86" s="100">
        <v>5.529989483318996</v>
      </c>
      <c r="CO86" s="100">
        <v>2986.1943209922579</v>
      </c>
      <c r="CP86" s="100">
        <v>4.2655673347622747</v>
      </c>
      <c r="CQ86" s="100">
        <v>2303.4063607716284</v>
      </c>
      <c r="CR86" s="100">
        <v>2.2050099489392756</v>
      </c>
      <c r="CS86" s="100">
        <v>1190.7053724272089</v>
      </c>
      <c r="CT86" s="100">
        <v>4</v>
      </c>
      <c r="CU86" s="100">
        <v>2160</v>
      </c>
    </row>
    <row r="87" spans="2:99">
      <c r="B87" s="99" t="s">
        <v>131</v>
      </c>
      <c r="C87" s="99" t="s">
        <v>253</v>
      </c>
      <c r="D87" s="100">
        <v>2.7476542701227964</v>
      </c>
      <c r="E87" s="100">
        <v>2950.9806861118832</v>
      </c>
      <c r="F87" s="100">
        <v>3.7353623406909118</v>
      </c>
      <c r="G87" s="100">
        <v>4011.7791539020391</v>
      </c>
      <c r="H87" s="100">
        <v>2.099219662832259</v>
      </c>
      <c r="I87" s="100">
        <v>2254.5619178818461</v>
      </c>
      <c r="J87" s="100">
        <v>4.4305225550713789</v>
      </c>
      <c r="K87" s="100">
        <v>4758.3812241466612</v>
      </c>
      <c r="L87" s="100">
        <v>3.0538065068853579</v>
      </c>
      <c r="M87" s="100">
        <v>3279.7881883948744</v>
      </c>
      <c r="N87" s="100">
        <v>4.625404089359499</v>
      </c>
      <c r="O87" s="100">
        <v>4967.6839919721015</v>
      </c>
      <c r="P87" s="100">
        <v>4.4761849323563929</v>
      </c>
      <c r="Q87" s="100">
        <v>4807.4226173507659</v>
      </c>
      <c r="R87" s="100">
        <v>2.5020534727372419</v>
      </c>
      <c r="S87" s="100">
        <v>2687.2054297197978</v>
      </c>
      <c r="T87" s="100">
        <v>3.521262566284042</v>
      </c>
      <c r="U87" s="100">
        <v>3781.835996189061</v>
      </c>
      <c r="V87" s="100">
        <v>3.7016391085670932</v>
      </c>
      <c r="W87" s="100">
        <v>3975.5604026010583</v>
      </c>
      <c r="X87" s="100">
        <v>3.9945259518173986</v>
      </c>
      <c r="Y87" s="100">
        <v>4290.1208722518859</v>
      </c>
      <c r="Z87" s="100">
        <v>3.2608032106529894</v>
      </c>
      <c r="AA87" s="100">
        <v>3502.1026482413108</v>
      </c>
      <c r="AB87" s="100">
        <v>1.4516319813961067</v>
      </c>
      <c r="AC87" s="100">
        <v>1559.0527480194187</v>
      </c>
      <c r="AD87" s="100">
        <v>3.7503117466234386</v>
      </c>
      <c r="AE87" s="100">
        <v>4027.834815873573</v>
      </c>
      <c r="AF87" s="100">
        <v>2.0513641875932227</v>
      </c>
      <c r="AG87" s="100">
        <v>2203.1651374751214</v>
      </c>
      <c r="AH87" s="100">
        <v>4</v>
      </c>
      <c r="AI87" s="100">
        <v>4296</v>
      </c>
      <c r="AJ87" s="100">
        <v>2.7306591430471499</v>
      </c>
      <c r="AK87" s="100">
        <v>2932.727919632639</v>
      </c>
      <c r="AL87" s="100">
        <v>2.2950227205316422</v>
      </c>
      <c r="AM87" s="100">
        <v>2464.8544018509838</v>
      </c>
      <c r="AN87" s="100">
        <v>1.9578120836653552</v>
      </c>
      <c r="AO87" s="100">
        <v>2102.6901778565916</v>
      </c>
      <c r="AP87" s="100">
        <v>2.7165275435759142</v>
      </c>
      <c r="AQ87" s="100">
        <v>2917.5505818005317</v>
      </c>
      <c r="AR87" s="100">
        <v>5.41548393047389</v>
      </c>
      <c r="AS87" s="100">
        <v>5816.229741328958</v>
      </c>
      <c r="AT87" s="100">
        <v>1.9197029436959312</v>
      </c>
      <c r="AU87" s="100">
        <v>2061.76096152943</v>
      </c>
      <c r="AV87" s="100">
        <v>3.3538942235245282</v>
      </c>
      <c r="AW87" s="100">
        <v>3602.0823960653433</v>
      </c>
      <c r="AX87" s="100">
        <v>4.5529675197046489</v>
      </c>
      <c r="AY87" s="100">
        <v>4889.8871161627931</v>
      </c>
      <c r="AZ87" s="100">
        <v>4.3420749169238837</v>
      </c>
      <c r="BA87" s="100">
        <v>4663.3884607762511</v>
      </c>
      <c r="BB87" s="100">
        <v>1.0437199847477923</v>
      </c>
      <c r="BC87" s="100">
        <v>1120.9552636191288</v>
      </c>
      <c r="BD87" s="100">
        <v>3.3365663686340019</v>
      </c>
      <c r="BE87" s="100">
        <v>3583.4722799129181</v>
      </c>
      <c r="BF87" s="100">
        <v>4.8132878959662948</v>
      </c>
      <c r="BG87" s="100">
        <v>5169.4712002678007</v>
      </c>
      <c r="BH87" s="100">
        <v>3.9946677799326684</v>
      </c>
      <c r="BI87" s="100">
        <v>4290.2731956476855</v>
      </c>
      <c r="BJ87" s="100">
        <v>1.0923292043377864</v>
      </c>
      <c r="BK87" s="100">
        <v>1173.1615654587824</v>
      </c>
      <c r="BL87" s="100">
        <v>4.1535168921798942</v>
      </c>
      <c r="BM87" s="100">
        <v>4460.877142201206</v>
      </c>
      <c r="BN87" s="100">
        <v>3.5328349785536486</v>
      </c>
      <c r="BO87" s="100">
        <v>3794.2647669666185</v>
      </c>
      <c r="BP87" s="100">
        <v>5</v>
      </c>
      <c r="BQ87" s="100">
        <v>5370</v>
      </c>
      <c r="BR87" s="100">
        <v>4.6671332256265696</v>
      </c>
      <c r="BS87" s="100">
        <v>5012.5010843229356</v>
      </c>
      <c r="BT87" s="100">
        <v>2.9102262301818427</v>
      </c>
      <c r="BU87" s="100">
        <v>3125.582971215299</v>
      </c>
      <c r="BV87" s="100">
        <v>2.580311731878655</v>
      </c>
      <c r="BW87" s="100">
        <v>2771.2548000376755</v>
      </c>
      <c r="BX87" s="100">
        <v>2.2277579336522844</v>
      </c>
      <c r="BY87" s="100">
        <v>2392.6120207425533</v>
      </c>
      <c r="BZ87" s="100">
        <v>1.8488582337720927</v>
      </c>
      <c r="CA87" s="100">
        <v>1985.6737430712276</v>
      </c>
      <c r="CB87" s="100">
        <v>1.6940756592700783</v>
      </c>
      <c r="CC87" s="100">
        <v>1819.4372580560641</v>
      </c>
      <c r="CD87" s="100">
        <v>1.8795633647755159</v>
      </c>
      <c r="CE87" s="100">
        <v>2018.6510537689041</v>
      </c>
      <c r="CF87" s="100">
        <v>2.3935473298645533</v>
      </c>
      <c r="CG87" s="100">
        <v>2570.6698322745301</v>
      </c>
      <c r="CH87" s="100">
        <v>2.7563011857524602</v>
      </c>
      <c r="CI87" s="100">
        <v>2960.2674734981424</v>
      </c>
      <c r="CJ87" s="100">
        <v>2.9921925833487593</v>
      </c>
      <c r="CK87" s="100">
        <v>3213.6148345165675</v>
      </c>
      <c r="CL87" s="100">
        <v>2.0258067911551088</v>
      </c>
      <c r="CM87" s="100">
        <v>2175.7164937005869</v>
      </c>
      <c r="CN87" s="100">
        <v>3.6156296592343811</v>
      </c>
      <c r="CO87" s="100">
        <v>3883.1862540177253</v>
      </c>
      <c r="CP87" s="100">
        <v>4</v>
      </c>
      <c r="CQ87" s="100">
        <v>4296</v>
      </c>
      <c r="CR87" s="100">
        <v>3.9173596885023487</v>
      </c>
      <c r="CS87" s="100">
        <v>4207.2443054515225</v>
      </c>
      <c r="CT87" s="100">
        <v>2.3580477878718593</v>
      </c>
      <c r="CU87" s="100">
        <v>2532.5433241743767</v>
      </c>
    </row>
    <row r="88" spans="2:99">
      <c r="C88" s="99" t="s">
        <v>254</v>
      </c>
      <c r="D88" s="100">
        <v>2.198123416098237</v>
      </c>
      <c r="E88" s="100">
        <v>2181.4176781358906</v>
      </c>
      <c r="F88" s="100">
        <v>3.7353623406909118</v>
      </c>
      <c r="G88" s="100">
        <v>3706.9735869016608</v>
      </c>
      <c r="H88" s="100">
        <v>2.099219662832259</v>
      </c>
      <c r="I88" s="100">
        <v>2083.265593394734</v>
      </c>
      <c r="J88" s="100">
        <v>4.4305225550713789</v>
      </c>
      <c r="K88" s="100">
        <v>4396.8505836528366</v>
      </c>
      <c r="L88" s="100">
        <v>3.8172581336066971</v>
      </c>
      <c r="M88" s="100">
        <v>3788.2469717912859</v>
      </c>
      <c r="N88" s="100">
        <v>4.6057517640154639</v>
      </c>
      <c r="O88" s="100">
        <v>4570.748050608946</v>
      </c>
      <c r="P88" s="100">
        <v>4.504990855946267</v>
      </c>
      <c r="Q88" s="100">
        <v>4470.7529254410756</v>
      </c>
      <c r="R88" s="100">
        <v>1.8765401045529313</v>
      </c>
      <c r="S88" s="100">
        <v>1862.278399758329</v>
      </c>
      <c r="T88" s="100">
        <v>3.521262566284042</v>
      </c>
      <c r="U88" s="100">
        <v>3494.5009707802833</v>
      </c>
      <c r="V88" s="100">
        <v>3.7016391085670932</v>
      </c>
      <c r="W88" s="100">
        <v>3673.5066513419833</v>
      </c>
      <c r="X88" s="100">
        <v>3.5892342259290495</v>
      </c>
      <c r="Y88" s="100">
        <v>3561.9560458119886</v>
      </c>
      <c r="Z88" s="100">
        <v>3.238020698722734</v>
      </c>
      <c r="AA88" s="100">
        <v>3213.4117414124412</v>
      </c>
      <c r="AB88" s="100">
        <v>1.4516319813961067</v>
      </c>
      <c r="AC88" s="100">
        <v>1440.5995783374963</v>
      </c>
      <c r="AD88" s="100">
        <v>3.7866616870547749</v>
      </c>
      <c r="AE88" s="100">
        <v>3757.8830582331584</v>
      </c>
      <c r="AF88" s="100">
        <v>2.0513641875932227</v>
      </c>
      <c r="AG88" s="100">
        <v>2035.7738197675142</v>
      </c>
      <c r="AH88" s="100">
        <v>4</v>
      </c>
      <c r="AI88" s="100">
        <v>3969.6</v>
      </c>
      <c r="AJ88" s="100">
        <v>2.7306591430471499</v>
      </c>
      <c r="AK88" s="100">
        <v>2709.9061335599913</v>
      </c>
      <c r="AL88" s="100">
        <v>2.2950227205316422</v>
      </c>
      <c r="AM88" s="100">
        <v>2277.5805478556017</v>
      </c>
      <c r="AN88" s="100">
        <v>1.9384474203840156</v>
      </c>
      <c r="AO88" s="100">
        <v>1923.715219989097</v>
      </c>
      <c r="AP88" s="100">
        <v>2.7165275435759142</v>
      </c>
      <c r="AQ88" s="100">
        <v>2695.8819342447373</v>
      </c>
      <c r="AR88" s="100">
        <v>5.4492888105643571</v>
      </c>
      <c r="AS88" s="100">
        <v>5407.874215604068</v>
      </c>
      <c r="AT88" s="100">
        <v>1.9197029436959312</v>
      </c>
      <c r="AU88" s="100">
        <v>1905.1132013238421</v>
      </c>
      <c r="AV88" s="100">
        <v>3.3538942235245282</v>
      </c>
      <c r="AW88" s="100">
        <v>3328.4046274257416</v>
      </c>
      <c r="AX88" s="100">
        <v>4.5529675197046489</v>
      </c>
      <c r="AY88" s="100">
        <v>4518.3649665548937</v>
      </c>
      <c r="AZ88" s="100">
        <v>4.3420749169238837</v>
      </c>
      <c r="BA88" s="100">
        <v>4309.0751475552624</v>
      </c>
      <c r="BB88" s="100">
        <v>1.0509072287859618</v>
      </c>
      <c r="BC88" s="100">
        <v>1042.9203338471884</v>
      </c>
      <c r="BD88" s="100">
        <v>2.6692530949072015</v>
      </c>
      <c r="BE88" s="100">
        <v>2648.9667713859067</v>
      </c>
      <c r="BF88" s="100">
        <v>4.1673861945499828</v>
      </c>
      <c r="BG88" s="100">
        <v>4135.7140594714028</v>
      </c>
      <c r="BH88" s="100">
        <v>3.9946677799326684</v>
      </c>
      <c r="BI88" s="100">
        <v>3964.3083048051799</v>
      </c>
      <c r="BJ88" s="100">
        <v>0.91597791597443201</v>
      </c>
      <c r="BK88" s="100">
        <v>909.0164838130263</v>
      </c>
      <c r="BL88" s="100">
        <v>4.7399857440197133</v>
      </c>
      <c r="BM88" s="100">
        <v>4703.9618523651634</v>
      </c>
      <c r="BN88" s="100">
        <v>2.9440291487947072</v>
      </c>
      <c r="BO88" s="100">
        <v>2921.6545272638673</v>
      </c>
      <c r="BP88" s="100">
        <v>5</v>
      </c>
      <c r="BQ88" s="100">
        <v>4962</v>
      </c>
      <c r="BR88" s="100">
        <v>5.4449887632309979</v>
      </c>
      <c r="BS88" s="100">
        <v>5403.6068486304421</v>
      </c>
      <c r="BT88" s="100">
        <v>2.8814945021030551</v>
      </c>
      <c r="BU88" s="100">
        <v>2859.595143887072</v>
      </c>
      <c r="BV88" s="100">
        <v>3.1537360898920994</v>
      </c>
      <c r="BW88" s="100">
        <v>3129.7676956089194</v>
      </c>
      <c r="BX88" s="100">
        <v>2.644431701929316</v>
      </c>
      <c r="BY88" s="100">
        <v>2624.3340209946532</v>
      </c>
      <c r="BZ88" s="100">
        <v>1.8488582337720927</v>
      </c>
      <c r="CA88" s="100">
        <v>1834.8069111954248</v>
      </c>
      <c r="CB88" s="100">
        <v>1.6940756592700783</v>
      </c>
      <c r="CC88" s="100">
        <v>1681.2006842596256</v>
      </c>
      <c r="CD88" s="100">
        <v>1.8905319504525715</v>
      </c>
      <c r="CE88" s="100">
        <v>1876.1639076291319</v>
      </c>
      <c r="CF88" s="100">
        <v>2.0626276378114494</v>
      </c>
      <c r="CG88" s="100">
        <v>2046.9516677640825</v>
      </c>
      <c r="CH88" s="100">
        <v>3.1804017034107432</v>
      </c>
      <c r="CI88" s="100">
        <v>3156.2306504648213</v>
      </c>
      <c r="CJ88" s="100">
        <v>2.9921925833487593</v>
      </c>
      <c r="CK88" s="100">
        <v>2969.4519197153086</v>
      </c>
      <c r="CL88" s="100">
        <v>2.0258067911551088</v>
      </c>
      <c r="CM88" s="100">
        <v>2010.41065954233</v>
      </c>
      <c r="CN88" s="100">
        <v>3.0991111364866124</v>
      </c>
      <c r="CO88" s="100">
        <v>3075.5578918493143</v>
      </c>
      <c r="CP88" s="100">
        <v>4</v>
      </c>
      <c r="CQ88" s="100">
        <v>3969.6</v>
      </c>
      <c r="CR88" s="100">
        <v>3.8933014853252015</v>
      </c>
      <c r="CS88" s="100">
        <v>3863.7123940367301</v>
      </c>
      <c r="CT88" s="100">
        <v>2.3580477878718593</v>
      </c>
      <c r="CU88" s="100">
        <v>2340.1266246840332</v>
      </c>
    </row>
    <row r="89" spans="2:99">
      <c r="C89" s="99" t="s">
        <v>255</v>
      </c>
      <c r="D89" s="100">
        <v>2.7476542701227964</v>
      </c>
      <c r="E89" s="100">
        <v>2918.0088348704098</v>
      </c>
      <c r="F89" s="100">
        <v>4.3579227308060631</v>
      </c>
      <c r="G89" s="100">
        <v>4628.113940116039</v>
      </c>
      <c r="H89" s="100">
        <v>2.099219662832259</v>
      </c>
      <c r="I89" s="100">
        <v>2229.3712819278589</v>
      </c>
      <c r="J89" s="100">
        <v>5.1689429809166088</v>
      </c>
      <c r="K89" s="100">
        <v>5489.4174457334384</v>
      </c>
      <c r="L89" s="100">
        <v>3.0538065068853579</v>
      </c>
      <c r="M89" s="100">
        <v>3243.1425103122501</v>
      </c>
      <c r="N89" s="100">
        <v>4.625404089359499</v>
      </c>
      <c r="O89" s="100">
        <v>4912.1791428997876</v>
      </c>
      <c r="P89" s="100">
        <v>4.504990855946267</v>
      </c>
      <c r="Q89" s="100">
        <v>4784.3002890149355</v>
      </c>
      <c r="R89" s="100">
        <v>2.5020534727372419</v>
      </c>
      <c r="S89" s="100">
        <v>2657.180788046951</v>
      </c>
      <c r="T89" s="100">
        <v>3.9067559090329524</v>
      </c>
      <c r="U89" s="100">
        <v>4148.9747753929951</v>
      </c>
      <c r="V89" s="100">
        <v>4.3185789599949418</v>
      </c>
      <c r="W89" s="100">
        <v>4586.3308555146277</v>
      </c>
      <c r="X89" s="100">
        <v>3.9576812494639126</v>
      </c>
      <c r="Y89" s="100">
        <v>4203.0574869306756</v>
      </c>
      <c r="Z89" s="100">
        <v>3.7776908151765234</v>
      </c>
      <c r="AA89" s="100">
        <v>4011.9076457174679</v>
      </c>
      <c r="AB89" s="100">
        <v>1.4516319813961067</v>
      </c>
      <c r="AC89" s="100">
        <v>1541.6331642426653</v>
      </c>
      <c r="AD89" s="100">
        <v>2.9308711163694219</v>
      </c>
      <c r="AE89" s="100">
        <v>3112.5851255843259</v>
      </c>
      <c r="AF89" s="100">
        <v>2.0513641875932227</v>
      </c>
      <c r="AG89" s="100">
        <v>2178.5487672240024</v>
      </c>
      <c r="AH89" s="100">
        <v>4</v>
      </c>
      <c r="AI89" s="100">
        <v>4248</v>
      </c>
      <c r="AJ89" s="100">
        <v>2.7306591430471499</v>
      </c>
      <c r="AK89" s="100">
        <v>2899.960009916073</v>
      </c>
      <c r="AL89" s="100">
        <v>1.9416309461479082</v>
      </c>
      <c r="AM89" s="100">
        <v>2062.0120648090783</v>
      </c>
      <c r="AN89" s="100">
        <v>1.9384474203840156</v>
      </c>
      <c r="AO89" s="100">
        <v>2058.6311604478246</v>
      </c>
      <c r="AP89" s="100">
        <v>2.7165275435759142</v>
      </c>
      <c r="AQ89" s="100">
        <v>2884.9522512776207</v>
      </c>
      <c r="AR89" s="100">
        <v>5.41548393047389</v>
      </c>
      <c r="AS89" s="100">
        <v>5751.2439341632708</v>
      </c>
      <c r="AT89" s="100">
        <v>1.9197029436959312</v>
      </c>
      <c r="AU89" s="100">
        <v>2038.724526205079</v>
      </c>
      <c r="AV89" s="100">
        <v>2.5154206676433963</v>
      </c>
      <c r="AW89" s="100">
        <v>2671.376749037287</v>
      </c>
      <c r="AX89" s="100">
        <v>4.5529675197046489</v>
      </c>
      <c r="AY89" s="100">
        <v>4835.2515059263369</v>
      </c>
      <c r="AZ89" s="100">
        <v>4.3420749169238837</v>
      </c>
      <c r="BA89" s="100">
        <v>4611.2835617731644</v>
      </c>
      <c r="BB89" s="100">
        <v>1.0437199847477923</v>
      </c>
      <c r="BC89" s="100">
        <v>1108.4306238021554</v>
      </c>
      <c r="BD89" s="100">
        <v>2.6692530949072015</v>
      </c>
      <c r="BE89" s="100">
        <v>2834.7467867914479</v>
      </c>
      <c r="BF89" s="100">
        <v>4.784090297361085</v>
      </c>
      <c r="BG89" s="100">
        <v>5080.7038957974719</v>
      </c>
      <c r="BH89" s="100">
        <v>3.4305543952588486</v>
      </c>
      <c r="BI89" s="100">
        <v>3643.2487677648974</v>
      </c>
      <c r="BJ89" s="100">
        <v>1.0923292043377864</v>
      </c>
      <c r="BK89" s="100">
        <v>1160.0536150067292</v>
      </c>
      <c r="BL89" s="100">
        <v>4.1535168921798942</v>
      </c>
      <c r="BM89" s="100">
        <v>4411.0349394950472</v>
      </c>
      <c r="BN89" s="100">
        <v>2.9440291487947072</v>
      </c>
      <c r="BO89" s="100">
        <v>3126.5589560199792</v>
      </c>
      <c r="BP89" s="100">
        <v>5</v>
      </c>
      <c r="BQ89" s="100">
        <v>5310</v>
      </c>
      <c r="BR89" s="100">
        <v>4.6671332256265696</v>
      </c>
      <c r="BS89" s="100">
        <v>4956.4954856154172</v>
      </c>
      <c r="BT89" s="100">
        <v>2.8814945021030551</v>
      </c>
      <c r="BU89" s="100">
        <v>3060.1471612334444</v>
      </c>
      <c r="BV89" s="100">
        <v>2.580311731878655</v>
      </c>
      <c r="BW89" s="100">
        <v>2740.2910592551316</v>
      </c>
      <c r="BX89" s="100">
        <v>2.2277579336522844</v>
      </c>
      <c r="BY89" s="100">
        <v>2365.878925538726</v>
      </c>
      <c r="BZ89" s="100">
        <v>1.8488582337720927</v>
      </c>
      <c r="CA89" s="100">
        <v>1963.4874442659625</v>
      </c>
      <c r="CB89" s="100">
        <v>1.6784159017012439</v>
      </c>
      <c r="CC89" s="100">
        <v>1782.477687606721</v>
      </c>
      <c r="CD89" s="100">
        <v>1.8795633647755159</v>
      </c>
      <c r="CE89" s="100">
        <v>1996.0962933915978</v>
      </c>
      <c r="CF89" s="100">
        <v>2.3935473298645533</v>
      </c>
      <c r="CG89" s="100">
        <v>2541.9472643161557</v>
      </c>
      <c r="CH89" s="100">
        <v>3.1804017034107432</v>
      </c>
      <c r="CI89" s="100">
        <v>3377.5866090222094</v>
      </c>
      <c r="CJ89" s="100">
        <v>2.5676229544886802</v>
      </c>
      <c r="CK89" s="100">
        <v>2726.8155776669782</v>
      </c>
      <c r="CL89" s="100">
        <v>2.0258067911551088</v>
      </c>
      <c r="CM89" s="100">
        <v>2151.4068122067256</v>
      </c>
      <c r="CN89" s="100">
        <v>3.6156296592343811</v>
      </c>
      <c r="CO89" s="100">
        <v>3839.7986981069125</v>
      </c>
      <c r="CP89" s="100">
        <v>4</v>
      </c>
      <c r="CQ89" s="100">
        <v>4248</v>
      </c>
      <c r="CR89" s="100">
        <v>3.9173596885023487</v>
      </c>
      <c r="CS89" s="100">
        <v>4160.2359891894939</v>
      </c>
      <c r="CT89" s="100">
        <v>2.3821967525225123</v>
      </c>
      <c r="CU89" s="100">
        <v>2529.8929511789079</v>
      </c>
    </row>
    <row r="90" spans="2:99">
      <c r="C90" s="99" t="s">
        <v>256</v>
      </c>
      <c r="D90" s="100">
        <v>2.198123416098237</v>
      </c>
      <c r="E90" s="100">
        <v>2437.2792437697253</v>
      </c>
      <c r="F90" s="100">
        <v>4.3579227308060631</v>
      </c>
      <c r="G90" s="100">
        <v>4832.0647239177624</v>
      </c>
      <c r="H90" s="100">
        <v>2.099219662832259</v>
      </c>
      <c r="I90" s="100">
        <v>2327.6147621484088</v>
      </c>
      <c r="J90" s="100">
        <v>5.1689429809166088</v>
      </c>
      <c r="K90" s="100">
        <v>5731.3239772403358</v>
      </c>
      <c r="L90" s="100">
        <v>3.8172581336066971</v>
      </c>
      <c r="M90" s="100">
        <v>4232.5758185431059</v>
      </c>
      <c r="N90" s="100">
        <v>3.8839818958156362</v>
      </c>
      <c r="O90" s="100">
        <v>4306.5591260803776</v>
      </c>
      <c r="P90" s="100">
        <v>4.9533604675769611</v>
      </c>
      <c r="Q90" s="100">
        <v>5492.2860864493341</v>
      </c>
      <c r="R90" s="100">
        <v>1.8765401045529313</v>
      </c>
      <c r="S90" s="100">
        <v>2080.70766792829</v>
      </c>
      <c r="T90" s="100">
        <v>3.9495885026717206</v>
      </c>
      <c r="U90" s="100">
        <v>4379.3037317624039</v>
      </c>
      <c r="V90" s="100">
        <v>4.3185789599949418</v>
      </c>
      <c r="W90" s="100">
        <v>4788.4403508423911</v>
      </c>
      <c r="X90" s="100">
        <v>3.0603726929816499</v>
      </c>
      <c r="Y90" s="100">
        <v>3393.3412419780534</v>
      </c>
      <c r="Z90" s="100">
        <v>3.2608032106529894</v>
      </c>
      <c r="AA90" s="100">
        <v>3615.5785999720347</v>
      </c>
      <c r="AB90" s="100">
        <v>1.4516319813961067</v>
      </c>
      <c r="AC90" s="100">
        <v>1609.5695409720031</v>
      </c>
      <c r="AD90" s="100">
        <v>2.8945211759380856</v>
      </c>
      <c r="AE90" s="100">
        <v>3209.445079880149</v>
      </c>
      <c r="AF90" s="100">
        <v>2.0513641875932227</v>
      </c>
      <c r="AG90" s="100">
        <v>2274.5526112033654</v>
      </c>
      <c r="AH90" s="100">
        <v>4</v>
      </c>
      <c r="AI90" s="100">
        <v>4435.2</v>
      </c>
      <c r="AJ90" s="100">
        <v>2.7009637055637103</v>
      </c>
      <c r="AK90" s="100">
        <v>2994.8285567290418</v>
      </c>
      <c r="AL90" s="100">
        <v>1.9416309461479082</v>
      </c>
      <c r="AM90" s="100">
        <v>2152.8803930888007</v>
      </c>
      <c r="AN90" s="100">
        <v>1.9578120836653552</v>
      </c>
      <c r="AO90" s="100">
        <v>2170.822038368146</v>
      </c>
      <c r="AP90" s="100">
        <v>2.7165275435759142</v>
      </c>
      <c r="AQ90" s="100">
        <v>3012.0857403169734</v>
      </c>
      <c r="AR90" s="100">
        <v>5.41548393047389</v>
      </c>
      <c r="AS90" s="100">
        <v>6004.6885821094493</v>
      </c>
      <c r="AT90" s="100">
        <v>1.9197029436959312</v>
      </c>
      <c r="AU90" s="100">
        <v>2128.5666239700486</v>
      </c>
      <c r="AV90" s="100">
        <v>2.5154206676433963</v>
      </c>
      <c r="AW90" s="100">
        <v>2789.0984362829977</v>
      </c>
      <c r="AX90" s="100">
        <v>3.9025435883182706</v>
      </c>
      <c r="AY90" s="100">
        <v>4327.1403307272985</v>
      </c>
      <c r="AZ90" s="100">
        <v>4.3420749169238837</v>
      </c>
      <c r="BA90" s="100">
        <v>4814.4926678852016</v>
      </c>
      <c r="BB90" s="100">
        <v>1.0509072287859618</v>
      </c>
      <c r="BC90" s="100">
        <v>1165.2459352778744</v>
      </c>
      <c r="BD90" s="100">
        <v>3.3365663686340019</v>
      </c>
      <c r="BE90" s="100">
        <v>3699.5847895413813</v>
      </c>
      <c r="BF90" s="100">
        <v>4.8132878959662948</v>
      </c>
      <c r="BG90" s="100">
        <v>5336.9736190474277</v>
      </c>
      <c r="BH90" s="100">
        <v>3.4305543952588486</v>
      </c>
      <c r="BI90" s="100">
        <v>3803.7987134630112</v>
      </c>
      <c r="BJ90" s="100">
        <v>1.0923292043377864</v>
      </c>
      <c r="BK90" s="100">
        <v>1211.1746217697375</v>
      </c>
      <c r="BL90" s="100">
        <v>4.1535168921798942</v>
      </c>
      <c r="BM90" s="100">
        <v>4605.4195300490665</v>
      </c>
      <c r="BN90" s="100">
        <v>2.9440291487947072</v>
      </c>
      <c r="BO90" s="100">
        <v>3264.339520183571</v>
      </c>
      <c r="BP90" s="100">
        <v>5</v>
      </c>
      <c r="BQ90" s="100">
        <v>5544</v>
      </c>
      <c r="BR90" s="100">
        <v>5.4449887632309979</v>
      </c>
      <c r="BS90" s="100">
        <v>6037.4035406705307</v>
      </c>
      <c r="BT90" s="100">
        <v>2.8814945021030551</v>
      </c>
      <c r="BU90" s="100">
        <v>3195.0011039318674</v>
      </c>
      <c r="BV90" s="100">
        <v>3.1537360898920994</v>
      </c>
      <c r="BW90" s="100">
        <v>3496.8625764723597</v>
      </c>
      <c r="BX90" s="100">
        <v>2.2277579336522844</v>
      </c>
      <c r="BY90" s="100">
        <v>2470.1379968336528</v>
      </c>
      <c r="BZ90" s="100">
        <v>1.8677680910411132</v>
      </c>
      <c r="CA90" s="100">
        <v>2070.9812593463862</v>
      </c>
      <c r="CB90" s="100">
        <v>1.7097354168389129</v>
      </c>
      <c r="CC90" s="100">
        <v>1895.7546301909865</v>
      </c>
      <c r="CD90" s="100">
        <v>1.8905319504525715</v>
      </c>
      <c r="CE90" s="100">
        <v>2096.2218266618111</v>
      </c>
      <c r="CF90" s="100">
        <v>2.0626276378114494</v>
      </c>
      <c r="CG90" s="100">
        <v>2287.041524805335</v>
      </c>
      <c r="CH90" s="100">
        <v>3.1592318954304672</v>
      </c>
      <c r="CI90" s="100">
        <v>3502.956325653302</v>
      </c>
      <c r="CJ90" s="100">
        <v>2.9719874020205563</v>
      </c>
      <c r="CK90" s="100">
        <v>3295.3396313603926</v>
      </c>
      <c r="CL90" s="100">
        <v>2.0258067911551088</v>
      </c>
      <c r="CM90" s="100">
        <v>2246.2145700327846</v>
      </c>
      <c r="CN90" s="100">
        <v>3.6156296592343811</v>
      </c>
      <c r="CO90" s="100">
        <v>4009.0101661590816</v>
      </c>
      <c r="CP90" s="100">
        <v>4</v>
      </c>
      <c r="CQ90" s="100">
        <v>4435.2</v>
      </c>
      <c r="CR90" s="100">
        <v>4.5421850662127348</v>
      </c>
      <c r="CS90" s="100">
        <v>5036.3748014166804</v>
      </c>
      <c r="CT90" s="100">
        <v>2.3580477878718593</v>
      </c>
      <c r="CU90" s="100">
        <v>2614.6033871923173</v>
      </c>
    </row>
    <row r="91" spans="2:99">
      <c r="C91" s="99" t="s">
        <v>257</v>
      </c>
      <c r="D91" s="100">
        <v>2.198123416098237</v>
      </c>
      <c r="E91" s="100">
        <v>2497.9474500540364</v>
      </c>
      <c r="F91" s="100">
        <v>4.3579227308060631</v>
      </c>
      <c r="G91" s="100">
        <v>4952.3433912880091</v>
      </c>
      <c r="H91" s="100">
        <v>2.099219662832259</v>
      </c>
      <c r="I91" s="100">
        <v>2385.5532248425789</v>
      </c>
      <c r="J91" s="100">
        <v>4.4305225550713789</v>
      </c>
      <c r="K91" s="100">
        <v>5034.845831583114</v>
      </c>
      <c r="L91" s="100">
        <v>3.0538065068853579</v>
      </c>
      <c r="M91" s="100">
        <v>3470.3457144245203</v>
      </c>
      <c r="N91" s="100">
        <v>3.8839818958156362</v>
      </c>
      <c r="O91" s="100">
        <v>4413.7570264048882</v>
      </c>
      <c r="P91" s="100">
        <v>5.1838078562959584</v>
      </c>
      <c r="Q91" s="100">
        <v>5890.8792478947262</v>
      </c>
      <c r="R91" s="100">
        <v>2.5020534727372419</v>
      </c>
      <c r="S91" s="100">
        <v>2843.3335664186015</v>
      </c>
      <c r="T91" s="100">
        <v>3.521262566284042</v>
      </c>
      <c r="U91" s="100">
        <v>4001.562780325185</v>
      </c>
      <c r="V91" s="100">
        <v>3.7016391085670932</v>
      </c>
      <c r="W91" s="100">
        <v>4206.5426829756443</v>
      </c>
      <c r="X91" s="100">
        <v>2.6919256694467868</v>
      </c>
      <c r="Y91" s="100">
        <v>3059.1043307593281</v>
      </c>
      <c r="Z91" s="100">
        <v>3.2608032106529894</v>
      </c>
      <c r="AA91" s="100">
        <v>3705.5767685860569</v>
      </c>
      <c r="AB91" s="100">
        <v>1.4516319813961067</v>
      </c>
      <c r="AC91" s="100">
        <v>1649.6345836585356</v>
      </c>
      <c r="AD91" s="100">
        <v>3.7866616870547749</v>
      </c>
      <c r="AE91" s="100">
        <v>4303.1623411690452</v>
      </c>
      <c r="AF91" s="100">
        <v>2.0513641875932227</v>
      </c>
      <c r="AG91" s="100">
        <v>2331.1702627809382</v>
      </c>
      <c r="AH91" s="100">
        <v>4</v>
      </c>
      <c r="AI91" s="100">
        <v>4545.5999999999995</v>
      </c>
      <c r="AJ91" s="100">
        <v>2.7306591430471499</v>
      </c>
      <c r="AK91" s="100">
        <v>3103.1210501587807</v>
      </c>
      <c r="AL91" s="100">
        <v>1.9416309461479082</v>
      </c>
      <c r="AM91" s="100">
        <v>2206.4694072024827</v>
      </c>
      <c r="AN91" s="100">
        <v>1.9384474203840156</v>
      </c>
      <c r="AO91" s="100">
        <v>2202.8516485243949</v>
      </c>
      <c r="AP91" s="100">
        <v>2.7165275435759142</v>
      </c>
      <c r="AQ91" s="100">
        <v>3087.0619005196686</v>
      </c>
      <c r="AR91" s="100">
        <v>5.41548393047389</v>
      </c>
      <c r="AS91" s="100">
        <v>6154.1559385905275</v>
      </c>
      <c r="AT91" s="100">
        <v>1.9197029436959312</v>
      </c>
      <c r="AU91" s="100">
        <v>2181.5504252160558</v>
      </c>
      <c r="AV91" s="100">
        <v>3.3538942235245282</v>
      </c>
      <c r="AW91" s="100">
        <v>3811.3653956132734</v>
      </c>
      <c r="AX91" s="100">
        <v>4.5529675197046489</v>
      </c>
      <c r="AY91" s="100">
        <v>5173.9922893923622</v>
      </c>
      <c r="AZ91" s="100">
        <v>4.3420749169238837</v>
      </c>
      <c r="BA91" s="100">
        <v>4934.3339355923008</v>
      </c>
      <c r="BB91" s="100">
        <v>0.88174539402010932</v>
      </c>
      <c r="BC91" s="100">
        <v>1002.0154657644521</v>
      </c>
      <c r="BD91" s="100">
        <v>2.6692530949072015</v>
      </c>
      <c r="BE91" s="100">
        <v>3033.3392170525435</v>
      </c>
      <c r="BF91" s="100">
        <v>4.1673861945499828</v>
      </c>
      <c r="BG91" s="100">
        <v>4735.8176714865995</v>
      </c>
      <c r="BH91" s="100">
        <v>3.4305543952588486</v>
      </c>
      <c r="BI91" s="100">
        <v>3898.4820147721553</v>
      </c>
      <c r="BJ91" s="100">
        <v>0.91597791597443201</v>
      </c>
      <c r="BK91" s="100">
        <v>1040.9173037133444</v>
      </c>
      <c r="BL91" s="100">
        <v>4.1535168921798942</v>
      </c>
      <c r="BM91" s="100">
        <v>4720.0565962732308</v>
      </c>
      <c r="BN91" s="100">
        <v>3.5328349785536486</v>
      </c>
      <c r="BO91" s="100">
        <v>4014.7136696283656</v>
      </c>
      <c r="BP91" s="100">
        <v>4</v>
      </c>
      <c r="BQ91" s="100">
        <v>4545.5999999999995</v>
      </c>
      <c r="BR91" s="100">
        <v>4.6671332256265696</v>
      </c>
      <c r="BS91" s="100">
        <v>5303.7301976020335</v>
      </c>
      <c r="BT91" s="100">
        <v>2.8814945021030551</v>
      </c>
      <c r="BU91" s="100">
        <v>3274.5303521899114</v>
      </c>
      <c r="BV91" s="100">
        <v>3.1823975198745873</v>
      </c>
      <c r="BW91" s="100">
        <v>3616.4765415854804</v>
      </c>
      <c r="BX91" s="100">
        <v>2.6604749344034411</v>
      </c>
      <c r="BY91" s="100">
        <v>3023.3637154560702</v>
      </c>
      <c r="BZ91" s="100">
        <v>1.8677680910411132</v>
      </c>
      <c r="CA91" s="100">
        <v>2122.5316586591207</v>
      </c>
      <c r="CB91" s="100">
        <v>1.6940756592700783</v>
      </c>
      <c r="CC91" s="100">
        <v>1925.1475791945168</v>
      </c>
      <c r="CD91" s="100">
        <v>2.1496393576973123</v>
      </c>
      <c r="CE91" s="100">
        <v>2442.8501660872253</v>
      </c>
      <c r="CF91" s="100">
        <v>2.0626276378114494</v>
      </c>
      <c r="CG91" s="100">
        <v>2343.9700476089311</v>
      </c>
      <c r="CH91" s="100">
        <v>3.1592318954304672</v>
      </c>
      <c r="CI91" s="100">
        <v>3590.1511259671825</v>
      </c>
      <c r="CJ91" s="100">
        <v>2.9719874020205563</v>
      </c>
      <c r="CK91" s="100">
        <v>3377.3664836561597</v>
      </c>
      <c r="CL91" s="100">
        <v>2.0434544708315925</v>
      </c>
      <c r="CM91" s="100">
        <v>2322.1816606530215</v>
      </c>
      <c r="CN91" s="100">
        <v>3.0991111364866124</v>
      </c>
      <c r="CO91" s="100">
        <v>3521.8298955033861</v>
      </c>
      <c r="CP91" s="100">
        <v>4.1858120961979273</v>
      </c>
      <c r="CQ91" s="100">
        <v>4756.7568661193236</v>
      </c>
      <c r="CR91" s="100">
        <v>3.941417891679496</v>
      </c>
      <c r="CS91" s="100">
        <v>4479.0272921045789</v>
      </c>
      <c r="CT91" s="100">
        <v>2.3821967525225123</v>
      </c>
      <c r="CU91" s="100">
        <v>2707.1283895665824</v>
      </c>
    </row>
    <row r="92" spans="2:99">
      <c r="C92" s="99" t="s">
        <v>258</v>
      </c>
      <c r="D92" s="100">
        <v>2.7476542701227964</v>
      </c>
      <c r="E92" s="100">
        <v>2156.3590711923703</v>
      </c>
      <c r="F92" s="100">
        <v>3.7353623406909118</v>
      </c>
      <c r="G92" s="100">
        <v>2931.5123649742272</v>
      </c>
      <c r="H92" s="100">
        <v>2.099219662832259</v>
      </c>
      <c r="I92" s="100">
        <v>1647.4675913907568</v>
      </c>
      <c r="J92" s="100">
        <v>4.4305225550713789</v>
      </c>
      <c r="K92" s="100">
        <v>3477.0741012200178</v>
      </c>
      <c r="L92" s="100">
        <v>3.0538065068853579</v>
      </c>
      <c r="M92" s="100">
        <v>2396.6273466036287</v>
      </c>
      <c r="N92" s="100">
        <v>4.625404089359499</v>
      </c>
      <c r="O92" s="100">
        <v>3630.0171293293347</v>
      </c>
      <c r="P92" s="100">
        <v>4.5337967795361429</v>
      </c>
      <c r="Q92" s="100">
        <v>3558.1237125799648</v>
      </c>
      <c r="R92" s="100">
        <v>2.5020534727372419</v>
      </c>
      <c r="S92" s="100">
        <v>1963.6115654041873</v>
      </c>
      <c r="T92" s="100">
        <v>3.9495885026717206</v>
      </c>
      <c r="U92" s="100">
        <v>3099.6370568967659</v>
      </c>
      <c r="V92" s="100">
        <v>3.7016391085670932</v>
      </c>
      <c r="W92" s="100">
        <v>2905.0463724034544</v>
      </c>
      <c r="X92" s="100">
        <v>3.0603726929816499</v>
      </c>
      <c r="Y92" s="100">
        <v>2401.7804894519986</v>
      </c>
      <c r="Z92" s="100">
        <v>3.238020698722734</v>
      </c>
      <c r="AA92" s="100">
        <v>2541.1986443576016</v>
      </c>
      <c r="AB92" s="100">
        <v>1.4516319813961067</v>
      </c>
      <c r="AC92" s="100">
        <v>1139.2407789996646</v>
      </c>
      <c r="AD92" s="100">
        <v>2.9308711163694219</v>
      </c>
      <c r="AE92" s="100">
        <v>2300.1476521267223</v>
      </c>
      <c r="AF92" s="100">
        <v>2.0513641875932227</v>
      </c>
      <c r="AG92" s="100">
        <v>1609.9106144231612</v>
      </c>
      <c r="AH92" s="100">
        <v>4</v>
      </c>
      <c r="AI92" s="100">
        <v>3139.2</v>
      </c>
      <c r="AJ92" s="100">
        <v>2.7603545805305894</v>
      </c>
      <c r="AK92" s="100">
        <v>2166.3262748004063</v>
      </c>
      <c r="AL92" s="100">
        <v>1.9590981535708316</v>
      </c>
      <c r="AM92" s="100">
        <v>1537.5002309223885</v>
      </c>
      <c r="AN92" s="100">
        <v>1.9578120836653552</v>
      </c>
      <c r="AO92" s="100">
        <v>1536.4909232605708</v>
      </c>
      <c r="AP92" s="100">
        <v>2.7165275435759142</v>
      </c>
      <c r="AQ92" s="100">
        <v>2131.9308161983772</v>
      </c>
      <c r="AR92" s="100">
        <v>5.4492888105643571</v>
      </c>
      <c r="AS92" s="100">
        <v>4276.6018585309075</v>
      </c>
      <c r="AT92" s="100">
        <v>2.2396534343119199</v>
      </c>
      <c r="AU92" s="100">
        <v>1757.6800152479946</v>
      </c>
      <c r="AV92" s="100">
        <v>2.5154206676433963</v>
      </c>
      <c r="AW92" s="100">
        <v>1974.1021399665374</v>
      </c>
      <c r="AX92" s="100">
        <v>3.9025435883182706</v>
      </c>
      <c r="AY92" s="100">
        <v>3062.7162081121787</v>
      </c>
      <c r="AZ92" s="100">
        <v>4.3420749169238837</v>
      </c>
      <c r="BA92" s="100">
        <v>3407.6603948018637</v>
      </c>
      <c r="BB92" s="100">
        <v>0.88893263805827893</v>
      </c>
      <c r="BC92" s="100">
        <v>697.63433434813726</v>
      </c>
      <c r="BD92" s="100">
        <v>3.3365663686340019</v>
      </c>
      <c r="BE92" s="100">
        <v>2618.5372861039646</v>
      </c>
      <c r="BF92" s="100">
        <v>4.8424854945715063</v>
      </c>
      <c r="BG92" s="100">
        <v>3800.3826161397178</v>
      </c>
      <c r="BH92" s="100">
        <v>4.0023134611353237</v>
      </c>
      <c r="BI92" s="100">
        <v>3141.015604299002</v>
      </c>
      <c r="BJ92" s="100">
        <v>1.0923292043377864</v>
      </c>
      <c r="BK92" s="100">
        <v>857.25995956429472</v>
      </c>
      <c r="BL92" s="100">
        <v>4.7399857440197133</v>
      </c>
      <c r="BM92" s="100">
        <v>3719.9408119066707</v>
      </c>
      <c r="BN92" s="100">
        <v>2.9440291487947072</v>
      </c>
      <c r="BO92" s="100">
        <v>2310.4740759740862</v>
      </c>
      <c r="BP92" s="100">
        <v>5</v>
      </c>
      <c r="BQ92" s="100">
        <v>3924</v>
      </c>
      <c r="BR92" s="100">
        <v>4.6671332256265696</v>
      </c>
      <c r="BS92" s="100">
        <v>3662.7661554717315</v>
      </c>
      <c r="BT92" s="100">
        <v>2.852762774024268</v>
      </c>
      <c r="BU92" s="100">
        <v>2238.8482250542456</v>
      </c>
      <c r="BV92" s="100">
        <v>3.1537360898920994</v>
      </c>
      <c r="BW92" s="100">
        <v>2475.0520833473197</v>
      </c>
      <c r="BX92" s="100">
        <v>2.644431701929316</v>
      </c>
      <c r="BY92" s="100">
        <v>2075.349999674127</v>
      </c>
      <c r="BZ92" s="100">
        <v>1.8488582337720927</v>
      </c>
      <c r="CA92" s="100">
        <v>1450.9839418643382</v>
      </c>
      <c r="CB92" s="100">
        <v>1.7097354168389129</v>
      </c>
      <c r="CC92" s="100">
        <v>1341.8003551351787</v>
      </c>
      <c r="CD92" s="100">
        <v>1.8795633647755159</v>
      </c>
      <c r="CE92" s="100">
        <v>1475.0813286758248</v>
      </c>
      <c r="CF92" s="100">
        <v>2.3935473298645533</v>
      </c>
      <c r="CG92" s="100">
        <v>1878.4559444777012</v>
      </c>
      <c r="CH92" s="100">
        <v>3.5833324130887512</v>
      </c>
      <c r="CI92" s="100">
        <v>2812.1992777920518</v>
      </c>
      <c r="CJ92" s="100">
        <v>2.9921925833487593</v>
      </c>
      <c r="CK92" s="100">
        <v>2348.2727394121061</v>
      </c>
      <c r="CL92" s="100">
        <v>1.6453521844711647</v>
      </c>
      <c r="CM92" s="100">
        <v>1291.27239437297</v>
      </c>
      <c r="CN92" s="100">
        <v>3.0991111364866124</v>
      </c>
      <c r="CO92" s="100">
        <v>2432.1824199146931</v>
      </c>
      <c r="CP92" s="100">
        <v>4</v>
      </c>
      <c r="CQ92" s="100">
        <v>3139.2</v>
      </c>
      <c r="CR92" s="100">
        <v>3.8933014853252015</v>
      </c>
      <c r="CS92" s="100">
        <v>3055.4630056832179</v>
      </c>
      <c r="CT92" s="100">
        <v>2.3821967525225123</v>
      </c>
      <c r="CU92" s="100">
        <v>1869.5480113796675</v>
      </c>
    </row>
    <row r="93" spans="2:99">
      <c r="C93" s="99" t="s">
        <v>259</v>
      </c>
      <c r="D93" s="100">
        <v>2.198123416098237</v>
      </c>
      <c r="E93" s="100">
        <v>1524.6184014057374</v>
      </c>
      <c r="F93" s="100">
        <v>3.7353623406909118</v>
      </c>
      <c r="G93" s="100">
        <v>2590.8473195032166</v>
      </c>
      <c r="H93" s="100">
        <v>2.099219662832259</v>
      </c>
      <c r="I93" s="100">
        <v>1456.018758140455</v>
      </c>
      <c r="J93" s="100">
        <v>4.4305225550713789</v>
      </c>
      <c r="K93" s="100">
        <v>3073.0104441975086</v>
      </c>
      <c r="L93" s="100">
        <v>3.8172581336066971</v>
      </c>
      <c r="M93" s="100">
        <v>2647.6502414696051</v>
      </c>
      <c r="N93" s="100">
        <v>4.625404089359499</v>
      </c>
      <c r="O93" s="100">
        <v>3208.1802763797486</v>
      </c>
      <c r="P93" s="100">
        <v>4.5337967795361429</v>
      </c>
      <c r="Q93" s="100">
        <v>3144.641446286269</v>
      </c>
      <c r="R93" s="100">
        <v>2.5020534727372419</v>
      </c>
      <c r="S93" s="100">
        <v>1735.4242886905511</v>
      </c>
      <c r="T93" s="100">
        <v>3.9495885026717206</v>
      </c>
      <c r="U93" s="100">
        <v>2739.4345854531057</v>
      </c>
      <c r="V93" s="100">
        <v>3.7016391085670932</v>
      </c>
      <c r="W93" s="100">
        <v>2567.4568857021359</v>
      </c>
      <c r="X93" s="100">
        <v>3.9945259518173986</v>
      </c>
      <c r="Y93" s="100">
        <v>2770.6032001805479</v>
      </c>
      <c r="Z93" s="100">
        <v>3.2608032106529894</v>
      </c>
      <c r="AA93" s="100">
        <v>2261.6931069089137</v>
      </c>
      <c r="AB93" s="100">
        <v>1.8145399767451338</v>
      </c>
      <c r="AC93" s="100">
        <v>1258.5649278704248</v>
      </c>
      <c r="AD93" s="100">
        <v>3.7503117466234386</v>
      </c>
      <c r="AE93" s="100">
        <v>2601.2162274580169</v>
      </c>
      <c r="AF93" s="100">
        <v>2.0513641875932227</v>
      </c>
      <c r="AG93" s="100">
        <v>1422.8262005146594</v>
      </c>
      <c r="AH93" s="100">
        <v>4</v>
      </c>
      <c r="AI93" s="100">
        <v>2774.4</v>
      </c>
      <c r="AJ93" s="100">
        <v>2.7009637055637103</v>
      </c>
      <c r="AK93" s="100">
        <v>1873.3884261789894</v>
      </c>
      <c r="AL93" s="100">
        <v>2.3124899279545659</v>
      </c>
      <c r="AM93" s="100">
        <v>1603.943014029287</v>
      </c>
      <c r="AN93" s="100">
        <v>1.9578120836653552</v>
      </c>
      <c r="AO93" s="100">
        <v>1357.9384612302904</v>
      </c>
      <c r="AP93" s="100">
        <v>2.7165275435759142</v>
      </c>
      <c r="AQ93" s="100">
        <v>1884.1835042242542</v>
      </c>
      <c r="AR93" s="100">
        <v>6.2786255587806599</v>
      </c>
      <c r="AS93" s="100">
        <v>4354.8546875702659</v>
      </c>
      <c r="AT93" s="100">
        <v>1.9197029436959312</v>
      </c>
      <c r="AU93" s="100">
        <v>1331.5059617474978</v>
      </c>
      <c r="AV93" s="100">
        <v>3.3538942235245282</v>
      </c>
      <c r="AW93" s="100">
        <v>2326.2610334366127</v>
      </c>
      <c r="AX93" s="100">
        <v>4.5529675197046489</v>
      </c>
      <c r="AY93" s="100">
        <v>3157.9382716671444</v>
      </c>
      <c r="AZ93" s="100">
        <v>4.3420749169238837</v>
      </c>
      <c r="BA93" s="100">
        <v>3011.663162378406</v>
      </c>
      <c r="BB93" s="100">
        <v>1.0509072287859618</v>
      </c>
      <c r="BC93" s="100">
        <v>728.90925388594314</v>
      </c>
      <c r="BD93" s="100">
        <v>3.3365663686340019</v>
      </c>
      <c r="BE93" s="100">
        <v>2314.2424332845439</v>
      </c>
      <c r="BF93" s="100">
        <v>4.8132878959662948</v>
      </c>
      <c r="BG93" s="100">
        <v>3338.4964846422222</v>
      </c>
      <c r="BH93" s="100">
        <v>3.4382000764615039</v>
      </c>
      <c r="BI93" s="100">
        <v>2384.7355730336994</v>
      </c>
      <c r="BJ93" s="100">
        <v>0.91108913395190905</v>
      </c>
      <c r="BK93" s="100">
        <v>631.93142330904413</v>
      </c>
      <c r="BL93" s="100">
        <v>4.7330950398338301</v>
      </c>
      <c r="BM93" s="100">
        <v>3282.8747196287445</v>
      </c>
      <c r="BN93" s="100">
        <v>2.9440291487947072</v>
      </c>
      <c r="BO93" s="100">
        <v>2041.9786176040091</v>
      </c>
      <c r="BP93" s="100">
        <v>5</v>
      </c>
      <c r="BQ93" s="100">
        <v>3468</v>
      </c>
      <c r="BR93" s="100">
        <v>5.4449887632309979</v>
      </c>
      <c r="BS93" s="100">
        <v>3776.6442061770204</v>
      </c>
      <c r="BT93" s="100">
        <v>3.5372217394515468</v>
      </c>
      <c r="BU93" s="100">
        <v>2453.416998483593</v>
      </c>
      <c r="BV93" s="100">
        <v>3.2110589498570756</v>
      </c>
      <c r="BW93" s="100">
        <v>2227.1904876208678</v>
      </c>
      <c r="BX93" s="100">
        <v>2.2277579336522844</v>
      </c>
      <c r="BY93" s="100">
        <v>1545.1729027812246</v>
      </c>
      <c r="BZ93" s="100">
        <v>1.8677680910411132</v>
      </c>
      <c r="CA93" s="100">
        <v>1295.4839479461161</v>
      </c>
      <c r="CB93" s="100">
        <v>1.7097354168389129</v>
      </c>
      <c r="CC93" s="100">
        <v>1185.87248511947</v>
      </c>
      <c r="CD93" s="100">
        <v>1.8795633647755159</v>
      </c>
      <c r="CE93" s="100">
        <v>1303.6651498082979</v>
      </c>
      <c r="CF93" s="100">
        <v>2.3935473298645533</v>
      </c>
      <c r="CG93" s="100">
        <v>1660.1644279940542</v>
      </c>
      <c r="CH93" s="100">
        <v>3.6045022210690263</v>
      </c>
      <c r="CI93" s="100">
        <v>2500.0827405334767</v>
      </c>
      <c r="CJ93" s="100">
        <v>2.9719874020205563</v>
      </c>
      <c r="CK93" s="100">
        <v>2061.3704620414578</v>
      </c>
      <c r="CL93" s="100">
        <v>2.0258067911551088</v>
      </c>
      <c r="CM93" s="100">
        <v>1405.0995903451835</v>
      </c>
      <c r="CN93" s="100">
        <v>3.0991111364866124</v>
      </c>
      <c r="CO93" s="100">
        <v>2149.5434842671143</v>
      </c>
      <c r="CP93" s="100">
        <v>4</v>
      </c>
      <c r="CQ93" s="100">
        <v>2774.4</v>
      </c>
      <c r="CR93" s="100">
        <v>3.9173596885023487</v>
      </c>
      <c r="CS93" s="100">
        <v>2717.0806799452293</v>
      </c>
      <c r="CT93" s="100">
        <v>2.3821967525225123</v>
      </c>
      <c r="CU93" s="100">
        <v>1652.2916675496147</v>
      </c>
    </row>
    <row r="94" spans="2:99">
      <c r="C94" s="99" t="s">
        <v>260</v>
      </c>
      <c r="D94" s="100">
        <v>2.198123416098237</v>
      </c>
      <c r="E94" s="100">
        <v>2621.9216107219772</v>
      </c>
      <c r="F94" s="100">
        <v>3.7353623406909118</v>
      </c>
      <c r="G94" s="100">
        <v>4455.5401999761198</v>
      </c>
      <c r="H94" s="100">
        <v>2.099219662832259</v>
      </c>
      <c r="I94" s="100">
        <v>2503.9492138263186</v>
      </c>
      <c r="J94" s="100">
        <v>4.4305225550713789</v>
      </c>
      <c r="K94" s="100">
        <v>5284.7273036891402</v>
      </c>
      <c r="L94" s="100">
        <v>3.8172581336066971</v>
      </c>
      <c r="M94" s="100">
        <v>4553.2255017660682</v>
      </c>
      <c r="N94" s="100">
        <v>4.625404089359499</v>
      </c>
      <c r="O94" s="100">
        <v>5517.1819977880104</v>
      </c>
      <c r="P94" s="100">
        <v>4.4761849323563929</v>
      </c>
      <c r="Q94" s="100">
        <v>5339.1933873147054</v>
      </c>
      <c r="R94" s="100">
        <v>2.5020534727372419</v>
      </c>
      <c r="S94" s="100">
        <v>2984.4493822809818</v>
      </c>
      <c r="T94" s="100">
        <v>3.521262566284042</v>
      </c>
      <c r="U94" s="100">
        <v>4200.1619890636048</v>
      </c>
      <c r="V94" s="100">
        <v>3.7016391085670932</v>
      </c>
      <c r="W94" s="100">
        <v>4415.3151286988286</v>
      </c>
      <c r="X94" s="100">
        <v>3.9576812494639126</v>
      </c>
      <c r="Y94" s="100">
        <v>4720.7221943605546</v>
      </c>
      <c r="Z94" s="100">
        <v>3.238020698722734</v>
      </c>
      <c r="AA94" s="100">
        <v>3862.3110894364768</v>
      </c>
      <c r="AB94" s="100">
        <v>1.8145399767451338</v>
      </c>
      <c r="AC94" s="100">
        <v>2164.3832842615957</v>
      </c>
      <c r="AD94" s="100">
        <v>2.8945211759380856</v>
      </c>
      <c r="AE94" s="100">
        <v>3452.5848586589482</v>
      </c>
      <c r="AF94" s="100">
        <v>2.0513641875932227</v>
      </c>
      <c r="AG94" s="100">
        <v>2446.8672029611957</v>
      </c>
      <c r="AH94" s="100">
        <v>3</v>
      </c>
      <c r="AI94" s="100">
        <v>3578.3999999999996</v>
      </c>
      <c r="AJ94" s="100">
        <v>2.7306591430471499</v>
      </c>
      <c r="AK94" s="100">
        <v>3257.1302258266401</v>
      </c>
      <c r="AL94" s="100">
        <v>2.3124899279545659</v>
      </c>
      <c r="AM94" s="100">
        <v>2758.3379860642062</v>
      </c>
      <c r="AN94" s="100">
        <v>1.9578120836653552</v>
      </c>
      <c r="AO94" s="100">
        <v>2335.2782533960358</v>
      </c>
      <c r="AP94" s="100">
        <v>2.7165275435759142</v>
      </c>
      <c r="AQ94" s="100">
        <v>3240.2740539773504</v>
      </c>
      <c r="AR94" s="100">
        <v>5.41548393047389</v>
      </c>
      <c r="AS94" s="100">
        <v>6459.5892322692562</v>
      </c>
      <c r="AT94" s="100">
        <v>1.9197029436959312</v>
      </c>
      <c r="AU94" s="100">
        <v>2289.8216712405065</v>
      </c>
      <c r="AV94" s="100">
        <v>2.5154206676433963</v>
      </c>
      <c r="AW94" s="100">
        <v>3000.3937723650429</v>
      </c>
      <c r="AX94" s="100">
        <v>4.5529675197046489</v>
      </c>
      <c r="AY94" s="100">
        <v>5430.7796575037046</v>
      </c>
      <c r="AZ94" s="100">
        <v>3.4736599335391065</v>
      </c>
      <c r="BA94" s="100">
        <v>4143.3815687254464</v>
      </c>
      <c r="BB94" s="100">
        <v>1.0509072287859618</v>
      </c>
      <c r="BC94" s="100">
        <v>1253.5221424958952</v>
      </c>
      <c r="BD94" s="100">
        <v>2.6692530949072015</v>
      </c>
      <c r="BE94" s="100">
        <v>3183.8850916053098</v>
      </c>
      <c r="BF94" s="100">
        <v>4.784090297361085</v>
      </c>
      <c r="BG94" s="100">
        <v>5706.4629066923017</v>
      </c>
      <c r="BH94" s="100">
        <v>3.4305543952588486</v>
      </c>
      <c r="BI94" s="100">
        <v>4091.9652826647543</v>
      </c>
      <c r="BJ94" s="100">
        <v>0.91597791597443201</v>
      </c>
      <c r="BK94" s="100">
        <v>1092.5784581743026</v>
      </c>
      <c r="BL94" s="100">
        <v>4.1535168921798942</v>
      </c>
      <c r="BM94" s="100">
        <v>4954.314948992178</v>
      </c>
      <c r="BN94" s="100">
        <v>3.5328349785536486</v>
      </c>
      <c r="BO94" s="100">
        <v>4213.9655624187917</v>
      </c>
      <c r="BP94" s="100">
        <v>5</v>
      </c>
      <c r="BQ94" s="100">
        <v>5964</v>
      </c>
      <c r="BR94" s="100">
        <v>4.6671332256265696</v>
      </c>
      <c r="BS94" s="100">
        <v>5566.9565115273717</v>
      </c>
      <c r="BT94" s="100">
        <v>2.8814945021030551</v>
      </c>
      <c r="BU94" s="100">
        <v>3437.0466421085239</v>
      </c>
      <c r="BV94" s="100">
        <v>3.1537360898920994</v>
      </c>
      <c r="BW94" s="100">
        <v>3761.776408023296</v>
      </c>
      <c r="BX94" s="100">
        <v>2.2277579336522844</v>
      </c>
      <c r="BY94" s="100">
        <v>2657.2696632604448</v>
      </c>
      <c r="BZ94" s="100">
        <v>1.8488582337720927</v>
      </c>
      <c r="CA94" s="100">
        <v>2205.318101243352</v>
      </c>
      <c r="CB94" s="100">
        <v>1.6940756592700783</v>
      </c>
      <c r="CC94" s="100">
        <v>2020.6934463773493</v>
      </c>
      <c r="CD94" s="100">
        <v>1.8905319504525715</v>
      </c>
      <c r="CE94" s="100">
        <v>2255.0265104998271</v>
      </c>
      <c r="CF94" s="100">
        <v>2.0626276378114494</v>
      </c>
      <c r="CG94" s="100">
        <v>2460.3022463814968</v>
      </c>
      <c r="CH94" s="100">
        <v>3.6045022210690263</v>
      </c>
      <c r="CI94" s="100">
        <v>4299.4502492911342</v>
      </c>
      <c r="CJ94" s="100">
        <v>2.5878281358168835</v>
      </c>
      <c r="CK94" s="100">
        <v>3086.7614004023785</v>
      </c>
      <c r="CL94" s="100">
        <v>2.0434544708315925</v>
      </c>
      <c r="CM94" s="100">
        <v>2437.4324928079236</v>
      </c>
      <c r="CN94" s="100">
        <v>3.0991111364866124</v>
      </c>
      <c r="CO94" s="100">
        <v>3696.6197636012312</v>
      </c>
      <c r="CP94" s="100">
        <v>4</v>
      </c>
      <c r="CQ94" s="100">
        <v>4771.2</v>
      </c>
      <c r="CR94" s="100">
        <v>4.5421850662127348</v>
      </c>
      <c r="CS94" s="100">
        <v>5417.9183469785494</v>
      </c>
      <c r="CT94" s="100">
        <v>2.3821967525225123</v>
      </c>
      <c r="CU94" s="100">
        <v>2841.4842864088528</v>
      </c>
    </row>
    <row r="95" spans="2:99">
      <c r="B95" s="99" t="s">
        <v>132</v>
      </c>
      <c r="C95" s="99" t="s">
        <v>261</v>
      </c>
      <c r="D95" s="100">
        <v>2.7476542701227964</v>
      </c>
      <c r="E95" s="100">
        <v>903.42872401637544</v>
      </c>
      <c r="F95" s="100">
        <v>5.6030435110363674</v>
      </c>
      <c r="G95" s="100">
        <v>1842.2807064287576</v>
      </c>
      <c r="H95" s="100">
        <v>4.7232442413725835</v>
      </c>
      <c r="I95" s="100">
        <v>1553.0027065633055</v>
      </c>
      <c r="J95" s="100">
        <v>4.4305225550713789</v>
      </c>
      <c r="K95" s="100">
        <v>1456.7558161074694</v>
      </c>
      <c r="L95" s="100">
        <v>5.3441613870493763</v>
      </c>
      <c r="M95" s="100">
        <v>1757.1602640618351</v>
      </c>
      <c r="N95" s="100">
        <v>4.6647087400475709</v>
      </c>
      <c r="O95" s="100">
        <v>1533.7562337276413</v>
      </c>
      <c r="P95" s="100">
        <v>4.4761849323563929</v>
      </c>
      <c r="Q95" s="100">
        <v>1471.7696057587821</v>
      </c>
      <c r="R95" s="100">
        <v>5.0041069454744838</v>
      </c>
      <c r="S95" s="100">
        <v>1645.3503636720104</v>
      </c>
      <c r="T95" s="100">
        <v>5.281893849426063</v>
      </c>
      <c r="U95" s="100">
        <v>1736.6866976912895</v>
      </c>
      <c r="V95" s="100">
        <v>4.3185789599949418</v>
      </c>
      <c r="W95" s="100">
        <v>1419.9487620463369</v>
      </c>
      <c r="X95" s="100">
        <v>5.3838513388935736</v>
      </c>
      <c r="Y95" s="100">
        <v>1770.2103202282071</v>
      </c>
      <c r="Z95" s="100">
        <v>4.4312734912815879</v>
      </c>
      <c r="AA95" s="100">
        <v>1457.0027239333861</v>
      </c>
      <c r="AB95" s="100">
        <v>3.6290799534902676</v>
      </c>
      <c r="AC95" s="100">
        <v>1193.2414887076</v>
      </c>
      <c r="AD95" s="100">
        <v>8.9214051111668926</v>
      </c>
      <c r="AE95" s="100">
        <v>2933.3580005516742</v>
      </c>
      <c r="AF95" s="100">
        <v>2.8719098626305115</v>
      </c>
      <c r="AG95" s="100">
        <v>944.28396283291227</v>
      </c>
      <c r="AH95" s="100">
        <v>9</v>
      </c>
      <c r="AI95" s="100">
        <v>2959.2000000000003</v>
      </c>
      <c r="AJ95" s="100">
        <v>6.5445412015251989</v>
      </c>
      <c r="AK95" s="100">
        <v>2151.8451470614855</v>
      </c>
      <c r="AL95" s="100">
        <v>2.2600883056857946</v>
      </c>
      <c r="AM95" s="100">
        <v>743.11703490948923</v>
      </c>
      <c r="AN95" s="100">
        <v>4.192065892152316</v>
      </c>
      <c r="AO95" s="100">
        <v>1378.3512653396815</v>
      </c>
      <c r="AP95" s="100">
        <v>3.8031385610062793</v>
      </c>
      <c r="AQ95" s="100">
        <v>1250.4719588588646</v>
      </c>
      <c r="AR95" s="100">
        <v>6.9051330264541564</v>
      </c>
      <c r="AS95" s="100">
        <v>2270.4077390981265</v>
      </c>
      <c r="AT95" s="100">
        <v>2.8795544155438968</v>
      </c>
      <c r="AU95" s="100">
        <v>946.79749183083334</v>
      </c>
      <c r="AV95" s="100">
        <v>6.7077884470490563</v>
      </c>
      <c r="AW95" s="100">
        <v>2205.5208413897299</v>
      </c>
      <c r="AX95" s="100">
        <v>7.3918145945708238</v>
      </c>
      <c r="AY95" s="100">
        <v>2430.428638694887</v>
      </c>
      <c r="AZ95" s="100">
        <v>4.3420749169238837</v>
      </c>
      <c r="BA95" s="100">
        <v>1427.6742326845731</v>
      </c>
      <c r="BB95" s="100">
        <v>1.2957967258214629</v>
      </c>
      <c r="BC95" s="100">
        <v>426.05796345009702</v>
      </c>
      <c r="BD95" s="100">
        <v>6.0058194635412034</v>
      </c>
      <c r="BE95" s="100">
        <v>1974.7134396123477</v>
      </c>
      <c r="BF95" s="100">
        <v>4.5213119099141865</v>
      </c>
      <c r="BG95" s="100">
        <v>1486.6073559797846</v>
      </c>
      <c r="BH95" s="100">
        <v>4.6046552518224182</v>
      </c>
      <c r="BI95" s="100">
        <v>1514.0106467992111</v>
      </c>
      <c r="BJ95" s="100">
        <v>1.9398641719968974</v>
      </c>
      <c r="BK95" s="100">
        <v>637.82733975257986</v>
      </c>
      <c r="BL95" s="100">
        <v>4.1604075963657756</v>
      </c>
      <c r="BM95" s="100">
        <v>1367.942017685067</v>
      </c>
      <c r="BN95" s="100">
        <v>5.2992524678304731</v>
      </c>
      <c r="BO95" s="100">
        <v>1742.3942114226595</v>
      </c>
      <c r="BP95" s="100">
        <v>7</v>
      </c>
      <c r="BQ95" s="100">
        <v>2301.6</v>
      </c>
      <c r="BR95" s="100">
        <v>6.2228443008354253</v>
      </c>
      <c r="BS95" s="100">
        <v>2046.0712061146878</v>
      </c>
      <c r="BT95" s="100">
        <v>5.2458178987879371</v>
      </c>
      <c r="BU95" s="100">
        <v>1724.8249251214738</v>
      </c>
      <c r="BV95" s="100">
        <v>4.9886548838623845</v>
      </c>
      <c r="BW95" s="100">
        <v>1640.2697258139522</v>
      </c>
      <c r="BX95" s="100">
        <v>4.7919734732109731</v>
      </c>
      <c r="BY95" s="100">
        <v>1575.6008779917679</v>
      </c>
      <c r="BZ95" s="100">
        <v>3.0180385505074279</v>
      </c>
      <c r="CA95" s="100">
        <v>992.33107540684227</v>
      </c>
      <c r="CB95" s="100">
        <v>2.8628439795252119</v>
      </c>
      <c r="CC95" s="100">
        <v>941.30310046788964</v>
      </c>
      <c r="CD95" s="100">
        <v>2.9927730934938661</v>
      </c>
      <c r="CE95" s="100">
        <v>984.02379314078325</v>
      </c>
      <c r="CF95" s="100">
        <v>2.7354826627023474</v>
      </c>
      <c r="CG95" s="100">
        <v>899.42669949653191</v>
      </c>
      <c r="CH95" s="100">
        <v>4.5162126803264222</v>
      </c>
      <c r="CI95" s="100">
        <v>1484.9307292913277</v>
      </c>
      <c r="CJ95" s="100">
        <v>4.690471098789077</v>
      </c>
      <c r="CK95" s="100">
        <v>1542.2268972818486</v>
      </c>
      <c r="CL95" s="100">
        <v>4.3791251499647093</v>
      </c>
      <c r="CM95" s="100">
        <v>1439.8563493083964</v>
      </c>
      <c r="CN95" s="100">
        <v>4.1321481819821502</v>
      </c>
      <c r="CO95" s="100">
        <v>1358.650322235731</v>
      </c>
      <c r="CP95" s="100">
        <v>7</v>
      </c>
      <c r="CQ95" s="100">
        <v>2301.6</v>
      </c>
      <c r="CR95" s="100">
        <v>4.9986030216830919</v>
      </c>
      <c r="CS95" s="100">
        <v>1643.5406735294007</v>
      </c>
      <c r="CT95" s="100">
        <v>5.8205348887546648</v>
      </c>
      <c r="CU95" s="100">
        <v>1913.7918714225339</v>
      </c>
    </row>
    <row r="96" spans="2:99">
      <c r="C96" s="99" t="s">
        <v>262</v>
      </c>
      <c r="D96" s="100">
        <v>2.7476542701227964</v>
      </c>
      <c r="E96" s="100">
        <v>1909.0701868813187</v>
      </c>
      <c r="F96" s="100">
        <v>5.6030435110363674</v>
      </c>
      <c r="G96" s="100">
        <v>3892.9946314680678</v>
      </c>
      <c r="H96" s="100">
        <v>4.7232442413725835</v>
      </c>
      <c r="I96" s="100">
        <v>3281.7100989056707</v>
      </c>
      <c r="J96" s="100">
        <v>4.4305225550713789</v>
      </c>
      <c r="K96" s="100">
        <v>3078.327071263594</v>
      </c>
      <c r="L96" s="100">
        <v>5.3441613870493763</v>
      </c>
      <c r="M96" s="100">
        <v>3713.1233317219062</v>
      </c>
      <c r="N96" s="100">
        <v>3.8839818958156362</v>
      </c>
      <c r="O96" s="100">
        <v>2698.5906212127038</v>
      </c>
      <c r="P96" s="100">
        <v>4.4761849323563929</v>
      </c>
      <c r="Q96" s="100">
        <v>3110.0532910012216</v>
      </c>
      <c r="R96" s="100">
        <v>5.6296203136587941</v>
      </c>
      <c r="S96" s="100">
        <v>3911.4601939301301</v>
      </c>
      <c r="T96" s="100">
        <v>6.162209490997073</v>
      </c>
      <c r="U96" s="100">
        <v>4281.5031543447658</v>
      </c>
      <c r="V96" s="100">
        <v>3.7016391085670932</v>
      </c>
      <c r="W96" s="100">
        <v>2571.898852632416</v>
      </c>
      <c r="X96" s="100">
        <v>4.4865427824113118</v>
      </c>
      <c r="Y96" s="100">
        <v>3117.2499252193793</v>
      </c>
      <c r="Z96" s="100">
        <v>4.9025960719446111</v>
      </c>
      <c r="AA96" s="100">
        <v>3406.3237507871154</v>
      </c>
      <c r="AB96" s="100">
        <v>3.2661719581412405</v>
      </c>
      <c r="AC96" s="100">
        <v>2269.3362765165339</v>
      </c>
      <c r="AD96" s="100">
        <v>9.8135456222835824</v>
      </c>
      <c r="AE96" s="100">
        <v>6818.4514983626323</v>
      </c>
      <c r="AF96" s="100">
        <v>2.4616370251118673</v>
      </c>
      <c r="AG96" s="100">
        <v>1710.3454050477253</v>
      </c>
      <c r="AH96" s="100">
        <v>9</v>
      </c>
      <c r="AI96" s="100">
        <v>6253.2</v>
      </c>
      <c r="AJ96" s="100">
        <v>7.175238971690967</v>
      </c>
      <c r="AK96" s="100">
        <v>4985.3560375308834</v>
      </c>
      <c r="AL96" s="100">
        <v>2.6134800800695288</v>
      </c>
      <c r="AM96" s="100">
        <v>1815.8459596323084</v>
      </c>
      <c r="AN96" s="100">
        <v>4.6427895865059767</v>
      </c>
      <c r="AO96" s="100">
        <v>3225.8102047043526</v>
      </c>
      <c r="AP96" s="100">
        <v>3.8031385610062793</v>
      </c>
      <c r="AQ96" s="100">
        <v>2642.4206721871628</v>
      </c>
      <c r="AR96" s="100">
        <v>6.9051330264541564</v>
      </c>
      <c r="AS96" s="100">
        <v>4797.6864267803476</v>
      </c>
      <c r="AT96" s="100">
        <v>2.8795544155438968</v>
      </c>
      <c r="AU96" s="100">
        <v>2000.7144079198993</v>
      </c>
      <c r="AV96" s="100">
        <v>6.7077884470490563</v>
      </c>
      <c r="AW96" s="100">
        <v>4660.571413009684</v>
      </c>
      <c r="AX96" s="100">
        <v>6.0909667317980665</v>
      </c>
      <c r="AY96" s="100">
        <v>4232.0036852532967</v>
      </c>
      <c r="AZ96" s="100">
        <v>5.2104899003086604</v>
      </c>
      <c r="BA96" s="100">
        <v>3620.2483827344572</v>
      </c>
      <c r="BB96" s="100">
        <v>1.3676691662031579</v>
      </c>
      <c r="BC96" s="100">
        <v>950.25653667795405</v>
      </c>
      <c r="BD96" s="100">
        <v>5.3385061898144031</v>
      </c>
      <c r="BE96" s="100">
        <v>3709.1941006830471</v>
      </c>
      <c r="BF96" s="100">
        <v>3.8754102084978741</v>
      </c>
      <c r="BG96" s="100">
        <v>2692.6350128643226</v>
      </c>
      <c r="BH96" s="100">
        <v>5.1764143176988933</v>
      </c>
      <c r="BI96" s="100">
        <v>3596.572667937191</v>
      </c>
      <c r="BJ96" s="100">
        <v>2.1162154603602521</v>
      </c>
      <c r="BK96" s="100">
        <v>1470.3465018583031</v>
      </c>
      <c r="BL96" s="100">
        <v>4.1604075963657756</v>
      </c>
      <c r="BM96" s="100">
        <v>2890.6511979549409</v>
      </c>
      <c r="BN96" s="100">
        <v>5.8880582975894145</v>
      </c>
      <c r="BO96" s="100">
        <v>4091.0229051651249</v>
      </c>
      <c r="BP96" s="100">
        <v>9</v>
      </c>
      <c r="BQ96" s="100">
        <v>6253.2</v>
      </c>
      <c r="BR96" s="100">
        <v>6.2228443008354253</v>
      </c>
      <c r="BS96" s="100">
        <v>4323.6322202204528</v>
      </c>
      <c r="BT96" s="100">
        <v>5.9015451361364288</v>
      </c>
      <c r="BU96" s="100">
        <v>4100.3935605875904</v>
      </c>
      <c r="BV96" s="100">
        <v>4.4152305258489397</v>
      </c>
      <c r="BW96" s="100">
        <v>3067.7021693598431</v>
      </c>
      <c r="BX96" s="100">
        <v>4.3913429374080675</v>
      </c>
      <c r="BY96" s="100">
        <v>3051.1050729111253</v>
      </c>
      <c r="BZ96" s="100">
        <v>3.0369484077764479</v>
      </c>
      <c r="CA96" s="100">
        <v>2110.0717537230757</v>
      </c>
      <c r="CB96" s="100">
        <v>2.8471842219563772</v>
      </c>
      <c r="CC96" s="100">
        <v>1978.2235974152907</v>
      </c>
      <c r="CD96" s="100">
        <v>2.9818045078168107</v>
      </c>
      <c r="CE96" s="100">
        <v>2071.7577720311201</v>
      </c>
      <c r="CF96" s="100">
        <v>2.3935473298645533</v>
      </c>
      <c r="CG96" s="100">
        <v>1663.0366847898915</v>
      </c>
      <c r="CH96" s="100">
        <v>4.4950428723461462</v>
      </c>
      <c r="CI96" s="100">
        <v>3123.1557877061023</v>
      </c>
      <c r="CJ96" s="100">
        <v>4.2659014699289983</v>
      </c>
      <c r="CK96" s="100">
        <v>2963.9483413066678</v>
      </c>
      <c r="CL96" s="100">
        <v>3.9810228636042808</v>
      </c>
      <c r="CM96" s="100">
        <v>2766.014685632254</v>
      </c>
      <c r="CN96" s="100">
        <v>4.1321481819821502</v>
      </c>
      <c r="CO96" s="100">
        <v>2871.0165568411976</v>
      </c>
      <c r="CP96" s="100">
        <v>7</v>
      </c>
      <c r="CQ96" s="100">
        <v>4863.5999999999995</v>
      </c>
      <c r="CR96" s="100">
        <v>5.6234283993934779</v>
      </c>
      <c r="CS96" s="100">
        <v>3907.1580518985884</v>
      </c>
      <c r="CT96" s="100">
        <v>6.6153130352531768</v>
      </c>
      <c r="CU96" s="100">
        <v>4596.3194968939069</v>
      </c>
    </row>
    <row r="97" spans="2:99">
      <c r="C97" s="99" t="s">
        <v>263</v>
      </c>
      <c r="D97" s="100">
        <v>2.7476542701227964</v>
      </c>
      <c r="E97" s="100">
        <v>1078.1795355961851</v>
      </c>
      <c r="F97" s="100">
        <v>4.9804831209212157</v>
      </c>
      <c r="G97" s="100">
        <v>1954.341576649485</v>
      </c>
      <c r="H97" s="100">
        <v>5.2480491570806489</v>
      </c>
      <c r="I97" s="100">
        <v>2059.3344892384466</v>
      </c>
      <c r="J97" s="100">
        <v>3.6921021292261491</v>
      </c>
      <c r="K97" s="100">
        <v>1448.7808755083408</v>
      </c>
      <c r="L97" s="100">
        <v>5.3441613870493763</v>
      </c>
      <c r="M97" s="100">
        <v>2097.048928278175</v>
      </c>
      <c r="N97" s="100">
        <v>4.6450564147035349</v>
      </c>
      <c r="O97" s="100">
        <v>1822.7201371296669</v>
      </c>
      <c r="P97" s="100">
        <v>3.768562008416827</v>
      </c>
      <c r="Q97" s="100">
        <v>1478.7837321027628</v>
      </c>
      <c r="R97" s="100">
        <v>5.6296203136587941</v>
      </c>
      <c r="S97" s="100">
        <v>2209.0630110797106</v>
      </c>
      <c r="T97" s="100">
        <v>5.7530523794525088</v>
      </c>
      <c r="U97" s="100">
        <v>2257.4977536971642</v>
      </c>
      <c r="V97" s="100">
        <v>4.3185789599949418</v>
      </c>
      <c r="W97" s="100">
        <v>1694.610383902015</v>
      </c>
      <c r="X97" s="100">
        <v>5.3838513388935736</v>
      </c>
      <c r="Y97" s="100">
        <v>2112.6232653818383</v>
      </c>
      <c r="Z97" s="100">
        <v>4.4084909793513338</v>
      </c>
      <c r="AA97" s="100">
        <v>1729.8918602974634</v>
      </c>
      <c r="AB97" s="100">
        <v>3.6290799534902676</v>
      </c>
      <c r="AC97" s="100">
        <v>1424.0509737495809</v>
      </c>
      <c r="AD97" s="100">
        <v>8.9577550515982285</v>
      </c>
      <c r="AE97" s="100">
        <v>3515.0230822471444</v>
      </c>
      <c r="AF97" s="100">
        <v>2.8719098626305115</v>
      </c>
      <c r="AG97" s="100">
        <v>1126.9374300962127</v>
      </c>
      <c r="AH97" s="100">
        <v>8</v>
      </c>
      <c r="AI97" s="100">
        <v>3139.2</v>
      </c>
      <c r="AJ97" s="100">
        <v>7.175238971690967</v>
      </c>
      <c r="AK97" s="100">
        <v>2815.5637724915355</v>
      </c>
      <c r="AL97" s="100">
        <v>2.5960128726466052</v>
      </c>
      <c r="AM97" s="100">
        <v>1018.6754512265278</v>
      </c>
      <c r="AN97" s="100">
        <v>4.192065892152316</v>
      </c>
      <c r="AO97" s="100">
        <v>1644.9666560805688</v>
      </c>
      <c r="AP97" s="100">
        <v>3.8031385610062793</v>
      </c>
      <c r="AQ97" s="100">
        <v>1492.351571338864</v>
      </c>
      <c r="AR97" s="100">
        <v>8.140128335756069</v>
      </c>
      <c r="AS97" s="100">
        <v>3194.1863589506811</v>
      </c>
      <c r="AT97" s="100">
        <v>2.8795544155438968</v>
      </c>
      <c r="AU97" s="100">
        <v>1129.937152659425</v>
      </c>
      <c r="AV97" s="100">
        <v>7.5462620029301881</v>
      </c>
      <c r="AW97" s="100">
        <v>2961.1532099498058</v>
      </c>
      <c r="AX97" s="100">
        <v>6.7413906631844451</v>
      </c>
      <c r="AY97" s="100">
        <v>2645.3216962335759</v>
      </c>
      <c r="AZ97" s="100">
        <v>5.2104899003086604</v>
      </c>
      <c r="BA97" s="100">
        <v>2044.5962368811183</v>
      </c>
      <c r="BB97" s="100">
        <v>1.5368310009690103</v>
      </c>
      <c r="BC97" s="100">
        <v>603.05248478023964</v>
      </c>
      <c r="BD97" s="100">
        <v>5.3385061898144031</v>
      </c>
      <c r="BE97" s="100">
        <v>2094.8298288831716</v>
      </c>
      <c r="BF97" s="100">
        <v>4.5213119099141865</v>
      </c>
      <c r="BG97" s="100">
        <v>1774.1627934503267</v>
      </c>
      <c r="BH97" s="100">
        <v>5.1764143176988933</v>
      </c>
      <c r="BI97" s="100">
        <v>2031.2249782650456</v>
      </c>
      <c r="BJ97" s="100">
        <v>1.9398641719968974</v>
      </c>
      <c r="BK97" s="100">
        <v>761.20270109158253</v>
      </c>
      <c r="BL97" s="100">
        <v>4.6917508147185414</v>
      </c>
      <c r="BM97" s="100">
        <v>1841.0430196955556</v>
      </c>
      <c r="BN97" s="100">
        <v>6.4768641273483549</v>
      </c>
      <c r="BO97" s="100">
        <v>2541.5214835714942</v>
      </c>
      <c r="BP97" s="100">
        <v>8</v>
      </c>
      <c r="BQ97" s="100">
        <v>3139.2</v>
      </c>
      <c r="BR97" s="100">
        <v>5.4449887632309979</v>
      </c>
      <c r="BS97" s="100">
        <v>2136.6135906918435</v>
      </c>
      <c r="BT97" s="100">
        <v>5.9015451361364288</v>
      </c>
      <c r="BU97" s="100">
        <v>2315.7663114199345</v>
      </c>
      <c r="BV97" s="100">
        <v>4.4152305258489397</v>
      </c>
      <c r="BW97" s="100">
        <v>1732.5364583431237</v>
      </c>
      <c r="BX97" s="100">
        <v>4.8080167056850982</v>
      </c>
      <c r="BY97" s="100">
        <v>1886.6657553108325</v>
      </c>
      <c r="BZ97" s="100">
        <v>3.0369484077764479</v>
      </c>
      <c r="CA97" s="100">
        <v>1191.6985552114782</v>
      </c>
      <c r="CB97" s="100">
        <v>2.8628439795252119</v>
      </c>
      <c r="CC97" s="100">
        <v>1123.379977565693</v>
      </c>
      <c r="CD97" s="100">
        <v>2.9818045078168107</v>
      </c>
      <c r="CE97" s="100">
        <v>1170.0600888673164</v>
      </c>
      <c r="CF97" s="100">
        <v>2.7244670219176581</v>
      </c>
      <c r="CG97" s="100">
        <v>1069.0808594004891</v>
      </c>
      <c r="CH97" s="100">
        <v>4.1132819706484138</v>
      </c>
      <c r="CI97" s="100">
        <v>1614.0518452824374</v>
      </c>
      <c r="CJ97" s="100">
        <v>4.690471098789077</v>
      </c>
      <c r="CK97" s="100">
        <v>1840.5408591648336</v>
      </c>
      <c r="CL97" s="100">
        <v>4.7419320769721693</v>
      </c>
      <c r="CM97" s="100">
        <v>1860.7341470038791</v>
      </c>
      <c r="CN97" s="100">
        <v>4.6486667047299184</v>
      </c>
      <c r="CO97" s="100">
        <v>1824.1368149360198</v>
      </c>
      <c r="CP97" s="100">
        <v>7</v>
      </c>
      <c r="CQ97" s="100">
        <v>2746.7999999999997</v>
      </c>
      <c r="CR97" s="100">
        <v>4.9986030216830919</v>
      </c>
      <c r="CS97" s="100">
        <v>1961.4518257084451</v>
      </c>
      <c r="CT97" s="100">
        <v>6.0861734999118431</v>
      </c>
      <c r="CU97" s="100">
        <v>2388.2144813654072</v>
      </c>
    </row>
    <row r="98" spans="2:99">
      <c r="C98" s="99" t="s">
        <v>264</v>
      </c>
      <c r="D98" s="100">
        <v>2.7476542701227964</v>
      </c>
      <c r="E98" s="100">
        <v>1444.1670843765419</v>
      </c>
      <c r="F98" s="100">
        <v>5.6030435110363674</v>
      </c>
      <c r="G98" s="100">
        <v>2944.959669400715</v>
      </c>
      <c r="H98" s="100">
        <v>5.7728540727887134</v>
      </c>
      <c r="I98" s="100">
        <v>3034.2121006577481</v>
      </c>
      <c r="J98" s="100">
        <v>4.4305225550713789</v>
      </c>
      <c r="K98" s="100">
        <v>2328.6826549455168</v>
      </c>
      <c r="L98" s="100">
        <v>4.5807097603280367</v>
      </c>
      <c r="M98" s="100">
        <v>2407.621050028416</v>
      </c>
      <c r="N98" s="100">
        <v>4.44853316126318</v>
      </c>
      <c r="O98" s="100">
        <v>2338.1490295599274</v>
      </c>
      <c r="P98" s="100">
        <v>3.768562008416827</v>
      </c>
      <c r="Q98" s="100">
        <v>1980.7561916238844</v>
      </c>
      <c r="R98" s="100">
        <v>5.0041069454744838</v>
      </c>
      <c r="S98" s="100">
        <v>2630.158610541389</v>
      </c>
      <c r="T98" s="100">
        <v>5.281893849426063</v>
      </c>
      <c r="U98" s="100">
        <v>2776.1634072583388</v>
      </c>
      <c r="V98" s="100">
        <v>3.7016391085670932</v>
      </c>
      <c r="W98" s="100">
        <v>1945.5815154628642</v>
      </c>
      <c r="X98" s="100">
        <v>5.3838513388935736</v>
      </c>
      <c r="Y98" s="100">
        <v>2829.7522637224624</v>
      </c>
      <c r="Z98" s="100">
        <v>4.4084909793513338</v>
      </c>
      <c r="AA98" s="100">
        <v>2317.102858747061</v>
      </c>
      <c r="AB98" s="100">
        <v>2.9032639627922134</v>
      </c>
      <c r="AC98" s="100">
        <v>1525.9555388435874</v>
      </c>
      <c r="AD98" s="100">
        <v>8.9214051111668926</v>
      </c>
      <c r="AE98" s="100">
        <v>4689.0905264293187</v>
      </c>
      <c r="AF98" s="100">
        <v>2.8719098626305115</v>
      </c>
      <c r="AG98" s="100">
        <v>1509.4758237985968</v>
      </c>
      <c r="AH98" s="100">
        <v>9</v>
      </c>
      <c r="AI98" s="100">
        <v>4730.4000000000005</v>
      </c>
      <c r="AJ98" s="100">
        <v>6.5445412015251989</v>
      </c>
      <c r="AK98" s="100">
        <v>3439.8108555216445</v>
      </c>
      <c r="AL98" s="100">
        <v>2.5960128726466052</v>
      </c>
      <c r="AM98" s="100">
        <v>1364.4643658630557</v>
      </c>
      <c r="AN98" s="100">
        <v>4.6621542497873163</v>
      </c>
      <c r="AO98" s="100">
        <v>2450.4282736882137</v>
      </c>
      <c r="AP98" s="100">
        <v>4.3464440697214624</v>
      </c>
      <c r="AQ98" s="100">
        <v>2284.4910030456008</v>
      </c>
      <c r="AR98" s="100">
        <v>6.9051330264541564</v>
      </c>
      <c r="AS98" s="100">
        <v>3629.3379187043047</v>
      </c>
      <c r="AT98" s="100">
        <v>2.8795544155438968</v>
      </c>
      <c r="AU98" s="100">
        <v>1513.4938008098723</v>
      </c>
      <c r="AV98" s="100">
        <v>6.7077884470490563</v>
      </c>
      <c r="AW98" s="100">
        <v>3525.6136077689844</v>
      </c>
      <c r="AX98" s="100">
        <v>6.504239313863784</v>
      </c>
      <c r="AY98" s="100">
        <v>3418.6281833668049</v>
      </c>
      <c r="AZ98" s="100">
        <v>5.2104899003086604</v>
      </c>
      <c r="BA98" s="100">
        <v>2738.633491602232</v>
      </c>
      <c r="BB98" s="100">
        <v>1.3748564102413274</v>
      </c>
      <c r="BC98" s="100">
        <v>722.62452922284172</v>
      </c>
      <c r="BD98" s="100">
        <v>6.0058194635412034</v>
      </c>
      <c r="BE98" s="100">
        <v>3156.6587100372567</v>
      </c>
      <c r="BF98" s="100">
        <v>4.5213119099141865</v>
      </c>
      <c r="BG98" s="100">
        <v>2376.4015398508964</v>
      </c>
      <c r="BH98" s="100">
        <v>5.1764143176988933</v>
      </c>
      <c r="BI98" s="100">
        <v>2720.7233653825383</v>
      </c>
      <c r="BJ98" s="100">
        <v>1.9398641719968974</v>
      </c>
      <c r="BK98" s="100">
        <v>1019.5926088015693</v>
      </c>
      <c r="BL98" s="100">
        <v>4.1604075963657756</v>
      </c>
      <c r="BM98" s="100">
        <v>2186.7102326498516</v>
      </c>
      <c r="BN98" s="100">
        <v>5.8880582975894145</v>
      </c>
      <c r="BO98" s="100">
        <v>3094.7634412129964</v>
      </c>
      <c r="BP98" s="100">
        <v>9</v>
      </c>
      <c r="BQ98" s="100">
        <v>4730.4000000000005</v>
      </c>
      <c r="BR98" s="100">
        <v>6.2228443008354253</v>
      </c>
      <c r="BS98" s="100">
        <v>3270.7269645190995</v>
      </c>
      <c r="BT98" s="100">
        <v>6.5572723734849205</v>
      </c>
      <c r="BU98" s="100">
        <v>3446.5023595036746</v>
      </c>
      <c r="BV98" s="100">
        <v>3.8418061678354953</v>
      </c>
      <c r="BW98" s="100">
        <v>2019.2533218143365</v>
      </c>
      <c r="BX98" s="100">
        <v>4.3752997049339424</v>
      </c>
      <c r="BY98" s="100">
        <v>2299.6575249132802</v>
      </c>
      <c r="BZ98" s="100">
        <v>2.6220084925059757</v>
      </c>
      <c r="CA98" s="100">
        <v>1378.1276636611408</v>
      </c>
      <c r="CB98" s="100">
        <v>3.2315537428518102</v>
      </c>
      <c r="CC98" s="100">
        <v>1698.5046472429115</v>
      </c>
      <c r="CD98" s="100">
        <v>2.7226971005720699</v>
      </c>
      <c r="CE98" s="100">
        <v>1431.04959606068</v>
      </c>
      <c r="CF98" s="100">
        <v>2.3935473298645533</v>
      </c>
      <c r="CG98" s="100">
        <v>1258.0484765768092</v>
      </c>
      <c r="CH98" s="100">
        <v>4.1132819706484138</v>
      </c>
      <c r="CI98" s="100">
        <v>2161.9410037728062</v>
      </c>
      <c r="CJ98" s="100">
        <v>4.690471098789077</v>
      </c>
      <c r="CK98" s="100">
        <v>2465.3116095235391</v>
      </c>
      <c r="CL98" s="100">
        <v>4.3614774702882251</v>
      </c>
      <c r="CM98" s="100">
        <v>2292.3925583834912</v>
      </c>
      <c r="CN98" s="100">
        <v>4.6486667047299184</v>
      </c>
      <c r="CO98" s="100">
        <v>2443.3392200060453</v>
      </c>
      <c r="CP98" s="100">
        <v>8</v>
      </c>
      <c r="CQ98" s="100">
        <v>4204.8</v>
      </c>
      <c r="CR98" s="100">
        <v>4.9986030216830919</v>
      </c>
      <c r="CS98" s="100">
        <v>2627.265748196633</v>
      </c>
      <c r="CT98" s="100">
        <v>5.8205348887546648</v>
      </c>
      <c r="CU98" s="100">
        <v>3059.273137529452</v>
      </c>
    </row>
    <row r="99" spans="2:99">
      <c r="C99" s="99" t="s">
        <v>265</v>
      </c>
      <c r="D99" s="100">
        <v>2.198123416098237</v>
      </c>
      <c r="E99" s="100">
        <v>9250.5825843078201</v>
      </c>
      <c r="F99" s="100">
        <v>4.3579227308060631</v>
      </c>
      <c r="G99" s="100">
        <v>18339.882020324236</v>
      </c>
      <c r="H99" s="100">
        <v>4.1984393256645181</v>
      </c>
      <c r="I99" s="100">
        <v>17668.712058126555</v>
      </c>
      <c r="J99" s="100">
        <v>2.9536817033809193</v>
      </c>
      <c r="K99" s="100">
        <v>12430.274080508259</v>
      </c>
      <c r="L99" s="100">
        <v>3.8172581336066971</v>
      </c>
      <c r="M99" s="100">
        <v>16064.549129470422</v>
      </c>
      <c r="N99" s="100">
        <v>3.8643295704716003</v>
      </c>
      <c r="O99" s="100">
        <v>16262.644564372682</v>
      </c>
      <c r="P99" s="100">
        <v>3.739756084826952</v>
      </c>
      <c r="Q99" s="100">
        <v>15738.389507385744</v>
      </c>
      <c r="R99" s="100">
        <v>4.3785935772901734</v>
      </c>
      <c r="S99" s="100">
        <v>18426.873210667964</v>
      </c>
      <c r="T99" s="100">
        <v>4.401578207855052</v>
      </c>
      <c r="U99" s="100">
        <v>18523.6017299372</v>
      </c>
      <c r="V99" s="100">
        <v>3.0846992571392446</v>
      </c>
      <c r="W99" s="100">
        <v>12981.648353744797</v>
      </c>
      <c r="X99" s="100">
        <v>4.4865427824113118</v>
      </c>
      <c r="Y99" s="100">
        <v>18881.166645499761</v>
      </c>
      <c r="Z99" s="100">
        <v>3.8232558390370333</v>
      </c>
      <c r="AA99" s="100">
        <v>16089.789873003449</v>
      </c>
      <c r="AB99" s="100">
        <v>2.5403559674431873</v>
      </c>
      <c r="AC99" s="100">
        <v>10690.834053387909</v>
      </c>
      <c r="AD99" s="100">
        <v>7.9929146596188669</v>
      </c>
      <c r="AE99" s="100">
        <v>33637.382053540037</v>
      </c>
      <c r="AF99" s="100">
        <v>2.4616370251118673</v>
      </c>
      <c r="AG99" s="100">
        <v>10359.553256480782</v>
      </c>
      <c r="AH99" s="100">
        <v>7</v>
      </c>
      <c r="AI99" s="100">
        <v>29458.799999999996</v>
      </c>
      <c r="AJ99" s="100">
        <v>5.2237547862267837</v>
      </c>
      <c r="AK99" s="100">
        <v>21983.649642356795</v>
      </c>
      <c r="AL99" s="100">
        <v>1.8717621164562128</v>
      </c>
      <c r="AM99" s="100">
        <v>7877.1236908943256</v>
      </c>
      <c r="AN99" s="100">
        <v>3.7219775345173169</v>
      </c>
      <c r="AO99" s="100">
        <v>15663.570256262676</v>
      </c>
      <c r="AP99" s="100">
        <v>3.2598330522910968</v>
      </c>
      <c r="AQ99" s="100">
        <v>13718.681417261851</v>
      </c>
      <c r="AR99" s="100">
        <v>5.1788497698406175</v>
      </c>
      <c r="AS99" s="100">
        <v>21794.671371397253</v>
      </c>
      <c r="AT99" s="100">
        <v>2.5596039249279081</v>
      </c>
      <c r="AU99" s="100">
        <v>10771.837157666607</v>
      </c>
      <c r="AV99" s="100">
        <v>6.7077884470490563</v>
      </c>
      <c r="AW99" s="100">
        <v>28229.056900561245</v>
      </c>
      <c r="AX99" s="100">
        <v>5.4168276654796204</v>
      </c>
      <c r="AY99" s="100">
        <v>22796.177547404433</v>
      </c>
      <c r="AZ99" s="100">
        <v>4.3420749169238837</v>
      </c>
      <c r="BA99" s="100">
        <v>18273.188080382472</v>
      </c>
      <c r="BB99" s="100">
        <v>1.1985073314373054</v>
      </c>
      <c r="BC99" s="100">
        <v>5043.7982536207555</v>
      </c>
      <c r="BD99" s="100">
        <v>4.6711929160876027</v>
      </c>
      <c r="BE99" s="100">
        <v>19658.248268063064</v>
      </c>
      <c r="BF99" s="100">
        <v>3.2295085070815617</v>
      </c>
      <c r="BG99" s="100">
        <v>13591.063601202042</v>
      </c>
      <c r="BH99" s="100">
        <v>4.0252505047432887</v>
      </c>
      <c r="BI99" s="100">
        <v>16939.864224161654</v>
      </c>
      <c r="BJ99" s="100">
        <v>1.4108103069068345</v>
      </c>
      <c r="BK99" s="100">
        <v>5937.2540955867216</v>
      </c>
      <c r="BL99" s="100">
        <v>3.5188131110389063</v>
      </c>
      <c r="BM99" s="100">
        <v>14808.573096496131</v>
      </c>
      <c r="BN99" s="100">
        <v>4.1216408083125895</v>
      </c>
      <c r="BO99" s="100">
        <v>17345.513177702702</v>
      </c>
      <c r="BP99" s="100">
        <v>7</v>
      </c>
      <c r="BQ99" s="100">
        <v>29458.799999999996</v>
      </c>
      <c r="BR99" s="100">
        <v>4.6671332256265696</v>
      </c>
      <c r="BS99" s="100">
        <v>19641.163466726855</v>
      </c>
      <c r="BT99" s="100">
        <v>4.5900906614394446</v>
      </c>
      <c r="BU99" s="100">
        <v>19316.937539601757</v>
      </c>
      <c r="BV99" s="100">
        <v>3.1537360898920994</v>
      </c>
      <c r="BW99" s="100">
        <v>13272.18296070191</v>
      </c>
      <c r="BX99" s="100">
        <v>4.3432132399856913</v>
      </c>
      <c r="BY99" s="100">
        <v>18277.97859915578</v>
      </c>
      <c r="BZ99" s="100">
        <v>2.6030986352369552</v>
      </c>
      <c r="CA99" s="100">
        <v>10954.880296531201</v>
      </c>
      <c r="CB99" s="100">
        <v>2.431495185923275</v>
      </c>
      <c r="CC99" s="100">
        <v>10232.70434043951</v>
      </c>
      <c r="CD99" s="100">
        <v>2.7117285148950141</v>
      </c>
      <c r="CE99" s="100">
        <v>11412.038282084177</v>
      </c>
      <c r="CF99" s="100">
        <v>2.3825316890798645</v>
      </c>
      <c r="CG99" s="100">
        <v>10026.646360323701</v>
      </c>
      <c r="CH99" s="100">
        <v>4.0497725467075858</v>
      </c>
      <c r="CI99" s="100">
        <v>17043.062785564201</v>
      </c>
      <c r="CJ99" s="100">
        <v>3.8211266597407154</v>
      </c>
      <c r="CK99" s="100">
        <v>16080.829434852825</v>
      </c>
      <c r="CL99" s="100">
        <v>3.5829205772438533</v>
      </c>
      <c r="CM99" s="100">
        <v>15078.362957273031</v>
      </c>
      <c r="CN99" s="100">
        <v>3.6156296592343811</v>
      </c>
      <c r="CO99" s="100">
        <v>15216.015857921968</v>
      </c>
      <c r="CP99" s="100">
        <v>7</v>
      </c>
      <c r="CQ99" s="100">
        <v>29458.799999999996</v>
      </c>
      <c r="CR99" s="100">
        <v>3.7489522662623189</v>
      </c>
      <c r="CS99" s="100">
        <v>15777.090717338342</v>
      </c>
      <c r="CT99" s="100">
        <v>4.2331162827306654</v>
      </c>
      <c r="CU99" s="100">
        <v>17814.646564243732</v>
      </c>
    </row>
    <row r="100" spans="2:99">
      <c r="C100" s="99" t="s">
        <v>266</v>
      </c>
      <c r="D100" s="100">
        <v>3.2971851241473553</v>
      </c>
      <c r="E100" s="100">
        <v>1068.287980223743</v>
      </c>
      <c r="F100" s="100">
        <v>5.6030435110363674</v>
      </c>
      <c r="G100" s="100">
        <v>1815.386097575783</v>
      </c>
      <c r="H100" s="100">
        <v>5.2480491570806489</v>
      </c>
      <c r="I100" s="100">
        <v>1700.3679268941303</v>
      </c>
      <c r="J100" s="100">
        <v>4.4305225550713789</v>
      </c>
      <c r="K100" s="100">
        <v>1435.4893078431269</v>
      </c>
      <c r="L100" s="100">
        <v>5.3441613870493763</v>
      </c>
      <c r="M100" s="100">
        <v>1731.5082894039979</v>
      </c>
      <c r="N100" s="100">
        <v>3.9036342211596713</v>
      </c>
      <c r="O100" s="100">
        <v>1264.7774876557335</v>
      </c>
      <c r="P100" s="100">
        <v>3.768562008416827</v>
      </c>
      <c r="Q100" s="100">
        <v>1221.014090727052</v>
      </c>
      <c r="R100" s="100">
        <v>5.6296203136587941</v>
      </c>
      <c r="S100" s="100">
        <v>1823.9969816254493</v>
      </c>
      <c r="T100" s="100">
        <v>5.281893849426063</v>
      </c>
      <c r="U100" s="100">
        <v>1711.3336072140444</v>
      </c>
      <c r="V100" s="100">
        <v>4.3185789599949418</v>
      </c>
      <c r="W100" s="100">
        <v>1399.2195830383612</v>
      </c>
      <c r="X100" s="100">
        <v>5.3838513388935736</v>
      </c>
      <c r="Y100" s="100">
        <v>1744.3678338015179</v>
      </c>
      <c r="Z100" s="100">
        <v>4.385708467421078</v>
      </c>
      <c r="AA100" s="100">
        <v>1420.9695434444293</v>
      </c>
      <c r="AB100" s="100">
        <v>3.6290799534902676</v>
      </c>
      <c r="AC100" s="100">
        <v>1175.8219049308466</v>
      </c>
      <c r="AD100" s="100">
        <v>8.9214051111668926</v>
      </c>
      <c r="AE100" s="100">
        <v>2890.5352560180731</v>
      </c>
      <c r="AF100" s="100">
        <v>2.8719098626305115</v>
      </c>
      <c r="AG100" s="100">
        <v>930.49879549228569</v>
      </c>
      <c r="AH100" s="100">
        <v>8</v>
      </c>
      <c r="AI100" s="100">
        <v>2592</v>
      </c>
      <c r="AJ100" s="100">
        <v>7.1455435342075271</v>
      </c>
      <c r="AK100" s="100">
        <v>2315.1561050832388</v>
      </c>
      <c r="AL100" s="100">
        <v>2.5960128726466052</v>
      </c>
      <c r="AM100" s="100">
        <v>841.10817073750013</v>
      </c>
      <c r="AN100" s="100">
        <v>4.6427895865059767</v>
      </c>
      <c r="AO100" s="100">
        <v>1504.2638260279364</v>
      </c>
      <c r="AP100" s="100">
        <v>4.3464440697214624</v>
      </c>
      <c r="AQ100" s="100">
        <v>1408.2478785897538</v>
      </c>
      <c r="AR100" s="100">
        <v>7.2431818273588329</v>
      </c>
      <c r="AS100" s="100">
        <v>2346.7909120642616</v>
      </c>
      <c r="AT100" s="100">
        <v>2.8795544155438968</v>
      </c>
      <c r="AU100" s="100">
        <v>932.9756306362226</v>
      </c>
      <c r="AV100" s="100">
        <v>6.7077884470490563</v>
      </c>
      <c r="AW100" s="100">
        <v>2173.3234568438943</v>
      </c>
      <c r="AX100" s="100">
        <v>6.0909667317980665</v>
      </c>
      <c r="AY100" s="100">
        <v>1973.4732211025735</v>
      </c>
      <c r="AZ100" s="100">
        <v>5.2104899003086604</v>
      </c>
      <c r="BA100" s="100">
        <v>1688.198727700006</v>
      </c>
      <c r="BB100" s="100">
        <v>1.3892308983176662</v>
      </c>
      <c r="BC100" s="100">
        <v>450.11081105492383</v>
      </c>
      <c r="BD100" s="100">
        <v>6.0058194635412034</v>
      </c>
      <c r="BE100" s="100">
        <v>1945.8855061873498</v>
      </c>
      <c r="BF100" s="100">
        <v>4.5213119099141865</v>
      </c>
      <c r="BG100" s="100">
        <v>1464.9050588121963</v>
      </c>
      <c r="BH100" s="100">
        <v>5.168768636496238</v>
      </c>
      <c r="BI100" s="100">
        <v>1674.6810382247811</v>
      </c>
      <c r="BJ100" s="100">
        <v>2.1162154603602521</v>
      </c>
      <c r="BK100" s="100">
        <v>685.65380915672165</v>
      </c>
      <c r="BL100" s="100">
        <v>4.1604075963657756</v>
      </c>
      <c r="BM100" s="100">
        <v>1347.9720612225112</v>
      </c>
      <c r="BN100" s="100">
        <v>5.2992524678304731</v>
      </c>
      <c r="BO100" s="100">
        <v>1716.9577995770733</v>
      </c>
      <c r="BP100" s="100">
        <v>9</v>
      </c>
      <c r="BQ100" s="100">
        <v>2916</v>
      </c>
      <c r="BR100" s="100">
        <v>6.2228443008354253</v>
      </c>
      <c r="BS100" s="100">
        <v>2016.2015534706777</v>
      </c>
      <c r="BT100" s="100">
        <v>5.2458178987879371</v>
      </c>
      <c r="BU100" s="100">
        <v>1699.6449992072917</v>
      </c>
      <c r="BV100" s="100">
        <v>3.8131447378530079</v>
      </c>
      <c r="BW100" s="100">
        <v>1235.4588950643745</v>
      </c>
      <c r="BX100" s="100">
        <v>5.2246904739621289</v>
      </c>
      <c r="BY100" s="100">
        <v>1692.7997135637297</v>
      </c>
      <c r="BZ100" s="100">
        <v>2.6220084925059757</v>
      </c>
      <c r="CA100" s="100">
        <v>849.53075157193609</v>
      </c>
      <c r="CB100" s="100">
        <v>2.8471842219563772</v>
      </c>
      <c r="CC100" s="100">
        <v>922.48768791386624</v>
      </c>
      <c r="CD100" s="100">
        <v>2.9818045078168107</v>
      </c>
      <c r="CE100" s="100">
        <v>966.10466053264668</v>
      </c>
      <c r="CF100" s="100">
        <v>2.7354826627023474</v>
      </c>
      <c r="CG100" s="100">
        <v>886.29638271556053</v>
      </c>
      <c r="CH100" s="100">
        <v>4.0709423546878627</v>
      </c>
      <c r="CI100" s="100">
        <v>1318.9853229188675</v>
      </c>
      <c r="CJ100" s="100">
        <v>4.2659014699289983</v>
      </c>
      <c r="CK100" s="100">
        <v>1382.1520762569955</v>
      </c>
      <c r="CL100" s="100">
        <v>4.7595797566486535</v>
      </c>
      <c r="CM100" s="100">
        <v>1542.1038411541638</v>
      </c>
      <c r="CN100" s="100">
        <v>4.1321481819821502</v>
      </c>
      <c r="CO100" s="100">
        <v>1338.8160109622168</v>
      </c>
      <c r="CP100" s="100">
        <v>7</v>
      </c>
      <c r="CQ100" s="100">
        <v>2268</v>
      </c>
      <c r="CR100" s="100">
        <v>5.6234283993934779</v>
      </c>
      <c r="CS100" s="100">
        <v>1821.9908014034868</v>
      </c>
      <c r="CT100" s="100">
        <v>5.8205348887546648</v>
      </c>
      <c r="CU100" s="100">
        <v>1885.8533039565114</v>
      </c>
    </row>
    <row r="101" spans="2:99">
      <c r="C101" s="99" t="s">
        <v>267</v>
      </c>
      <c r="D101" s="100">
        <v>3.2971851241473553</v>
      </c>
      <c r="E101" s="100">
        <v>2385.8431558330262</v>
      </c>
      <c r="F101" s="100">
        <v>4.9804831209212157</v>
      </c>
      <c r="G101" s="100">
        <v>3603.8775862985917</v>
      </c>
      <c r="H101" s="100">
        <v>4.7232442413725835</v>
      </c>
      <c r="I101" s="100">
        <v>3417.7395330572017</v>
      </c>
      <c r="J101" s="100">
        <v>3.6921021292261491</v>
      </c>
      <c r="K101" s="100">
        <v>2671.6051007080414</v>
      </c>
      <c r="L101" s="100">
        <v>4.5807097603280367</v>
      </c>
      <c r="M101" s="100">
        <v>3314.6015825733675</v>
      </c>
      <c r="N101" s="100">
        <v>4.6450564147035349</v>
      </c>
      <c r="O101" s="100">
        <v>3361.1628216794779</v>
      </c>
      <c r="P101" s="100">
        <v>4.2457375436373956</v>
      </c>
      <c r="Q101" s="100">
        <v>3072.2156865760194</v>
      </c>
      <c r="R101" s="100">
        <v>5.0041069454744838</v>
      </c>
      <c r="S101" s="100">
        <v>3620.9717857453365</v>
      </c>
      <c r="T101" s="100">
        <v>5.281893849426063</v>
      </c>
      <c r="U101" s="100">
        <v>3821.9783894446991</v>
      </c>
      <c r="V101" s="100">
        <v>4.3185789599949418</v>
      </c>
      <c r="W101" s="100">
        <v>3124.9237354523398</v>
      </c>
      <c r="X101" s="100">
        <v>5.3838513388935736</v>
      </c>
      <c r="Y101" s="100">
        <v>3895.7548288233902</v>
      </c>
      <c r="Z101" s="100">
        <v>4.9253785838748669</v>
      </c>
      <c r="AA101" s="100">
        <v>3564.0039432918538</v>
      </c>
      <c r="AB101" s="100">
        <v>3.2661719581412405</v>
      </c>
      <c r="AC101" s="100">
        <v>2363.4020289110017</v>
      </c>
      <c r="AD101" s="100">
        <v>9.8135456222835824</v>
      </c>
      <c r="AE101" s="100">
        <v>7101.0816122844008</v>
      </c>
      <c r="AF101" s="100">
        <v>2.8719098626305115</v>
      </c>
      <c r="AG101" s="100">
        <v>2078.113976599438</v>
      </c>
      <c r="AH101" s="100">
        <v>9</v>
      </c>
      <c r="AI101" s="100">
        <v>6512.4000000000005</v>
      </c>
      <c r="AJ101" s="100">
        <v>6.514845764041759</v>
      </c>
      <c r="AK101" s="100">
        <v>4714.1423948606171</v>
      </c>
      <c r="AL101" s="100">
        <v>2.2600883056857946</v>
      </c>
      <c r="AM101" s="100">
        <v>1635.399897994241</v>
      </c>
      <c r="AN101" s="100">
        <v>4.192065892152316</v>
      </c>
      <c r="AO101" s="100">
        <v>3033.3788795614159</v>
      </c>
      <c r="AP101" s="100">
        <v>4.3464440697214624</v>
      </c>
      <c r="AQ101" s="100">
        <v>3145.0869288504505</v>
      </c>
      <c r="AR101" s="100">
        <v>8.1063234556656028</v>
      </c>
      <c r="AS101" s="100">
        <v>5865.7356525196301</v>
      </c>
      <c r="AT101" s="100">
        <v>3.199504906159885</v>
      </c>
      <c r="AU101" s="100">
        <v>2315.161750097293</v>
      </c>
      <c r="AV101" s="100">
        <v>7.5462620029301881</v>
      </c>
      <c r="AW101" s="100">
        <v>5460.4751853202843</v>
      </c>
      <c r="AX101" s="100">
        <v>6.0672515968659999</v>
      </c>
      <c r="AY101" s="100">
        <v>4390.2632554922375</v>
      </c>
      <c r="AZ101" s="100">
        <v>5.2104899003086604</v>
      </c>
      <c r="BA101" s="100">
        <v>3770.3104918633467</v>
      </c>
      <c r="BB101" s="100">
        <v>1.3748564102413274</v>
      </c>
      <c r="BC101" s="100">
        <v>994.84609845062459</v>
      </c>
      <c r="BD101" s="100">
        <v>5.3385061898144031</v>
      </c>
      <c r="BE101" s="100">
        <v>3862.9430789497023</v>
      </c>
      <c r="BF101" s="100">
        <v>3.8754102084978741</v>
      </c>
      <c r="BG101" s="100">
        <v>2804.2468268690618</v>
      </c>
      <c r="BH101" s="100">
        <v>5.1764143176988933</v>
      </c>
      <c r="BI101" s="100">
        <v>3745.6534002869194</v>
      </c>
      <c r="BJ101" s="100">
        <v>1.7635128836335432</v>
      </c>
      <c r="BK101" s="100">
        <v>1276.0779225972319</v>
      </c>
      <c r="BL101" s="100">
        <v>4.1535168921798942</v>
      </c>
      <c r="BM101" s="100">
        <v>3005.4848231813717</v>
      </c>
      <c r="BN101" s="100">
        <v>5.8880582975894145</v>
      </c>
      <c r="BO101" s="100">
        <v>4260.5989841357004</v>
      </c>
      <c r="BP101" s="100">
        <v>8</v>
      </c>
      <c r="BQ101" s="100">
        <v>5788.8</v>
      </c>
      <c r="BR101" s="100">
        <v>5.4449887632309979</v>
      </c>
      <c r="BS101" s="100">
        <v>3939.99386907395</v>
      </c>
      <c r="BT101" s="100">
        <v>5.2458178987879371</v>
      </c>
      <c r="BU101" s="100">
        <v>3795.8738315629516</v>
      </c>
      <c r="BV101" s="100">
        <v>3.8418061678354953</v>
      </c>
      <c r="BW101" s="100">
        <v>2779.9309430457647</v>
      </c>
      <c r="BX101" s="100">
        <v>5.1926040090138788</v>
      </c>
      <c r="BY101" s="100">
        <v>3757.3682609224429</v>
      </c>
      <c r="BZ101" s="100">
        <v>2.6220084925059757</v>
      </c>
      <c r="CA101" s="100">
        <v>1897.285345177324</v>
      </c>
      <c r="CB101" s="100">
        <v>2.8471842219563772</v>
      </c>
      <c r="CC101" s="100">
        <v>2060.2225030076347</v>
      </c>
      <c r="CD101" s="100">
        <v>2.7226971005720699</v>
      </c>
      <c r="CE101" s="100">
        <v>1970.1436219739498</v>
      </c>
      <c r="CF101" s="100">
        <v>2.7354826627023474</v>
      </c>
      <c r="CG101" s="100">
        <v>1979.3952547314186</v>
      </c>
      <c r="CH101" s="100">
        <v>4.0709423546878627</v>
      </c>
      <c r="CI101" s="100">
        <v>2945.7338878521377</v>
      </c>
      <c r="CJ101" s="100">
        <v>4.2861066512572012</v>
      </c>
      <c r="CK101" s="100">
        <v>3101.4267728497111</v>
      </c>
      <c r="CL101" s="100">
        <v>3.9810228636042808</v>
      </c>
      <c r="CM101" s="100">
        <v>2880.6681441040578</v>
      </c>
      <c r="CN101" s="100">
        <v>4.6486667047299184</v>
      </c>
      <c r="CO101" s="100">
        <v>3363.7752275425692</v>
      </c>
      <c r="CP101" s="100">
        <v>7</v>
      </c>
      <c r="CQ101" s="100">
        <v>5065.2</v>
      </c>
      <c r="CR101" s="100">
        <v>4.9986030216830919</v>
      </c>
      <c r="CS101" s="100">
        <v>3616.9891464898856</v>
      </c>
      <c r="CT101" s="100">
        <v>5.2913953534133311</v>
      </c>
      <c r="CU101" s="100">
        <v>3828.8536777298864</v>
      </c>
    </row>
    <row r="102" spans="2:99">
      <c r="C102" s="99" t="s">
        <v>268</v>
      </c>
      <c r="D102" s="100">
        <v>2.7476542701227964</v>
      </c>
      <c r="E102" s="100">
        <v>1460.6530099972786</v>
      </c>
      <c r="F102" s="100">
        <v>5.6030435110363674</v>
      </c>
      <c r="G102" s="100">
        <v>2978.5779304669331</v>
      </c>
      <c r="H102" s="100">
        <v>5.2480491570806489</v>
      </c>
      <c r="I102" s="100">
        <v>2789.8629319040729</v>
      </c>
      <c r="J102" s="100">
        <v>3.6921021292261491</v>
      </c>
      <c r="K102" s="100">
        <v>1962.721491896621</v>
      </c>
      <c r="L102" s="100">
        <v>4.5807097603280367</v>
      </c>
      <c r="M102" s="100">
        <v>2435.1053085903845</v>
      </c>
      <c r="N102" s="100">
        <v>4.6450564147035349</v>
      </c>
      <c r="O102" s="100">
        <v>2469.3119900563993</v>
      </c>
      <c r="P102" s="100">
        <v>3.8261738555965765</v>
      </c>
      <c r="Q102" s="100">
        <v>2033.9940216351401</v>
      </c>
      <c r="R102" s="100">
        <v>5.6296203136587941</v>
      </c>
      <c r="S102" s="100">
        <v>2992.7061587410149</v>
      </c>
      <c r="T102" s="100">
        <v>5.281893849426063</v>
      </c>
      <c r="U102" s="100">
        <v>2807.8547703548952</v>
      </c>
      <c r="V102" s="100">
        <v>4.3185789599949418</v>
      </c>
      <c r="W102" s="100">
        <v>2295.7565751333113</v>
      </c>
      <c r="X102" s="100">
        <v>5.3838513388935736</v>
      </c>
      <c r="Y102" s="100">
        <v>2862.0553717558237</v>
      </c>
      <c r="Z102" s="100">
        <v>4.9253785838748669</v>
      </c>
      <c r="AA102" s="100">
        <v>2618.3312551878794</v>
      </c>
      <c r="AB102" s="100">
        <v>3.6290799534902676</v>
      </c>
      <c r="AC102" s="100">
        <v>1929.2189032754263</v>
      </c>
      <c r="AD102" s="100">
        <v>8.9214051111668926</v>
      </c>
      <c r="AE102" s="100">
        <v>4742.6189570963206</v>
      </c>
      <c r="AF102" s="100">
        <v>2.8719098626305115</v>
      </c>
      <c r="AG102" s="100">
        <v>1526.70728297438</v>
      </c>
      <c r="AH102" s="100">
        <v>8</v>
      </c>
      <c r="AI102" s="100">
        <v>4252.8</v>
      </c>
      <c r="AJ102" s="100">
        <v>6.5445412015251989</v>
      </c>
      <c r="AK102" s="100">
        <v>3479.0781027307958</v>
      </c>
      <c r="AL102" s="100">
        <v>2.9668718544532626</v>
      </c>
      <c r="AM102" s="100">
        <v>1577.1890778273544</v>
      </c>
      <c r="AN102" s="100">
        <v>4.1727012288709773</v>
      </c>
      <c r="AO102" s="100">
        <v>2218.2079732678117</v>
      </c>
      <c r="AP102" s="100">
        <v>3.8031385610062793</v>
      </c>
      <c r="AQ102" s="100">
        <v>2021.7484590309382</v>
      </c>
      <c r="AR102" s="100">
        <v>7.7682746547609263</v>
      </c>
      <c r="AS102" s="100">
        <v>4129.6148064709087</v>
      </c>
      <c r="AT102" s="100">
        <v>2.8795544155438968</v>
      </c>
      <c r="AU102" s="100">
        <v>1530.7711273031357</v>
      </c>
      <c r="AV102" s="100">
        <v>6.7077884470490563</v>
      </c>
      <c r="AW102" s="100">
        <v>3565.8603384512785</v>
      </c>
      <c r="AX102" s="100">
        <v>6.7413906631844451</v>
      </c>
      <c r="AY102" s="100">
        <v>3583.7232765488511</v>
      </c>
      <c r="AZ102" s="100">
        <v>5.2104899003086604</v>
      </c>
      <c r="BA102" s="100">
        <v>2769.8964310040842</v>
      </c>
      <c r="BB102" s="100">
        <v>1.3820436542794972</v>
      </c>
      <c r="BC102" s="100">
        <v>734.69440661498072</v>
      </c>
      <c r="BD102" s="100">
        <v>5.3385061898144031</v>
      </c>
      <c r="BE102" s="100">
        <v>2837.949890505337</v>
      </c>
      <c r="BF102" s="100">
        <v>3.8754102084978741</v>
      </c>
      <c r="BG102" s="100">
        <v>2060.1680668374702</v>
      </c>
      <c r="BH102" s="100">
        <v>5.1764143176988933</v>
      </c>
      <c r="BI102" s="100">
        <v>2751.7818512887316</v>
      </c>
      <c r="BJ102" s="100">
        <v>2.1162154603602521</v>
      </c>
      <c r="BK102" s="100">
        <v>1124.9801387275102</v>
      </c>
      <c r="BL102" s="100">
        <v>4.6917508147185414</v>
      </c>
      <c r="BM102" s="100">
        <v>2494.1347331043767</v>
      </c>
      <c r="BN102" s="100">
        <v>5.8880582975894145</v>
      </c>
      <c r="BO102" s="100">
        <v>3130.0917909985328</v>
      </c>
      <c r="BP102" s="100">
        <v>9</v>
      </c>
      <c r="BQ102" s="100">
        <v>4784.4000000000005</v>
      </c>
      <c r="BR102" s="100">
        <v>6.2228443008354253</v>
      </c>
      <c r="BS102" s="100">
        <v>3308.0640303241121</v>
      </c>
      <c r="BT102" s="100">
        <v>5.9015451361364288</v>
      </c>
      <c r="BU102" s="100">
        <v>3137.2613943701258</v>
      </c>
      <c r="BV102" s="100">
        <v>4.3865690958664523</v>
      </c>
      <c r="BW102" s="100">
        <v>2331.9001313626063</v>
      </c>
      <c r="BX102" s="100">
        <v>5.1926040090138788</v>
      </c>
      <c r="BY102" s="100">
        <v>2760.3882911917781</v>
      </c>
      <c r="BZ102" s="100">
        <v>2.6220084925059757</v>
      </c>
      <c r="CA102" s="100">
        <v>1393.8597146161767</v>
      </c>
      <c r="CB102" s="100">
        <v>2.8471842219563772</v>
      </c>
      <c r="CC102" s="100">
        <v>1513.5631323920102</v>
      </c>
      <c r="CD102" s="100">
        <v>2.9708359221397549</v>
      </c>
      <c r="CE102" s="100">
        <v>1579.2963762094937</v>
      </c>
      <c r="CF102" s="100">
        <v>2.7244670219176581</v>
      </c>
      <c r="CG102" s="100">
        <v>1448.326668851427</v>
      </c>
      <c r="CH102" s="100">
        <v>4.9403131979847048</v>
      </c>
      <c r="CI102" s="100">
        <v>2626.270496048669</v>
      </c>
      <c r="CJ102" s="100">
        <v>4.690471098789077</v>
      </c>
      <c r="CK102" s="100">
        <v>2493.4544361162734</v>
      </c>
      <c r="CL102" s="100">
        <v>4.3614774702882251</v>
      </c>
      <c r="CM102" s="100">
        <v>2318.5614232052208</v>
      </c>
      <c r="CN102" s="100">
        <v>4.1321481819821502</v>
      </c>
      <c r="CO102" s="100">
        <v>2196.649973541711</v>
      </c>
      <c r="CP102" s="100">
        <v>8</v>
      </c>
      <c r="CQ102" s="100">
        <v>4252.8</v>
      </c>
      <c r="CR102" s="100">
        <v>4.9986030216830919</v>
      </c>
      <c r="CS102" s="100">
        <v>2657.2573663267317</v>
      </c>
      <c r="CT102" s="100">
        <v>6.3496744240959986</v>
      </c>
      <c r="CU102" s="100">
        <v>3375.486923849433</v>
      </c>
    </row>
    <row r="103" spans="2:99">
      <c r="C103" s="99" t="s">
        <v>269</v>
      </c>
      <c r="D103" s="100">
        <v>3.2971851241473553</v>
      </c>
      <c r="E103" s="100">
        <v>1942.7014751476215</v>
      </c>
      <c r="F103" s="100">
        <v>5.6030435110363674</v>
      </c>
      <c r="G103" s="100">
        <v>3301.3132367026274</v>
      </c>
      <c r="H103" s="100">
        <v>4.7232442413725835</v>
      </c>
      <c r="I103" s="100">
        <v>2782.9355070167258</v>
      </c>
      <c r="J103" s="100">
        <v>3.6921021292261491</v>
      </c>
      <c r="K103" s="100">
        <v>2175.3865745400467</v>
      </c>
      <c r="L103" s="100">
        <v>5.3441613870493763</v>
      </c>
      <c r="M103" s="100">
        <v>3148.779889249492</v>
      </c>
      <c r="N103" s="100">
        <v>4.6450564147035349</v>
      </c>
      <c r="O103" s="100">
        <v>2736.8672395433223</v>
      </c>
      <c r="P103" s="100">
        <v>4.4761849323563929</v>
      </c>
      <c r="Q103" s="100">
        <v>2637.3681621443866</v>
      </c>
      <c r="R103" s="100">
        <v>5.0041069454744838</v>
      </c>
      <c r="S103" s="100">
        <v>2948.4198122735656</v>
      </c>
      <c r="T103" s="100">
        <v>6.162209490997073</v>
      </c>
      <c r="U103" s="100">
        <v>3630.773832095475</v>
      </c>
      <c r="V103" s="100">
        <v>3.7016391085670932</v>
      </c>
      <c r="W103" s="100">
        <v>2181.0057627677311</v>
      </c>
      <c r="X103" s="100">
        <v>5.3838513388935736</v>
      </c>
      <c r="Y103" s="100">
        <v>3172.1652088760934</v>
      </c>
      <c r="Z103" s="100">
        <v>4.385708467421078</v>
      </c>
      <c r="AA103" s="100">
        <v>2584.0594290044987</v>
      </c>
      <c r="AB103" s="100">
        <v>2.9032639627922134</v>
      </c>
      <c r="AC103" s="100">
        <v>1710.6031268771719</v>
      </c>
      <c r="AD103" s="100">
        <v>9.7771956818522465</v>
      </c>
      <c r="AE103" s="100">
        <v>5760.7236957473433</v>
      </c>
      <c r="AF103" s="100">
        <v>2.8719098626305115</v>
      </c>
      <c r="AG103" s="100">
        <v>1692.1292910618972</v>
      </c>
      <c r="AH103" s="100">
        <v>8</v>
      </c>
      <c r="AI103" s="100">
        <v>4713.5999999999995</v>
      </c>
      <c r="AJ103" s="100">
        <v>7.175238971690967</v>
      </c>
      <c r="AK103" s="100">
        <v>4227.6508021203172</v>
      </c>
      <c r="AL103" s="100">
        <v>2.6134800800695288</v>
      </c>
      <c r="AM103" s="100">
        <v>1539.8624631769662</v>
      </c>
      <c r="AN103" s="100">
        <v>4.6621542497873163</v>
      </c>
      <c r="AO103" s="100">
        <v>2746.9412839746865</v>
      </c>
      <c r="AP103" s="100">
        <v>3.8031385610062793</v>
      </c>
      <c r="AQ103" s="100">
        <v>2240.8092401448994</v>
      </c>
      <c r="AR103" s="100">
        <v>6.9051330264541564</v>
      </c>
      <c r="AS103" s="100">
        <v>4068.5043791867884</v>
      </c>
      <c r="AT103" s="100">
        <v>2.8795544155438968</v>
      </c>
      <c r="AU103" s="100">
        <v>1696.6334616384638</v>
      </c>
      <c r="AV103" s="100">
        <v>6.7077884470490563</v>
      </c>
      <c r="AW103" s="100">
        <v>3952.2289530013036</v>
      </c>
      <c r="AX103" s="100">
        <v>6.0672515968659999</v>
      </c>
      <c r="AY103" s="100">
        <v>3574.8246408734467</v>
      </c>
      <c r="AZ103" s="100">
        <v>5.2104899003086604</v>
      </c>
      <c r="BA103" s="100">
        <v>3070.0206492618622</v>
      </c>
      <c r="BB103" s="100">
        <v>1.5368310009690103</v>
      </c>
      <c r="BC103" s="100">
        <v>905.50082577094076</v>
      </c>
      <c r="BD103" s="100">
        <v>5.3385061898144031</v>
      </c>
      <c r="BE103" s="100">
        <v>3145.4478470386457</v>
      </c>
      <c r="BF103" s="100">
        <v>4.5213119099141865</v>
      </c>
      <c r="BG103" s="100">
        <v>2663.9569773214384</v>
      </c>
      <c r="BH103" s="100">
        <v>5.1764143176988933</v>
      </c>
      <c r="BI103" s="100">
        <v>3049.9433159881874</v>
      </c>
      <c r="BJ103" s="100">
        <v>1.7635128836335432</v>
      </c>
      <c r="BK103" s="100">
        <v>1039.0617910368835</v>
      </c>
      <c r="BL103" s="100">
        <v>4.7399857440197133</v>
      </c>
      <c r="BM103" s="100">
        <v>2792.7996003764147</v>
      </c>
      <c r="BN103" s="100">
        <v>5.2992524678304731</v>
      </c>
      <c r="BO103" s="100">
        <v>3122.3195540457145</v>
      </c>
      <c r="BP103" s="100">
        <v>8</v>
      </c>
      <c r="BQ103" s="100">
        <v>4713.5999999999995</v>
      </c>
      <c r="BR103" s="100">
        <v>6.2228443008354253</v>
      </c>
      <c r="BS103" s="100">
        <v>3666.4998620522319</v>
      </c>
      <c r="BT103" s="100">
        <v>5.9015451361364288</v>
      </c>
      <c r="BU103" s="100">
        <v>3477.1903942115837</v>
      </c>
      <c r="BV103" s="100">
        <v>3.8418061678354953</v>
      </c>
      <c r="BW103" s="100">
        <v>2263.5921940886738</v>
      </c>
      <c r="BX103" s="100">
        <v>5.2086472414880047</v>
      </c>
      <c r="BY103" s="100">
        <v>3068.934954684732</v>
      </c>
      <c r="BZ103" s="100">
        <v>2.6030986352369552</v>
      </c>
      <c r="CA103" s="100">
        <v>1533.7457158816137</v>
      </c>
      <c r="CB103" s="100">
        <v>3.2315537428518102</v>
      </c>
      <c r="CC103" s="100">
        <v>1904.0314652882864</v>
      </c>
      <c r="CD103" s="100">
        <v>2.9818045078168107</v>
      </c>
      <c r="CE103" s="100">
        <v>1756.8792160056646</v>
      </c>
      <c r="CF103" s="100">
        <v>2.7354826627023474</v>
      </c>
      <c r="CG103" s="100">
        <v>1611.7463848642228</v>
      </c>
      <c r="CH103" s="100">
        <v>4.0921121626681387</v>
      </c>
      <c r="CI103" s="100">
        <v>2411.072486244067</v>
      </c>
      <c r="CJ103" s="100">
        <v>4.3063118325854051</v>
      </c>
      <c r="CK103" s="100">
        <v>2537.2789317593206</v>
      </c>
      <c r="CL103" s="100">
        <v>4.7419320769721693</v>
      </c>
      <c r="CM103" s="100">
        <v>2793.946379752002</v>
      </c>
      <c r="CN103" s="100">
        <v>4.6486667047299184</v>
      </c>
      <c r="CO103" s="100">
        <v>2738.9944224268675</v>
      </c>
      <c r="CP103" s="100">
        <v>8</v>
      </c>
      <c r="CQ103" s="100">
        <v>4713.5999999999995</v>
      </c>
      <c r="CR103" s="100">
        <v>4.9986030216830919</v>
      </c>
      <c r="CS103" s="100">
        <v>2945.1769003756772</v>
      </c>
      <c r="CT103" s="100">
        <v>5.8205348887546648</v>
      </c>
      <c r="CU103" s="100">
        <v>3429.4591564542479</v>
      </c>
    </row>
    <row r="104" spans="2:99">
      <c r="C104" s="99" t="s">
        <v>270</v>
      </c>
      <c r="D104" s="100">
        <v>2.7476542701227964</v>
      </c>
      <c r="E104" s="100">
        <v>1737.6165604256564</v>
      </c>
      <c r="F104" s="100">
        <v>5.6030435110363674</v>
      </c>
      <c r="G104" s="100">
        <v>3543.3647163793985</v>
      </c>
      <c r="H104" s="100">
        <v>5.2480491570806489</v>
      </c>
      <c r="I104" s="100">
        <v>3318.8662869378022</v>
      </c>
      <c r="J104" s="100">
        <v>4.4305225550713789</v>
      </c>
      <c r="K104" s="100">
        <v>2801.8624638271399</v>
      </c>
      <c r="L104" s="100">
        <v>4.5807097603280367</v>
      </c>
      <c r="M104" s="100">
        <v>2896.8408524314505</v>
      </c>
      <c r="N104" s="100">
        <v>4.44853316126318</v>
      </c>
      <c r="O104" s="100">
        <v>2813.2523711828348</v>
      </c>
      <c r="P104" s="100">
        <v>4.504990855946267</v>
      </c>
      <c r="Q104" s="100">
        <v>2848.9562173004192</v>
      </c>
      <c r="R104" s="100">
        <v>5.0041069454744838</v>
      </c>
      <c r="S104" s="100">
        <v>3164.5972323180636</v>
      </c>
      <c r="T104" s="100">
        <v>5.281893849426063</v>
      </c>
      <c r="U104" s="100">
        <v>3340.2696703770421</v>
      </c>
      <c r="V104" s="100">
        <v>3.7016391085670932</v>
      </c>
      <c r="W104" s="100">
        <v>2340.9165722578296</v>
      </c>
      <c r="X104" s="100">
        <v>5.3838513388935736</v>
      </c>
      <c r="Y104" s="100">
        <v>3404.7475867162957</v>
      </c>
      <c r="Z104" s="100">
        <v>4.4084909793513338</v>
      </c>
      <c r="AA104" s="100">
        <v>2787.9296953417834</v>
      </c>
      <c r="AB104" s="100">
        <v>3.2661719581412405</v>
      </c>
      <c r="AC104" s="100">
        <v>2065.5271463285203</v>
      </c>
      <c r="AD104" s="100">
        <v>9.7771956818522465</v>
      </c>
      <c r="AE104" s="100">
        <v>6183.0985492033606</v>
      </c>
      <c r="AF104" s="100">
        <v>2.8719098626305115</v>
      </c>
      <c r="AG104" s="100">
        <v>1816.1957971275353</v>
      </c>
      <c r="AH104" s="100">
        <v>8</v>
      </c>
      <c r="AI104" s="100">
        <v>5059.2</v>
      </c>
      <c r="AJ104" s="100">
        <v>6.5445412015251989</v>
      </c>
      <c r="AK104" s="100">
        <v>4138.7678558445359</v>
      </c>
      <c r="AL104" s="100">
        <v>2.9668718544532626</v>
      </c>
      <c r="AM104" s="100">
        <v>1876.2497607562432</v>
      </c>
      <c r="AN104" s="100">
        <v>4.6427895865059767</v>
      </c>
      <c r="AO104" s="100">
        <v>2936.1001345063796</v>
      </c>
      <c r="AP104" s="100">
        <v>3.8031385610062793</v>
      </c>
      <c r="AQ104" s="100">
        <v>2405.1048259803711</v>
      </c>
      <c r="AR104" s="100">
        <v>6.9051330264541564</v>
      </c>
      <c r="AS104" s="100">
        <v>4366.8061259296082</v>
      </c>
      <c r="AT104" s="100">
        <v>3.199504906159885</v>
      </c>
      <c r="AU104" s="100">
        <v>2023.3669026555112</v>
      </c>
      <c r="AV104" s="100">
        <v>7.5462620029301881</v>
      </c>
      <c r="AW104" s="100">
        <v>4772.2560906530507</v>
      </c>
      <c r="AX104" s="100">
        <v>6.0672515968659999</v>
      </c>
      <c r="AY104" s="100">
        <v>3836.9299098580582</v>
      </c>
      <c r="AZ104" s="100">
        <v>4.3420749169238837</v>
      </c>
      <c r="BA104" s="100">
        <v>2745.9281774626638</v>
      </c>
      <c r="BB104" s="100">
        <v>1.3748564102413274</v>
      </c>
      <c r="BC104" s="100">
        <v>869.45919383661544</v>
      </c>
      <c r="BD104" s="100">
        <v>5.3385061898144031</v>
      </c>
      <c r="BE104" s="100">
        <v>3376.0713144386282</v>
      </c>
      <c r="BF104" s="100">
        <v>4.5213119099141865</v>
      </c>
      <c r="BG104" s="100">
        <v>2859.2776518297314</v>
      </c>
      <c r="BH104" s="100">
        <v>5.168768636496238</v>
      </c>
      <c r="BI104" s="100">
        <v>3268.7292857202206</v>
      </c>
      <c r="BJ104" s="100">
        <v>1.9398641719968974</v>
      </c>
      <c r="BK104" s="100">
        <v>1226.7701023708378</v>
      </c>
      <c r="BL104" s="100">
        <v>4.7399857440197133</v>
      </c>
      <c r="BM104" s="100">
        <v>2997.5669845180664</v>
      </c>
      <c r="BN104" s="100">
        <v>5.2992524678304731</v>
      </c>
      <c r="BO104" s="100">
        <v>3351.2472606559909</v>
      </c>
      <c r="BP104" s="100">
        <v>8</v>
      </c>
      <c r="BQ104" s="100">
        <v>5059.2</v>
      </c>
      <c r="BR104" s="100">
        <v>6.2228443008354253</v>
      </c>
      <c r="BS104" s="100">
        <v>3935.3267358483226</v>
      </c>
      <c r="BT104" s="100">
        <v>5.9015451361364288</v>
      </c>
      <c r="BU104" s="100">
        <v>3732.1371440926773</v>
      </c>
      <c r="BV104" s="100">
        <v>4.3579076658839648</v>
      </c>
      <c r="BW104" s="100">
        <v>2755.9408079050195</v>
      </c>
      <c r="BX104" s="100">
        <v>5.2246904739621289</v>
      </c>
      <c r="BY104" s="100">
        <v>3304.0942557336502</v>
      </c>
      <c r="BZ104" s="100">
        <v>2.6030986352369552</v>
      </c>
      <c r="CA104" s="100">
        <v>1646.1995769238504</v>
      </c>
      <c r="CB104" s="100">
        <v>2.8628439795252119</v>
      </c>
      <c r="CC104" s="100">
        <v>1810.4625326517439</v>
      </c>
      <c r="CD104" s="100">
        <v>2.9927730934938661</v>
      </c>
      <c r="CE104" s="100">
        <v>1892.6297043255208</v>
      </c>
      <c r="CF104" s="100">
        <v>2.7244670219176581</v>
      </c>
      <c r="CG104" s="100">
        <v>1722.9529446607269</v>
      </c>
      <c r="CH104" s="100">
        <v>4.0921121626681387</v>
      </c>
      <c r="CI104" s="100">
        <v>2587.851731671331</v>
      </c>
      <c r="CJ104" s="100">
        <v>4.690471098789077</v>
      </c>
      <c r="CK104" s="100">
        <v>2966.2539228742121</v>
      </c>
      <c r="CL104" s="100">
        <v>3.998670543280765</v>
      </c>
      <c r="CM104" s="100">
        <v>2528.7592515707556</v>
      </c>
      <c r="CN104" s="100">
        <v>4.1321481819821502</v>
      </c>
      <c r="CO104" s="100">
        <v>2613.1705102855117</v>
      </c>
      <c r="CP104" s="100">
        <v>7</v>
      </c>
      <c r="CQ104" s="100">
        <v>4426.8</v>
      </c>
      <c r="CR104" s="100">
        <v>4.3737776439727059</v>
      </c>
      <c r="CS104" s="100">
        <v>2765.9769820483389</v>
      </c>
      <c r="CT104" s="100">
        <v>6.3496744240959986</v>
      </c>
      <c r="CU104" s="100">
        <v>4015.5341057983092</v>
      </c>
    </row>
    <row r="105" spans="2:99">
      <c r="C105" s="99" t="s">
        <v>271</v>
      </c>
      <c r="D105" s="100">
        <v>2.7476542701227964</v>
      </c>
      <c r="E105" s="100">
        <v>1529.8938976043728</v>
      </c>
      <c r="F105" s="100">
        <v>4.9804831209212157</v>
      </c>
      <c r="G105" s="100">
        <v>2773.1330017289329</v>
      </c>
      <c r="H105" s="100">
        <v>5.2480491570806489</v>
      </c>
      <c r="I105" s="100">
        <v>2922.113770662505</v>
      </c>
      <c r="J105" s="100">
        <v>4.4305225550713789</v>
      </c>
      <c r="K105" s="100">
        <v>2466.9149586637436</v>
      </c>
      <c r="L105" s="100">
        <v>4.5807097603280367</v>
      </c>
      <c r="M105" s="100">
        <v>2550.5391945506508</v>
      </c>
      <c r="N105" s="100">
        <v>4.6450564147035349</v>
      </c>
      <c r="O105" s="100">
        <v>2586.3674117069281</v>
      </c>
      <c r="P105" s="100">
        <v>4.2457375436373956</v>
      </c>
      <c r="Q105" s="100">
        <v>2364.0266642973015</v>
      </c>
      <c r="R105" s="100">
        <v>5.6296203136587941</v>
      </c>
      <c r="S105" s="100">
        <v>3134.5725906452162</v>
      </c>
      <c r="T105" s="100">
        <v>5.281893849426063</v>
      </c>
      <c r="U105" s="100">
        <v>2940.9584953604317</v>
      </c>
      <c r="V105" s="100">
        <v>4.3185789599949418</v>
      </c>
      <c r="W105" s="100">
        <v>2404.5847649251832</v>
      </c>
      <c r="X105" s="100">
        <v>5.3838513388935736</v>
      </c>
      <c r="Y105" s="100">
        <v>2997.7284254959413</v>
      </c>
      <c r="Z105" s="100">
        <v>4.9253785838748669</v>
      </c>
      <c r="AA105" s="100">
        <v>2742.4507955015256</v>
      </c>
      <c r="AB105" s="100">
        <v>3.2661719581412405</v>
      </c>
      <c r="AC105" s="100">
        <v>1818.6045462930426</v>
      </c>
      <c r="AD105" s="100">
        <v>9.8135456222835824</v>
      </c>
      <c r="AE105" s="100">
        <v>5464.1822024874982</v>
      </c>
      <c r="AF105" s="100">
        <v>2.8719098626305115</v>
      </c>
      <c r="AG105" s="100">
        <v>1599.0794115126687</v>
      </c>
      <c r="AH105" s="100">
        <v>8</v>
      </c>
      <c r="AI105" s="100">
        <v>4454.3999999999996</v>
      </c>
      <c r="AJ105" s="100">
        <v>7.175238971690967</v>
      </c>
      <c r="AK105" s="100">
        <v>3995.1730594375299</v>
      </c>
      <c r="AL105" s="100">
        <v>2.2426210982628714</v>
      </c>
      <c r="AM105" s="100">
        <v>1248.6914275127667</v>
      </c>
      <c r="AN105" s="100">
        <v>4.192065892152316</v>
      </c>
      <c r="AO105" s="100">
        <v>2334.1422887504095</v>
      </c>
      <c r="AP105" s="100">
        <v>3.8031385610062793</v>
      </c>
      <c r="AQ105" s="100">
        <v>2117.5875507682963</v>
      </c>
      <c r="AR105" s="100">
        <v>7.7682746547609263</v>
      </c>
      <c r="AS105" s="100">
        <v>4325.3753277708838</v>
      </c>
      <c r="AT105" s="100">
        <v>2.5596039249279081</v>
      </c>
      <c r="AU105" s="100">
        <v>1425.1874653998591</v>
      </c>
      <c r="AV105" s="100">
        <v>7.5462620029301881</v>
      </c>
      <c r="AW105" s="100">
        <v>4201.7586832315283</v>
      </c>
      <c r="AX105" s="100">
        <v>6.7413906631844451</v>
      </c>
      <c r="AY105" s="100">
        <v>3753.6063212610989</v>
      </c>
      <c r="AZ105" s="100">
        <v>5.2104899003086604</v>
      </c>
      <c r="BA105" s="100">
        <v>2901.2007764918617</v>
      </c>
      <c r="BB105" s="100">
        <v>1.2128818195136446</v>
      </c>
      <c r="BC105" s="100">
        <v>675.33259710519724</v>
      </c>
      <c r="BD105" s="100">
        <v>5.3385061898144031</v>
      </c>
      <c r="BE105" s="100">
        <v>2972.4802464886593</v>
      </c>
      <c r="BF105" s="100">
        <v>4.5213119099141865</v>
      </c>
      <c r="BG105" s="100">
        <v>2517.4664714402188</v>
      </c>
      <c r="BH105" s="100">
        <v>5.1764143176988933</v>
      </c>
      <c r="BI105" s="100">
        <v>2882.2274920947434</v>
      </c>
      <c r="BJ105" s="100">
        <v>2.1162154603602521</v>
      </c>
      <c r="BK105" s="100">
        <v>1178.3087683285883</v>
      </c>
      <c r="BL105" s="100">
        <v>4.7468764482055938</v>
      </c>
      <c r="BM105" s="100">
        <v>2643.0608063608743</v>
      </c>
      <c r="BN105" s="100">
        <v>5.2992524678304731</v>
      </c>
      <c r="BO105" s="100">
        <v>2950.6237740880074</v>
      </c>
      <c r="BP105" s="100">
        <v>9</v>
      </c>
      <c r="BQ105" s="100">
        <v>5011.2</v>
      </c>
      <c r="BR105" s="100">
        <v>6.2228443008354253</v>
      </c>
      <c r="BS105" s="100">
        <v>3464.8797067051646</v>
      </c>
      <c r="BT105" s="100">
        <v>6.5572723734849205</v>
      </c>
      <c r="BU105" s="100">
        <v>3651.0892575564035</v>
      </c>
      <c r="BV105" s="100">
        <v>4.4438919558314272</v>
      </c>
      <c r="BW105" s="100">
        <v>2474.3590410069382</v>
      </c>
      <c r="BX105" s="100">
        <v>4.3752997049339424</v>
      </c>
      <c r="BY105" s="100">
        <v>2436.1668757072189</v>
      </c>
      <c r="BZ105" s="100">
        <v>3.0369484077764479</v>
      </c>
      <c r="CA105" s="100">
        <v>1690.9728734499261</v>
      </c>
      <c r="CB105" s="100">
        <v>3.2472135004206448</v>
      </c>
      <c r="CC105" s="100">
        <v>1808.0484770342148</v>
      </c>
      <c r="CD105" s="100">
        <v>2.9927730934938661</v>
      </c>
      <c r="CE105" s="100">
        <v>1666.3760584573845</v>
      </c>
      <c r="CF105" s="100">
        <v>2.3935473298645533</v>
      </c>
      <c r="CG105" s="100">
        <v>1332.7271532685832</v>
      </c>
      <c r="CH105" s="100">
        <v>4.5162126803264222</v>
      </c>
      <c r="CI105" s="100">
        <v>2514.6272204057518</v>
      </c>
      <c r="CJ105" s="100">
        <v>4.7106762801172808</v>
      </c>
      <c r="CK105" s="100">
        <v>2622.9045527693015</v>
      </c>
      <c r="CL105" s="100">
        <v>4.3791251499647093</v>
      </c>
      <c r="CM105" s="100">
        <v>2438.2968835003498</v>
      </c>
      <c r="CN105" s="100">
        <v>4.1321481819821502</v>
      </c>
      <c r="CO105" s="100">
        <v>2300.7801077276608</v>
      </c>
      <c r="CP105" s="100">
        <v>8</v>
      </c>
      <c r="CQ105" s="100">
        <v>4454.3999999999996</v>
      </c>
      <c r="CR105" s="100">
        <v>4.9986030216830919</v>
      </c>
      <c r="CS105" s="100">
        <v>2783.2221624731455</v>
      </c>
      <c r="CT105" s="100">
        <v>5.5570339645705111</v>
      </c>
      <c r="CU105" s="100">
        <v>3094.1565114728605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223.45390032863062</v>
      </c>
      <c r="E109" s="100">
        <f>SUM(L$6:L$19)+SUM(N$6:N$19)+SUM(P$6:P$19)+SUM(R$6:R$19)</f>
        <v>287.16470134027765</v>
      </c>
      <c r="F109" s="100">
        <f>SUM(T$6:T$19)+SUM(V$6:V$19)+SUM(X$6:X$19)+SUM(Z$6:Z$19)</f>
        <v>385.37220006459273</v>
      </c>
      <c r="G109" s="100">
        <f>SUM(AB$6:AB$19)+SUM(AD$6:AD$19)+SUM(AF$6:AF$19)+SUM(AH$6:AH$19)</f>
        <v>369.46009217841475</v>
      </c>
      <c r="H109" s="100">
        <f>SUM(AJ$6:AJ$19)+SUM(AL$6:AL$19)+SUM(AN$6:AN$19)+SUM(AP$6:AP$19)</f>
        <v>295.99022776913228</v>
      </c>
      <c r="I109" s="100">
        <f>SUM(AR$6:AR$19)+SUM(AT$6:AT$19)+SUM(AV$6:AV$19)+SUM(AX$6:AX$19)</f>
        <v>322.83210678547209</v>
      </c>
      <c r="J109" s="100">
        <f>SUM(AZ$6:AZ$19)+SUM(BB$6:BB$19)+SUM(BD$6:BD$19)+SUM(BF$6:BF$19)</f>
        <v>302.33364054542528</v>
      </c>
      <c r="K109" s="100">
        <f>SUM(BH$6:BH$19)+SUM(BJ$6:BJ$19)+SUM(BL$6:BL$19)+SUM(BN$6:BN$19)</f>
        <v>305.73121454759411</v>
      </c>
      <c r="L109" s="100">
        <f>SUM(BP$6:BP$19)+SUM(BR$6:BR$19)+SUM(BT$6:BT$19)+SUM(BV$6:BV$19)</f>
        <v>430.4823668970958</v>
      </c>
      <c r="M109" s="100">
        <f>SUM(BX$6:BX$19)+SUM(BZ$6:BZ$19)+SUM(CB$6:CB$19)+SUM(CD$6:CD$19)</f>
        <v>240.11463435893626</v>
      </c>
      <c r="N109" s="100">
        <f>SUM(CF$6:CF$19)+SUM(CH$6:CH$19)+SUM(CJ$6:CJ$19)+SUM(CL$6:CL$19)</f>
        <v>288.82186985767856</v>
      </c>
      <c r="O109" s="100">
        <f>SUM(CN$6:CN$19)+SUM(CP$6:CP$19)+SUM(CR$6:CR$19)+SUM(CT$6:CT$19)</f>
        <v>344.54671968085188</v>
      </c>
    </row>
    <row r="110" spans="2:99">
      <c r="C110" s="99" t="s">
        <v>127</v>
      </c>
      <c r="D110" s="100">
        <f>SUM(D$20:D$36)+SUM(F$20:F$36)+SUM(H$20:H$36)+SUM(J$20:J$36)</f>
        <v>472.90135417192948</v>
      </c>
      <c r="E110" s="100">
        <f>SUM(L$20:L$36)+SUM(N$20:N$36)+SUM(P$20:P$36)+SUM(R$20:R$36)</f>
        <v>608.00849629931758</v>
      </c>
      <c r="F110" s="100">
        <f>SUM(T$20:T$36)+SUM(V$20:V$36)+SUM(X$20:X$36)+SUM(Z$20:Z$36)</f>
        <v>723.63950134744402</v>
      </c>
      <c r="G110" s="100">
        <f>SUM(AB$20:AB$36)+SUM(AD$20:AD$36)+SUM(AF$20:AF$36)+SUM(AH$20:AH$36)</f>
        <v>656.05288693275224</v>
      </c>
      <c r="H110" s="100">
        <f>SUM(AJ$20:AJ$36)+SUM(AL$20:AL$36)+SUM(AN$20:AN$36)+SUM(AP$20:AP$36)</f>
        <v>566.59517435023986</v>
      </c>
      <c r="I110" s="100">
        <f>SUM(AR$20:AR$36)+SUM(AT$20:AT$36)+SUM(AV$20:AV$36)+SUM(AX$20:AX$36)</f>
        <v>657.42729090144962</v>
      </c>
      <c r="J110" s="100">
        <f>SUM(AZ$20:AZ$36)+SUM(BB$20:BB$36)+SUM(BD$20:BD$36)+SUM(BF$20:BF$36)</f>
        <v>477.09505490480331</v>
      </c>
      <c r="K110" s="100">
        <f>SUM(BH$20:BH$36)+SUM(BJ$20:BJ$36)+SUM(BL$20:BL$36)+SUM(BN$20:BN$36)</f>
        <v>580.363603560711</v>
      </c>
      <c r="L110" s="100">
        <f>SUM(BP$20:BP$36)+SUM(BR$20:BR$36)+SUM(BT$20:BT$36)+SUM(BV$20:BV$36)</f>
        <v>788.71903272448185</v>
      </c>
      <c r="M110" s="100">
        <f>SUM(BX$20:BX$36)+SUM(BZ$20:BZ$36)+SUM(CB$20:CB$36)+SUM(CD$20:CD$36)</f>
        <v>362.34943110269222</v>
      </c>
      <c r="N110" s="100">
        <f>SUM(CF$20:CF$36)+SUM(CH$20:CH$36)+SUM(CJ$20:CJ$36)+SUM(CL$20:CL$36)</f>
        <v>663.76281893117709</v>
      </c>
      <c r="O110" s="100">
        <f>SUM(CN$20:CN$36)+SUM(CP$20:CP$36)+SUM(CR$20:CR$36)+SUM(CT$20:CT$36)</f>
        <v>663.80847686587356</v>
      </c>
    </row>
    <row r="111" spans="2:99">
      <c r="C111" s="99" t="s">
        <v>128</v>
      </c>
      <c r="D111" s="100">
        <f>SUM(D$37:D$48)+SUM(F$37:F$48)+SUM(H$37:H$48)+SUM(J$37:J$48)</f>
        <v>223.81337212352426</v>
      </c>
      <c r="E111" s="100">
        <f>SUM(L$37:L$48)+SUM(N$37:N$48)+SUM(P$37:P$48)+SUM(R$37:R$48)</f>
        <v>234.68969252230636</v>
      </c>
      <c r="F111" s="100">
        <f>SUM(T$37:T$48)+SUM(V$37:V$48)+SUM(X$37:X$48)+SUM(Z$37:Z$48)</f>
        <v>307.07247198199173</v>
      </c>
      <c r="G111" s="100">
        <f>SUM(AB$37:AB$48)+SUM(AD$37:AD$48)+SUM(AF$37:AF$48)+SUM(AH$37:AH$48)</f>
        <v>265.11014070281897</v>
      </c>
      <c r="H111" s="100">
        <f>SUM(AJ$37:AJ$48)+SUM(AL$37:AL$48)+SUM(AN$37:AN$48)+SUM(AP$37:AP$48)</f>
        <v>244.2797516164091</v>
      </c>
      <c r="I111" s="100">
        <f>SUM(AR$37:AR$48)+SUM(AT$37:AT$48)+SUM(AV$37:AV$48)+SUM(AX$37:AX$48)</f>
        <v>276.3285273581979</v>
      </c>
      <c r="J111" s="100">
        <f>SUM(AZ$37:AZ$48)+SUM(BB$37:BB$48)+SUM(BD$37:BD$48)+SUM(BF$37:BF$48)</f>
        <v>247.02588547409007</v>
      </c>
      <c r="K111" s="100">
        <f>SUM(BH$37:BH$48)+SUM(BJ$37:BJ$48)+SUM(BL$37:BL$48)+SUM(BN$37:BN$48)</f>
        <v>248.20285777380946</v>
      </c>
      <c r="L111" s="100">
        <f>SUM(BP$37:BP$48)+SUM(BR$37:BR$48)+SUM(BT$37:BT$48)+SUM(BV$37:BV$48)</f>
        <v>241.09574480788399</v>
      </c>
      <c r="M111" s="100">
        <f>SUM(BX$37:BX$48)+SUM(BZ$37:BZ$48)+SUM(CB$37:CB$48)+SUM(CD$37:CD$48)</f>
        <v>196.10433989540374</v>
      </c>
      <c r="N111" s="100">
        <f>SUM(CF$37:CF$48)+SUM(CH$37:CH$48)+SUM(CJ$37:CJ$48)+SUM(CL$37:CL$48)</f>
        <v>200.95006767443235</v>
      </c>
      <c r="O111" s="100">
        <f>SUM(CN$37:CN$48)+SUM(CP$37:CP$48)+SUM(CR$37:CR$48)+SUM(CT$37:CT$48)</f>
        <v>303.79434794379313</v>
      </c>
    </row>
    <row r="112" spans="2:99">
      <c r="C112" s="99" t="s">
        <v>129</v>
      </c>
      <c r="D112" s="100">
        <f>SUM(D$49:D$70)+SUM(F$49:F$70)+SUM(H$49:H$70)+SUM(J$49:J$70)</f>
        <v>294.60065845004658</v>
      </c>
      <c r="E112" s="100">
        <f>SUM(L$49:L$70)+SUM(N$49:N$70)+SUM(P$49:P$70)+SUM(R$49:R$70)</f>
        <v>361.71136693107417</v>
      </c>
      <c r="F112" s="100">
        <f>SUM(T$49:T$70)+SUM(V$49:V$70)+SUM(X$49:X$70)+SUM(Z$49:Z$70)</f>
        <v>426.04006703546423</v>
      </c>
      <c r="G112" s="100">
        <f>SUM(AB$49:AB$70)+SUM(AD$49:AD$70)+SUM(AF$49:AF$70)+SUM(AH$49:AH$70)</f>
        <v>370.09741946078952</v>
      </c>
      <c r="H112" s="100">
        <f>SUM(AJ$49:AJ$70)+SUM(AL$49:AL$70)+SUM(AN$49:AN$70)+SUM(AP$49:AP$70)</f>
        <v>380.77775702358593</v>
      </c>
      <c r="I112" s="100">
        <f>SUM(AR$49:AR$70)+SUM(AT$49:AT$70)+SUM(AV$49:AV$70)+SUM(AX$49:AX$70)</f>
        <v>282.42319677503832</v>
      </c>
      <c r="J112" s="100">
        <f>SUM(AZ$49:AZ$70)+SUM(BB$49:BB$70)+SUM(BD$49:BD$70)+SUM(BF$49:BF$70)</f>
        <v>257.16364706606038</v>
      </c>
      <c r="K112" s="100">
        <f>SUM(BH$49:BH$70)+SUM(BJ$49:BJ$70)+SUM(BL$49:BL$70)+SUM(BN$49:BN$70)</f>
        <v>315.000720839157</v>
      </c>
      <c r="L112" s="100">
        <f>SUM(BP$49:BP$70)+SUM(BR$49:BR$70)+SUM(BT$49:BT$70)+SUM(BV$49:BV$70)</f>
        <v>432.87836513832559</v>
      </c>
      <c r="M112" s="100">
        <f>SUM(BX$49:BX$70)+SUM(BZ$49:BZ$70)+SUM(CB$49:CB$70)+SUM(CD$49:CD$70)</f>
        <v>274.79528896626908</v>
      </c>
      <c r="N112" s="100">
        <f>SUM(CF$49:CF$70)+SUM(CH$49:CH$70)+SUM(CJ$49:CJ$70)+SUM(CL$49:CL$70)</f>
        <v>296.87207276888603</v>
      </c>
      <c r="O112" s="100">
        <f>SUM(CN$49:CN$70)+SUM(CP$49:CP$70)+SUM(CR$49:CR$70)+SUM(CT$49:CT$70)</f>
        <v>346.27169419084169</v>
      </c>
    </row>
    <row r="113" spans="2:15">
      <c r="C113" s="99" t="s">
        <v>130</v>
      </c>
      <c r="D113" s="100">
        <f>SUM(D$71:D$86)+SUM(F$71:F$86)+SUM(H$71:H$86)+SUM(J$71:J$86)</f>
        <v>222.8399932490739</v>
      </c>
      <c r="E113" s="100">
        <f>SUM(L$71:L$86)+SUM(N$71:N$86)+SUM(P$71:P$86)+SUM(R$71:R$86)</f>
        <v>233.07175210879711</v>
      </c>
      <c r="F113" s="100">
        <f>SUM(T$71:T$86)+SUM(V$71:V$86)+SUM(X$71:X$86)+SUM(Z$71:Z$86)</f>
        <v>288.3838501203885</v>
      </c>
      <c r="G113" s="100">
        <f>SUM(AB$71:AB$86)+SUM(AD$71:AD$86)+SUM(AF$71:AF$86)+SUM(AH$71:AH$86)</f>
        <v>238.60307774479276</v>
      </c>
      <c r="H113" s="100">
        <f>SUM(AJ$71:AJ$86)+SUM(AL$71:AL$86)+SUM(AN$71:AN$86)+SUM(AP$71:AP$86)</f>
        <v>240.07015628180582</v>
      </c>
      <c r="I113" s="100">
        <f>SUM(AR$71:AR$86)+SUM(AT$71:AT$86)+SUM(AV$71:AV$86)+SUM(AX$71:AX$86)</f>
        <v>268.34447762710397</v>
      </c>
      <c r="J113" s="100">
        <f>SUM(AZ$71:AZ$86)+SUM(BB$71:BB$86)+SUM(BD$71:BD$86)+SUM(BF$71:BF$86)</f>
        <v>219.5044124565382</v>
      </c>
      <c r="K113" s="100">
        <f>SUM(BH$71:BH$86)+SUM(BJ$71:BJ$86)+SUM(BL$71:BL$86)+SUM(BN$71:BN$86)</f>
        <v>204.26192688362715</v>
      </c>
      <c r="L113" s="100">
        <f>SUM(BP$71:BP$86)+SUM(BR$71:BR$86)+SUM(BT$71:BT$86)+SUM(BV$71:BV$86)</f>
        <v>248</v>
      </c>
      <c r="M113" s="100">
        <f>SUM(BX$71:BX$86)+SUM(BZ$71:BZ$86)+SUM(CB$71:CB$86)+SUM(CD$71:CD$86)</f>
        <v>232.14210547155591</v>
      </c>
      <c r="N113" s="100">
        <f>SUM(CF$71:CF$86)+SUM(CH$71:CH$86)+SUM(CJ$71:CJ$86)+SUM(CL$71:CL$86)</f>
        <v>191.39925178703135</v>
      </c>
      <c r="O113" s="100">
        <f>SUM(CN$71:CN$86)+SUM(CP$71:CP$86)+SUM(CR$71:CR$86)+SUM(CT$71:CT$86)</f>
        <v>251.93272935731085</v>
      </c>
    </row>
    <row r="114" spans="2:15">
      <c r="C114" s="99" t="s">
        <v>131</v>
      </c>
      <c r="D114" s="100">
        <f>SUM(D$87:D$94)+SUM(F$87:F$94)+SUM(H$87:H$94)+SUM(J$87:J$94)</f>
        <v>104.69893838165187</v>
      </c>
      <c r="E114" s="100">
        <f>SUM(L$87:L$94)+SUM(N$87:N$94)+SUM(P$87:P$94)+SUM(R$87:R$94)</f>
        <v>118.91750906949228</v>
      </c>
      <c r="F114" s="100">
        <f>SUM(T$87:T$94)+SUM(V$87:V$94)+SUM(X$87:X$94)+SUM(Z$87:Z$94)</f>
        <v>115.52884969143517</v>
      </c>
      <c r="G114" s="100">
        <f>SUM(AB$87:AB$94)+SUM(AD$87:AD$94)+SUM(AF$87:AF$94)+SUM(AH$87:AH$94)</f>
        <v>86.474516794584133</v>
      </c>
      <c r="H114" s="100">
        <f>SUM(AJ$87:AJ$94)+SUM(AL$87:AL$94)+SUM(AN$87:AN$94)+SUM(AP$87:AP$94)</f>
        <v>76.151217023966865</v>
      </c>
      <c r="I114" s="100">
        <f>SUM(AR$87:AR$94)+SUM(AT$87:AT$94)+SUM(AV$87:AV$94)+SUM(AX$87:AX$94)</f>
        <v>118.53234873199841</v>
      </c>
      <c r="J114" s="100">
        <f>SUM(AZ$87:AZ$94)+SUM(BB$87:BB$94)+SUM(BD$87:BD$94)+SUM(BF$87:BF$94)</f>
        <v>103.13851128918145</v>
      </c>
      <c r="K114" s="100">
        <f>SUM(BH$87:BH$94)+SUM(BJ$87:BJ$94)+SUM(BL$87:BL$94)+SUM(BN$87:BN$94)</f>
        <v>97.479708046131123</v>
      </c>
      <c r="L114" s="100">
        <f>SUM(BP$87:BP$94)+SUM(BR$87:BR$94)+SUM(BT$87:BT$94)+SUM(BV$87:BV$94)</f>
        <v>126.54733996505615</v>
      </c>
      <c r="M114" s="100">
        <f>SUM(BX$87:BX$94)+SUM(BZ$87:BZ$94)+SUM(CB$87:CB$94)+SUM(CD$87:CD$94)</f>
        <v>62.859136905962679</v>
      </c>
      <c r="N114" s="100">
        <f>SUM(CF$87:CF$94)+SUM(CH$87:CH$94)+SUM(CJ$87:CJ$94)+SUM(CL$87:CL$94)</f>
        <v>82.961891237689088</v>
      </c>
      <c r="O114" s="100">
        <f>SUM(CN$87:CN$94)+SUM(CP$87:CP$94)+SUM(CR$87:CR$94)+SUM(CT$87:CT$94)</f>
        <v>110.07785394282469</v>
      </c>
    </row>
    <row r="115" spans="2:15">
      <c r="C115" s="99" t="s">
        <v>132</v>
      </c>
      <c r="D115" s="100">
        <f>SUM(D$95:D$105)+SUM(F$95:F$105)+SUM(H$95:H$105)+SUM(J$95:J$105)</f>
        <v>189.25367705028478</v>
      </c>
      <c r="E115" s="100">
        <f>SUM(L$95:L$105)+SUM(N$95:N$105)+SUM(P$95:P$105)+SUM(R$95:R$105)</f>
        <v>204.72448327295308</v>
      </c>
      <c r="F115" s="100">
        <f>SUM(T$95:T$105)+SUM(V$95:V$105)+SUM(X$95:X$105)+SUM(Z$95:Z$105)</f>
        <v>210.61293460831018</v>
      </c>
      <c r="G115" s="100">
        <f>SUM(AB$95:AB$105)+SUM(AD$95:AD$105)+SUM(AF$95:AF$105)+SUM(AH$95:AH$105)</f>
        <v>259.32967273989192</v>
      </c>
      <c r="H115" s="100">
        <f>SUM(AJ$95:AJ$105)+SUM(AL$95:AL$105)+SUM(AN$95:AN$105)+SUM(AP$95:AP$105)</f>
        <v>192.18332187000638</v>
      </c>
      <c r="I115" s="100">
        <f>SUM(AR$95:AR$105)+SUM(AT$95:AT$105)+SUM(AV$95:AV$105)+SUM(AX$95:AX$105)</f>
        <v>257.46610536012247</v>
      </c>
      <c r="J115" s="100">
        <f>SUM(AZ$95:AZ$105)+SUM(BB$95:BB$105)+SUM(BD$95:BD$105)+SUM(BF$95:BF$105)</f>
        <v>176.31762191886222</v>
      </c>
      <c r="K115" s="100">
        <f>SUM(BH$95:BH$105)+SUM(BJ$95:BJ$105)+SUM(BL$95:BL$105)+SUM(BN$95:BN$105)</f>
        <v>184.93580827658792</v>
      </c>
      <c r="L115" s="100">
        <f>SUM(BP$95:BP$105)+SUM(BR$95:BR$105)+SUM(BT$95:BT$105)+SUM(BV$95:BV$105)</f>
        <v>264.78946392862088</v>
      </c>
      <c r="M115" s="100">
        <f>SUM(BX$95:BX$105)+SUM(BZ$95:BZ$105)+SUM(CB$95:CB$105)+SUM(CD$95:CD$105)</f>
        <v>147.70717657154569</v>
      </c>
      <c r="N115" s="100">
        <f>SUM(CF$95:CF$105)+SUM(CH$95:CH$105)+SUM(CJ$95:CJ$105)+SUM(CL$95:CL$105)</f>
        <v>172.12539820527203</v>
      </c>
      <c r="O115" s="100">
        <f>SUM(CN$95:CN$105)+SUM(CP$95:CP$105)+SUM(CR$95:CR$105)+SUM(CT$95:CT$105)</f>
        <v>246.12751396994076</v>
      </c>
    </row>
    <row r="116" spans="2:15">
      <c r="C116" s="99" t="s">
        <v>278</v>
      </c>
      <c r="D116" s="100">
        <f t="shared" ref="D116:O116" si="0">SUM(D$109:D$115)</f>
        <v>1731.5618937551415</v>
      </c>
      <c r="E116" s="100">
        <f t="shared" si="0"/>
        <v>2048.2880015442183</v>
      </c>
      <c r="F116" s="100">
        <f t="shared" si="0"/>
        <v>2456.6498748496265</v>
      </c>
      <c r="G116" s="100">
        <f t="shared" si="0"/>
        <v>2245.1278065540441</v>
      </c>
      <c r="H116" s="100">
        <f t="shared" si="0"/>
        <v>1996.0476059351463</v>
      </c>
      <c r="I116" s="100">
        <f t="shared" si="0"/>
        <v>2183.3540535393827</v>
      </c>
      <c r="J116" s="100">
        <f t="shared" si="0"/>
        <v>1782.5787736549607</v>
      </c>
      <c r="K116" s="100">
        <f t="shared" si="0"/>
        <v>1935.9758399276179</v>
      </c>
      <c r="L116" s="100">
        <f t="shared" si="0"/>
        <v>2532.5123134614646</v>
      </c>
      <c r="M116" s="100">
        <f t="shared" si="0"/>
        <v>1516.0721132723656</v>
      </c>
      <c r="N116" s="100">
        <f t="shared" si="0"/>
        <v>1896.8933704621663</v>
      </c>
      <c r="O116" s="100">
        <f t="shared" si="0"/>
        <v>2266.5593359514364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1698249.6424975928</v>
      </c>
      <c r="E120" s="100">
        <f>E109*pricing!E24*2000</f>
        <v>2182451.7301861099</v>
      </c>
      <c r="F120" s="100">
        <f>F109*pricing!F24*2000</f>
        <v>2928828.7204909045</v>
      </c>
      <c r="G120" s="100">
        <f>G109*pricing!G24*2000</f>
        <v>2807896.7005559523</v>
      </c>
      <c r="H120" s="100">
        <f>H109*pricing!H24*2000</f>
        <v>2249525.7310454054</v>
      </c>
      <c r="I120" s="100">
        <f>I109*pricing!I24*2000</f>
        <v>2453524.011569588</v>
      </c>
      <c r="J120" s="100">
        <f>J109*pricing!J24*2000</f>
        <v>2297735.6681452319</v>
      </c>
      <c r="K120" s="100">
        <f>K109*pricing!K24*2000</f>
        <v>2323557.2305617151</v>
      </c>
      <c r="L120" s="100">
        <f>L109*pricing!L24*2000</f>
        <v>3271665.9884179281</v>
      </c>
      <c r="M120" s="100">
        <f>M109*pricing!M24*2000</f>
        <v>1824871.2211279154</v>
      </c>
      <c r="N120" s="100">
        <f>N109*pricing!N24*2000</f>
        <v>2195046.2109183567</v>
      </c>
      <c r="O120" s="100">
        <f>O109*pricing!O24*2000</f>
        <v>2618555.0695744744</v>
      </c>
    </row>
    <row r="121" spans="2:15">
      <c r="C121" s="99" t="s">
        <v>127</v>
      </c>
      <c r="D121" s="100">
        <f>D110*pricing!D25*2000</f>
        <v>3594050.2917066636</v>
      </c>
      <c r="E121" s="100">
        <f>E110*pricing!E25*2000</f>
        <v>4620864.5718748132</v>
      </c>
      <c r="F121" s="100">
        <f>F110*pricing!F25*2000</f>
        <v>5499660.2102405746</v>
      </c>
      <c r="G121" s="100">
        <f>G110*pricing!G25*2000</f>
        <v>4986001.9406889165</v>
      </c>
      <c r="H121" s="100">
        <f>H110*pricing!H25*2000</f>
        <v>4306123.3250618223</v>
      </c>
      <c r="I121" s="100">
        <f>I110*pricing!I25*2000</f>
        <v>4996447.4108510166</v>
      </c>
      <c r="J121" s="100">
        <f>J110*pricing!J25*2000</f>
        <v>3625922.4172765049</v>
      </c>
      <c r="K121" s="100">
        <f>K110*pricing!K25*2000</f>
        <v>4410763.3870614031</v>
      </c>
      <c r="L121" s="100">
        <f>L110*pricing!L25*2000</f>
        <v>5994264.6487060618</v>
      </c>
      <c r="M121" s="100">
        <f>M110*pricing!M25*2000</f>
        <v>2753855.6763804611</v>
      </c>
      <c r="N121" s="100">
        <f>N110*pricing!N25*2000</f>
        <v>5044597.4238769459</v>
      </c>
      <c r="O121" s="100">
        <f>O110*pricing!O25*2000</f>
        <v>5044944.424180639</v>
      </c>
    </row>
    <row r="122" spans="2:15">
      <c r="C122" s="99" t="s">
        <v>128</v>
      </c>
      <c r="D122" s="100">
        <f>D111*pricing!D26*2000</f>
        <v>1700981.6281387843</v>
      </c>
      <c r="E122" s="100">
        <f>E111*pricing!E26*2000</f>
        <v>1783641.6631695284</v>
      </c>
      <c r="F122" s="100">
        <f>F111*pricing!F26*2000</f>
        <v>2333750.7870631372</v>
      </c>
      <c r="G122" s="100">
        <f>G111*pricing!G26*2000</f>
        <v>2014837.0693414239</v>
      </c>
      <c r="H122" s="100">
        <f>H111*pricing!H26*2000</f>
        <v>1856526.1122847092</v>
      </c>
      <c r="I122" s="100">
        <f>I111*pricing!I26*2000</f>
        <v>2100096.8079223041</v>
      </c>
      <c r="J122" s="100">
        <f>J111*pricing!J26*2000</f>
        <v>1877396.7296030845</v>
      </c>
      <c r="K122" s="100">
        <f>K111*pricing!K26*2000</f>
        <v>1886341.7190809518</v>
      </c>
      <c r="L122" s="100">
        <f>L111*pricing!L26*2000</f>
        <v>1832327.6605399183</v>
      </c>
      <c r="M122" s="100">
        <f>M111*pricing!M26*2000</f>
        <v>1490392.9832050684</v>
      </c>
      <c r="N122" s="100">
        <f>N111*pricing!N26*2000</f>
        <v>1527220.5143256858</v>
      </c>
      <c r="O122" s="100">
        <f>O111*pricing!O26*2000</f>
        <v>2308837.0443728277</v>
      </c>
    </row>
    <row r="123" spans="2:15">
      <c r="C123" s="99" t="s">
        <v>129</v>
      </c>
      <c r="D123" s="100">
        <f>D112*pricing!D27*2000</f>
        <v>2238965.0042203539</v>
      </c>
      <c r="E123" s="100">
        <f>E112*pricing!E27*2000</f>
        <v>2749006.3886761637</v>
      </c>
      <c r="F123" s="100">
        <f>F112*pricing!F27*2000</f>
        <v>3237904.5094695278</v>
      </c>
      <c r="G123" s="100">
        <f>G112*pricing!G27*2000</f>
        <v>2812740.3879020005</v>
      </c>
      <c r="H123" s="100">
        <f>H112*pricing!H27*2000</f>
        <v>2893910.9533792529</v>
      </c>
      <c r="I123" s="100">
        <f>I112*pricing!I27*2000</f>
        <v>2146416.2954902914</v>
      </c>
      <c r="J123" s="100">
        <f>J112*pricing!J27*2000</f>
        <v>1954443.7177020588</v>
      </c>
      <c r="K123" s="100">
        <f>K112*pricing!K27*2000</f>
        <v>2394005.4783775932</v>
      </c>
      <c r="L123" s="100">
        <f>L112*pricing!L27*2000</f>
        <v>3289875.5750512742</v>
      </c>
      <c r="M123" s="100">
        <f>M112*pricing!M27*2000</f>
        <v>2088444.1961436451</v>
      </c>
      <c r="N123" s="100">
        <f>N112*pricing!N27*2000</f>
        <v>2256227.7530435338</v>
      </c>
      <c r="O123" s="100">
        <f>O112*pricing!O27*2000</f>
        <v>2631664.8758503967</v>
      </c>
    </row>
    <row r="124" spans="2:15">
      <c r="C124" s="99" t="s">
        <v>130</v>
      </c>
      <c r="D124" s="100">
        <f>D113*pricing!D28*2000</f>
        <v>1693583.9486929616</v>
      </c>
      <c r="E124" s="100">
        <f>E113*pricing!E28*2000</f>
        <v>1771345.3160268581</v>
      </c>
      <c r="F124" s="100">
        <f>F113*pricing!F28*2000</f>
        <v>2191717.2609149525</v>
      </c>
      <c r="G124" s="100">
        <f>G113*pricing!G28*2000</f>
        <v>1813383.3908604248</v>
      </c>
      <c r="H124" s="100">
        <f>H113*pricing!H28*2000</f>
        <v>1824533.1877417241</v>
      </c>
      <c r="I124" s="100">
        <f>I113*pricing!I28*2000</f>
        <v>2039418.0299659902</v>
      </c>
      <c r="J124" s="100">
        <f>J113*pricing!J28*2000</f>
        <v>1668233.5346696903</v>
      </c>
      <c r="K124" s="100">
        <f>K113*pricing!K28*2000</f>
        <v>1552390.6443155664</v>
      </c>
      <c r="L124" s="100">
        <f>L113*pricing!L28*2000</f>
        <v>1884800</v>
      </c>
      <c r="M124" s="100">
        <f>M113*pricing!M28*2000</f>
        <v>1764280.0015838246</v>
      </c>
      <c r="N124" s="100">
        <f>N113*pricing!N28*2000</f>
        <v>1454634.3135814383</v>
      </c>
      <c r="O124" s="100">
        <f>O113*pricing!O28*2000</f>
        <v>1914688.7431155625</v>
      </c>
    </row>
    <row r="125" spans="2:15">
      <c r="C125" s="99" t="s">
        <v>131</v>
      </c>
      <c r="D125" s="100">
        <f>D114*pricing!D29*2000</f>
        <v>795711.93170055409</v>
      </c>
      <c r="E125" s="100">
        <f>E114*pricing!E29*2000</f>
        <v>903773.06892814138</v>
      </c>
      <c r="F125" s="100">
        <f>F114*pricing!F29*2000</f>
        <v>878019.2576549073</v>
      </c>
      <c r="G125" s="100">
        <f>G114*pricing!G29*2000</f>
        <v>657206.32763883937</v>
      </c>
      <c r="H125" s="100">
        <f>H114*pricing!H29*2000</f>
        <v>578749.24938214815</v>
      </c>
      <c r="I125" s="100">
        <f>I114*pricing!I29*2000</f>
        <v>900845.85036318784</v>
      </c>
      <c r="J125" s="100">
        <f>J114*pricing!J29*2000</f>
        <v>783852.68579777901</v>
      </c>
      <c r="K125" s="100">
        <f>K114*pricing!K29*2000</f>
        <v>740845.78115059657</v>
      </c>
      <c r="L125" s="100">
        <f>L114*pricing!L29*2000</f>
        <v>961759.78373442672</v>
      </c>
      <c r="M125" s="100">
        <f>M114*pricing!M29*2000</f>
        <v>477729.44048531633</v>
      </c>
      <c r="N125" s="100">
        <f>N114*pricing!N29*2000</f>
        <v>630510.37340643699</v>
      </c>
      <c r="O125" s="100">
        <f>O114*pricing!O29*2000</f>
        <v>836591.68996546755</v>
      </c>
    </row>
    <row r="126" spans="2:15">
      <c r="C126" s="99" t="s">
        <v>132</v>
      </c>
      <c r="D126" s="100">
        <f>D115*pricing!D30*2000</f>
        <v>1438327.9455821642</v>
      </c>
      <c r="E126" s="100">
        <f>E115*pricing!E30*2000</f>
        <v>1555906.0728744431</v>
      </c>
      <c r="F126" s="100">
        <f>F115*pricing!F30*2000</f>
        <v>1600658.3030231572</v>
      </c>
      <c r="G126" s="100">
        <f>G115*pricing!G30*2000</f>
        <v>1970905.5128231784</v>
      </c>
      <c r="H126" s="100">
        <f>H115*pricing!H30*2000</f>
        <v>1460593.2462120485</v>
      </c>
      <c r="I126" s="100">
        <f>I115*pricing!I30*2000</f>
        <v>1956742.4007369308</v>
      </c>
      <c r="J126" s="100">
        <f>J115*pricing!J30*2000</f>
        <v>1340013.9265833527</v>
      </c>
      <c r="K126" s="100">
        <f>K115*pricing!K30*2000</f>
        <v>1405512.1429020681</v>
      </c>
      <c r="L126" s="100">
        <f>L115*pricing!L30*2000</f>
        <v>2012399.9258575186</v>
      </c>
      <c r="M126" s="100">
        <f>M115*pricing!M30*2000</f>
        <v>1122574.5419437471</v>
      </c>
      <c r="N126" s="100">
        <f>N115*pricing!N30*2000</f>
        <v>1308153.0263600673</v>
      </c>
      <c r="O126" s="100">
        <f>O115*pricing!O30*2000</f>
        <v>1870569.1061715498</v>
      </c>
    </row>
    <row r="127" spans="2:15">
      <c r="C127" s="99" t="s">
        <v>278</v>
      </c>
      <c r="D127" s="100">
        <f t="shared" ref="D127:O127" si="1">SUM(D$120:D$126)</f>
        <v>13159870.392539075</v>
      </c>
      <c r="E127" s="100">
        <f t="shared" si="1"/>
        <v>15566988.811736057</v>
      </c>
      <c r="F127" s="100">
        <f t="shared" si="1"/>
        <v>18670539.04885716</v>
      </c>
      <c r="G127" s="100">
        <f t="shared" si="1"/>
        <v>17062971.329810739</v>
      </c>
      <c r="H127" s="100">
        <f t="shared" si="1"/>
        <v>15169961.805107111</v>
      </c>
      <c r="I127" s="100">
        <f t="shared" si="1"/>
        <v>16593490.806899309</v>
      </c>
      <c r="J127" s="100">
        <f t="shared" si="1"/>
        <v>13547598.679777702</v>
      </c>
      <c r="K127" s="100">
        <f t="shared" si="1"/>
        <v>14713416.383449895</v>
      </c>
      <c r="L127" s="100">
        <f t="shared" si="1"/>
        <v>19247093.582307126</v>
      </c>
      <c r="M127" s="100">
        <f t="shared" si="1"/>
        <v>11522148.060869977</v>
      </c>
      <c r="N127" s="100">
        <f t="shared" si="1"/>
        <v>14416389.615512464</v>
      </c>
      <c r="O127" s="100">
        <f t="shared" si="1"/>
        <v>17225850.953230917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113105.87104835862</v>
      </c>
      <c r="E131" s="106">
        <f>SUM(M$6:M$19)+SUM(O$6:O$19)+SUM(Q$6:Q$19)+SUM(S$6:S$19)</f>
        <v>144543.59491506312</v>
      </c>
      <c r="F131" s="106">
        <f>SUM(U$6:U$19)+SUM(W$6:W$19)+SUM(Y$6:Y$19)+SUM(AA$6:AA$19)</f>
        <v>195253.4623211725</v>
      </c>
      <c r="G131" s="106">
        <f>SUM(AC$6:AC$19)+SUM(AE$6:AE$19)+SUM(AG$6:AG$19)+SUM(AI$6:AI$19)</f>
        <v>185881.14613769588</v>
      </c>
      <c r="H131" s="106">
        <f>SUM(AK$6:AK$19)+SUM(AM$6:AM$19)+SUM(AO$6:AO$19)+SUM(AQ$6:AQ$19)</f>
        <v>149847.46436237026</v>
      </c>
      <c r="I131" s="106">
        <f>SUM(AS$6:AS$19)+SUM(AU$6:AU$19)+SUM(AW$6:AW$19)+SUM(AY$6:AY$19)</f>
        <v>163116.55739251466</v>
      </c>
      <c r="J131" s="106">
        <f>SUM(BA$6:BA$19)+SUM(BC$6:BC$19)+SUM(BE$6:BE$19)+SUM(BG$6:BG$19)</f>
        <v>153133.03601577831</v>
      </c>
      <c r="K131" s="106">
        <f>SUM(BI$6:BI$19)+SUM(BK$6:BK$19)+SUM(BM$6:BM$19)+SUM(BO$6:BO$19)</f>
        <v>154785.71232113813</v>
      </c>
      <c r="L131" s="106">
        <f>SUM(BQ$6:BQ$19)+SUM(BS$6:BS$19)+SUM(BU$6:BU$19)+SUM(BW$6:BW$19)</f>
        <v>216944.64459819999</v>
      </c>
      <c r="M131" s="106">
        <f>SUM(BY$6:BY$19)+SUM(CA$6:CA$19)+SUM(CC$6:CC$19)+SUM(CE$6:CE$19)</f>
        <v>121859.36287272436</v>
      </c>
      <c r="N131" s="106">
        <f>SUM(CG$6:CG$19)+SUM(CI$6:CI$19)+SUM(CK$6:CK$19)+SUM(CM$6:CM$19)</f>
        <v>146282.68941613752</v>
      </c>
      <c r="O131" s="106">
        <f>SUM(CO$6:CO$19)+SUM(CQ$6:CQ$19)+SUM(CS$6:CS$19)+SUM(CU$6:CU$19)</f>
        <v>173383.2609041392</v>
      </c>
    </row>
    <row r="132" spans="2:15">
      <c r="C132" s="105" t="s">
        <v>127</v>
      </c>
      <c r="D132" s="106">
        <f>SUM(E$20:E$36)+SUM(G$20:G$36)+SUM(I$20:I$36)+SUM(K$20:K$36)</f>
        <v>203213.44247441678</v>
      </c>
      <c r="E132" s="106">
        <f>SUM(M$20:M$36)+SUM(O$20:O$36)+SUM(Q$20:Q$36)+SUM(S$20:S$36)</f>
        <v>260676.21023382817</v>
      </c>
      <c r="F132" s="106">
        <f>SUM(U$20:U$36)+SUM(W$20:W$36)+SUM(Y$20:Y$36)+SUM(AA$20:AA$36)</f>
        <v>309379.42125810124</v>
      </c>
      <c r="G132" s="106">
        <f>SUM(AC$20:AC$36)+SUM(AE$20:AE$36)+SUM(AG$20:AG$36)+SUM(AI$20:AI$36)</f>
        <v>281935.05996438628</v>
      </c>
      <c r="H132" s="106">
        <f>SUM(AK$20:AK$36)+SUM(AM$20:AM$36)+SUM(AO$20:AO$36)+SUM(AQ$20:AQ$36)</f>
        <v>241855.73845988215</v>
      </c>
      <c r="I132" s="106">
        <f>SUM(AS$20:AS$36)+SUM(AU$20:AU$36)+SUM(AW$20:AW$36)+SUM(AY$20:AY$36)</f>
        <v>278760.01312186901</v>
      </c>
      <c r="J132" s="106">
        <f>SUM(BA$20:BA$36)+SUM(BC$20:BC$36)+SUM(BE$20:BE$36)+SUM(BG$20:BG$36)</f>
        <v>204649.29269155211</v>
      </c>
      <c r="K132" s="106">
        <f>SUM(BI$20:BI$36)+SUM(BK$20:BK$36)+SUM(BM$20:BM$36)+SUM(BO$20:BO$36)</f>
        <v>248015.9856557824</v>
      </c>
      <c r="L132" s="106">
        <f>SUM(BQ$20:BQ$36)+SUM(BS$20:BS$36)+SUM(BU$20:BU$36)+SUM(BW$20:BW$36)</f>
        <v>336846.01414906175</v>
      </c>
      <c r="M132" s="106">
        <f>SUM(BY$20:BY$36)+SUM(CA$20:CA$36)+SUM(CC$20:CC$36)+SUM(CE$20:CE$36)</f>
        <v>155069.06428299216</v>
      </c>
      <c r="N132" s="106">
        <f>SUM(CG$20:CG$36)+SUM(CI$20:CI$36)+SUM(CK$20:CK$36)+SUM(CM$20:CM$36)</f>
        <v>282879.8473065375</v>
      </c>
      <c r="O132" s="106">
        <f>SUM(CO$20:CO$36)+SUM(CQ$20:CQ$36)+SUM(CS$20:CS$36)+SUM(CU$20:CU$36)</f>
        <v>284422.85229005443</v>
      </c>
    </row>
    <row r="133" spans="2:15">
      <c r="C133" s="105" t="s">
        <v>128</v>
      </c>
      <c r="D133" s="106">
        <f>SUM(E$37:E$48)+SUM(G$37:G$48)+SUM(I$37:I$48)+SUM(K$37:K$48)</f>
        <v>235412.88064586039</v>
      </c>
      <c r="E133" s="106">
        <f>SUM(M$37:M$48)+SUM(O$37:O$48)+SUM(Q$37:Q$48)+SUM(S$37:S$48)</f>
        <v>246433.06773142761</v>
      </c>
      <c r="F133" s="106">
        <f>SUM(U$37:U$48)+SUM(W$37:W$48)+SUM(Y$37:Y$48)+SUM(AA$37:AA$48)</f>
        <v>322547.54838694085</v>
      </c>
      <c r="G133" s="106">
        <f>SUM(AC$37:AC$48)+SUM(AE$37:AE$48)+SUM(AG$37:AG$48)+SUM(AI$37:AI$48)</f>
        <v>278098.68107131717</v>
      </c>
      <c r="H133" s="106">
        <f>SUM(AK$37:AK$48)+SUM(AM$37:AM$48)+SUM(AO$37:AO$48)+SUM(AQ$37:AQ$48)</f>
        <v>255242.94427698647</v>
      </c>
      <c r="I133" s="106">
        <f>SUM(AS$37:AS$48)+SUM(AU$37:AU$48)+SUM(AW$37:AW$48)+SUM(AY$37:AY$48)</f>
        <v>290528.81738893298</v>
      </c>
      <c r="J133" s="106">
        <f>SUM(BA$37:BA$48)+SUM(BC$37:BC$48)+SUM(BE$37:BE$48)+SUM(BG$37:BG$48)</f>
        <v>261080.07013622616</v>
      </c>
      <c r="K133" s="106">
        <f>SUM(BI$37:BI$48)+SUM(BK$37:BK$48)+SUM(BM$37:BM$48)+SUM(BO$37:BO$48)</f>
        <v>260983.90782803128</v>
      </c>
      <c r="L133" s="106">
        <f>SUM(BQ$37:BQ$48)+SUM(BS$37:BS$48)+SUM(BU$37:BU$48)+SUM(BW$37:BW$48)</f>
        <v>252209.72330541979</v>
      </c>
      <c r="M133" s="106">
        <f>SUM(BY$37:BY$48)+SUM(CA$37:CA$48)+SUM(CC$37:CC$48)+SUM(CE$37:CE$48)</f>
        <v>206216.02835966359</v>
      </c>
      <c r="N133" s="106">
        <f>SUM(CG$37:CG$48)+SUM(CI$37:CI$48)+SUM(CK$37:CK$48)+SUM(CM$37:CM$48)</f>
        <v>211647.72717325838</v>
      </c>
      <c r="O133" s="106">
        <f>SUM(CO$37:CO$48)+SUM(CQ$37:CQ$48)+SUM(CS$37:CS$48)+SUM(CU$37:CU$48)</f>
        <v>319427.16292411811</v>
      </c>
    </row>
    <row r="134" spans="2:15">
      <c r="C134" s="105" t="s">
        <v>129</v>
      </c>
      <c r="D134" s="106">
        <f>SUM(E$49:E$70)+SUM(G$49:G$70)+SUM(I$49:I$70)+SUM(K$49:K$70)</f>
        <v>249715.96987469608</v>
      </c>
      <c r="E134" s="106">
        <f>SUM(M$49:M$70)+SUM(O$49:O$70)+SUM(Q$49:Q$70)+SUM(S$49:S$70)</f>
        <v>304376.52232816676</v>
      </c>
      <c r="F134" s="106">
        <f>SUM(U$49:U$70)+SUM(W$49:W$70)+SUM(Y$49:Y$70)+SUM(AA$49:AA$70)</f>
        <v>356161.20435733994</v>
      </c>
      <c r="G134" s="106">
        <f>SUM(AC$49:AC$70)+SUM(AE$49:AE$70)+SUM(AG$49:AG$70)+SUM(AI$49:AI$70)</f>
        <v>307625.385655872</v>
      </c>
      <c r="H134" s="106">
        <f>SUM(AK$49:AK$70)+SUM(AM$49:AM$70)+SUM(AO$49:AO$70)+SUM(AQ$49:AQ$70)</f>
        <v>320234.66369745752</v>
      </c>
      <c r="I134" s="106">
        <f>SUM(AS$49:AS$70)+SUM(AU$49:AU$70)+SUM(AW$49:AW$70)+SUM(AY$49:AY$70)</f>
        <v>240274.33586394694</v>
      </c>
      <c r="J134" s="106">
        <f>SUM(BA$49:BA$70)+SUM(BC$49:BC$70)+SUM(BE$49:BE$70)+SUM(BG$49:BG$70)</f>
        <v>216437.12993394549</v>
      </c>
      <c r="K134" s="106">
        <f>SUM(BI$49:BI$70)+SUM(BK$49:BK$70)+SUM(BM$49:BM$70)+SUM(BO$49:BO$70)</f>
        <v>262774.27024827356</v>
      </c>
      <c r="L134" s="106">
        <f>SUM(BQ$49:BQ$70)+SUM(BS$49:BS$70)+SUM(BU$49:BU$70)+SUM(BW$49:BW$70)</f>
        <v>361069.46243030654</v>
      </c>
      <c r="M134" s="106">
        <f>SUM(BY$49:BY$70)+SUM(CA$49:CA$70)+SUM(CC$49:CC$70)+SUM(CE$49:CE$70)</f>
        <v>230670.97525434039</v>
      </c>
      <c r="N134" s="106">
        <f>SUM(CG$49:CG$70)+SUM(CI$49:CI$70)+SUM(CK$49:CK$70)+SUM(CM$49:CM$70)</f>
        <v>246338.65235738526</v>
      </c>
      <c r="O134" s="106">
        <f>SUM(CO$49:CO$70)+SUM(CQ$49:CQ$70)+SUM(CS$49:CS$70)+SUM(CU$49:CU$70)</f>
        <v>291818.54795874102</v>
      </c>
    </row>
    <row r="135" spans="2:15">
      <c r="C135" s="105" t="s">
        <v>130</v>
      </c>
      <c r="D135" s="106">
        <f>SUM(E$71:E$86)+SUM(G$71:G$86)+SUM(I$71:I$86)+SUM(K$71:K$86)</f>
        <v>124815.57384994696</v>
      </c>
      <c r="E135" s="106">
        <f>SUM(M$71:M$86)+SUM(O$71:O$86)+SUM(Q$71:Q$86)+SUM(S$71:S$86)</f>
        <v>130812.37891209594</v>
      </c>
      <c r="F135" s="106">
        <f>SUM(U$71:U$86)+SUM(W$71:W$86)+SUM(Y$71:Y$86)+SUM(AA$71:AA$86)</f>
        <v>161739.94648764105</v>
      </c>
      <c r="G135" s="106">
        <f>SUM(AC$71:AC$86)+SUM(AE$71:AE$86)+SUM(AG$71:AG$86)+SUM(AI$71:AI$86)</f>
        <v>133599.80173598739</v>
      </c>
      <c r="H135" s="106">
        <f>SUM(AK$71:AK$86)+SUM(AM$71:AM$86)+SUM(AO$71:AO$86)+SUM(AQ$71:AQ$86)</f>
        <v>134617.05597483285</v>
      </c>
      <c r="I135" s="106">
        <f>SUM(AS$71:AS$86)+SUM(AU$71:AU$86)+SUM(AW$71:AW$86)+SUM(AY$71:AY$86)</f>
        <v>150456.16304469953</v>
      </c>
      <c r="J135" s="106">
        <f>SUM(BA$71:BA$86)+SUM(BC$71:BC$86)+SUM(BE$71:BE$86)+SUM(BG$71:BG$86)</f>
        <v>123143.52706956714</v>
      </c>
      <c r="K135" s="106">
        <f>SUM(BI$71:BI$86)+SUM(BK$71:BK$86)+SUM(BM$71:BM$86)+SUM(BO$71:BO$86)</f>
        <v>114637.68717027533</v>
      </c>
      <c r="L135" s="106">
        <f>SUM(BQ$71:BQ$86)+SUM(BS$71:BS$86)+SUM(BU$71:BU$86)+SUM(BW$71:BW$86)</f>
        <v>139215.6</v>
      </c>
      <c r="M135" s="106">
        <f>SUM(BY$71:BY$86)+SUM(CA$71:CA$86)+SUM(CC$71:CC$86)+SUM(CE$71:CE$86)</f>
        <v>129393.61815996609</v>
      </c>
      <c r="N135" s="106">
        <f>SUM(CG$71:CG$86)+SUM(CI$71:CI$86)+SUM(CK$71:CK$86)+SUM(CM$71:CM$86)</f>
        <v>106581.91525559883</v>
      </c>
      <c r="O135" s="106">
        <f>SUM(CO$71:CO$86)+SUM(CQ$71:CQ$86)+SUM(CS$71:CS$86)+SUM(CU$71:CU$86)</f>
        <v>141793.11786397168</v>
      </c>
    </row>
    <row r="136" spans="2:15">
      <c r="C136" s="105" t="s">
        <v>131</v>
      </c>
      <c r="D136" s="106">
        <f>SUM(E$87:E$94)+SUM(G$87:G$94)+SUM(I$87:I$94)+SUM(K$87:K$94)</f>
        <v>105531.1409118571</v>
      </c>
      <c r="E136" s="106">
        <f>SUM(M$87:M$94)+SUM(O$87:O$94)+SUM(Q$87:Q$94)+SUM(S$87:S$94)</f>
        <v>119439.699835348</v>
      </c>
      <c r="F136" s="106">
        <f>SUM(U$87:U$94)+SUM(W$87:W$94)+SUM(Y$87:Y$94)+SUM(AA$87:AA$94)</f>
        <v>116078.07732230086</v>
      </c>
      <c r="G136" s="106">
        <f>SUM(AC$87:AC$94)+SUM(AE$87:AE$94)+SUM(AG$87:AG$94)+SUM(AI$87:AI$94)</f>
        <v>86616.752381695696</v>
      </c>
      <c r="H136" s="106">
        <f>SUM(AK$87:AK$94)+SUM(AM$87:AM$94)+SUM(AO$87:AO$94)+SUM(AQ$87:AQ$94)</f>
        <v>76543.30530825787</v>
      </c>
      <c r="I136" s="106">
        <f>SUM(AS$87:AS$94)+SUM(AU$87:AU$94)+SUM(AW$87:AW$94)+SUM(AY$87:AY$94)</f>
        <v>118819.1164728867</v>
      </c>
      <c r="J136" s="106">
        <f>SUM(BA$87:BA$94)+SUM(BC$87:BC$94)+SUM(BE$87:BE$94)+SUM(BG$87:BG$94)</f>
        <v>103235.70936175162</v>
      </c>
      <c r="K136" s="106">
        <f>SUM(BI$87:BI$94)+SUM(BK$87:BK$94)+SUM(BM$87:BM$94)+SUM(BO$87:BO$94)</f>
        <v>97840.351124230248</v>
      </c>
      <c r="L136" s="106">
        <f>SUM(BQ$87:BQ$94)+SUM(BS$87:BS$94)+SUM(BU$87:BU$94)+SUM(BW$87:BW$94)</f>
        <v>126670.54428007248</v>
      </c>
      <c r="M136" s="106">
        <f>SUM(BY$87:BY$94)+SUM(CA$87:CA$94)+SUM(CC$87:CC$94)+SUM(CE$87:CE$94)</f>
        <v>63199.526615335912</v>
      </c>
      <c r="N136" s="106">
        <f>SUM(CG$87:CG$94)+SUM(CI$87:CI$94)+SUM(CK$87:CK$94)+SUM(CM$87:CM$94)</f>
        <v>83107.15513027749</v>
      </c>
      <c r="O136" s="106">
        <f>SUM(CO$87:CO$94)+SUM(CQ$87:CQ$94)+SUM(CS$87:CS$94)+SUM(CU$87:CU$94)</f>
        <v>111022.76089647916</v>
      </c>
    </row>
    <row r="137" spans="2:15">
      <c r="C137" s="105" t="s">
        <v>132</v>
      </c>
      <c r="D137" s="106">
        <f>SUM(E$95:E$105)+SUM(G$95:G$105)+SUM(I$95:I$105)+SUM(K$95:K$105)</f>
        <v>150486.19317360953</v>
      </c>
      <c r="E137" s="106">
        <f>SUM(M$95:M$105)+SUM(O$95:O$105)+SUM(Q$95:Q$105)+SUM(S$95:S$105)</f>
        <v>166469.97484997998</v>
      </c>
      <c r="F137" s="106">
        <f>SUM(U$95:U$105)+SUM(W$95:W$105)+SUM(Y$95:Y$105)+SUM(AA$95:AA$105)</f>
        <v>169694.3937731997</v>
      </c>
      <c r="G137" s="106">
        <f>SUM(AC$95:AC$105)+SUM(AE$95:AE$105)+SUM(AG$95:AG$105)+SUM(AI$95:AI$105)</f>
        <v>211320.66185481346</v>
      </c>
      <c r="H137" s="106">
        <f>SUM(AK$95:AK$105)+SUM(AM$95:AM$105)+SUM(AO$95:AO$105)+SUM(AQ$95:AQ$105)</f>
        <v>153647.08362379135</v>
      </c>
      <c r="I137" s="106">
        <f>SUM(AS$95:AS$105)+SUM(AU$95:AU$105)+SUM(AW$95:AW$105)+SUM(AY$95:AY$105)</f>
        <v>209419.19242375996</v>
      </c>
      <c r="J137" s="106">
        <f>SUM(BA$95:BA$105)+SUM(BC$95:BC$105)+SUM(BE$95:BE$105)+SUM(BG$95:BG$105)</f>
        <v>142450.94296599855</v>
      </c>
      <c r="K137" s="106">
        <f>SUM(BI$95:BI$105)+SUM(BK$95:BK$105)+SUM(BM$95:BM$105)+SUM(BO$95:BO$105)</f>
        <v>146255.48100127891</v>
      </c>
      <c r="L137" s="106">
        <f>SUM(BQ$95:BQ$105)+SUM(BS$95:BS$105)+SUM(BU$95:BU$105)+SUM(BW$95:BW$105)</f>
        <v>211876.32157148939</v>
      </c>
      <c r="M137" s="106">
        <f>SUM(BY$95:BY$105)+SUM(CA$95:CA$105)+SUM(CC$95:CC$105)+SUM(CE$95:CE$105)</f>
        <v>122642.75413534869</v>
      </c>
      <c r="N137" s="106">
        <f>SUM(CG$95:CG$105)+SUM(CI$95:CI$105)+SUM(CK$95:CK$105)+SUM(CM$95:CM$105)</f>
        <v>141665.39162208021</v>
      </c>
      <c r="O137" s="106">
        <f>SUM(CO$95:CO$105)+SUM(CQ$95:CQ$105)+SUM(CS$95:CS$105)+SUM(CU$95:CU$105)</f>
        <v>198930.45463093245</v>
      </c>
    </row>
    <row r="138" spans="2:15">
      <c r="C138" s="105" t="s">
        <v>278</v>
      </c>
      <c r="D138" s="100">
        <f t="shared" ref="D138:O138" si="2">SUM(D$131:D$137)</f>
        <v>1182281.0719787455</v>
      </c>
      <c r="E138" s="100">
        <f t="shared" si="2"/>
        <v>1372751.4488059096</v>
      </c>
      <c r="F138" s="100">
        <f t="shared" si="2"/>
        <v>1630854.0539066959</v>
      </c>
      <c r="G138" s="100">
        <f t="shared" si="2"/>
        <v>1485077.488801768</v>
      </c>
      <c r="H138" s="100">
        <f t="shared" si="2"/>
        <v>1331988.2557035785</v>
      </c>
      <c r="I138" s="100">
        <f t="shared" si="2"/>
        <v>1451374.1957086097</v>
      </c>
      <c r="J138" s="100">
        <f t="shared" si="2"/>
        <v>1204129.7081748194</v>
      </c>
      <c r="K138" s="100">
        <f t="shared" si="2"/>
        <v>1285293.3953490099</v>
      </c>
      <c r="L138" s="100">
        <f t="shared" si="2"/>
        <v>1644832.31033455</v>
      </c>
      <c r="M138" s="100">
        <f t="shared" si="2"/>
        <v>1029051.3296803713</v>
      </c>
      <c r="N138" s="100">
        <f t="shared" si="2"/>
        <v>1218503.3782612751</v>
      </c>
      <c r="O138" s="100">
        <f t="shared" si="2"/>
        <v>1520798.1574684363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2.7815202036452926</v>
      </c>
      <c r="E6" s="100">
        <v>1608.8312857884373</v>
      </c>
      <c r="F6" s="100">
        <v>3.1064927420453543</v>
      </c>
      <c r="G6" s="100">
        <v>1796.7954019990329</v>
      </c>
      <c r="H6" s="100">
        <v>6.3970026606558292</v>
      </c>
      <c r="I6" s="100">
        <v>3700.0263389233314</v>
      </c>
      <c r="J6" s="100">
        <v>6.5528143681853566</v>
      </c>
      <c r="K6" s="100">
        <v>3790.1478305584101</v>
      </c>
      <c r="L6" s="100">
        <v>2.2702947845545434</v>
      </c>
      <c r="M6" s="100">
        <v>1313.1385033863478</v>
      </c>
      <c r="N6" s="100">
        <v>4.6938466074768073</v>
      </c>
      <c r="O6" s="100">
        <v>2714.9208777645854</v>
      </c>
      <c r="P6" s="100">
        <v>5.8172185129700447</v>
      </c>
      <c r="Q6" s="100">
        <v>3364.6791879018738</v>
      </c>
      <c r="R6" s="100">
        <v>8</v>
      </c>
      <c r="S6" s="100">
        <v>4627.2</v>
      </c>
      <c r="T6" s="100">
        <v>8.5419832330748786</v>
      </c>
      <c r="U6" s="100">
        <v>4940.6831020105092</v>
      </c>
      <c r="V6" s="100">
        <v>5.9789838517953999</v>
      </c>
      <c r="W6" s="100">
        <v>3458.2442598784592</v>
      </c>
      <c r="X6" s="100">
        <v>3.411133713065567</v>
      </c>
      <c r="Y6" s="100">
        <v>1972.9997396371239</v>
      </c>
      <c r="Z6" s="100">
        <v>7.5539783953280359</v>
      </c>
      <c r="AA6" s="100">
        <v>4369.2211038577361</v>
      </c>
      <c r="AB6" s="100">
        <v>4.1537928211436403</v>
      </c>
      <c r="AC6" s="100">
        <v>2402.5537677494813</v>
      </c>
      <c r="AD6" s="100">
        <v>6.3983150611991428</v>
      </c>
      <c r="AE6" s="100">
        <v>3700.785431397584</v>
      </c>
      <c r="AF6" s="100">
        <v>7.4952953076471402</v>
      </c>
      <c r="AG6" s="100">
        <v>4335.2788059431059</v>
      </c>
      <c r="AH6" s="100">
        <v>4.4454180078288159</v>
      </c>
      <c r="AI6" s="100">
        <v>2571.2297757281872</v>
      </c>
      <c r="AJ6" s="100">
        <v>8.6567738004550918</v>
      </c>
      <c r="AK6" s="100">
        <v>5007.0779661832248</v>
      </c>
      <c r="AL6" s="100">
        <v>2.0847926499330511</v>
      </c>
      <c r="AM6" s="100">
        <v>1205.8440687212767</v>
      </c>
      <c r="AN6" s="100">
        <v>7.8546539785916512</v>
      </c>
      <c r="AO6" s="100">
        <v>4543.1318612174109</v>
      </c>
      <c r="AP6" s="100">
        <v>6</v>
      </c>
      <c r="AQ6" s="100">
        <v>3470.3999999999996</v>
      </c>
      <c r="AR6" s="100">
        <v>4.9616069572680788</v>
      </c>
      <c r="AS6" s="100">
        <v>2869.7934640838566</v>
      </c>
      <c r="AT6" s="100">
        <v>1.3226548371002649</v>
      </c>
      <c r="AU6" s="100">
        <v>765.02355777879313</v>
      </c>
      <c r="AV6" s="100">
        <v>5.8883437343263214</v>
      </c>
      <c r="AW6" s="100">
        <v>3405.8180159343442</v>
      </c>
      <c r="AX6" s="100">
        <v>7.4241287904089095</v>
      </c>
      <c r="AY6" s="100">
        <v>4294.1160923725129</v>
      </c>
      <c r="AZ6" s="100">
        <v>3.6869420022573034</v>
      </c>
      <c r="BA6" s="100">
        <v>2132.5272541056243</v>
      </c>
      <c r="BB6" s="100">
        <v>1.3020315537730285</v>
      </c>
      <c r="BC6" s="100">
        <v>753.09505070231967</v>
      </c>
      <c r="BD6" s="100">
        <v>6.5904990674917574</v>
      </c>
      <c r="BE6" s="100">
        <v>3811.9446606372321</v>
      </c>
      <c r="BF6" s="100">
        <v>4.9216324892347449</v>
      </c>
      <c r="BG6" s="100">
        <v>2846.6722317733766</v>
      </c>
      <c r="BH6" s="100">
        <v>9.3993564875900297</v>
      </c>
      <c r="BI6" s="100">
        <v>5436.5877924220731</v>
      </c>
      <c r="BJ6" s="100">
        <v>3.0222180814768969</v>
      </c>
      <c r="BK6" s="100">
        <v>1748.050938326237</v>
      </c>
      <c r="BL6" s="100">
        <v>5.733363889236422</v>
      </c>
      <c r="BM6" s="100">
        <v>3316.1776735343465</v>
      </c>
      <c r="BN6" s="100">
        <v>11.049004582585367</v>
      </c>
      <c r="BO6" s="100">
        <v>6390.7442505673762</v>
      </c>
      <c r="BP6" s="100">
        <v>11</v>
      </c>
      <c r="BQ6" s="100">
        <v>6362.4</v>
      </c>
      <c r="BR6" s="100">
        <v>8.1020632567278561</v>
      </c>
      <c r="BS6" s="100">
        <v>4686.2333876913917</v>
      </c>
      <c r="BT6" s="100">
        <v>6.7509213299406099</v>
      </c>
      <c r="BU6" s="100">
        <v>3904.7328972376486</v>
      </c>
      <c r="BV6" s="100">
        <v>5.8501344332346212</v>
      </c>
      <c r="BW6" s="100">
        <v>3383.7177561829048</v>
      </c>
      <c r="BX6" s="100">
        <v>2.809253755660245</v>
      </c>
      <c r="BY6" s="100">
        <v>1624.8723722738857</v>
      </c>
      <c r="BZ6" s="100">
        <v>5.3548761477925044</v>
      </c>
      <c r="CA6" s="100">
        <v>3097.2603638831843</v>
      </c>
      <c r="CB6" s="100">
        <v>3.5511178269316566</v>
      </c>
      <c r="CC6" s="100">
        <v>2053.96655109727</v>
      </c>
      <c r="CD6" s="100">
        <v>4.5107176853021533</v>
      </c>
      <c r="CE6" s="100">
        <v>2608.9991091787656</v>
      </c>
      <c r="CF6" s="100">
        <v>9.2092996606456445</v>
      </c>
      <c r="CG6" s="100">
        <v>5326.6589237174403</v>
      </c>
      <c r="CH6" s="100">
        <v>6.5847555414340277</v>
      </c>
      <c r="CI6" s="100">
        <v>3808.6226051654417</v>
      </c>
      <c r="CJ6" s="100">
        <v>3.4954100116395734</v>
      </c>
      <c r="CK6" s="100">
        <v>2021.7451507323292</v>
      </c>
      <c r="CL6" s="100">
        <v>7.5903501252978476</v>
      </c>
      <c r="CM6" s="100">
        <v>4390.2585124722746</v>
      </c>
      <c r="CN6" s="100">
        <v>9.4384847770497018</v>
      </c>
      <c r="CO6" s="100">
        <v>5459.2195950455471</v>
      </c>
      <c r="CP6" s="100">
        <v>3.6868324420531189</v>
      </c>
      <c r="CQ6" s="100">
        <v>2132.463884483524</v>
      </c>
      <c r="CR6" s="100">
        <v>5.0321584697335862</v>
      </c>
      <c r="CS6" s="100">
        <v>2910.6004588939063</v>
      </c>
      <c r="CT6" s="100">
        <v>5.0757179482048862</v>
      </c>
      <c r="CU6" s="100">
        <v>2935.7952612417062</v>
      </c>
    </row>
    <row r="7" spans="1:99">
      <c r="C7" s="99" t="s">
        <v>173</v>
      </c>
      <c r="D7" s="100">
        <v>2.8678285175107296</v>
      </c>
      <c r="E7" s="100">
        <v>2260.9960032054591</v>
      </c>
      <c r="F7" s="100">
        <v>3.0204395398456914</v>
      </c>
      <c r="G7" s="100">
        <v>2381.3145332143431</v>
      </c>
      <c r="H7" s="100">
        <v>5.3970026606558292</v>
      </c>
      <c r="I7" s="100">
        <v>4254.9968976610553</v>
      </c>
      <c r="J7" s="100">
        <v>6.5528143681853566</v>
      </c>
      <c r="K7" s="100">
        <v>5166.2388478773346</v>
      </c>
      <c r="L7" s="100">
        <v>2.2862057630899586</v>
      </c>
      <c r="M7" s="100">
        <v>1802.4446236201234</v>
      </c>
      <c r="N7" s="100">
        <v>4.1910565986843551</v>
      </c>
      <c r="O7" s="100">
        <v>3304.2290224027456</v>
      </c>
      <c r="P7" s="100">
        <v>4.8172185129700447</v>
      </c>
      <c r="Q7" s="100">
        <v>3797.8950756255831</v>
      </c>
      <c r="R7" s="100">
        <v>9</v>
      </c>
      <c r="S7" s="100">
        <v>7095.5999999999995</v>
      </c>
      <c r="T7" s="100">
        <v>8.5419832330748786</v>
      </c>
      <c r="U7" s="100">
        <v>6734.4995809562342</v>
      </c>
      <c r="V7" s="100">
        <v>5.9789838517953999</v>
      </c>
      <c r="W7" s="100">
        <v>4713.8308687554936</v>
      </c>
      <c r="X7" s="100">
        <v>3.411133713065567</v>
      </c>
      <c r="Y7" s="100">
        <v>2689.3378193808931</v>
      </c>
      <c r="Z7" s="100">
        <v>6.5539783953280359</v>
      </c>
      <c r="AA7" s="100">
        <v>5167.1565668766234</v>
      </c>
      <c r="AB7" s="100">
        <v>4.1537928211436403</v>
      </c>
      <c r="AC7" s="100">
        <v>3274.8502601896462</v>
      </c>
      <c r="AD7" s="100">
        <v>6.3983150611991428</v>
      </c>
      <c r="AE7" s="100">
        <v>5044.431594249404</v>
      </c>
      <c r="AF7" s="100">
        <v>6.5583833941912477</v>
      </c>
      <c r="AG7" s="100">
        <v>5170.6294679803796</v>
      </c>
      <c r="AH7" s="100">
        <v>4.4454180078288159</v>
      </c>
      <c r="AI7" s="100">
        <v>3504.7675573722386</v>
      </c>
      <c r="AJ7" s="100">
        <v>7.9004559450321148</v>
      </c>
      <c r="AK7" s="100">
        <v>6228.7194670633189</v>
      </c>
      <c r="AL7" s="100">
        <v>2.0847926499330511</v>
      </c>
      <c r="AM7" s="100">
        <v>1643.6505252072175</v>
      </c>
      <c r="AN7" s="100">
        <v>7.8546539785916512</v>
      </c>
      <c r="AO7" s="100">
        <v>6192.609196721658</v>
      </c>
      <c r="AP7" s="100">
        <v>5</v>
      </c>
      <c r="AQ7" s="100">
        <v>3942</v>
      </c>
      <c r="AR7" s="100">
        <v>4.9808795099443985</v>
      </c>
      <c r="AS7" s="100">
        <v>3926.9254056401637</v>
      </c>
      <c r="AT7" s="100">
        <v>1.1161555592993639</v>
      </c>
      <c r="AU7" s="100">
        <v>879.9770429516185</v>
      </c>
      <c r="AV7" s="100">
        <v>5.8883437343263214</v>
      </c>
      <c r="AW7" s="100">
        <v>4642.3702001428719</v>
      </c>
      <c r="AX7" s="100">
        <v>6.5992255914745872</v>
      </c>
      <c r="AY7" s="100">
        <v>5202.8294563185646</v>
      </c>
      <c r="AZ7" s="100">
        <v>3.6993287941260267</v>
      </c>
      <c r="BA7" s="100">
        <v>2916.5508212889595</v>
      </c>
      <c r="BB7" s="100">
        <v>1.3020315537730285</v>
      </c>
      <c r="BC7" s="100">
        <v>1026.5216769946555</v>
      </c>
      <c r="BD7" s="100">
        <v>7.3030731349156968</v>
      </c>
      <c r="BE7" s="100">
        <v>5757.7428595675356</v>
      </c>
      <c r="BF7" s="100">
        <v>4.3926915613275916</v>
      </c>
      <c r="BG7" s="100">
        <v>3463.198026950673</v>
      </c>
      <c r="BH7" s="100">
        <v>8.5713446116658911</v>
      </c>
      <c r="BI7" s="100">
        <v>6757.6480918373882</v>
      </c>
      <c r="BJ7" s="100">
        <v>3.0222180814768969</v>
      </c>
      <c r="BK7" s="100">
        <v>2382.7167354363855</v>
      </c>
      <c r="BL7" s="100">
        <v>5.733363889236422</v>
      </c>
      <c r="BM7" s="100">
        <v>4520.184090273995</v>
      </c>
      <c r="BN7" s="100">
        <v>10.049004582585367</v>
      </c>
      <c r="BO7" s="100">
        <v>7922.6352129103025</v>
      </c>
      <c r="BP7" s="100">
        <v>10</v>
      </c>
      <c r="BQ7" s="100">
        <v>7884</v>
      </c>
      <c r="BR7" s="100">
        <v>6.6289608464137011</v>
      </c>
      <c r="BS7" s="100">
        <v>5226.2727313125615</v>
      </c>
      <c r="BT7" s="100">
        <v>7.4260134629346704</v>
      </c>
      <c r="BU7" s="100">
        <v>5854.6690141776935</v>
      </c>
      <c r="BV7" s="100">
        <v>6.0603401274693871</v>
      </c>
      <c r="BW7" s="100">
        <v>4777.972156496865</v>
      </c>
      <c r="BX7" s="100">
        <v>2.8310242716943734</v>
      </c>
      <c r="BY7" s="100">
        <v>2231.9795358038441</v>
      </c>
      <c r="BZ7" s="100">
        <v>5.4488913935672096</v>
      </c>
      <c r="CA7" s="100">
        <v>4295.9059746883877</v>
      </c>
      <c r="CB7" s="100">
        <v>3.5511178269316566</v>
      </c>
      <c r="CC7" s="100">
        <v>2799.7012947529179</v>
      </c>
      <c r="CD7" s="100">
        <v>4.4257600488802407</v>
      </c>
      <c r="CE7" s="100">
        <v>3489.2692225371816</v>
      </c>
      <c r="CF7" s="100">
        <v>10.004461164073733</v>
      </c>
      <c r="CG7" s="100">
        <v>7887.5171817557311</v>
      </c>
      <c r="CH7" s="100">
        <v>5.9861414013036613</v>
      </c>
      <c r="CI7" s="100">
        <v>4719.4738807878066</v>
      </c>
      <c r="CJ7" s="100">
        <v>3.1155206972168017</v>
      </c>
      <c r="CK7" s="100">
        <v>2456.2765176857265</v>
      </c>
      <c r="CL7" s="100">
        <v>7.431315112768063</v>
      </c>
      <c r="CM7" s="100">
        <v>5858.8488349063409</v>
      </c>
      <c r="CN7" s="100">
        <v>8.494636299344732</v>
      </c>
      <c r="CO7" s="100">
        <v>6697.1712584033867</v>
      </c>
      <c r="CP7" s="100">
        <v>4.0684987764703262</v>
      </c>
      <c r="CQ7" s="100">
        <v>3207.604435369205</v>
      </c>
      <c r="CR7" s="100">
        <v>4.9229444557436555</v>
      </c>
      <c r="CS7" s="100">
        <v>3881.2494089082979</v>
      </c>
      <c r="CT7" s="100">
        <v>5.9472266882042879</v>
      </c>
      <c r="CU7" s="100">
        <v>4688.7935209802608</v>
      </c>
    </row>
    <row r="8" spans="1:99">
      <c r="C8" s="99" t="s">
        <v>174</v>
      </c>
      <c r="D8" s="100">
        <v>2.8678285175107296</v>
      </c>
      <c r="E8" s="100">
        <v>887.87970902132179</v>
      </c>
      <c r="F8" s="100">
        <v>2.9380860768305381</v>
      </c>
      <c r="G8" s="100">
        <v>909.63144938673452</v>
      </c>
      <c r="H8" s="100">
        <v>6.3970026606558292</v>
      </c>
      <c r="I8" s="100">
        <v>1980.5120237390445</v>
      </c>
      <c r="J8" s="100">
        <v>6.5528143681853566</v>
      </c>
      <c r="K8" s="100">
        <v>2028.7513283901862</v>
      </c>
      <c r="L8" s="100">
        <v>2.2862057630899586</v>
      </c>
      <c r="M8" s="100">
        <v>707.80930425265115</v>
      </c>
      <c r="N8" s="100">
        <v>5.1966366162692603</v>
      </c>
      <c r="O8" s="100">
        <v>1608.8786963969628</v>
      </c>
      <c r="P8" s="100">
        <v>4.9806622155640534</v>
      </c>
      <c r="Q8" s="100">
        <v>1542.0130219386308</v>
      </c>
      <c r="R8" s="100">
        <v>9</v>
      </c>
      <c r="S8" s="100">
        <v>2786.3999999999996</v>
      </c>
      <c r="T8" s="100">
        <v>7.68778490976739</v>
      </c>
      <c r="U8" s="100">
        <v>2380.1382080639837</v>
      </c>
      <c r="V8" s="100">
        <v>7.6872649523083707</v>
      </c>
      <c r="W8" s="100">
        <v>2379.9772292346711</v>
      </c>
      <c r="X8" s="100">
        <v>3.7901485700728523</v>
      </c>
      <c r="Y8" s="100">
        <v>1173.4299972945551</v>
      </c>
      <c r="Z8" s="100">
        <v>7.5539783953280359</v>
      </c>
      <c r="AA8" s="100">
        <v>2338.7117111935595</v>
      </c>
      <c r="AB8" s="100">
        <v>4.1537928211436403</v>
      </c>
      <c r="AC8" s="100">
        <v>1286.0142574260708</v>
      </c>
      <c r="AD8" s="100">
        <v>7.3983150611991428</v>
      </c>
      <c r="AE8" s="100">
        <v>2290.5183429472545</v>
      </c>
      <c r="AF8" s="100">
        <v>7.4952953076471402</v>
      </c>
      <c r="AG8" s="100">
        <v>2320.5434272475545</v>
      </c>
      <c r="AH8" s="100">
        <v>4.4454180078288159</v>
      </c>
      <c r="AI8" s="100">
        <v>1376.3014152238013</v>
      </c>
      <c r="AJ8" s="100">
        <v>8.7211029325859943</v>
      </c>
      <c r="AK8" s="100">
        <v>2700.0534679286234</v>
      </c>
      <c r="AL8" s="100">
        <v>1.9145003417318409</v>
      </c>
      <c r="AM8" s="100">
        <v>592.72930580017783</v>
      </c>
      <c r="AN8" s="100">
        <v>7.9767474041047448</v>
      </c>
      <c r="AO8" s="100">
        <v>2469.6009963108286</v>
      </c>
      <c r="AP8" s="100">
        <v>6</v>
      </c>
      <c r="AQ8" s="100">
        <v>1857.6</v>
      </c>
      <c r="AR8" s="100">
        <v>4.8266990885338394</v>
      </c>
      <c r="AS8" s="100">
        <v>1494.3460378100765</v>
      </c>
      <c r="AT8" s="100">
        <v>1.3319503004663604</v>
      </c>
      <c r="AU8" s="100">
        <v>412.37181302438512</v>
      </c>
      <c r="AV8" s="100">
        <v>6.8883437343263214</v>
      </c>
      <c r="AW8" s="100">
        <v>2132.6312201474288</v>
      </c>
      <c r="AX8" s="100">
        <v>6.5992255914745872</v>
      </c>
      <c r="AY8" s="100">
        <v>2043.120243120532</v>
      </c>
      <c r="AZ8" s="100">
        <v>4.3995568189713161</v>
      </c>
      <c r="BA8" s="100">
        <v>1362.1027911535193</v>
      </c>
      <c r="BB8" s="100">
        <v>1.562437864527634</v>
      </c>
      <c r="BC8" s="100">
        <v>483.73076285775545</v>
      </c>
      <c r="BD8" s="100">
        <v>7.3902251349536643</v>
      </c>
      <c r="BE8" s="100">
        <v>2288.0137017816542</v>
      </c>
      <c r="BF8" s="100">
        <v>4.9216324892347449</v>
      </c>
      <c r="BG8" s="100">
        <v>1523.7374186670768</v>
      </c>
      <c r="BH8" s="100">
        <v>10.227368363514168</v>
      </c>
      <c r="BI8" s="100">
        <v>3166.3932453439861</v>
      </c>
      <c r="BJ8" s="100">
        <v>3.6214705509047582</v>
      </c>
      <c r="BK8" s="100">
        <v>1121.2072825601131</v>
      </c>
      <c r="BL8" s="100">
        <v>5.733363889236422</v>
      </c>
      <c r="BM8" s="100">
        <v>1775.0494601075961</v>
      </c>
      <c r="BN8" s="100">
        <v>10.165560647317076</v>
      </c>
      <c r="BO8" s="100">
        <v>3147.2575764093663</v>
      </c>
      <c r="BP8" s="100">
        <v>11</v>
      </c>
      <c r="BQ8" s="100">
        <v>3405.5999999999995</v>
      </c>
      <c r="BR8" s="100">
        <v>7.3655120515707786</v>
      </c>
      <c r="BS8" s="100">
        <v>2280.3625311663127</v>
      </c>
      <c r="BT8" s="100">
        <v>6.7509213299406099</v>
      </c>
      <c r="BU8" s="100">
        <v>2090.0852437496128</v>
      </c>
      <c r="BV8" s="100">
        <v>6.581401237388949</v>
      </c>
      <c r="BW8" s="100">
        <v>2037.6018230956183</v>
      </c>
      <c r="BX8" s="100">
        <v>2.809253755660245</v>
      </c>
      <c r="BY8" s="100">
        <v>869.74496275241177</v>
      </c>
      <c r="BZ8" s="100">
        <v>5.9507593429193335</v>
      </c>
      <c r="CA8" s="100">
        <v>1842.3550925678255</v>
      </c>
      <c r="CB8" s="100">
        <v>3.8945536567947423</v>
      </c>
      <c r="CC8" s="100">
        <v>1205.7538121436521</v>
      </c>
      <c r="CD8" s="100">
        <v>4.4257600488802407</v>
      </c>
      <c r="CE8" s="100">
        <v>1370.2153111333223</v>
      </c>
      <c r="CF8" s="100">
        <v>9.2092996606456445</v>
      </c>
      <c r="CG8" s="100">
        <v>2851.1991749358913</v>
      </c>
      <c r="CH8" s="100">
        <v>6.5847555414340277</v>
      </c>
      <c r="CI8" s="100">
        <v>2038.6403156279748</v>
      </c>
      <c r="CJ8" s="100">
        <v>3.4954100116395734</v>
      </c>
      <c r="CK8" s="100">
        <v>1082.1789396036118</v>
      </c>
      <c r="CL8" s="100">
        <v>7.431315112768063</v>
      </c>
      <c r="CM8" s="100">
        <v>2300.7351589129921</v>
      </c>
      <c r="CN8" s="100">
        <v>9.4384847770497018</v>
      </c>
      <c r="CO8" s="100">
        <v>2922.1548869745875</v>
      </c>
      <c r="CP8" s="100">
        <v>4.0396474648883363</v>
      </c>
      <c r="CQ8" s="100">
        <v>1250.6748551294288</v>
      </c>
      <c r="CR8" s="100">
        <v>5.5714556155526989</v>
      </c>
      <c r="CS8" s="100">
        <v>1724.9226585751153</v>
      </c>
      <c r="CT8" s="100">
        <v>5.9472266882042879</v>
      </c>
      <c r="CU8" s="100">
        <v>1841.2613826680474</v>
      </c>
    </row>
    <row r="9" spans="1:99">
      <c r="C9" s="99" t="s">
        <v>175</v>
      </c>
      <c r="D9" s="100">
        <v>2.3990140626785861</v>
      </c>
      <c r="E9" s="100">
        <v>1684.1078720003675</v>
      </c>
      <c r="F9" s="100">
        <v>2.9380860768305381</v>
      </c>
      <c r="G9" s="100">
        <v>2062.5364259350376</v>
      </c>
      <c r="H9" s="100">
        <v>6.2223773280738506</v>
      </c>
      <c r="I9" s="100">
        <v>4368.1088843078433</v>
      </c>
      <c r="J9" s="100">
        <v>5.7337125721621867</v>
      </c>
      <c r="K9" s="100">
        <v>4025.0662256578548</v>
      </c>
      <c r="L9" s="100">
        <v>2.2702947845545434</v>
      </c>
      <c r="M9" s="100">
        <v>1593.7469387572894</v>
      </c>
      <c r="N9" s="100">
        <v>4.7897789699249769</v>
      </c>
      <c r="O9" s="100">
        <v>3362.4248368873336</v>
      </c>
      <c r="P9" s="100">
        <v>5.8172185129700447</v>
      </c>
      <c r="Q9" s="100">
        <v>4083.6873961049714</v>
      </c>
      <c r="R9" s="100">
        <v>9</v>
      </c>
      <c r="S9" s="100">
        <v>6318</v>
      </c>
      <c r="T9" s="100">
        <v>7.68778490976739</v>
      </c>
      <c r="U9" s="100">
        <v>5396.825006656708</v>
      </c>
      <c r="V9" s="100">
        <v>5.9789838517953999</v>
      </c>
      <c r="W9" s="100">
        <v>4197.2466639603708</v>
      </c>
      <c r="X9" s="100">
        <v>3.0321188560582817</v>
      </c>
      <c r="Y9" s="100">
        <v>2128.5474369529138</v>
      </c>
      <c r="Z9" s="100">
        <v>6.3813141291804767</v>
      </c>
      <c r="AA9" s="100">
        <v>4479.6825186846945</v>
      </c>
      <c r="AB9" s="100">
        <v>4.1537928211436403</v>
      </c>
      <c r="AC9" s="100">
        <v>2915.9625604428356</v>
      </c>
      <c r="AD9" s="100">
        <v>7.2235256785492501</v>
      </c>
      <c r="AE9" s="100">
        <v>5070.9150263415731</v>
      </c>
      <c r="AF9" s="100">
        <v>7.4952953076471402</v>
      </c>
      <c r="AG9" s="100">
        <v>5261.6973059682923</v>
      </c>
      <c r="AH9" s="100">
        <v>5.1863210091336187</v>
      </c>
      <c r="AI9" s="100">
        <v>3640.7973484118002</v>
      </c>
      <c r="AJ9" s="100">
        <v>7.0154798253473354</v>
      </c>
      <c r="AK9" s="100">
        <v>4924.8668373938299</v>
      </c>
      <c r="AL9" s="100">
        <v>1.8820202313717138</v>
      </c>
      <c r="AM9" s="100">
        <v>1321.1782024229431</v>
      </c>
      <c r="AN9" s="100">
        <v>7.9767474041047448</v>
      </c>
      <c r="AO9" s="100">
        <v>5599.6766776815311</v>
      </c>
      <c r="AP9" s="100">
        <v>6</v>
      </c>
      <c r="AQ9" s="100">
        <v>4212</v>
      </c>
      <c r="AR9" s="100">
        <v>4.1764296618554253</v>
      </c>
      <c r="AS9" s="100">
        <v>2931.8536226225087</v>
      </c>
      <c r="AT9" s="100">
        <v>1.1161555592993639</v>
      </c>
      <c r="AU9" s="100">
        <v>783.54120262815354</v>
      </c>
      <c r="AV9" s="100">
        <v>5.7773007675355306</v>
      </c>
      <c r="AW9" s="100">
        <v>4055.6651388099426</v>
      </c>
      <c r="AX9" s="100">
        <v>7.4241287904089095</v>
      </c>
      <c r="AY9" s="100">
        <v>5211.7384108670549</v>
      </c>
      <c r="AZ9" s="100">
        <v>3.6869420022573034</v>
      </c>
      <c r="BA9" s="100">
        <v>2588.2332855846271</v>
      </c>
      <c r="BB9" s="100">
        <v>1.562437864527634</v>
      </c>
      <c r="BC9" s="100">
        <v>1096.8313808983992</v>
      </c>
      <c r="BD9" s="100">
        <v>7.2159211348777275</v>
      </c>
      <c r="BE9" s="100">
        <v>5065.5766366841644</v>
      </c>
      <c r="BF9" s="100">
        <v>4.9216324892347449</v>
      </c>
      <c r="BG9" s="100">
        <v>3454.9860074427911</v>
      </c>
      <c r="BH9" s="100">
        <v>8.5713446116658911</v>
      </c>
      <c r="BI9" s="100">
        <v>6017.0839173894556</v>
      </c>
      <c r="BJ9" s="100">
        <v>3.8678218623166427</v>
      </c>
      <c r="BK9" s="100">
        <v>2715.2109473462833</v>
      </c>
      <c r="BL9" s="100">
        <v>5.8663623526132183</v>
      </c>
      <c r="BM9" s="100">
        <v>4118.1863715344789</v>
      </c>
      <c r="BN9" s="100">
        <v>9.0490045825853667</v>
      </c>
      <c r="BO9" s="100">
        <v>6352.4012169749276</v>
      </c>
      <c r="BP9" s="100">
        <v>10</v>
      </c>
      <c r="BQ9" s="100">
        <v>7020</v>
      </c>
      <c r="BR9" s="100">
        <v>7.3655120515707786</v>
      </c>
      <c r="BS9" s="100">
        <v>5170.5894602026865</v>
      </c>
      <c r="BT9" s="100">
        <v>6.7509213299406099</v>
      </c>
      <c r="BU9" s="100">
        <v>4739.1467736183085</v>
      </c>
      <c r="BV9" s="100">
        <v>6.8962149870002811</v>
      </c>
      <c r="BW9" s="100">
        <v>4841.1429208741974</v>
      </c>
      <c r="BX9" s="100">
        <v>2.8310242716943734</v>
      </c>
      <c r="BY9" s="100">
        <v>1987.3790387294503</v>
      </c>
      <c r="BZ9" s="100">
        <v>5.4488913935672096</v>
      </c>
      <c r="CA9" s="100">
        <v>3825.1217582841809</v>
      </c>
      <c r="CB9" s="100">
        <v>3.8945536567947423</v>
      </c>
      <c r="CC9" s="100">
        <v>2733.9766670699091</v>
      </c>
      <c r="CD9" s="100">
        <v>4.9405649077598053</v>
      </c>
      <c r="CE9" s="100">
        <v>3468.2765652473831</v>
      </c>
      <c r="CF9" s="100">
        <v>9.2092996606456445</v>
      </c>
      <c r="CG9" s="100">
        <v>6464.9283617732426</v>
      </c>
      <c r="CH9" s="100">
        <v>5.9861414013036613</v>
      </c>
      <c r="CI9" s="100">
        <v>4202.2712637151699</v>
      </c>
      <c r="CJ9" s="100">
        <v>3.4919547680893701</v>
      </c>
      <c r="CK9" s="100">
        <v>2451.352247198738</v>
      </c>
      <c r="CL9" s="100">
        <v>7.431315112768063</v>
      </c>
      <c r="CM9" s="100">
        <v>5216.7832091631799</v>
      </c>
      <c r="CN9" s="100">
        <v>9.4384847770497018</v>
      </c>
      <c r="CO9" s="100">
        <v>6625.816313488891</v>
      </c>
      <c r="CP9" s="100">
        <v>4.1868226332154874</v>
      </c>
      <c r="CQ9" s="100">
        <v>2939.1494885172719</v>
      </c>
      <c r="CR9" s="100">
        <v>4.8096511608387233</v>
      </c>
      <c r="CS9" s="100">
        <v>3376.3751149087839</v>
      </c>
      <c r="CT9" s="100">
        <v>5.7839092923867081</v>
      </c>
      <c r="CU9" s="100">
        <v>4060.3043232554692</v>
      </c>
    </row>
    <row r="10" spans="1:99">
      <c r="C10" s="99" t="s">
        <v>176</v>
      </c>
      <c r="D10" s="100">
        <v>2.9501992579379035</v>
      </c>
      <c r="E10" s="100">
        <v>1607.2685557245698</v>
      </c>
      <c r="F10" s="100">
        <v>2.9393193232253743</v>
      </c>
      <c r="G10" s="100">
        <v>1601.3411672931838</v>
      </c>
      <c r="H10" s="100">
        <v>6.3970026606558292</v>
      </c>
      <c r="I10" s="100">
        <v>3485.0870495252957</v>
      </c>
      <c r="J10" s="100">
        <v>6.5528143681853566</v>
      </c>
      <c r="K10" s="100">
        <v>3569.9732677873822</v>
      </c>
      <c r="L10" s="100">
        <v>2.2862057630899586</v>
      </c>
      <c r="M10" s="100">
        <v>1245.5248997314093</v>
      </c>
      <c r="N10" s="100">
        <v>4.6977471735329894</v>
      </c>
      <c r="O10" s="100">
        <v>2559.3326601407725</v>
      </c>
      <c r="P10" s="100">
        <v>5.9806622155640534</v>
      </c>
      <c r="Q10" s="100">
        <v>3258.2647750392962</v>
      </c>
      <c r="R10" s="100">
        <v>9</v>
      </c>
      <c r="S10" s="100">
        <v>4903.2</v>
      </c>
      <c r="T10" s="100">
        <v>7.68778490976739</v>
      </c>
      <c r="U10" s="100">
        <v>4188.3052188412739</v>
      </c>
      <c r="V10" s="100">
        <v>6.8331244020518849</v>
      </c>
      <c r="W10" s="100">
        <v>3722.6861742378665</v>
      </c>
      <c r="X10" s="100">
        <v>3.0321188560582817</v>
      </c>
      <c r="Y10" s="100">
        <v>1651.8983527805517</v>
      </c>
      <c r="Z10" s="100">
        <v>7.3813141291804767</v>
      </c>
      <c r="AA10" s="100">
        <v>4021.3399375775234</v>
      </c>
      <c r="AB10" s="100">
        <v>3.6345687185006859</v>
      </c>
      <c r="AC10" s="100">
        <v>1980.1130378391736</v>
      </c>
      <c r="AD10" s="100">
        <v>7.3983150611991428</v>
      </c>
      <c r="AE10" s="100">
        <v>4030.6020453412925</v>
      </c>
      <c r="AF10" s="100">
        <v>7.4952953076471402</v>
      </c>
      <c r="AG10" s="100">
        <v>4083.4368836061617</v>
      </c>
      <c r="AH10" s="100">
        <v>5.1863210091336187</v>
      </c>
      <c r="AI10" s="100">
        <v>2825.507685775995</v>
      </c>
      <c r="AJ10" s="100">
        <v>7.9004559450321148</v>
      </c>
      <c r="AK10" s="100">
        <v>4304.168398853496</v>
      </c>
      <c r="AL10" s="100">
        <v>1.824951767052035</v>
      </c>
      <c r="AM10" s="100">
        <v>994.23372268994854</v>
      </c>
      <c r="AN10" s="100">
        <v>8.9767474041047439</v>
      </c>
      <c r="AO10" s="100">
        <v>4890.5319857562645</v>
      </c>
      <c r="AP10" s="100">
        <v>6</v>
      </c>
      <c r="AQ10" s="100">
        <v>3268.7999999999997</v>
      </c>
      <c r="AR10" s="100">
        <v>4.9616069572680788</v>
      </c>
      <c r="AS10" s="100">
        <v>2703.0834703196492</v>
      </c>
      <c r="AT10" s="100">
        <v>1.1161555592993639</v>
      </c>
      <c r="AU10" s="100">
        <v>608.08154870629346</v>
      </c>
      <c r="AV10" s="100">
        <v>5.7773007675355306</v>
      </c>
      <c r="AW10" s="100">
        <v>3147.4734581533567</v>
      </c>
      <c r="AX10" s="100">
        <v>6.5992255914745872</v>
      </c>
      <c r="AY10" s="100">
        <v>3595.2581022353547</v>
      </c>
      <c r="AZ10" s="100">
        <v>3.6869420022573034</v>
      </c>
      <c r="BA10" s="100">
        <v>2008.6460028297788</v>
      </c>
      <c r="BB10" s="100">
        <v>1.3020315537730285</v>
      </c>
      <c r="BC10" s="100">
        <v>709.34679049554586</v>
      </c>
      <c r="BD10" s="100">
        <v>6.5033470674537881</v>
      </c>
      <c r="BE10" s="100">
        <v>3543.0234823488236</v>
      </c>
      <c r="BF10" s="100">
        <v>4.3926915613275916</v>
      </c>
      <c r="BG10" s="100">
        <v>2393.1383626112715</v>
      </c>
      <c r="BH10" s="100">
        <v>8.4314398956223098</v>
      </c>
      <c r="BI10" s="100">
        <v>4593.4484551350342</v>
      </c>
      <c r="BJ10" s="100">
        <v>3.6214705509047582</v>
      </c>
      <c r="BK10" s="100">
        <v>1972.9771561329121</v>
      </c>
      <c r="BL10" s="100">
        <v>6.4317399350572302</v>
      </c>
      <c r="BM10" s="100">
        <v>3504.0119166191789</v>
      </c>
      <c r="BN10" s="100">
        <v>10.049004582585367</v>
      </c>
      <c r="BO10" s="100">
        <v>5474.6976965925069</v>
      </c>
      <c r="BP10" s="100">
        <v>10</v>
      </c>
      <c r="BQ10" s="100">
        <v>5448</v>
      </c>
      <c r="BR10" s="100">
        <v>8.1020632567278561</v>
      </c>
      <c r="BS10" s="100">
        <v>4414.004062265336</v>
      </c>
      <c r="BT10" s="100">
        <v>6.7509213299406099</v>
      </c>
      <c r="BU10" s="100">
        <v>3677.9019405516437</v>
      </c>
      <c r="BV10" s="100">
        <v>6.8962149870002811</v>
      </c>
      <c r="BW10" s="100">
        <v>3757.0579249177526</v>
      </c>
      <c r="BX10" s="100">
        <v>3.2665774569198884</v>
      </c>
      <c r="BY10" s="100">
        <v>1779.631398529955</v>
      </c>
      <c r="BZ10" s="100">
        <v>4.1725342670439245</v>
      </c>
      <c r="CA10" s="100">
        <v>2273.1966686855299</v>
      </c>
      <c r="CB10" s="100">
        <v>3.8945536567947423</v>
      </c>
      <c r="CC10" s="100">
        <v>2121.7528322217754</v>
      </c>
      <c r="CD10" s="100">
        <v>4.3408024124583289</v>
      </c>
      <c r="CE10" s="100">
        <v>2364.8691543072973</v>
      </c>
      <c r="CF10" s="100">
        <v>9.2092996606456445</v>
      </c>
      <c r="CG10" s="100">
        <v>5017.2264551197468</v>
      </c>
      <c r="CH10" s="100">
        <v>5.9861414013036613</v>
      </c>
      <c r="CI10" s="100">
        <v>3261.2498354302343</v>
      </c>
      <c r="CJ10" s="100">
        <v>3.1846594594926287</v>
      </c>
      <c r="CK10" s="100">
        <v>1735.002473531584</v>
      </c>
      <c r="CL10" s="100">
        <v>7.5903501252978476</v>
      </c>
      <c r="CM10" s="100">
        <v>4135.2227482622666</v>
      </c>
      <c r="CN10" s="100">
        <v>10.382333254754673</v>
      </c>
      <c r="CO10" s="100">
        <v>5656.2951571903459</v>
      </c>
      <c r="CP10" s="100">
        <v>3.6868324420531189</v>
      </c>
      <c r="CQ10" s="100">
        <v>2008.586314430539</v>
      </c>
      <c r="CR10" s="100">
        <v>5.0301188292760841</v>
      </c>
      <c r="CS10" s="100">
        <v>2740.4087381896102</v>
      </c>
      <c r="CT10" s="100">
        <v>6.0713832443841893</v>
      </c>
      <c r="CU10" s="100">
        <v>3307.6895915405062</v>
      </c>
    </row>
    <row r="11" spans="1:99">
      <c r="C11" s="99" t="s">
        <v>177</v>
      </c>
      <c r="D11" s="100">
        <v>2.8678285175107296</v>
      </c>
      <c r="E11" s="100">
        <v>1527.9790341297166</v>
      </c>
      <c r="F11" s="100">
        <v>2.5532968075591116</v>
      </c>
      <c r="G11" s="100">
        <v>1360.3965390674946</v>
      </c>
      <c r="H11" s="100">
        <v>6.2223773280738506</v>
      </c>
      <c r="I11" s="100">
        <v>3315.2826403977474</v>
      </c>
      <c r="J11" s="100">
        <v>6.5528143681853566</v>
      </c>
      <c r="K11" s="100">
        <v>3491.3394953691577</v>
      </c>
      <c r="L11" s="100">
        <v>2.2862057630899586</v>
      </c>
      <c r="M11" s="100">
        <v>1218.0904305743297</v>
      </c>
      <c r="N11" s="100">
        <v>4.6977471735329894</v>
      </c>
      <c r="O11" s="100">
        <v>2502.9596940583765</v>
      </c>
      <c r="P11" s="100">
        <v>5.9806622155640534</v>
      </c>
      <c r="Q11" s="100">
        <v>3186.4968284525276</v>
      </c>
      <c r="R11" s="100">
        <v>8</v>
      </c>
      <c r="S11" s="100">
        <v>4262.3999999999996</v>
      </c>
      <c r="T11" s="100">
        <v>8.5419832330748786</v>
      </c>
      <c r="U11" s="100">
        <v>4551.1686665822954</v>
      </c>
      <c r="V11" s="100">
        <v>6.8331244020518849</v>
      </c>
      <c r="W11" s="100">
        <v>3640.688681413244</v>
      </c>
      <c r="X11" s="100">
        <v>3.411133713065567</v>
      </c>
      <c r="Y11" s="100">
        <v>1817.4520423213339</v>
      </c>
      <c r="Z11" s="100">
        <v>6.5539783953280359</v>
      </c>
      <c r="AA11" s="100">
        <v>3491.9596890307771</v>
      </c>
      <c r="AB11" s="100">
        <v>4.1537928211436403</v>
      </c>
      <c r="AC11" s="100">
        <v>2213.1408151053315</v>
      </c>
      <c r="AD11" s="100">
        <v>6.3983150611991428</v>
      </c>
      <c r="AE11" s="100">
        <v>3409.0222646069028</v>
      </c>
      <c r="AF11" s="100">
        <v>8.4322072211030328</v>
      </c>
      <c r="AG11" s="100">
        <v>4492.6800074036955</v>
      </c>
      <c r="AH11" s="100">
        <v>5.1863210091336187</v>
      </c>
      <c r="AI11" s="100">
        <v>2763.271833666392</v>
      </c>
      <c r="AJ11" s="100">
        <v>8.6567738004550918</v>
      </c>
      <c r="AK11" s="100">
        <v>4612.3290808824722</v>
      </c>
      <c r="AL11" s="100">
        <v>1.6221793484906977</v>
      </c>
      <c r="AM11" s="100">
        <v>864.2971568758436</v>
      </c>
      <c r="AN11" s="100">
        <v>8.8546539785916512</v>
      </c>
      <c r="AO11" s="100">
        <v>4717.7596397936313</v>
      </c>
      <c r="AP11" s="100">
        <v>6</v>
      </c>
      <c r="AQ11" s="100">
        <v>3196.7999999999997</v>
      </c>
      <c r="AR11" s="100">
        <v>4.9808795099443985</v>
      </c>
      <c r="AS11" s="100">
        <v>2653.8126028983752</v>
      </c>
      <c r="AT11" s="100">
        <v>1.1254510226654595</v>
      </c>
      <c r="AU11" s="100">
        <v>599.64030487615673</v>
      </c>
      <c r="AV11" s="100">
        <v>6.8883437343263214</v>
      </c>
      <c r="AW11" s="100">
        <v>3670.1095416490639</v>
      </c>
      <c r="AX11" s="100">
        <v>8.2490319893432336</v>
      </c>
      <c r="AY11" s="100">
        <v>4395.0842439220742</v>
      </c>
      <c r="AZ11" s="100">
        <v>3.6869420022573034</v>
      </c>
      <c r="BA11" s="100">
        <v>1964.402698802691</v>
      </c>
      <c r="BB11" s="100">
        <v>1.3020315537730285</v>
      </c>
      <c r="BC11" s="100">
        <v>693.72241185026951</v>
      </c>
      <c r="BD11" s="100">
        <v>6.5023793554684959</v>
      </c>
      <c r="BE11" s="100">
        <v>3464.4677205936141</v>
      </c>
      <c r="BF11" s="100">
        <v>4.9216324892347449</v>
      </c>
      <c r="BG11" s="100">
        <v>2622.2457902642718</v>
      </c>
      <c r="BH11" s="100">
        <v>9.3993564875900297</v>
      </c>
      <c r="BI11" s="100">
        <v>5007.9771365879678</v>
      </c>
      <c r="BJ11" s="100">
        <v>3.0222180814768969</v>
      </c>
      <c r="BK11" s="100">
        <v>1610.2377938108905</v>
      </c>
      <c r="BL11" s="100">
        <v>5.8621131900468573</v>
      </c>
      <c r="BM11" s="100">
        <v>3123.3339076569655</v>
      </c>
      <c r="BN11" s="100">
        <v>10.165560647317076</v>
      </c>
      <c r="BO11" s="100">
        <v>5416.2107128905373</v>
      </c>
      <c r="BP11" s="100">
        <v>11</v>
      </c>
      <c r="BQ11" s="100">
        <v>5860.7999999999993</v>
      </c>
      <c r="BR11" s="100">
        <v>8.1020632567278561</v>
      </c>
      <c r="BS11" s="100">
        <v>4316.7793031846013</v>
      </c>
      <c r="BT11" s="100">
        <v>6.7509213299406099</v>
      </c>
      <c r="BU11" s="100">
        <v>3596.8908845923565</v>
      </c>
      <c r="BV11" s="100">
        <v>7.6274817911546089</v>
      </c>
      <c r="BW11" s="100">
        <v>4063.9222983271752</v>
      </c>
      <c r="BX11" s="100">
        <v>3.2448069408857596</v>
      </c>
      <c r="BY11" s="100">
        <v>1728.8331381039325</v>
      </c>
      <c r="BZ11" s="100">
        <v>5.3548761477925044</v>
      </c>
      <c r="CA11" s="100">
        <v>2853.0780115438461</v>
      </c>
      <c r="CB11" s="100">
        <v>3.5511178269316566</v>
      </c>
      <c r="CC11" s="100">
        <v>1892.0355781891865</v>
      </c>
      <c r="CD11" s="100">
        <v>4.9443987283548774</v>
      </c>
      <c r="CE11" s="100">
        <v>2634.3756424674784</v>
      </c>
      <c r="CF11" s="100">
        <v>11.302212249834929</v>
      </c>
      <c r="CG11" s="100">
        <v>6021.8186867120494</v>
      </c>
      <c r="CH11" s="100">
        <v>6.5847555414340277</v>
      </c>
      <c r="CI11" s="100">
        <v>3508.3577524760499</v>
      </c>
      <c r="CJ11" s="100">
        <v>3.5645487739154</v>
      </c>
      <c r="CK11" s="100">
        <v>1899.1915867421251</v>
      </c>
      <c r="CL11" s="100">
        <v>7.431315112768063</v>
      </c>
      <c r="CM11" s="100">
        <v>3959.4046920828237</v>
      </c>
      <c r="CN11" s="100">
        <v>8.494636299344732</v>
      </c>
      <c r="CO11" s="100">
        <v>4525.9422202908727</v>
      </c>
      <c r="CP11" s="100">
        <v>3.7012580978441139</v>
      </c>
      <c r="CQ11" s="100">
        <v>1972.0303145313437</v>
      </c>
      <c r="CR11" s="100">
        <v>5.0301188292760841</v>
      </c>
      <c r="CS11" s="100">
        <v>2680.0473122382973</v>
      </c>
      <c r="CT11" s="100">
        <v>6.6554180323861107</v>
      </c>
      <c r="CU11" s="100">
        <v>3546.0067276553195</v>
      </c>
    </row>
    <row r="12" spans="1:99">
      <c r="C12" s="99" t="s">
        <v>178</v>
      </c>
      <c r="D12" s="100">
        <v>2.8658597307915978</v>
      </c>
      <c r="E12" s="100">
        <v>1612.9058564895111</v>
      </c>
      <c r="F12" s="100">
        <v>3.0229060326353645</v>
      </c>
      <c r="G12" s="100">
        <v>1701.291515167183</v>
      </c>
      <c r="H12" s="100">
        <v>5.2223773280738506</v>
      </c>
      <c r="I12" s="100">
        <v>2939.153960239963</v>
      </c>
      <c r="J12" s="100">
        <v>5.7337125721621867</v>
      </c>
      <c r="K12" s="100">
        <v>3226.9334356128784</v>
      </c>
      <c r="L12" s="100">
        <v>2.2702947845545434</v>
      </c>
      <c r="M12" s="100">
        <v>1277.721904747297</v>
      </c>
      <c r="N12" s="100">
        <v>5.292568978717429</v>
      </c>
      <c r="O12" s="100">
        <v>2978.6578212221689</v>
      </c>
      <c r="P12" s="100">
        <v>5.9806622155640534</v>
      </c>
      <c r="Q12" s="100">
        <v>3365.9166949194491</v>
      </c>
      <c r="R12" s="100">
        <v>8</v>
      </c>
      <c r="S12" s="100">
        <v>4502.3999999999996</v>
      </c>
      <c r="T12" s="100">
        <v>8.5419832330748786</v>
      </c>
      <c r="U12" s="100">
        <v>4807.428163574541</v>
      </c>
      <c r="V12" s="100">
        <v>6.8331244020518849</v>
      </c>
      <c r="W12" s="100">
        <v>3845.6824134748003</v>
      </c>
      <c r="X12" s="100">
        <v>3.411133713065567</v>
      </c>
      <c r="Y12" s="100">
        <v>1919.786053713301</v>
      </c>
      <c r="Z12" s="100">
        <v>7.5539783953280359</v>
      </c>
      <c r="AA12" s="100">
        <v>4251.3790408906179</v>
      </c>
      <c r="AB12" s="100">
        <v>3.6345687185006859</v>
      </c>
      <c r="AC12" s="100">
        <v>2045.5352747721859</v>
      </c>
      <c r="AD12" s="100">
        <v>7.3983150611991428</v>
      </c>
      <c r="AE12" s="100">
        <v>4163.7717164428768</v>
      </c>
      <c r="AF12" s="100">
        <v>7.4952953076471402</v>
      </c>
      <c r="AG12" s="100">
        <v>4218.3521991438101</v>
      </c>
      <c r="AH12" s="100">
        <v>5.1863210091336187</v>
      </c>
      <c r="AI12" s="100">
        <v>2918.8614639404004</v>
      </c>
      <c r="AJ12" s="100">
        <v>8.6567738004550918</v>
      </c>
      <c r="AK12" s="100">
        <v>4872.0322948961257</v>
      </c>
      <c r="AL12" s="100">
        <v>2.0847926499330511</v>
      </c>
      <c r="AM12" s="100">
        <v>1173.321303382321</v>
      </c>
      <c r="AN12" s="100">
        <v>7.9767474041047448</v>
      </c>
      <c r="AO12" s="100">
        <v>4489.3134390301502</v>
      </c>
      <c r="AP12" s="100">
        <v>6</v>
      </c>
      <c r="AQ12" s="100">
        <v>3376.7999999999997</v>
      </c>
      <c r="AR12" s="100">
        <v>4.1764296618554253</v>
      </c>
      <c r="AS12" s="100">
        <v>2350.4946136922331</v>
      </c>
      <c r="AT12" s="100">
        <v>1.3226548371002649</v>
      </c>
      <c r="AU12" s="100">
        <v>744.39014232002899</v>
      </c>
      <c r="AV12" s="100">
        <v>5.8883437343263214</v>
      </c>
      <c r="AW12" s="100">
        <v>3313.9598536788535</v>
      </c>
      <c r="AX12" s="100">
        <v>6.5992255914745872</v>
      </c>
      <c r="AY12" s="100">
        <v>3714.0441628818976</v>
      </c>
      <c r="AZ12" s="100">
        <v>4.3995568189713161</v>
      </c>
      <c r="BA12" s="100">
        <v>2476.0705777170565</v>
      </c>
      <c r="BB12" s="100">
        <v>1.562437864527634</v>
      </c>
      <c r="BC12" s="100">
        <v>879.34003015615235</v>
      </c>
      <c r="BD12" s="100">
        <v>7.304040846900989</v>
      </c>
      <c r="BE12" s="100">
        <v>4110.7141886358759</v>
      </c>
      <c r="BF12" s="100">
        <v>4.9216324892347449</v>
      </c>
      <c r="BG12" s="100">
        <v>2769.8947649413144</v>
      </c>
      <c r="BH12" s="100">
        <v>9.3993564875900297</v>
      </c>
      <c r="BI12" s="100">
        <v>5289.9578312156682</v>
      </c>
      <c r="BJ12" s="100">
        <v>3.2815472600575735</v>
      </c>
      <c r="BK12" s="100">
        <v>1846.8547979604023</v>
      </c>
      <c r="BL12" s="100">
        <v>6.4359890976235929</v>
      </c>
      <c r="BM12" s="100">
        <v>3622.174664142558</v>
      </c>
      <c r="BN12" s="100">
        <v>9.9324485178536595</v>
      </c>
      <c r="BO12" s="100">
        <v>5589.9820258480395</v>
      </c>
      <c r="BP12" s="100">
        <v>10</v>
      </c>
      <c r="BQ12" s="100">
        <v>5628</v>
      </c>
      <c r="BR12" s="100">
        <v>7.3655120515707786</v>
      </c>
      <c r="BS12" s="100">
        <v>4145.3101826240336</v>
      </c>
      <c r="BT12" s="100">
        <v>6.7509213299406099</v>
      </c>
      <c r="BU12" s="100">
        <v>3799.4185244905748</v>
      </c>
      <c r="BV12" s="100">
        <v>6.0603401274693871</v>
      </c>
      <c r="BW12" s="100">
        <v>3410.7594237397707</v>
      </c>
      <c r="BX12" s="100">
        <v>2.7874832396261162</v>
      </c>
      <c r="BY12" s="100">
        <v>1568.7955672615781</v>
      </c>
      <c r="BZ12" s="100">
        <v>4.6744022163960484</v>
      </c>
      <c r="CA12" s="100">
        <v>2630.753567387696</v>
      </c>
      <c r="CB12" s="100">
        <v>3.877873724180342</v>
      </c>
      <c r="CC12" s="100">
        <v>2182.4673319686963</v>
      </c>
      <c r="CD12" s="100">
        <v>4.8594410919329656</v>
      </c>
      <c r="CE12" s="100">
        <v>2734.8934465398729</v>
      </c>
      <c r="CF12" s="100">
        <v>10.339520885629138</v>
      </c>
      <c r="CG12" s="100">
        <v>5819.0823544320783</v>
      </c>
      <c r="CH12" s="100">
        <v>6.5847555414340277</v>
      </c>
      <c r="CI12" s="100">
        <v>3705.9004187190703</v>
      </c>
      <c r="CJ12" s="100">
        <v>3.4919547680893701</v>
      </c>
      <c r="CK12" s="100">
        <v>1965.2721434806974</v>
      </c>
      <c r="CL12" s="100">
        <v>7.431315112768063</v>
      </c>
      <c r="CM12" s="100">
        <v>4182.3441454658659</v>
      </c>
      <c r="CN12" s="100">
        <v>9.4384847770497018</v>
      </c>
      <c r="CO12" s="100">
        <v>5311.9792325235721</v>
      </c>
      <c r="CP12" s="100">
        <v>3.3484430750088969</v>
      </c>
      <c r="CQ12" s="100">
        <v>1884.503762615007</v>
      </c>
      <c r="CR12" s="100">
        <v>4.9209048152861543</v>
      </c>
      <c r="CS12" s="100">
        <v>2769.4852300430475</v>
      </c>
      <c r="CT12" s="100">
        <v>6.6554180323861107</v>
      </c>
      <c r="CU12" s="100">
        <v>3745.669268626903</v>
      </c>
    </row>
    <row r="13" spans="1:99">
      <c r="C13" s="99" t="s">
        <v>179</v>
      </c>
      <c r="D13" s="100">
        <v>2.8678285175107296</v>
      </c>
      <c r="E13" s="100">
        <v>244.33898969191418</v>
      </c>
      <c r="F13" s="100">
        <v>3.0229060326353645</v>
      </c>
      <c r="G13" s="100">
        <v>257.55159398053308</v>
      </c>
      <c r="H13" s="100">
        <v>6.2223773280738506</v>
      </c>
      <c r="I13" s="100">
        <v>530.14654835189208</v>
      </c>
      <c r="J13" s="100">
        <v>7.3719161642085265</v>
      </c>
      <c r="K13" s="100">
        <v>628.08725719056645</v>
      </c>
      <c r="L13" s="100">
        <v>2.3021167416253752</v>
      </c>
      <c r="M13" s="100">
        <v>196.14034638648198</v>
      </c>
      <c r="N13" s="100">
        <v>4.7858784038687956</v>
      </c>
      <c r="O13" s="100">
        <v>407.75684000962138</v>
      </c>
      <c r="P13" s="100">
        <v>5.9806622155640534</v>
      </c>
      <c r="Q13" s="100">
        <v>509.55242076605737</v>
      </c>
      <c r="R13" s="100">
        <v>9</v>
      </c>
      <c r="S13" s="100">
        <v>766.80000000000007</v>
      </c>
      <c r="T13" s="100">
        <v>7.68778490976739</v>
      </c>
      <c r="U13" s="100">
        <v>654.99927431218168</v>
      </c>
      <c r="V13" s="100">
        <v>6.8331244020518849</v>
      </c>
      <c r="W13" s="100">
        <v>582.18219905482056</v>
      </c>
      <c r="X13" s="100">
        <v>3.411133713065567</v>
      </c>
      <c r="Y13" s="100">
        <v>290.62859235318632</v>
      </c>
      <c r="Z13" s="100">
        <v>6.5539783953280359</v>
      </c>
      <c r="AA13" s="100">
        <v>558.39895928194869</v>
      </c>
      <c r="AB13" s="100">
        <v>4.1537928211436403</v>
      </c>
      <c r="AC13" s="100">
        <v>353.90314836143818</v>
      </c>
      <c r="AD13" s="100">
        <v>6.3983150611991428</v>
      </c>
      <c r="AE13" s="100">
        <v>545.136443214167</v>
      </c>
      <c r="AF13" s="100">
        <v>8.4322072211030328</v>
      </c>
      <c r="AG13" s="100">
        <v>718.42405523797845</v>
      </c>
      <c r="AH13" s="100">
        <v>5.1863210091336187</v>
      </c>
      <c r="AI13" s="100">
        <v>441.87454997818435</v>
      </c>
      <c r="AJ13" s="100">
        <v>8.6567738004550918</v>
      </c>
      <c r="AK13" s="100">
        <v>737.55712779877388</v>
      </c>
      <c r="AL13" s="100">
        <v>2.117272760293178</v>
      </c>
      <c r="AM13" s="100">
        <v>180.39163917697877</v>
      </c>
      <c r="AN13" s="100">
        <v>8.8546539785916512</v>
      </c>
      <c r="AO13" s="100">
        <v>754.41651897600866</v>
      </c>
      <c r="AP13" s="100">
        <v>6</v>
      </c>
      <c r="AQ13" s="100">
        <v>511.20000000000005</v>
      </c>
      <c r="AR13" s="100">
        <v>5.6311489366228127</v>
      </c>
      <c r="AS13" s="100">
        <v>479.77388940026367</v>
      </c>
      <c r="AT13" s="100">
        <v>1.1161555592993639</v>
      </c>
      <c r="AU13" s="100">
        <v>95.096453652305811</v>
      </c>
      <c r="AV13" s="100">
        <v>5.8883437343263214</v>
      </c>
      <c r="AW13" s="100">
        <v>501.68688616460258</v>
      </c>
      <c r="AX13" s="100">
        <v>6.5992255914745872</v>
      </c>
      <c r="AY13" s="100">
        <v>562.25402039363485</v>
      </c>
      <c r="AZ13" s="100">
        <v>3.5630740835700681</v>
      </c>
      <c r="BA13" s="100">
        <v>303.57391192016979</v>
      </c>
      <c r="BB13" s="100">
        <v>1.3020315537730285</v>
      </c>
      <c r="BC13" s="100">
        <v>110.93308838146203</v>
      </c>
      <c r="BD13" s="100">
        <v>7.3030731349156968</v>
      </c>
      <c r="BE13" s="100">
        <v>622.22183109481739</v>
      </c>
      <c r="BF13" s="100">
        <v>5.4505734171418982</v>
      </c>
      <c r="BG13" s="100">
        <v>464.38885514048974</v>
      </c>
      <c r="BH13" s="100">
        <v>9.2594517715464484</v>
      </c>
      <c r="BI13" s="100">
        <v>788.90529093575742</v>
      </c>
      <c r="BJ13" s="100">
        <v>3.2815472600575735</v>
      </c>
      <c r="BK13" s="100">
        <v>279.58782655690527</v>
      </c>
      <c r="BL13" s="100">
        <v>5.8578640274804945</v>
      </c>
      <c r="BM13" s="100">
        <v>499.09001514133814</v>
      </c>
      <c r="BN13" s="100">
        <v>11.165560647317076</v>
      </c>
      <c r="BO13" s="100">
        <v>951.3057671514149</v>
      </c>
      <c r="BP13" s="100">
        <v>12</v>
      </c>
      <c r="BQ13" s="100">
        <v>1022.4000000000001</v>
      </c>
      <c r="BR13" s="100">
        <v>7.3655120515707786</v>
      </c>
      <c r="BS13" s="100">
        <v>627.54162679383035</v>
      </c>
      <c r="BT13" s="100">
        <v>7.4260134629346704</v>
      </c>
      <c r="BU13" s="100">
        <v>632.69634704203395</v>
      </c>
      <c r="BV13" s="100">
        <v>7.6274817911546089</v>
      </c>
      <c r="BW13" s="100">
        <v>649.86144860637273</v>
      </c>
      <c r="BX13" s="100">
        <v>2.809253755660245</v>
      </c>
      <c r="BY13" s="100">
        <v>239.34841998225289</v>
      </c>
      <c r="BZ13" s="100">
        <v>5.1762701657481731</v>
      </c>
      <c r="CA13" s="100">
        <v>441.01821812174438</v>
      </c>
      <c r="CB13" s="100">
        <v>3.5344378943172567</v>
      </c>
      <c r="CC13" s="100">
        <v>301.1341085958303</v>
      </c>
      <c r="CD13" s="100">
        <v>4.4257600488802407</v>
      </c>
      <c r="CE13" s="100">
        <v>377.07475616459652</v>
      </c>
      <c r="CF13" s="100">
        <v>10.171991024851435</v>
      </c>
      <c r="CG13" s="100">
        <v>866.65363531734226</v>
      </c>
      <c r="CH13" s="100">
        <v>7.1833696815643933</v>
      </c>
      <c r="CI13" s="100">
        <v>612.02309686928629</v>
      </c>
      <c r="CJ13" s="100">
        <v>3.4884995245391663</v>
      </c>
      <c r="CK13" s="100">
        <v>297.22015949073699</v>
      </c>
      <c r="CL13" s="100">
        <v>8.431315112768063</v>
      </c>
      <c r="CM13" s="100">
        <v>718.34804760783902</v>
      </c>
      <c r="CN13" s="100">
        <v>9.4384847770497018</v>
      </c>
      <c r="CO13" s="100">
        <v>804.15890300463457</v>
      </c>
      <c r="CP13" s="100">
        <v>4.0684987764703262</v>
      </c>
      <c r="CQ13" s="100">
        <v>346.63609575527181</v>
      </c>
      <c r="CR13" s="100">
        <v>5.5714556155526989</v>
      </c>
      <c r="CS13" s="100">
        <v>474.68801844508994</v>
      </c>
      <c r="CT13" s="100">
        <v>5.0954477046935747</v>
      </c>
      <c r="CU13" s="100">
        <v>434.13214443989256</v>
      </c>
    </row>
    <row r="14" spans="1:99">
      <c r="C14" s="99" t="s">
        <v>180</v>
      </c>
      <c r="D14" s="100">
        <v>2.8678285175107296</v>
      </c>
      <c r="E14" s="100">
        <v>1400.6474479522403</v>
      </c>
      <c r="F14" s="100">
        <v>3.0204395398456914</v>
      </c>
      <c r="G14" s="100">
        <v>1475.1826712606355</v>
      </c>
      <c r="H14" s="100">
        <v>6.3970026606558292</v>
      </c>
      <c r="I14" s="100">
        <v>3124.2960994643067</v>
      </c>
      <c r="J14" s="100">
        <v>5.7337125721621867</v>
      </c>
      <c r="K14" s="100">
        <v>2800.3452202440117</v>
      </c>
      <c r="L14" s="100">
        <v>2.2862057630899586</v>
      </c>
      <c r="M14" s="100">
        <v>1116.5828946931358</v>
      </c>
      <c r="N14" s="100">
        <v>4.8818107663169643</v>
      </c>
      <c r="O14" s="100">
        <v>2384.2763782692055</v>
      </c>
      <c r="P14" s="100">
        <v>4.8172185129700447</v>
      </c>
      <c r="Q14" s="100">
        <v>2352.7295217345695</v>
      </c>
      <c r="R14" s="100">
        <v>9</v>
      </c>
      <c r="S14" s="100">
        <v>4395.5999999999995</v>
      </c>
      <c r="T14" s="100">
        <v>8.5419832330748786</v>
      </c>
      <c r="U14" s="100">
        <v>4171.9046110337704</v>
      </c>
      <c r="V14" s="100">
        <v>6.8331244020518849</v>
      </c>
      <c r="W14" s="100">
        <v>3337.2979579621406</v>
      </c>
      <c r="X14" s="100">
        <v>3.411133713065567</v>
      </c>
      <c r="Y14" s="100">
        <v>1665.9977054612229</v>
      </c>
      <c r="Z14" s="100">
        <v>7.3813141291804767</v>
      </c>
      <c r="AA14" s="100">
        <v>3605.0338206917445</v>
      </c>
      <c r="AB14" s="100">
        <v>4.1537928211436403</v>
      </c>
      <c r="AC14" s="100">
        <v>2028.7124138465538</v>
      </c>
      <c r="AD14" s="100">
        <v>6.3983150611991428</v>
      </c>
      <c r="AE14" s="100">
        <v>3124.9370758896612</v>
      </c>
      <c r="AF14" s="100">
        <v>8.4322072211030328</v>
      </c>
      <c r="AG14" s="100">
        <v>4118.2900067867213</v>
      </c>
      <c r="AH14" s="100">
        <v>5.1863210091336187</v>
      </c>
      <c r="AI14" s="100">
        <v>2532.9991808608593</v>
      </c>
      <c r="AJ14" s="100">
        <v>8.7211029325859943</v>
      </c>
      <c r="AK14" s="100">
        <v>4259.386672274999</v>
      </c>
      <c r="AL14" s="100">
        <v>2.0847926499330511</v>
      </c>
      <c r="AM14" s="100">
        <v>1018.2127302273021</v>
      </c>
      <c r="AN14" s="100">
        <v>8.8546539785916512</v>
      </c>
      <c r="AO14" s="100">
        <v>4324.6130031441626</v>
      </c>
      <c r="AP14" s="100">
        <v>6</v>
      </c>
      <c r="AQ14" s="100">
        <v>2930.3999999999996</v>
      </c>
      <c r="AR14" s="100">
        <v>4.8266990885338394</v>
      </c>
      <c r="AS14" s="100">
        <v>2357.3598348399269</v>
      </c>
      <c r="AT14" s="100">
        <v>1.3319503004663604</v>
      </c>
      <c r="AU14" s="100">
        <v>650.52452674777044</v>
      </c>
      <c r="AV14" s="100">
        <v>5.8883437343263214</v>
      </c>
      <c r="AW14" s="100">
        <v>2875.8670798449753</v>
      </c>
      <c r="AX14" s="100">
        <v>6.5992255914745872</v>
      </c>
      <c r="AY14" s="100">
        <v>3223.0617788761883</v>
      </c>
      <c r="AZ14" s="100">
        <v>3.6993287941260267</v>
      </c>
      <c r="BA14" s="100">
        <v>1806.7521830511514</v>
      </c>
      <c r="BB14" s="100">
        <v>1.562437864527634</v>
      </c>
      <c r="BC14" s="100">
        <v>763.09465303529646</v>
      </c>
      <c r="BD14" s="100">
        <v>6.5023793554684959</v>
      </c>
      <c r="BE14" s="100">
        <v>3175.7620772108135</v>
      </c>
      <c r="BF14" s="100">
        <v>4.8986090409389789</v>
      </c>
      <c r="BG14" s="100">
        <v>2392.480655594597</v>
      </c>
      <c r="BH14" s="100">
        <v>8.4314398956223098</v>
      </c>
      <c r="BI14" s="100">
        <v>4117.9152450219362</v>
      </c>
      <c r="BJ14" s="100">
        <v>3.6084926837359652</v>
      </c>
      <c r="BK14" s="100">
        <v>1762.3878267366454</v>
      </c>
      <c r="BL14" s="100">
        <v>6.4317399350572302</v>
      </c>
      <c r="BM14" s="100">
        <v>3141.2617842819509</v>
      </c>
      <c r="BN14" s="100">
        <v>9.9324485178536595</v>
      </c>
      <c r="BO14" s="100">
        <v>4851.007856119727</v>
      </c>
      <c r="BP14" s="100">
        <v>11</v>
      </c>
      <c r="BQ14" s="100">
        <v>5372.4</v>
      </c>
      <c r="BR14" s="100">
        <v>8.1020632567278561</v>
      </c>
      <c r="BS14" s="100">
        <v>3957.0476945858845</v>
      </c>
      <c r="BT14" s="100">
        <v>6.7509213299406099</v>
      </c>
      <c r="BU14" s="100">
        <v>3297.1499775429938</v>
      </c>
      <c r="BV14" s="100">
        <v>6.0603401274693871</v>
      </c>
      <c r="BW14" s="100">
        <v>2959.8701182560485</v>
      </c>
      <c r="BX14" s="100">
        <v>3.2665774569198884</v>
      </c>
      <c r="BY14" s="100">
        <v>1595.3964299596735</v>
      </c>
      <c r="BZ14" s="100">
        <v>4.6744022163960484</v>
      </c>
      <c r="CA14" s="100">
        <v>2282.97804248783</v>
      </c>
      <c r="CB14" s="100">
        <v>3.5511178269316566</v>
      </c>
      <c r="CC14" s="100">
        <v>1734.3659466734209</v>
      </c>
      <c r="CD14" s="100">
        <v>4.3369685918632568</v>
      </c>
      <c r="CE14" s="100">
        <v>2118.1754602660144</v>
      </c>
      <c r="CF14" s="100">
        <v>10.339520885629138</v>
      </c>
      <c r="CG14" s="100">
        <v>5049.8220005412713</v>
      </c>
      <c r="CH14" s="100">
        <v>7.1833696815643933</v>
      </c>
      <c r="CI14" s="100">
        <v>3508.3577524760494</v>
      </c>
      <c r="CJ14" s="100">
        <v>3.8752993260623447</v>
      </c>
      <c r="CK14" s="100">
        <v>1892.696190848849</v>
      </c>
      <c r="CL14" s="100">
        <v>7.5903501252978476</v>
      </c>
      <c r="CM14" s="100">
        <v>3707.1270011954684</v>
      </c>
      <c r="CN14" s="100">
        <v>9.4384847770497018</v>
      </c>
      <c r="CO14" s="100">
        <v>4609.7559651110741</v>
      </c>
      <c r="CP14" s="100">
        <v>3.6868324420531189</v>
      </c>
      <c r="CQ14" s="100">
        <v>1800.6489646987432</v>
      </c>
      <c r="CR14" s="100">
        <v>5.6806696295426278</v>
      </c>
      <c r="CS14" s="100">
        <v>2774.4390470686194</v>
      </c>
      <c r="CT14" s="100">
        <v>5.0757179482048862</v>
      </c>
      <c r="CU14" s="100">
        <v>2478.9806459032661</v>
      </c>
    </row>
    <row r="15" spans="1:99">
      <c r="C15" s="99" t="s">
        <v>181</v>
      </c>
      <c r="D15" s="100">
        <v>2.8678285175107296</v>
      </c>
      <c r="E15" s="100">
        <v>2188.7267245641888</v>
      </c>
      <c r="F15" s="100">
        <v>3.0229060326353645</v>
      </c>
      <c r="G15" s="100">
        <v>2307.0818841073101</v>
      </c>
      <c r="H15" s="100">
        <v>6.2223773280738506</v>
      </c>
      <c r="I15" s="100">
        <v>4748.9183767859622</v>
      </c>
      <c r="J15" s="100">
        <v>6.5528143681853566</v>
      </c>
      <c r="K15" s="100">
        <v>5001.1079257990641</v>
      </c>
      <c r="L15" s="100">
        <v>2.2702947845545434</v>
      </c>
      <c r="M15" s="100">
        <v>1732.6889795720274</v>
      </c>
      <c r="N15" s="100">
        <v>4.2830883950763425</v>
      </c>
      <c r="O15" s="100">
        <v>3268.8530631222643</v>
      </c>
      <c r="P15" s="100">
        <v>4.9806622155640534</v>
      </c>
      <c r="Q15" s="100">
        <v>3801.2414029184852</v>
      </c>
      <c r="R15" s="100">
        <v>9</v>
      </c>
      <c r="S15" s="100">
        <v>6868.7999999999993</v>
      </c>
      <c r="T15" s="100">
        <v>8.5419832330748786</v>
      </c>
      <c r="U15" s="100">
        <v>6519.2416034827465</v>
      </c>
      <c r="V15" s="100">
        <v>5.9789838517953999</v>
      </c>
      <c r="W15" s="100">
        <v>4563.1604756902489</v>
      </c>
      <c r="X15" s="100">
        <v>3.0321188560582817</v>
      </c>
      <c r="Y15" s="100">
        <v>2314.1131109436806</v>
      </c>
      <c r="Z15" s="100">
        <v>7.3813141291804767</v>
      </c>
      <c r="AA15" s="100">
        <v>5633.4189433905394</v>
      </c>
      <c r="AB15" s="100">
        <v>4.1537928211436403</v>
      </c>
      <c r="AC15" s="100">
        <v>3170.1746810968261</v>
      </c>
      <c r="AD15" s="100">
        <v>7.3983150611991428</v>
      </c>
      <c r="AE15" s="100">
        <v>5646.3940547071852</v>
      </c>
      <c r="AF15" s="100">
        <v>7.4952953076471402</v>
      </c>
      <c r="AG15" s="100">
        <v>5720.4093787962966</v>
      </c>
      <c r="AH15" s="100">
        <v>4.4454180078288159</v>
      </c>
      <c r="AI15" s="100">
        <v>3392.7430235749521</v>
      </c>
      <c r="AJ15" s="100">
        <v>7.9004559450321148</v>
      </c>
      <c r="AK15" s="100">
        <v>6029.6279772485095</v>
      </c>
      <c r="AL15" s="100">
        <v>2.0847926499330511</v>
      </c>
      <c r="AM15" s="100">
        <v>1591.1137504289045</v>
      </c>
      <c r="AN15" s="100">
        <v>7.8546539785916512</v>
      </c>
      <c r="AO15" s="100">
        <v>5994.6719164611477</v>
      </c>
      <c r="AP15" s="100">
        <v>6</v>
      </c>
      <c r="AQ15" s="100">
        <v>4579.2</v>
      </c>
      <c r="AR15" s="100">
        <v>4.9808795099443985</v>
      </c>
      <c r="AS15" s="100">
        <v>3801.4072419895647</v>
      </c>
      <c r="AT15" s="100">
        <v>1.3319503004663604</v>
      </c>
      <c r="AU15" s="100">
        <v>1016.5444693159262</v>
      </c>
      <c r="AV15" s="100">
        <v>6.8883437343263214</v>
      </c>
      <c r="AW15" s="100">
        <v>5257.1839380378478</v>
      </c>
      <c r="AX15" s="100">
        <v>7.4241287904089095</v>
      </c>
      <c r="AY15" s="100">
        <v>5666.0950928400789</v>
      </c>
      <c r="AZ15" s="100">
        <v>3.6869420022573034</v>
      </c>
      <c r="BA15" s="100">
        <v>2813.8741361227735</v>
      </c>
      <c r="BB15" s="100">
        <v>1.3020315537730285</v>
      </c>
      <c r="BC15" s="100">
        <v>993.71048183957521</v>
      </c>
      <c r="BD15" s="100">
        <v>6.5033470674537881</v>
      </c>
      <c r="BE15" s="100">
        <v>4963.3544818807304</v>
      </c>
      <c r="BF15" s="100">
        <v>4.9216324892347449</v>
      </c>
      <c r="BG15" s="100">
        <v>3756.1899157839571</v>
      </c>
      <c r="BH15" s="100">
        <v>8.5713446116658911</v>
      </c>
      <c r="BI15" s="100">
        <v>6541.6502076234074</v>
      </c>
      <c r="BJ15" s="100">
        <v>3.035195948645689</v>
      </c>
      <c r="BK15" s="100">
        <v>2316.4615480063894</v>
      </c>
      <c r="BL15" s="100">
        <v>5.0307386808492502</v>
      </c>
      <c r="BM15" s="100">
        <v>3839.4597612241473</v>
      </c>
      <c r="BN15" s="100">
        <v>9.9324485178536595</v>
      </c>
      <c r="BO15" s="100">
        <v>7580.4447088259121</v>
      </c>
      <c r="BP15" s="100">
        <v>11</v>
      </c>
      <c r="BQ15" s="100">
        <v>8395.1999999999989</v>
      </c>
      <c r="BR15" s="100">
        <v>6.6289608464137011</v>
      </c>
      <c r="BS15" s="100">
        <v>5059.2229179829365</v>
      </c>
      <c r="BT15" s="100">
        <v>6.0758291969465485</v>
      </c>
      <c r="BU15" s="100">
        <v>4637.0728431096059</v>
      </c>
      <c r="BV15" s="100">
        <v>6.7916069316237149</v>
      </c>
      <c r="BW15" s="100">
        <v>5183.3544102152191</v>
      </c>
      <c r="BX15" s="100">
        <v>2.7874832396261162</v>
      </c>
      <c r="BY15" s="100">
        <v>2127.4072084826516</v>
      </c>
      <c r="BZ15" s="100">
        <v>4.1725342670439245</v>
      </c>
      <c r="CA15" s="100">
        <v>3184.4781526079228</v>
      </c>
      <c r="CB15" s="100">
        <v>3.5511178269316566</v>
      </c>
      <c r="CC15" s="100">
        <v>2710.2131255142399</v>
      </c>
      <c r="CD15" s="100">
        <v>3.8259975535787629</v>
      </c>
      <c r="CE15" s="100">
        <v>2920.0013328913114</v>
      </c>
      <c r="CF15" s="100">
        <v>10.171991024851435</v>
      </c>
      <c r="CG15" s="100">
        <v>7763.2635501666146</v>
      </c>
      <c r="CH15" s="100">
        <v>5.9861414013036613</v>
      </c>
      <c r="CI15" s="100">
        <v>4568.6231174749537</v>
      </c>
      <c r="CJ15" s="100">
        <v>3.4919547680893701</v>
      </c>
      <c r="CK15" s="100">
        <v>2665.059879005807</v>
      </c>
      <c r="CL15" s="100">
        <v>7.5903501252978476</v>
      </c>
      <c r="CM15" s="100">
        <v>5792.9552156273166</v>
      </c>
      <c r="CN15" s="100">
        <v>9.4384847770497018</v>
      </c>
      <c r="CO15" s="100">
        <v>7203.4515818443315</v>
      </c>
      <c r="CP15" s="100">
        <v>3.4782609499449682</v>
      </c>
      <c r="CQ15" s="100">
        <v>2654.6087569979995</v>
      </c>
      <c r="CR15" s="100">
        <v>5.0341981101910864</v>
      </c>
      <c r="CS15" s="100">
        <v>3842.0999976978369</v>
      </c>
      <c r="CT15" s="100">
        <v>5.0954477046935747</v>
      </c>
      <c r="CU15" s="100">
        <v>3888.8456882221358</v>
      </c>
    </row>
    <row r="16" spans="1:99">
      <c r="C16" s="99" t="s">
        <v>182</v>
      </c>
      <c r="D16" s="100">
        <v>2.8658597307915978</v>
      </c>
      <c r="E16" s="100">
        <v>976.6849962537766</v>
      </c>
      <c r="F16" s="100">
        <v>3.1040262492556807</v>
      </c>
      <c r="G16" s="100">
        <v>1057.852145746336</v>
      </c>
      <c r="H16" s="100">
        <v>6.2223773280738506</v>
      </c>
      <c r="I16" s="100">
        <v>2120.5861934075683</v>
      </c>
      <c r="J16" s="100">
        <v>6.5528143681853566</v>
      </c>
      <c r="K16" s="100">
        <v>2233.1991366775696</v>
      </c>
      <c r="L16" s="100">
        <v>2.7020783715158698</v>
      </c>
      <c r="M16" s="100">
        <v>920.86830901260851</v>
      </c>
      <c r="N16" s="100">
        <v>4.7858784038687956</v>
      </c>
      <c r="O16" s="100">
        <v>1631.0273600384855</v>
      </c>
      <c r="P16" s="100">
        <v>4.8172185129700447</v>
      </c>
      <c r="Q16" s="100">
        <v>1641.7080692201912</v>
      </c>
      <c r="R16" s="100">
        <v>8</v>
      </c>
      <c r="S16" s="100">
        <v>2726.4</v>
      </c>
      <c r="T16" s="100">
        <v>8.5419832330748786</v>
      </c>
      <c r="U16" s="100">
        <v>2911.1078858319188</v>
      </c>
      <c r="V16" s="100">
        <v>6.8331244020518849</v>
      </c>
      <c r="W16" s="100">
        <v>2328.7287962192822</v>
      </c>
      <c r="X16" s="100">
        <v>3.411133713065567</v>
      </c>
      <c r="Y16" s="100">
        <v>1162.5143694127453</v>
      </c>
      <c r="Z16" s="100">
        <v>7.3813141291804767</v>
      </c>
      <c r="AA16" s="100">
        <v>2515.5518552247067</v>
      </c>
      <c r="AB16" s="100">
        <v>4.1537928211436403</v>
      </c>
      <c r="AC16" s="100">
        <v>1415.6125934457527</v>
      </c>
      <c r="AD16" s="100">
        <v>6.3983150611991428</v>
      </c>
      <c r="AE16" s="100">
        <v>2180.545772856668</v>
      </c>
      <c r="AF16" s="100">
        <v>7.4952953076471402</v>
      </c>
      <c r="AG16" s="100">
        <v>2554.3966408461456</v>
      </c>
      <c r="AH16" s="100">
        <v>4.4454180078288159</v>
      </c>
      <c r="AI16" s="100">
        <v>1514.9984570680606</v>
      </c>
      <c r="AJ16" s="100">
        <v>8.7211029325859943</v>
      </c>
      <c r="AK16" s="100">
        <v>2972.151879425307</v>
      </c>
      <c r="AL16" s="100">
        <v>2.0847926499330511</v>
      </c>
      <c r="AM16" s="100">
        <v>710.49733509718385</v>
      </c>
      <c r="AN16" s="100">
        <v>7.8546539785916512</v>
      </c>
      <c r="AO16" s="100">
        <v>2676.8660759040349</v>
      </c>
      <c r="AP16" s="100">
        <v>6</v>
      </c>
      <c r="AQ16" s="100">
        <v>2044.8000000000002</v>
      </c>
      <c r="AR16" s="100">
        <v>4.8266990885338394</v>
      </c>
      <c r="AS16" s="100">
        <v>1644.9390493723326</v>
      </c>
      <c r="AT16" s="100">
        <v>1.1254510226654595</v>
      </c>
      <c r="AU16" s="100">
        <v>383.55370852438858</v>
      </c>
      <c r="AV16" s="100">
        <v>5.7773007675355306</v>
      </c>
      <c r="AW16" s="100">
        <v>1968.9041015761088</v>
      </c>
      <c r="AX16" s="100">
        <v>7.4241287904089095</v>
      </c>
      <c r="AY16" s="100">
        <v>2530.1430917713565</v>
      </c>
      <c r="AZ16" s="100">
        <v>4.2756889002840808</v>
      </c>
      <c r="BA16" s="100">
        <v>1457.1547772168149</v>
      </c>
      <c r="BB16" s="100">
        <v>1.3020315537730285</v>
      </c>
      <c r="BC16" s="100">
        <v>443.73235352584811</v>
      </c>
      <c r="BD16" s="100">
        <v>6.5895313555064661</v>
      </c>
      <c r="BE16" s="100">
        <v>2245.7122859566039</v>
      </c>
      <c r="BF16" s="100">
        <v>4.3696681130318256</v>
      </c>
      <c r="BG16" s="100">
        <v>1489.1828929212461</v>
      </c>
      <c r="BH16" s="100">
        <v>9.3993564875900297</v>
      </c>
      <c r="BI16" s="100">
        <v>3203.3006909706824</v>
      </c>
      <c r="BJ16" s="100">
        <v>3.035195948645689</v>
      </c>
      <c r="BK16" s="100">
        <v>1034.3947792984509</v>
      </c>
      <c r="BL16" s="100">
        <v>6.4359890976235929</v>
      </c>
      <c r="BM16" s="100">
        <v>2193.3850844701205</v>
      </c>
      <c r="BN16" s="100">
        <v>11.049004582585367</v>
      </c>
      <c r="BO16" s="100">
        <v>3765.5007617450929</v>
      </c>
      <c r="BP16" s="100">
        <v>11</v>
      </c>
      <c r="BQ16" s="100">
        <v>3748.8</v>
      </c>
      <c r="BR16" s="100">
        <v>7.3655120515707786</v>
      </c>
      <c r="BS16" s="100">
        <v>2510.1665071753214</v>
      </c>
      <c r="BT16" s="100">
        <v>6.7509213299406099</v>
      </c>
      <c r="BU16" s="100">
        <v>2300.7139892437599</v>
      </c>
      <c r="BV16" s="100">
        <v>6.7916069316237149</v>
      </c>
      <c r="BW16" s="100">
        <v>2314.5796422973622</v>
      </c>
      <c r="BX16" s="100">
        <v>2.8310242716943734</v>
      </c>
      <c r="BY16" s="100">
        <v>964.81307179344253</v>
      </c>
      <c r="BZ16" s="100">
        <v>5.0370023858153141</v>
      </c>
      <c r="CA16" s="100">
        <v>1716.6104130858591</v>
      </c>
      <c r="CB16" s="100">
        <v>3.8945536567947423</v>
      </c>
      <c r="CC16" s="100">
        <v>1327.2638862356482</v>
      </c>
      <c r="CD16" s="100">
        <v>4.3369685918632568</v>
      </c>
      <c r="CE16" s="100">
        <v>1478.038896106998</v>
      </c>
      <c r="CF16" s="100">
        <v>10.004461164073733</v>
      </c>
      <c r="CG16" s="100">
        <v>3409.5203647163285</v>
      </c>
      <c r="CH16" s="100">
        <v>6.5847555414340277</v>
      </c>
      <c r="CI16" s="100">
        <v>2244.0846885207166</v>
      </c>
      <c r="CJ16" s="100">
        <v>3.5645487739154</v>
      </c>
      <c r="CK16" s="100">
        <v>1214.7982221503685</v>
      </c>
      <c r="CL16" s="100">
        <v>7.5903501252978476</v>
      </c>
      <c r="CM16" s="100">
        <v>2586.7913227015065</v>
      </c>
      <c r="CN16" s="100">
        <v>9.4384847770497018</v>
      </c>
      <c r="CO16" s="100">
        <v>3216.6356120185383</v>
      </c>
      <c r="CP16" s="100">
        <v>3.7012580978441139</v>
      </c>
      <c r="CQ16" s="100">
        <v>1261.388759745274</v>
      </c>
      <c r="CR16" s="100">
        <v>5.0341981101910864</v>
      </c>
      <c r="CS16" s="100">
        <v>1715.6547159531224</v>
      </c>
      <c r="CT16" s="100">
        <v>6.7795745885660121</v>
      </c>
      <c r="CU16" s="100">
        <v>2310.4790197832972</v>
      </c>
    </row>
    <row r="17" spans="2:99">
      <c r="C17" s="99" t="s">
        <v>183</v>
      </c>
      <c r="D17" s="100">
        <v>2.8678285175107296</v>
      </c>
      <c r="E17" s="100">
        <v>1211.3707657965322</v>
      </c>
      <c r="F17" s="100">
        <v>2.9393193232253743</v>
      </c>
      <c r="G17" s="100">
        <v>1241.568482130398</v>
      </c>
      <c r="H17" s="100">
        <v>5.2223773280738506</v>
      </c>
      <c r="I17" s="100">
        <v>2205.9321833783943</v>
      </c>
      <c r="J17" s="100">
        <v>6.5528143681853566</v>
      </c>
      <c r="K17" s="100">
        <v>2767.9087891214945</v>
      </c>
      <c r="L17" s="100">
        <v>2.2702947845545434</v>
      </c>
      <c r="M17" s="100">
        <v>958.9725169958391</v>
      </c>
      <c r="N17" s="100">
        <v>5.2886684126612478</v>
      </c>
      <c r="O17" s="100">
        <v>2233.9335375081109</v>
      </c>
      <c r="P17" s="100">
        <v>5.8172185129700447</v>
      </c>
      <c r="Q17" s="100">
        <v>2457.1930998785469</v>
      </c>
      <c r="R17" s="100">
        <v>9</v>
      </c>
      <c r="S17" s="100">
        <v>3801.6</v>
      </c>
      <c r="T17" s="100">
        <v>7.68778490976739</v>
      </c>
      <c r="U17" s="100">
        <v>3247.3203458857452</v>
      </c>
      <c r="V17" s="100">
        <v>6.8331244020518849</v>
      </c>
      <c r="W17" s="100">
        <v>2886.311747426716</v>
      </c>
      <c r="X17" s="100">
        <v>3.411133713065567</v>
      </c>
      <c r="Y17" s="100">
        <v>1440.8628803988954</v>
      </c>
      <c r="Z17" s="100">
        <v>7.3813141291804767</v>
      </c>
      <c r="AA17" s="100">
        <v>3117.8670881658331</v>
      </c>
      <c r="AB17" s="100">
        <v>4.6730169237865953</v>
      </c>
      <c r="AC17" s="100">
        <v>1973.8823486074577</v>
      </c>
      <c r="AD17" s="100">
        <v>6.5731044438490356</v>
      </c>
      <c r="AE17" s="100">
        <v>2776.4793170818325</v>
      </c>
      <c r="AF17" s="100">
        <v>6.5583833941912477</v>
      </c>
      <c r="AG17" s="100">
        <v>2770.2611457063831</v>
      </c>
      <c r="AH17" s="100">
        <v>5.1863210091336187</v>
      </c>
      <c r="AI17" s="100">
        <v>2190.7019942580405</v>
      </c>
      <c r="AJ17" s="100">
        <v>7.0154798253473354</v>
      </c>
      <c r="AK17" s="100">
        <v>2963.3386782267144</v>
      </c>
      <c r="AL17" s="100">
        <v>2.117272760293178</v>
      </c>
      <c r="AM17" s="100">
        <v>894.3360139478383</v>
      </c>
      <c r="AN17" s="100">
        <v>7.8546539785916512</v>
      </c>
      <c r="AO17" s="100">
        <v>3317.8058405571132</v>
      </c>
      <c r="AP17" s="100">
        <v>6</v>
      </c>
      <c r="AQ17" s="100">
        <v>2534.3999999999996</v>
      </c>
      <c r="AR17" s="100">
        <v>5.0001520626207192</v>
      </c>
      <c r="AS17" s="100">
        <v>2112.0642312509917</v>
      </c>
      <c r="AT17" s="100">
        <v>1.3319503004663604</v>
      </c>
      <c r="AU17" s="100">
        <v>562.61580691699066</v>
      </c>
      <c r="AV17" s="100">
        <v>6.7773007675355306</v>
      </c>
      <c r="AW17" s="100">
        <v>2862.7318442070082</v>
      </c>
      <c r="AX17" s="100">
        <v>7.4241287904089095</v>
      </c>
      <c r="AY17" s="100">
        <v>3135.9520010687233</v>
      </c>
      <c r="AZ17" s="100">
        <v>4.3995568189713161</v>
      </c>
      <c r="BA17" s="100">
        <v>1858.3728003334838</v>
      </c>
      <c r="BB17" s="100">
        <v>1.3020315537730285</v>
      </c>
      <c r="BC17" s="100">
        <v>549.97812831372721</v>
      </c>
      <c r="BD17" s="100">
        <v>6.5033470674537881</v>
      </c>
      <c r="BE17" s="100">
        <v>2747.0138012924799</v>
      </c>
      <c r="BF17" s="100">
        <v>4.8986090409389789</v>
      </c>
      <c r="BG17" s="100">
        <v>2069.1724588926245</v>
      </c>
      <c r="BH17" s="100">
        <v>8.4314398956223098</v>
      </c>
      <c r="BI17" s="100">
        <v>3561.4402119108636</v>
      </c>
      <c r="BJ17" s="100">
        <v>3.6084926837359652</v>
      </c>
      <c r="BK17" s="100">
        <v>1524.2273096100716</v>
      </c>
      <c r="BL17" s="100">
        <v>5.737613051802783</v>
      </c>
      <c r="BM17" s="100">
        <v>2423.5677530814955</v>
      </c>
      <c r="BN17" s="100">
        <v>9.0490045825853667</v>
      </c>
      <c r="BO17" s="100">
        <v>3822.2995356840588</v>
      </c>
      <c r="BP17" s="100">
        <v>10</v>
      </c>
      <c r="BQ17" s="100">
        <v>4224</v>
      </c>
      <c r="BR17" s="100">
        <v>7.3655120515707786</v>
      </c>
      <c r="BS17" s="100">
        <v>3111.1922905834967</v>
      </c>
      <c r="BT17" s="100">
        <v>6.7509213299406099</v>
      </c>
      <c r="BU17" s="100">
        <v>2851.5891697669135</v>
      </c>
      <c r="BV17" s="100">
        <v>7.0008230423768456</v>
      </c>
      <c r="BW17" s="100">
        <v>2957.1476530999794</v>
      </c>
      <c r="BX17" s="100">
        <v>2.809253755660245</v>
      </c>
      <c r="BY17" s="100">
        <v>1186.6287863908874</v>
      </c>
      <c r="BZ17" s="100">
        <v>5.8567440971446283</v>
      </c>
      <c r="CA17" s="100">
        <v>2473.8887066338907</v>
      </c>
      <c r="CB17" s="100">
        <v>3.8945536567947423</v>
      </c>
      <c r="CC17" s="100">
        <v>1645.059464630099</v>
      </c>
      <c r="CD17" s="100">
        <v>4.3408024124583289</v>
      </c>
      <c r="CE17" s="100">
        <v>1833.554939022398</v>
      </c>
      <c r="CF17" s="100">
        <v>11.134682389057225</v>
      </c>
      <c r="CG17" s="100">
        <v>4703.2898411377719</v>
      </c>
      <c r="CH17" s="100">
        <v>5.9861414013036613</v>
      </c>
      <c r="CI17" s="100">
        <v>2528.5461279106662</v>
      </c>
      <c r="CJ17" s="100">
        <v>3.4954100116395734</v>
      </c>
      <c r="CK17" s="100">
        <v>1476.4611889165558</v>
      </c>
      <c r="CL17" s="100">
        <v>8.431315112768063</v>
      </c>
      <c r="CM17" s="100">
        <v>3561.3875036332297</v>
      </c>
      <c r="CN17" s="100">
        <v>9.4384847770497018</v>
      </c>
      <c r="CO17" s="100">
        <v>3986.8159698257937</v>
      </c>
      <c r="CP17" s="100">
        <v>3.6868324420531189</v>
      </c>
      <c r="CQ17" s="100">
        <v>1557.3180235232373</v>
      </c>
      <c r="CR17" s="100">
        <v>5.6827092700001307</v>
      </c>
      <c r="CS17" s="100">
        <v>2400.3763956480552</v>
      </c>
      <c r="CT17" s="100">
        <v>5.9472266882042879</v>
      </c>
      <c r="CU17" s="100">
        <v>2512.108553097491</v>
      </c>
    </row>
    <row r="18" spans="2:99">
      <c r="C18" s="99" t="s">
        <v>184</v>
      </c>
      <c r="D18" s="100">
        <v>2.8678285175107296</v>
      </c>
      <c r="E18" s="100">
        <v>1872.1184562310041</v>
      </c>
      <c r="F18" s="100">
        <v>2.4697100981491222</v>
      </c>
      <c r="G18" s="100">
        <v>1612.2267520717469</v>
      </c>
      <c r="H18" s="100">
        <v>5.2223773280738506</v>
      </c>
      <c r="I18" s="100">
        <v>3409.1679197666094</v>
      </c>
      <c r="J18" s="100">
        <v>6.5528143681853566</v>
      </c>
      <c r="K18" s="100">
        <v>4277.6772195514004</v>
      </c>
      <c r="L18" s="100">
        <v>2.2702947845545434</v>
      </c>
      <c r="M18" s="100">
        <v>1482.0484353572058</v>
      </c>
      <c r="N18" s="100">
        <v>4.2869889611325238</v>
      </c>
      <c r="O18" s="100">
        <v>2798.5463938273115</v>
      </c>
      <c r="P18" s="100">
        <v>5.8172185129700447</v>
      </c>
      <c r="Q18" s="100">
        <v>3797.480245266845</v>
      </c>
      <c r="R18" s="100">
        <v>8</v>
      </c>
      <c r="S18" s="100">
        <v>5222.3999999999996</v>
      </c>
      <c r="T18" s="100">
        <v>7.68778490976739</v>
      </c>
      <c r="U18" s="100">
        <v>5018.5859890961519</v>
      </c>
      <c r="V18" s="100">
        <v>5.9789838517953999</v>
      </c>
      <c r="W18" s="100">
        <v>3903.0806584520369</v>
      </c>
      <c r="X18" s="100">
        <v>3.0321188560582817</v>
      </c>
      <c r="Y18" s="100">
        <v>1979.3671892348461</v>
      </c>
      <c r="Z18" s="100">
        <v>7.5539783953280359</v>
      </c>
      <c r="AA18" s="100">
        <v>4931.2370964701413</v>
      </c>
      <c r="AB18" s="100">
        <v>4.1537928211436403</v>
      </c>
      <c r="AC18" s="100">
        <v>2711.595953642568</v>
      </c>
      <c r="AD18" s="100">
        <v>6.3983150611991428</v>
      </c>
      <c r="AE18" s="100">
        <v>4176.8200719508004</v>
      </c>
      <c r="AF18" s="100">
        <v>6.5583833941912477</v>
      </c>
      <c r="AG18" s="100">
        <v>4281.3126797280465</v>
      </c>
      <c r="AH18" s="100">
        <v>5.1863210091336187</v>
      </c>
      <c r="AI18" s="100">
        <v>3385.6303547624261</v>
      </c>
      <c r="AJ18" s="100">
        <v>7.8361268129012132</v>
      </c>
      <c r="AK18" s="100">
        <v>5115.4235834619112</v>
      </c>
      <c r="AL18" s="100">
        <v>1.8820202313717138</v>
      </c>
      <c r="AM18" s="100">
        <v>1228.5828070394548</v>
      </c>
      <c r="AN18" s="100">
        <v>7.8546539785916512</v>
      </c>
      <c r="AO18" s="100">
        <v>5127.5181172246293</v>
      </c>
      <c r="AP18" s="100">
        <v>6</v>
      </c>
      <c r="AQ18" s="100">
        <v>3916.7999999999997</v>
      </c>
      <c r="AR18" s="100">
        <v>4.1764296618554253</v>
      </c>
      <c r="AS18" s="100">
        <v>2726.3732832592214</v>
      </c>
      <c r="AT18" s="100">
        <v>1.1254510226654595</v>
      </c>
      <c r="AU18" s="100">
        <v>734.69442759601191</v>
      </c>
      <c r="AV18" s="100">
        <v>5.8883437343263214</v>
      </c>
      <c r="AW18" s="100">
        <v>3843.9107897682225</v>
      </c>
      <c r="AX18" s="100">
        <v>7.4241287904089095</v>
      </c>
      <c r="AY18" s="100">
        <v>4846.471274378936</v>
      </c>
      <c r="AZ18" s="100">
        <v>3.6869420022573034</v>
      </c>
      <c r="BA18" s="100">
        <v>2406.8357390735673</v>
      </c>
      <c r="BB18" s="100">
        <v>1.3020315537730285</v>
      </c>
      <c r="BC18" s="100">
        <v>849.96619830303291</v>
      </c>
      <c r="BD18" s="100">
        <v>6.5023793554684959</v>
      </c>
      <c r="BE18" s="100">
        <v>4244.7532432498338</v>
      </c>
      <c r="BF18" s="100">
        <v>5.4275499688461322</v>
      </c>
      <c r="BG18" s="100">
        <v>3543.1046196627549</v>
      </c>
      <c r="BH18" s="100">
        <v>10.087463647470587</v>
      </c>
      <c r="BI18" s="100">
        <v>6585.0962690687984</v>
      </c>
      <c r="BJ18" s="100">
        <v>3.0222180814768969</v>
      </c>
      <c r="BK18" s="100">
        <v>1972.9039635881181</v>
      </c>
      <c r="BL18" s="100">
        <v>5.0349878434156121</v>
      </c>
      <c r="BM18" s="100">
        <v>3286.8400641817116</v>
      </c>
      <c r="BN18" s="100">
        <v>10.049004582585367</v>
      </c>
      <c r="BO18" s="100">
        <v>6559.9901915117271</v>
      </c>
      <c r="BP18" s="100">
        <v>11</v>
      </c>
      <c r="BQ18" s="100">
        <v>7180.7999999999993</v>
      </c>
      <c r="BR18" s="100">
        <v>7.3655120515707786</v>
      </c>
      <c r="BS18" s="100">
        <v>4808.2062672654038</v>
      </c>
      <c r="BT18" s="100">
        <v>6.7509213299406099</v>
      </c>
      <c r="BU18" s="100">
        <v>4407.00144418523</v>
      </c>
      <c r="BV18" s="100">
        <v>5.1188676290802935</v>
      </c>
      <c r="BW18" s="100">
        <v>3341.5967882636155</v>
      </c>
      <c r="BX18" s="100">
        <v>3.2665774569198884</v>
      </c>
      <c r="BY18" s="100">
        <v>2132.421763877303</v>
      </c>
      <c r="BZ18" s="100">
        <v>4.8530081984403814</v>
      </c>
      <c r="CA18" s="100">
        <v>3168.0437519418806</v>
      </c>
      <c r="CB18" s="100">
        <v>3.8945536567947423</v>
      </c>
      <c r="CC18" s="100">
        <v>2542.3646271556076</v>
      </c>
      <c r="CD18" s="100">
        <v>4.9405649077598053</v>
      </c>
      <c r="CE18" s="100">
        <v>3225.2007717856009</v>
      </c>
      <c r="CF18" s="100">
        <v>9.0417697998679429</v>
      </c>
      <c r="CG18" s="100">
        <v>5902.4673253537931</v>
      </c>
      <c r="CH18" s="100">
        <v>6.5847555414340277</v>
      </c>
      <c r="CI18" s="100">
        <v>4298.528417448133</v>
      </c>
      <c r="CJ18" s="100">
        <v>3.4954100116395734</v>
      </c>
      <c r="CK18" s="100">
        <v>2281.8036555983135</v>
      </c>
      <c r="CL18" s="100">
        <v>7.5903501252978476</v>
      </c>
      <c r="CM18" s="100">
        <v>4954.9805617944348</v>
      </c>
      <c r="CN18" s="100">
        <v>8.494636299344732</v>
      </c>
      <c r="CO18" s="100">
        <v>5545.2985762122407</v>
      </c>
      <c r="CP18" s="100">
        <v>3.3340174192179015</v>
      </c>
      <c r="CQ18" s="100">
        <v>2176.446571265446</v>
      </c>
      <c r="CR18" s="100">
        <v>4.8096511608387233</v>
      </c>
      <c r="CS18" s="100">
        <v>3139.7402777955185</v>
      </c>
      <c r="CT18" s="100">
        <v>6.6554180323861107</v>
      </c>
      <c r="CU18" s="100">
        <v>4344.6568915416528</v>
      </c>
    </row>
    <row r="19" spans="2:99">
      <c r="C19" s="99" t="s">
        <v>185</v>
      </c>
      <c r="D19" s="100">
        <v>3.3366429723428728</v>
      </c>
      <c r="E19" s="100">
        <v>1101.092180873148</v>
      </c>
      <c r="F19" s="100">
        <v>3.0216727862405279</v>
      </c>
      <c r="G19" s="100">
        <v>997.15201945937417</v>
      </c>
      <c r="H19" s="100">
        <v>6.2223773280738506</v>
      </c>
      <c r="I19" s="100">
        <v>2053.3845182643709</v>
      </c>
      <c r="J19" s="100">
        <v>6.5528143681853566</v>
      </c>
      <c r="K19" s="100">
        <v>2162.4287415011677</v>
      </c>
      <c r="L19" s="100">
        <v>2.3021167416253752</v>
      </c>
      <c r="M19" s="100">
        <v>759.69852473637377</v>
      </c>
      <c r="N19" s="100">
        <v>4.2869889611325238</v>
      </c>
      <c r="O19" s="100">
        <v>1414.7063571737328</v>
      </c>
      <c r="P19" s="100">
        <v>5.8172185129700447</v>
      </c>
      <c r="Q19" s="100">
        <v>1919.6821092801147</v>
      </c>
      <c r="R19" s="100">
        <v>8</v>
      </c>
      <c r="S19" s="100">
        <v>2640</v>
      </c>
      <c r="T19" s="100">
        <v>7.68778490976739</v>
      </c>
      <c r="U19" s="100">
        <v>2536.9690202232387</v>
      </c>
      <c r="V19" s="100">
        <v>6.8331244020518849</v>
      </c>
      <c r="W19" s="100">
        <v>2254.9310526771219</v>
      </c>
      <c r="X19" s="100">
        <v>3.7901485700728523</v>
      </c>
      <c r="Y19" s="100">
        <v>1250.7490281240412</v>
      </c>
      <c r="Z19" s="100">
        <v>7.3813141291804767</v>
      </c>
      <c r="AA19" s="100">
        <v>2435.8336626295572</v>
      </c>
      <c r="AB19" s="100">
        <v>4.1537928211436403</v>
      </c>
      <c r="AC19" s="100">
        <v>1370.7516309774014</v>
      </c>
      <c r="AD19" s="100">
        <v>6.5731044438490356</v>
      </c>
      <c r="AE19" s="100">
        <v>2169.1244664701817</v>
      </c>
      <c r="AF19" s="100">
        <v>8.4322072211030328</v>
      </c>
      <c r="AG19" s="100">
        <v>2782.6283829640006</v>
      </c>
      <c r="AH19" s="100">
        <v>5.1863210091336187</v>
      </c>
      <c r="AI19" s="100">
        <v>1711.4859330140941</v>
      </c>
      <c r="AJ19" s="100">
        <v>7.9004559450321148</v>
      </c>
      <c r="AK19" s="100">
        <v>2607.1504618605977</v>
      </c>
      <c r="AL19" s="100">
        <v>2.0847926499330511</v>
      </c>
      <c r="AM19" s="100">
        <v>687.98157447790686</v>
      </c>
      <c r="AN19" s="100">
        <v>7.8546539785916512</v>
      </c>
      <c r="AO19" s="100">
        <v>2592.0358129352448</v>
      </c>
      <c r="AP19" s="100">
        <v>6</v>
      </c>
      <c r="AQ19" s="100">
        <v>1980</v>
      </c>
      <c r="AR19" s="100">
        <v>4.9808795099443985</v>
      </c>
      <c r="AS19" s="100">
        <v>1643.6902382816515</v>
      </c>
      <c r="AT19" s="100">
        <v>1.3319503004663604</v>
      </c>
      <c r="AU19" s="100">
        <v>439.54359915389892</v>
      </c>
      <c r="AV19" s="100">
        <v>6.7773007675355306</v>
      </c>
      <c r="AW19" s="100">
        <v>2236.5092532867252</v>
      </c>
      <c r="AX19" s="100">
        <v>7.4241287904089095</v>
      </c>
      <c r="AY19" s="100">
        <v>2449.9625008349403</v>
      </c>
      <c r="AZ19" s="100">
        <v>4.3995568189713161</v>
      </c>
      <c r="BA19" s="100">
        <v>1451.8537502605343</v>
      </c>
      <c r="BB19" s="100">
        <v>1.562437864527634</v>
      </c>
      <c r="BC19" s="100">
        <v>515.60449529411926</v>
      </c>
      <c r="BD19" s="100">
        <v>7.2159211348777275</v>
      </c>
      <c r="BE19" s="100">
        <v>2381.2539745096501</v>
      </c>
      <c r="BF19" s="100">
        <v>5.4275499688461322</v>
      </c>
      <c r="BG19" s="100">
        <v>1791.0914897192235</v>
      </c>
      <c r="BH19" s="100">
        <v>9.2594517715464484</v>
      </c>
      <c r="BI19" s="100">
        <v>3055.6190846103282</v>
      </c>
      <c r="BJ19" s="100">
        <v>3.2815472600575735</v>
      </c>
      <c r="BK19" s="100">
        <v>1082.9105958189994</v>
      </c>
      <c r="BL19" s="100">
        <v>5.733363889236422</v>
      </c>
      <c r="BM19" s="100">
        <v>1892.0100834480193</v>
      </c>
      <c r="BN19" s="100">
        <v>9.9324485178536595</v>
      </c>
      <c r="BO19" s="100">
        <v>3277.7080108917075</v>
      </c>
      <c r="BP19" s="100">
        <v>10</v>
      </c>
      <c r="BQ19" s="100">
        <v>3300</v>
      </c>
      <c r="BR19" s="100">
        <v>8.1020632567278561</v>
      </c>
      <c r="BS19" s="100">
        <v>2673.6808747201926</v>
      </c>
      <c r="BT19" s="100">
        <v>6.7509213299406099</v>
      </c>
      <c r="BU19" s="100">
        <v>2227.8040388804011</v>
      </c>
      <c r="BV19" s="100">
        <v>5.1188676290802935</v>
      </c>
      <c r="BW19" s="100">
        <v>1689.2263175964968</v>
      </c>
      <c r="BX19" s="100">
        <v>3.2448069408857596</v>
      </c>
      <c r="BY19" s="100">
        <v>1070.7862904923006</v>
      </c>
      <c r="BZ19" s="100">
        <v>5.1762701657481731</v>
      </c>
      <c r="CA19" s="100">
        <v>1708.1691546968971</v>
      </c>
      <c r="CB19" s="100">
        <v>3.8945536567947423</v>
      </c>
      <c r="CC19" s="100">
        <v>1285.202706742265</v>
      </c>
      <c r="CD19" s="100">
        <v>4.9443987283548774</v>
      </c>
      <c r="CE19" s="100">
        <v>1631.6515803571094</v>
      </c>
      <c r="CF19" s="100">
        <v>11.134682389057225</v>
      </c>
      <c r="CG19" s="100">
        <v>3674.4451883888842</v>
      </c>
      <c r="CH19" s="100">
        <v>5.9861414013036613</v>
      </c>
      <c r="CI19" s="100">
        <v>1975.4266624302084</v>
      </c>
      <c r="CJ19" s="100">
        <v>3.8752993260623447</v>
      </c>
      <c r="CK19" s="100">
        <v>1278.8487776005738</v>
      </c>
      <c r="CL19" s="100">
        <v>8.5903501252978476</v>
      </c>
      <c r="CM19" s="100">
        <v>2834.8155413482896</v>
      </c>
      <c r="CN19" s="100">
        <v>8.494636299344732</v>
      </c>
      <c r="CO19" s="100">
        <v>2803.2299787837615</v>
      </c>
      <c r="CP19" s="100">
        <v>3.4811925875450536</v>
      </c>
      <c r="CQ19" s="100">
        <v>1148.7935538898678</v>
      </c>
      <c r="CR19" s="100">
        <v>4.9209048152861543</v>
      </c>
      <c r="CS19" s="100">
        <v>1623.898589044431</v>
      </c>
      <c r="CT19" s="100">
        <v>5.0954477046935747</v>
      </c>
      <c r="CU19" s="100">
        <v>1681.4977425488796</v>
      </c>
    </row>
    <row r="20" spans="2:99">
      <c r="B20" s="99" t="s">
        <v>127</v>
      </c>
      <c r="C20" s="99" t="s">
        <v>186</v>
      </c>
      <c r="D20" s="100">
        <v>5.8180277754486323</v>
      </c>
      <c r="E20" s="100">
        <v>1668.6103659986677</v>
      </c>
      <c r="F20" s="100">
        <v>4.006367978119922</v>
      </c>
      <c r="G20" s="100">
        <v>1149.0263361247937</v>
      </c>
      <c r="H20" s="100">
        <v>9.4447546561477012</v>
      </c>
      <c r="I20" s="100">
        <v>2708.755635383161</v>
      </c>
      <c r="J20" s="100">
        <v>4.9146107761390176</v>
      </c>
      <c r="K20" s="100">
        <v>1409.5103705966703</v>
      </c>
      <c r="L20" s="100">
        <v>3.4542686956906117</v>
      </c>
      <c r="M20" s="100">
        <v>990.68426192406741</v>
      </c>
      <c r="N20" s="100">
        <v>4.9013135965978716</v>
      </c>
      <c r="O20" s="100">
        <v>1405.6967395042695</v>
      </c>
      <c r="P20" s="100">
        <v>10.797880728534098</v>
      </c>
      <c r="Q20" s="100">
        <v>3096.8321929435792</v>
      </c>
      <c r="R20" s="100">
        <v>6</v>
      </c>
      <c r="S20" s="100">
        <v>1720.8000000000002</v>
      </c>
      <c r="T20" s="100">
        <v>8.5419832330748786</v>
      </c>
      <c r="U20" s="100">
        <v>2449.8407912458752</v>
      </c>
      <c r="V20" s="100">
        <v>7.6872649523083707</v>
      </c>
      <c r="W20" s="100">
        <v>2204.7075883220409</v>
      </c>
      <c r="X20" s="100">
        <v>3.0321188560582817</v>
      </c>
      <c r="Y20" s="100">
        <v>869.61168791751527</v>
      </c>
      <c r="Z20" s="100">
        <v>12.553978395328036</v>
      </c>
      <c r="AA20" s="100">
        <v>3600.4810037800808</v>
      </c>
      <c r="AB20" s="100">
        <v>4.1537928211436403</v>
      </c>
      <c r="AC20" s="100">
        <v>1191.3077811039961</v>
      </c>
      <c r="AD20" s="100">
        <v>8.922683209148822</v>
      </c>
      <c r="AE20" s="100">
        <v>2559.0255443838823</v>
      </c>
      <c r="AF20" s="100">
        <v>7.4952953076471402</v>
      </c>
      <c r="AG20" s="100">
        <v>2149.6506942331998</v>
      </c>
      <c r="AH20" s="100">
        <v>5.9272240104384224</v>
      </c>
      <c r="AI20" s="100">
        <v>1699.9278461937397</v>
      </c>
      <c r="AJ20" s="100">
        <v>6.3878202341861616</v>
      </c>
      <c r="AK20" s="100">
        <v>1832.0268431645911</v>
      </c>
      <c r="AL20" s="100">
        <v>2.2796733120938133</v>
      </c>
      <c r="AM20" s="100">
        <v>653.81030590850571</v>
      </c>
      <c r="AN20" s="100">
        <v>9.2209342551309312</v>
      </c>
      <c r="AO20" s="100">
        <v>2644.5639443715513</v>
      </c>
      <c r="AP20" s="100">
        <v>8</v>
      </c>
      <c r="AQ20" s="100">
        <v>2294.4</v>
      </c>
      <c r="AR20" s="100">
        <v>7.5291369229455567</v>
      </c>
      <c r="AS20" s="100">
        <v>2159.3564695007858</v>
      </c>
      <c r="AT20" s="100">
        <v>1.8693078814246196</v>
      </c>
      <c r="AU20" s="100">
        <v>536.11750039258095</v>
      </c>
      <c r="AV20" s="100">
        <v>9.3325156014894812</v>
      </c>
      <c r="AW20" s="100">
        <v>2676.5654745071834</v>
      </c>
      <c r="AX20" s="100">
        <v>9.0739351882775559</v>
      </c>
      <c r="AY20" s="100">
        <v>2602.404611998003</v>
      </c>
      <c r="AZ20" s="100">
        <v>8.5513778005681615</v>
      </c>
      <c r="BA20" s="100">
        <v>2452.535153202949</v>
      </c>
      <c r="BB20" s="100">
        <v>2.0832504860368455</v>
      </c>
      <c r="BC20" s="100">
        <v>597.47623939536732</v>
      </c>
      <c r="BD20" s="100">
        <v>6.5914667794770487</v>
      </c>
      <c r="BE20" s="100">
        <v>1890.4326723540175</v>
      </c>
      <c r="BF20" s="100">
        <v>7.1135496325917087</v>
      </c>
      <c r="BG20" s="100">
        <v>2040.1660346273022</v>
      </c>
      <c r="BH20" s="100">
        <v>10.92689194373207</v>
      </c>
      <c r="BI20" s="100">
        <v>3133.8326094623576</v>
      </c>
      <c r="BJ20" s="100">
        <v>6.5458139492784797</v>
      </c>
      <c r="BK20" s="100">
        <v>1877.3394406530681</v>
      </c>
      <c r="BL20" s="100">
        <v>9.0971043891240981</v>
      </c>
      <c r="BM20" s="100">
        <v>2609.0495388007917</v>
      </c>
      <c r="BN20" s="100">
        <v>7.282116712048782</v>
      </c>
      <c r="BO20" s="100">
        <v>2088.5110730155907</v>
      </c>
      <c r="BP20" s="100">
        <v>7</v>
      </c>
      <c r="BQ20" s="100">
        <v>2007.6000000000001</v>
      </c>
      <c r="BR20" s="100">
        <v>8.8386144618849354</v>
      </c>
      <c r="BS20" s="100">
        <v>2534.9146276685997</v>
      </c>
      <c r="BT20" s="100">
        <v>6.0758291969465485</v>
      </c>
      <c r="BU20" s="100">
        <v>1742.5478136842703</v>
      </c>
      <c r="BV20" s="100">
        <v>6.5833804043522175</v>
      </c>
      <c r="BW20" s="100">
        <v>1888.113499968216</v>
      </c>
      <c r="BX20" s="100">
        <v>3.331889005022274</v>
      </c>
      <c r="BY20" s="100">
        <v>955.58576664038821</v>
      </c>
      <c r="BZ20" s="100">
        <v>5.7950192847657505</v>
      </c>
      <c r="CA20" s="100">
        <v>1662.0115308708173</v>
      </c>
      <c r="CB20" s="100">
        <v>3.9612733872523416</v>
      </c>
      <c r="CC20" s="100">
        <v>1136.0932074639716</v>
      </c>
      <c r="CD20" s="100">
        <v>6.4716392195299264</v>
      </c>
      <c r="CE20" s="100">
        <v>1856.0661281611829</v>
      </c>
      <c r="CF20" s="100">
        <v>10.046948964534161</v>
      </c>
      <c r="CG20" s="100">
        <v>2881.4649630283975</v>
      </c>
      <c r="CH20" s="100">
        <v>6.5847555414340277</v>
      </c>
      <c r="CI20" s="100">
        <v>1888.5078892832792</v>
      </c>
      <c r="CJ20" s="100">
        <v>3.6658108420100723</v>
      </c>
      <c r="CK20" s="100">
        <v>1051.3545494884888</v>
      </c>
      <c r="CL20" s="100">
        <v>10.226490175416988</v>
      </c>
      <c r="CM20" s="100">
        <v>2932.957382309592</v>
      </c>
      <c r="CN20" s="100">
        <v>7.5507878216397621</v>
      </c>
      <c r="CO20" s="100">
        <v>2165.5659472462839</v>
      </c>
      <c r="CP20" s="100">
        <v>4.3763344508330011</v>
      </c>
      <c r="CQ20" s="100">
        <v>1255.1327204989047</v>
      </c>
      <c r="CR20" s="100">
        <v>8.2991899542688152</v>
      </c>
      <c r="CS20" s="100">
        <v>2380.2076788842965</v>
      </c>
      <c r="CT20" s="100">
        <v>6.4775046180008236</v>
      </c>
      <c r="CU20" s="100">
        <v>1857.7483244426362</v>
      </c>
    </row>
    <row r="21" spans="2:99">
      <c r="C21" s="99" t="s">
        <v>187</v>
      </c>
      <c r="D21" s="100">
        <v>5.4355216344819262</v>
      </c>
      <c r="E21" s="100">
        <v>339.17654999167218</v>
      </c>
      <c r="F21" s="100">
        <v>4.0039014853302479</v>
      </c>
      <c r="G21" s="100">
        <v>249.84345268460746</v>
      </c>
      <c r="H21" s="100">
        <v>10.095503990983744</v>
      </c>
      <c r="I21" s="100">
        <v>629.95944903738564</v>
      </c>
      <c r="J21" s="100">
        <v>4.0955089801158486</v>
      </c>
      <c r="K21" s="100">
        <v>255.55976035922896</v>
      </c>
      <c r="L21" s="100">
        <v>4.3178358696132646</v>
      </c>
      <c r="M21" s="100">
        <v>269.4329582638677</v>
      </c>
      <c r="N21" s="100">
        <v>4.9013135965978716</v>
      </c>
      <c r="O21" s="100">
        <v>305.84196842770717</v>
      </c>
      <c r="P21" s="100">
        <v>11.634437025940089</v>
      </c>
      <c r="Q21" s="100">
        <v>725.98887041866158</v>
      </c>
      <c r="R21" s="100">
        <v>6</v>
      </c>
      <c r="S21" s="100">
        <v>374.4</v>
      </c>
      <c r="T21" s="100">
        <v>7.68778490976739</v>
      </c>
      <c r="U21" s="100">
        <v>479.71777836948513</v>
      </c>
      <c r="V21" s="100">
        <v>6.8331244020518849</v>
      </c>
      <c r="W21" s="100">
        <v>426.38696268803761</v>
      </c>
      <c r="X21" s="100">
        <v>3.411133713065567</v>
      </c>
      <c r="Y21" s="100">
        <v>212.85474369529138</v>
      </c>
      <c r="Z21" s="100">
        <v>12.553978395328036</v>
      </c>
      <c r="AA21" s="100">
        <v>783.36825186846943</v>
      </c>
      <c r="AB21" s="100">
        <v>4.1537928211436403</v>
      </c>
      <c r="AC21" s="100">
        <v>259.19667203936314</v>
      </c>
      <c r="AD21" s="100">
        <v>7.7478938264989292</v>
      </c>
      <c r="AE21" s="100">
        <v>483.46857477353319</v>
      </c>
      <c r="AF21" s="100">
        <v>7.4952953076471402</v>
      </c>
      <c r="AG21" s="100">
        <v>467.70642719718154</v>
      </c>
      <c r="AH21" s="100">
        <v>5.9272240104384224</v>
      </c>
      <c r="AI21" s="100">
        <v>369.85877825135753</v>
      </c>
      <c r="AJ21" s="100">
        <v>5.5028441145013831</v>
      </c>
      <c r="AK21" s="100">
        <v>343.37747274488629</v>
      </c>
      <c r="AL21" s="100">
        <v>2.3121534224539402</v>
      </c>
      <c r="AM21" s="100">
        <v>144.27837356112587</v>
      </c>
      <c r="AN21" s="100">
        <v>10.220934255130931</v>
      </c>
      <c r="AO21" s="100">
        <v>637.78629752017014</v>
      </c>
      <c r="AP21" s="100">
        <v>9</v>
      </c>
      <c r="AQ21" s="100">
        <v>561.6</v>
      </c>
      <c r="AR21" s="100">
        <v>7.5291369229455567</v>
      </c>
      <c r="AS21" s="100">
        <v>469.81814399180274</v>
      </c>
      <c r="AT21" s="100">
        <v>1.8969628867839885</v>
      </c>
      <c r="AU21" s="100">
        <v>118.37048413532088</v>
      </c>
      <c r="AV21" s="100">
        <v>8.2214726346986922</v>
      </c>
      <c r="AW21" s="100">
        <v>513.01989240519833</v>
      </c>
      <c r="AX21" s="100">
        <v>9.0739351882775559</v>
      </c>
      <c r="AY21" s="100">
        <v>566.21355574851952</v>
      </c>
      <c r="AZ21" s="100">
        <v>8.5513778005681615</v>
      </c>
      <c r="BA21" s="100">
        <v>533.6059747554533</v>
      </c>
      <c r="BB21" s="100">
        <v>1.8228441752822397</v>
      </c>
      <c r="BC21" s="100">
        <v>113.74547653761175</v>
      </c>
      <c r="BD21" s="100">
        <v>7.217856558848311</v>
      </c>
      <c r="BE21" s="100">
        <v>450.39424927213457</v>
      </c>
      <c r="BF21" s="100">
        <v>7.1922212060195445</v>
      </c>
      <c r="BG21" s="100">
        <v>448.79460325561956</v>
      </c>
      <c r="BH21" s="100">
        <v>11.206701375819229</v>
      </c>
      <c r="BI21" s="100">
        <v>699.29816585111985</v>
      </c>
      <c r="BJ21" s="100">
        <v>6.594604515470464</v>
      </c>
      <c r="BK21" s="100">
        <v>411.50332176535693</v>
      </c>
      <c r="BL21" s="100">
        <v>9.2386011776336172</v>
      </c>
      <c r="BM21" s="100">
        <v>576.48871348433772</v>
      </c>
      <c r="BN21" s="100">
        <v>8.1655606473170756</v>
      </c>
      <c r="BO21" s="100">
        <v>509.53098439258548</v>
      </c>
      <c r="BP21" s="100">
        <v>7</v>
      </c>
      <c r="BQ21" s="100">
        <v>436.8</v>
      </c>
      <c r="BR21" s="100">
        <v>8.1020632567278561</v>
      </c>
      <c r="BS21" s="100">
        <v>505.56874721981819</v>
      </c>
      <c r="BT21" s="100">
        <v>5.4007370639524872</v>
      </c>
      <c r="BU21" s="100">
        <v>337.00599279063522</v>
      </c>
      <c r="BV21" s="100">
        <v>6.4787723489756512</v>
      </c>
      <c r="BW21" s="100">
        <v>404.2753945760806</v>
      </c>
      <c r="BX21" s="100">
        <v>2.9181063358308879</v>
      </c>
      <c r="BY21" s="100">
        <v>182.08983535584738</v>
      </c>
      <c r="BZ21" s="100">
        <v>5.2971876395881043</v>
      </c>
      <c r="CA21" s="100">
        <v>330.54450871029769</v>
      </c>
      <c r="CB21" s="100">
        <v>4.6648249795929129</v>
      </c>
      <c r="CC21" s="100">
        <v>291.08507872659777</v>
      </c>
      <c r="CD21" s="100">
        <v>6.4716392195299264</v>
      </c>
      <c r="CE21" s="100">
        <v>403.83028729866737</v>
      </c>
      <c r="CF21" s="100">
        <v>10.382008686089566</v>
      </c>
      <c r="CG21" s="100">
        <v>647.83734201198888</v>
      </c>
      <c r="CH21" s="100">
        <v>7.1833696815643933</v>
      </c>
      <c r="CI21" s="100">
        <v>448.24226812961814</v>
      </c>
      <c r="CJ21" s="100">
        <v>4.064685311217854</v>
      </c>
      <c r="CK21" s="100">
        <v>253.6363634199941</v>
      </c>
      <c r="CL21" s="100">
        <v>10.226490175416988</v>
      </c>
      <c r="CM21" s="100">
        <v>638.13298694601997</v>
      </c>
      <c r="CN21" s="100">
        <v>9.4384847770497018</v>
      </c>
      <c r="CO21" s="100">
        <v>588.96145008790143</v>
      </c>
      <c r="CP21" s="100">
        <v>4.0300532692003772</v>
      </c>
      <c r="CQ21" s="100">
        <v>251.47532399810353</v>
      </c>
      <c r="CR21" s="100">
        <v>7.652718434917273</v>
      </c>
      <c r="CS21" s="100">
        <v>477.52963033883782</v>
      </c>
      <c r="CT21" s="100">
        <v>6.5949308331653409</v>
      </c>
      <c r="CU21" s="100">
        <v>411.52368398951728</v>
      </c>
    </row>
    <row r="22" spans="2:99">
      <c r="C22" s="99" t="s">
        <v>188</v>
      </c>
      <c r="D22" s="100">
        <v>6.0730151436066793</v>
      </c>
      <c r="E22" s="100">
        <v>1136.8684348831703</v>
      </c>
      <c r="F22" s="100">
        <v>4.0051347317250849</v>
      </c>
      <c r="G22" s="100">
        <v>749.76122177893581</v>
      </c>
      <c r="H22" s="100">
        <v>9.0955039909837438</v>
      </c>
      <c r="I22" s="100">
        <v>1702.6783471121566</v>
      </c>
      <c r="J22" s="100">
        <v>4.9146107761390176</v>
      </c>
      <c r="K22" s="100">
        <v>920.01513729322403</v>
      </c>
      <c r="L22" s="100">
        <v>3.8860522826519386</v>
      </c>
      <c r="M22" s="100">
        <v>727.46898731244289</v>
      </c>
      <c r="N22" s="100">
        <v>4.9933453929898581</v>
      </c>
      <c r="O22" s="100">
        <v>934.75425756770142</v>
      </c>
      <c r="P22" s="100">
        <v>11.797880728534098</v>
      </c>
      <c r="Q22" s="100">
        <v>2208.5632723815829</v>
      </c>
      <c r="R22" s="100">
        <v>6</v>
      </c>
      <c r="S22" s="100">
        <v>1123.1999999999998</v>
      </c>
      <c r="T22" s="100">
        <v>7.68778490976739</v>
      </c>
      <c r="U22" s="100">
        <v>1439.1533351084554</v>
      </c>
      <c r="V22" s="100">
        <v>7.6872649523083707</v>
      </c>
      <c r="W22" s="100">
        <v>1439.055999072127</v>
      </c>
      <c r="X22" s="100">
        <v>3.0321188560582817</v>
      </c>
      <c r="Y22" s="100">
        <v>567.61264985411026</v>
      </c>
      <c r="Z22" s="100">
        <v>13.553978395328036</v>
      </c>
      <c r="AA22" s="100">
        <v>2537.304755605408</v>
      </c>
      <c r="AB22" s="100">
        <v>3.6345687185006859</v>
      </c>
      <c r="AC22" s="100">
        <v>680.39126410332835</v>
      </c>
      <c r="AD22" s="100">
        <v>7.922683209148822</v>
      </c>
      <c r="AE22" s="100">
        <v>1483.1262967526593</v>
      </c>
      <c r="AF22" s="100">
        <v>7.4952953076471402</v>
      </c>
      <c r="AG22" s="100">
        <v>1403.1192815915447</v>
      </c>
      <c r="AH22" s="100">
        <v>5.9272240104384224</v>
      </c>
      <c r="AI22" s="100">
        <v>1109.5763347540726</v>
      </c>
      <c r="AJ22" s="100">
        <v>5.5671732466322839</v>
      </c>
      <c r="AK22" s="100">
        <v>1042.1748317695635</v>
      </c>
      <c r="AL22" s="100">
        <v>2.0769008935324762</v>
      </c>
      <c r="AM22" s="100">
        <v>388.79584726927953</v>
      </c>
      <c r="AN22" s="100">
        <v>10.220934255130931</v>
      </c>
      <c r="AO22" s="100">
        <v>1913.3588925605102</v>
      </c>
      <c r="AP22" s="100">
        <v>8</v>
      </c>
      <c r="AQ22" s="100">
        <v>1497.6</v>
      </c>
      <c r="AR22" s="100">
        <v>6.7246870748565835</v>
      </c>
      <c r="AS22" s="100">
        <v>1258.8614204131522</v>
      </c>
      <c r="AT22" s="100">
        <v>1.6918316487096092</v>
      </c>
      <c r="AU22" s="100">
        <v>316.71088463843881</v>
      </c>
      <c r="AV22" s="100">
        <v>9.3325156014894812</v>
      </c>
      <c r="AW22" s="100">
        <v>1747.0469205988309</v>
      </c>
      <c r="AX22" s="100">
        <v>8.2490319893432336</v>
      </c>
      <c r="AY22" s="100">
        <v>1544.2187884050531</v>
      </c>
      <c r="AZ22" s="100">
        <v>7.8387629838541493</v>
      </c>
      <c r="BA22" s="100">
        <v>1467.4164305774966</v>
      </c>
      <c r="BB22" s="100">
        <v>1.8228441752822397</v>
      </c>
      <c r="BC22" s="100">
        <v>341.23642961283525</v>
      </c>
      <c r="BD22" s="100">
        <v>7.2188242708336041</v>
      </c>
      <c r="BE22" s="100">
        <v>1351.3639035000506</v>
      </c>
      <c r="BF22" s="100">
        <v>7.7314352521952863</v>
      </c>
      <c r="BG22" s="100">
        <v>1447.3246792109576</v>
      </c>
      <c r="BH22" s="100">
        <v>11.894808535699788</v>
      </c>
      <c r="BI22" s="100">
        <v>2226.7081578830002</v>
      </c>
      <c r="BJ22" s="100">
        <v>6.4970233830864945</v>
      </c>
      <c r="BK22" s="100">
        <v>1216.2427773137917</v>
      </c>
      <c r="BL22" s="100">
        <v>9.0971043891240981</v>
      </c>
      <c r="BM22" s="100">
        <v>1702.977941644031</v>
      </c>
      <c r="BN22" s="100">
        <v>7.1655606473170748</v>
      </c>
      <c r="BO22" s="100">
        <v>1341.3929531777562</v>
      </c>
      <c r="BP22" s="100">
        <v>8</v>
      </c>
      <c r="BQ22" s="100">
        <v>1497.6</v>
      </c>
      <c r="BR22" s="100">
        <v>8.1020632567278561</v>
      </c>
      <c r="BS22" s="100">
        <v>1516.7062416594545</v>
      </c>
      <c r="BT22" s="100">
        <v>6.0758291969465485</v>
      </c>
      <c r="BU22" s="100">
        <v>1137.3952256683938</v>
      </c>
      <c r="BV22" s="100">
        <v>6.4787723489756512</v>
      </c>
      <c r="BW22" s="100">
        <v>1212.8261837282419</v>
      </c>
      <c r="BX22" s="100">
        <v>3.3101184889881452</v>
      </c>
      <c r="BY22" s="100">
        <v>619.65418113858073</v>
      </c>
      <c r="BZ22" s="100">
        <v>5.2931513354136257</v>
      </c>
      <c r="CA22" s="100">
        <v>990.87792998943064</v>
      </c>
      <c r="CB22" s="100">
        <v>3.9779533198667418</v>
      </c>
      <c r="CC22" s="100">
        <v>744.67286147905406</v>
      </c>
      <c r="CD22" s="100">
        <v>6.6415544923737508</v>
      </c>
      <c r="CE22" s="100">
        <v>1243.299000972366</v>
      </c>
      <c r="CF22" s="100">
        <v>10.549538546867272</v>
      </c>
      <c r="CG22" s="100">
        <v>1974.8736159735531</v>
      </c>
      <c r="CH22" s="100">
        <v>7.1833696815643933</v>
      </c>
      <c r="CI22" s="100">
        <v>1344.7268043888544</v>
      </c>
      <c r="CJ22" s="100">
        <v>4.0457001564328436</v>
      </c>
      <c r="CK22" s="100">
        <v>757.35506928422831</v>
      </c>
      <c r="CL22" s="100">
        <v>10.544560200476557</v>
      </c>
      <c r="CM22" s="100">
        <v>1973.9416695292114</v>
      </c>
      <c r="CN22" s="100">
        <v>7.5507878216397621</v>
      </c>
      <c r="CO22" s="100">
        <v>1413.5074802109634</v>
      </c>
      <c r="CP22" s="100">
        <v>4.1550527112162978</v>
      </c>
      <c r="CQ22" s="100">
        <v>777.82586753969088</v>
      </c>
      <c r="CR22" s="100">
        <v>8.1920155807363848</v>
      </c>
      <c r="CS22" s="100">
        <v>1533.5453167138512</v>
      </c>
      <c r="CT22" s="100">
        <v>5.7659481033113078</v>
      </c>
      <c r="CU22" s="100">
        <v>1079.3854849398767</v>
      </c>
    </row>
    <row r="23" spans="2:99">
      <c r="C23" s="99" t="s">
        <v>189</v>
      </c>
      <c r="D23" s="100">
        <v>5.9847380430221113</v>
      </c>
      <c r="E23" s="100">
        <v>1759.5129846485008</v>
      </c>
      <c r="F23" s="100">
        <v>3.8354948201154313</v>
      </c>
      <c r="G23" s="100">
        <v>1127.6354771139368</v>
      </c>
      <c r="H23" s="100">
        <v>9.4447546561477012</v>
      </c>
      <c r="I23" s="100">
        <v>2776.7578689074239</v>
      </c>
      <c r="J23" s="100">
        <v>4.9146107761390176</v>
      </c>
      <c r="K23" s="100">
        <v>1444.8955681848711</v>
      </c>
      <c r="L23" s="100">
        <v>3.4542686956906117</v>
      </c>
      <c r="M23" s="100">
        <v>1015.5549965330398</v>
      </c>
      <c r="N23" s="100">
        <v>4.805381234149702</v>
      </c>
      <c r="O23" s="100">
        <v>1412.7820828400124</v>
      </c>
      <c r="P23" s="100">
        <v>12.797880728534098</v>
      </c>
      <c r="Q23" s="100">
        <v>3762.576934189025</v>
      </c>
      <c r="R23" s="100">
        <v>7</v>
      </c>
      <c r="S23" s="100">
        <v>2058</v>
      </c>
      <c r="T23" s="100">
        <v>8.5419832330748786</v>
      </c>
      <c r="U23" s="100">
        <v>2511.3430705240144</v>
      </c>
      <c r="V23" s="100">
        <v>6.8331244020518849</v>
      </c>
      <c r="W23" s="100">
        <v>2008.9385742032541</v>
      </c>
      <c r="X23" s="100">
        <v>3.0321188560582817</v>
      </c>
      <c r="Y23" s="100">
        <v>891.44294368113481</v>
      </c>
      <c r="Z23" s="100">
        <v>12.726642661475596</v>
      </c>
      <c r="AA23" s="100">
        <v>3741.6329424738251</v>
      </c>
      <c r="AB23" s="100">
        <v>4.1537928211436403</v>
      </c>
      <c r="AC23" s="100">
        <v>1221.2150894162303</v>
      </c>
      <c r="AD23" s="100">
        <v>7.922683209148822</v>
      </c>
      <c r="AE23" s="100">
        <v>2329.2688634897536</v>
      </c>
      <c r="AF23" s="100">
        <v>8.4322072211030328</v>
      </c>
      <c r="AG23" s="100">
        <v>2479.0689230042917</v>
      </c>
      <c r="AH23" s="100">
        <v>5.9272240104384224</v>
      </c>
      <c r="AI23" s="100">
        <v>1742.6038590688961</v>
      </c>
      <c r="AJ23" s="100">
        <v>5.4385149823704806</v>
      </c>
      <c r="AK23" s="100">
        <v>1598.9234048169212</v>
      </c>
      <c r="AL23" s="100">
        <v>2.1093810038926026</v>
      </c>
      <c r="AM23" s="100">
        <v>620.15801514442512</v>
      </c>
      <c r="AN23" s="100">
        <v>11.098840829617837</v>
      </c>
      <c r="AO23" s="100">
        <v>3263.0592039076441</v>
      </c>
      <c r="AP23" s="100">
        <v>9</v>
      </c>
      <c r="AQ23" s="100">
        <v>2646</v>
      </c>
      <c r="AR23" s="100">
        <v>7.5291369229455567</v>
      </c>
      <c r="AS23" s="100">
        <v>2213.5662553459938</v>
      </c>
      <c r="AT23" s="100">
        <v>1.6337855585378285</v>
      </c>
      <c r="AU23" s="100">
        <v>480.33295421012156</v>
      </c>
      <c r="AV23" s="100">
        <v>8.3325156014894812</v>
      </c>
      <c r="AW23" s="100">
        <v>2449.7595868379076</v>
      </c>
      <c r="AX23" s="100">
        <v>9.0739351882775559</v>
      </c>
      <c r="AY23" s="100">
        <v>2667.7369453536016</v>
      </c>
      <c r="AZ23" s="100">
        <v>8.5513778005681615</v>
      </c>
      <c r="BA23" s="100">
        <v>2514.1050733670395</v>
      </c>
      <c r="BB23" s="100">
        <v>2.0832504860368455</v>
      </c>
      <c r="BC23" s="100">
        <v>612.47564289483262</v>
      </c>
      <c r="BD23" s="100">
        <v>6.4171627794011119</v>
      </c>
      <c r="BE23" s="100">
        <v>1886.6458571439268</v>
      </c>
      <c r="BF23" s="100">
        <v>6.5880330774407501</v>
      </c>
      <c r="BG23" s="100">
        <v>1936.8817247675804</v>
      </c>
      <c r="BH23" s="100">
        <v>10.238784783851511</v>
      </c>
      <c r="BI23" s="100">
        <v>3010.202726452344</v>
      </c>
      <c r="BJ23" s="100">
        <v>6.4970233830864945</v>
      </c>
      <c r="BK23" s="100">
        <v>1910.1248746274293</v>
      </c>
      <c r="BL23" s="100">
        <v>8.5189793189810015</v>
      </c>
      <c r="BM23" s="100">
        <v>2504.5799197804145</v>
      </c>
      <c r="BN23" s="100">
        <v>8.2821167120487829</v>
      </c>
      <c r="BO23" s="100">
        <v>2434.942313342342</v>
      </c>
      <c r="BP23" s="100">
        <v>8</v>
      </c>
      <c r="BQ23" s="100">
        <v>2352</v>
      </c>
      <c r="BR23" s="100">
        <v>8.1020632567278561</v>
      </c>
      <c r="BS23" s="100">
        <v>2382.0065974779895</v>
      </c>
      <c r="BT23" s="100">
        <v>6.0758291969465485</v>
      </c>
      <c r="BU23" s="100">
        <v>1786.2937839022852</v>
      </c>
      <c r="BV23" s="100">
        <v>6.4787723489756512</v>
      </c>
      <c r="BW23" s="100">
        <v>1904.7590705988414</v>
      </c>
      <c r="BX23" s="100">
        <v>2.896335819796759</v>
      </c>
      <c r="BY23" s="100">
        <v>851.52273102024719</v>
      </c>
      <c r="BZ23" s="100">
        <v>5.2931513354136257</v>
      </c>
      <c r="CA23" s="100">
        <v>1556.1864926116059</v>
      </c>
      <c r="CB23" s="100">
        <v>3.9612733872523416</v>
      </c>
      <c r="CC23" s="100">
        <v>1164.6143758521885</v>
      </c>
      <c r="CD23" s="100">
        <v>6.0341243558821311</v>
      </c>
      <c r="CE23" s="100">
        <v>1774.0325606293466</v>
      </c>
      <c r="CF23" s="100">
        <v>10.214478825311867</v>
      </c>
      <c r="CG23" s="100">
        <v>3003.0567746416887</v>
      </c>
      <c r="CH23" s="100">
        <v>6.5847555414340277</v>
      </c>
      <c r="CI23" s="100">
        <v>1935.9181291816042</v>
      </c>
      <c r="CJ23" s="100">
        <v>4.064685311217854</v>
      </c>
      <c r="CK23" s="100">
        <v>1195.0174814980492</v>
      </c>
      <c r="CL23" s="100">
        <v>10.385525187946772</v>
      </c>
      <c r="CM23" s="100">
        <v>3053.3444052563509</v>
      </c>
      <c r="CN23" s="100">
        <v>8.494636299344732</v>
      </c>
      <c r="CO23" s="100">
        <v>2497.423072007351</v>
      </c>
      <c r="CP23" s="100">
        <v>3.787812032590085</v>
      </c>
      <c r="CQ23" s="100">
        <v>1113.616737581485</v>
      </c>
      <c r="CR23" s="100">
        <v>7.0001279941932273</v>
      </c>
      <c r="CS23" s="100">
        <v>2058.0376302928089</v>
      </c>
      <c r="CT23" s="100">
        <v>5.890104659491211</v>
      </c>
      <c r="CU23" s="100">
        <v>1731.690769890416</v>
      </c>
    </row>
    <row r="24" spans="2:99">
      <c r="C24" s="99" t="s">
        <v>190</v>
      </c>
      <c r="D24" s="100">
        <v>5.8160589887295</v>
      </c>
      <c r="E24" s="100">
        <v>2135.6568606614724</v>
      </c>
      <c r="F24" s="100">
        <v>3.9215480223150951</v>
      </c>
      <c r="G24" s="100">
        <v>1439.9924337941029</v>
      </c>
      <c r="H24" s="100">
        <v>9.0955039909837438</v>
      </c>
      <c r="I24" s="100">
        <v>3339.8690654892307</v>
      </c>
      <c r="J24" s="100">
        <v>4.9146107761390176</v>
      </c>
      <c r="K24" s="100">
        <v>1804.6450769982473</v>
      </c>
      <c r="L24" s="100">
        <v>3.8860522826519386</v>
      </c>
      <c r="M24" s="100">
        <v>1426.9583981897918</v>
      </c>
      <c r="N24" s="100">
        <v>4.3946230217492364</v>
      </c>
      <c r="O24" s="100">
        <v>1613.7055735863196</v>
      </c>
      <c r="P24" s="100">
        <v>12.797880728534098</v>
      </c>
      <c r="Q24" s="100">
        <v>4699.381803517721</v>
      </c>
      <c r="R24" s="100">
        <v>7</v>
      </c>
      <c r="S24" s="100">
        <v>2570.4</v>
      </c>
      <c r="T24" s="100">
        <v>8.5419832330748786</v>
      </c>
      <c r="U24" s="100">
        <v>3136.6162431850953</v>
      </c>
      <c r="V24" s="100">
        <v>6.8331244020518849</v>
      </c>
      <c r="W24" s="100">
        <v>2509.1232804334522</v>
      </c>
      <c r="X24" s="100">
        <v>3.411133713065567</v>
      </c>
      <c r="Y24" s="100">
        <v>1252.5682994376762</v>
      </c>
      <c r="Z24" s="100">
        <v>12.726642661475596</v>
      </c>
      <c r="AA24" s="100">
        <v>4673.2231852938385</v>
      </c>
      <c r="AB24" s="100">
        <v>3.6345687185006859</v>
      </c>
      <c r="AC24" s="100">
        <v>1334.6136334334517</v>
      </c>
      <c r="AD24" s="100">
        <v>8.7478938264989292</v>
      </c>
      <c r="AE24" s="100">
        <v>3212.2266130904068</v>
      </c>
      <c r="AF24" s="100">
        <v>8.4322072211030328</v>
      </c>
      <c r="AG24" s="100">
        <v>3096.3064915890336</v>
      </c>
      <c r="AH24" s="100">
        <v>5.1863210091336187</v>
      </c>
      <c r="AI24" s="100">
        <v>1904.4170745538647</v>
      </c>
      <c r="AJ24" s="100">
        <v>5.5028441145013831</v>
      </c>
      <c r="AK24" s="100">
        <v>2020.6443588449079</v>
      </c>
      <c r="AL24" s="100">
        <v>2.3121534224539402</v>
      </c>
      <c r="AM24" s="100">
        <v>849.02273672508682</v>
      </c>
      <c r="AN24" s="100">
        <v>10.220934255130931</v>
      </c>
      <c r="AO24" s="100">
        <v>3753.1270584840777</v>
      </c>
      <c r="AP24" s="100">
        <v>8</v>
      </c>
      <c r="AQ24" s="100">
        <v>2937.6</v>
      </c>
      <c r="AR24" s="100">
        <v>7.5291369229455567</v>
      </c>
      <c r="AS24" s="100">
        <v>2764.6990781056084</v>
      </c>
      <c r="AT24" s="100">
        <v>1.6641766433502407</v>
      </c>
      <c r="AU24" s="100">
        <v>611.08566343820837</v>
      </c>
      <c r="AV24" s="100">
        <v>9.3325156014894812</v>
      </c>
      <c r="AW24" s="100">
        <v>3426.8997288669375</v>
      </c>
      <c r="AX24" s="100">
        <v>9.8988383872118799</v>
      </c>
      <c r="AY24" s="100">
        <v>3634.8534557842022</v>
      </c>
      <c r="AZ24" s="100">
        <v>8.5513778005681615</v>
      </c>
      <c r="BA24" s="100">
        <v>3140.0659283686286</v>
      </c>
      <c r="BB24" s="100">
        <v>1.8228441752822397</v>
      </c>
      <c r="BC24" s="100">
        <v>669.34838116363846</v>
      </c>
      <c r="BD24" s="100">
        <v>5.7026532880065872</v>
      </c>
      <c r="BE24" s="100">
        <v>2094.0142873560189</v>
      </c>
      <c r="BF24" s="100">
        <v>6.6667046508685877</v>
      </c>
      <c r="BG24" s="100">
        <v>2448.0139477989455</v>
      </c>
      <c r="BH24" s="100">
        <v>11.614999103612629</v>
      </c>
      <c r="BI24" s="100">
        <v>4265.0276708465572</v>
      </c>
      <c r="BJ24" s="100">
        <v>6.0083299132113961</v>
      </c>
      <c r="BK24" s="100">
        <v>2206.2587441312244</v>
      </c>
      <c r="BL24" s="100">
        <v>9.2258536899345334</v>
      </c>
      <c r="BM24" s="100">
        <v>3387.7334749439606</v>
      </c>
      <c r="BN24" s="100">
        <v>8.2821167120487829</v>
      </c>
      <c r="BO24" s="100">
        <v>3041.1932566643131</v>
      </c>
      <c r="BP24" s="100">
        <v>7</v>
      </c>
      <c r="BQ24" s="100">
        <v>2570.4</v>
      </c>
      <c r="BR24" s="100">
        <v>7.3655120515707786</v>
      </c>
      <c r="BS24" s="100">
        <v>2704.6160253367898</v>
      </c>
      <c r="BT24" s="100">
        <v>5.4007370639524872</v>
      </c>
      <c r="BU24" s="100">
        <v>1983.1506498833533</v>
      </c>
      <c r="BV24" s="100">
        <v>6.4787723489756512</v>
      </c>
      <c r="BW24" s="100">
        <v>2379.005206543859</v>
      </c>
      <c r="BX24" s="100">
        <v>2.8745653037626302</v>
      </c>
      <c r="BY24" s="100">
        <v>1055.5403795416378</v>
      </c>
      <c r="BZ24" s="100">
        <v>4.7953196902359805</v>
      </c>
      <c r="CA24" s="100">
        <v>1760.841390254652</v>
      </c>
      <c r="CB24" s="100">
        <v>4.3213891497298276</v>
      </c>
      <c r="CC24" s="100">
        <v>1586.8140957807927</v>
      </c>
      <c r="CD24" s="100">
        <v>6.6377206717786796</v>
      </c>
      <c r="CE24" s="100">
        <v>2437.3710306771309</v>
      </c>
      <c r="CF24" s="100">
        <v>9.419317321883776</v>
      </c>
      <c r="CG24" s="100">
        <v>3458.7733205957225</v>
      </c>
      <c r="CH24" s="100">
        <v>7.1833696815643933</v>
      </c>
      <c r="CI24" s="100">
        <v>2637.7333470704452</v>
      </c>
      <c r="CJ24" s="100">
        <v>3.6658108420100723</v>
      </c>
      <c r="CK24" s="100">
        <v>1346.0857411860986</v>
      </c>
      <c r="CL24" s="100">
        <v>9.2264901754169877</v>
      </c>
      <c r="CM24" s="100">
        <v>3387.9671924131176</v>
      </c>
      <c r="CN24" s="100">
        <v>8.494636299344732</v>
      </c>
      <c r="CO24" s="100">
        <v>3119.2304491193854</v>
      </c>
      <c r="CP24" s="100">
        <v>4.4121846680364447</v>
      </c>
      <c r="CQ24" s="100">
        <v>1620.1542101029825</v>
      </c>
      <c r="CR24" s="100">
        <v>6.9980883537357261</v>
      </c>
      <c r="CS24" s="100">
        <v>2569.6980434917587</v>
      </c>
      <c r="CT24" s="100">
        <v>6.4707742769854377</v>
      </c>
      <c r="CU24" s="100">
        <v>2376.0683145090525</v>
      </c>
    </row>
    <row r="25" spans="2:99">
      <c r="C25" s="99" t="s">
        <v>191</v>
      </c>
      <c r="D25" s="100">
        <v>5.4355216344819262</v>
      </c>
      <c r="E25" s="100">
        <v>2883.0006749292133</v>
      </c>
      <c r="F25" s="100">
        <v>3.8354948201154313</v>
      </c>
      <c r="G25" s="100">
        <v>2034.3464525892248</v>
      </c>
      <c r="H25" s="100">
        <v>9.0955039909837438</v>
      </c>
      <c r="I25" s="100">
        <v>4824.2553168177774</v>
      </c>
      <c r="J25" s="100">
        <v>4.0955089801158486</v>
      </c>
      <c r="K25" s="100">
        <v>2172.257963053446</v>
      </c>
      <c r="L25" s="100">
        <v>3.4542686956906117</v>
      </c>
      <c r="M25" s="100">
        <v>1832.1441161943003</v>
      </c>
      <c r="N25" s="100">
        <v>4.4827542520850425</v>
      </c>
      <c r="O25" s="100">
        <v>2377.6528553059065</v>
      </c>
      <c r="P25" s="100">
        <v>10.470993323346081</v>
      </c>
      <c r="Q25" s="100">
        <v>5553.8148587027608</v>
      </c>
      <c r="R25" s="100">
        <v>6</v>
      </c>
      <c r="S25" s="100">
        <v>3182.3999999999996</v>
      </c>
      <c r="T25" s="100">
        <v>7.68778490976739</v>
      </c>
      <c r="U25" s="100">
        <v>4077.6011161406236</v>
      </c>
      <c r="V25" s="100">
        <v>6.8331244020518849</v>
      </c>
      <c r="W25" s="100">
        <v>3624.2891828483198</v>
      </c>
      <c r="X25" s="100">
        <v>3.0321188560582817</v>
      </c>
      <c r="Y25" s="100">
        <v>1608.2358412533126</v>
      </c>
      <c r="Z25" s="100">
        <v>11.553978395328036</v>
      </c>
      <c r="AA25" s="100">
        <v>6128.2301408819903</v>
      </c>
      <c r="AB25" s="100">
        <v>3.6345687185006859</v>
      </c>
      <c r="AC25" s="100">
        <v>1927.7752482927638</v>
      </c>
      <c r="AD25" s="100">
        <v>7.922683209148822</v>
      </c>
      <c r="AE25" s="100">
        <v>4202.1911741325348</v>
      </c>
      <c r="AF25" s="100">
        <v>8.4322072211030328</v>
      </c>
      <c r="AG25" s="100">
        <v>4472.4427100730481</v>
      </c>
      <c r="AH25" s="100">
        <v>5.1863210091336187</v>
      </c>
      <c r="AI25" s="100">
        <v>2750.8246632444711</v>
      </c>
      <c r="AJ25" s="100">
        <v>5.4385149823704806</v>
      </c>
      <c r="AK25" s="100">
        <v>2884.5883466493028</v>
      </c>
      <c r="AL25" s="100">
        <v>2.011940672812222</v>
      </c>
      <c r="AM25" s="100">
        <v>1067.1333328596024</v>
      </c>
      <c r="AN25" s="100">
        <v>9.0988408296178367</v>
      </c>
      <c r="AO25" s="100">
        <v>4826.0251760293004</v>
      </c>
      <c r="AP25" s="100">
        <v>8</v>
      </c>
      <c r="AQ25" s="100">
        <v>4243.2</v>
      </c>
      <c r="AR25" s="100">
        <v>7.5098643702692378</v>
      </c>
      <c r="AS25" s="100">
        <v>3983.2320619908037</v>
      </c>
      <c r="AT25" s="100">
        <v>1.8665718019715765</v>
      </c>
      <c r="AU25" s="100">
        <v>990.02968376572414</v>
      </c>
      <c r="AV25" s="100">
        <v>9.3325156014894812</v>
      </c>
      <c r="AW25" s="100">
        <v>4949.9662750300204</v>
      </c>
      <c r="AX25" s="100">
        <v>8.2490319893432336</v>
      </c>
      <c r="AY25" s="100">
        <v>4375.2865671476511</v>
      </c>
      <c r="AZ25" s="100">
        <v>7.8387629838541493</v>
      </c>
      <c r="BA25" s="100">
        <v>4157.6798866362406</v>
      </c>
      <c r="BB25" s="100">
        <v>1.8228441752822397</v>
      </c>
      <c r="BC25" s="100">
        <v>966.83655056969997</v>
      </c>
      <c r="BD25" s="100">
        <v>7.217856558848311</v>
      </c>
      <c r="BE25" s="100">
        <v>3828.3511188131438</v>
      </c>
      <c r="BF25" s="100">
        <v>6.5914574501969465</v>
      </c>
      <c r="BG25" s="100">
        <v>3496.1090315844604</v>
      </c>
      <c r="BH25" s="100">
        <v>10.92689194373207</v>
      </c>
      <c r="BI25" s="100">
        <v>5795.6234869554892</v>
      </c>
      <c r="BJ25" s="100">
        <v>6.4970233830864945</v>
      </c>
      <c r="BK25" s="100">
        <v>3446.0212023890767</v>
      </c>
      <c r="BL25" s="100">
        <v>9.2216045273681733</v>
      </c>
      <c r="BM25" s="100">
        <v>4891.1390413160789</v>
      </c>
      <c r="BN25" s="100">
        <v>6.1655606473170748</v>
      </c>
      <c r="BO25" s="100">
        <v>3270.2133673369763</v>
      </c>
      <c r="BP25" s="100">
        <v>7</v>
      </c>
      <c r="BQ25" s="100">
        <v>3712.7999999999997</v>
      </c>
      <c r="BR25" s="100">
        <v>8.1020632567278561</v>
      </c>
      <c r="BS25" s="100">
        <v>4297.3343513684549</v>
      </c>
      <c r="BT25" s="100">
        <v>6.0758291969465485</v>
      </c>
      <c r="BU25" s="100">
        <v>3222.6198060604493</v>
      </c>
      <c r="BV25" s="100">
        <v>5.538289434068191</v>
      </c>
      <c r="BW25" s="100">
        <v>2937.5087158297683</v>
      </c>
      <c r="BX25" s="100">
        <v>2.896335819796759</v>
      </c>
      <c r="BY25" s="100">
        <v>1536.2165188202009</v>
      </c>
      <c r="BZ25" s="100">
        <v>5.2931513354136257</v>
      </c>
      <c r="CA25" s="100">
        <v>2807.4874683033868</v>
      </c>
      <c r="CB25" s="100">
        <v>3.6178375573892563</v>
      </c>
      <c r="CC25" s="100">
        <v>1918.9010404392614</v>
      </c>
      <c r="CD25" s="100">
        <v>5.8571550251785061</v>
      </c>
      <c r="CE25" s="100">
        <v>3106.6350253546793</v>
      </c>
      <c r="CF25" s="100">
        <v>10.214478825311867</v>
      </c>
      <c r="CG25" s="100">
        <v>5417.7595689454138</v>
      </c>
      <c r="CH25" s="100">
        <v>7.1833696815643933</v>
      </c>
      <c r="CI25" s="100">
        <v>3810.0592791017539</v>
      </c>
      <c r="CJ25" s="100">
        <v>3.6468256872250628</v>
      </c>
      <c r="CK25" s="100">
        <v>1934.2763445041733</v>
      </c>
      <c r="CL25" s="100">
        <v>10.067455162887203</v>
      </c>
      <c r="CM25" s="100">
        <v>5339.7782183953723</v>
      </c>
      <c r="CN25" s="100">
        <v>8.494636299344732</v>
      </c>
      <c r="CO25" s="100">
        <v>4505.5550931724456</v>
      </c>
      <c r="CP25" s="100">
        <v>4.3734028132329161</v>
      </c>
      <c r="CQ25" s="100">
        <v>2319.6528521387386</v>
      </c>
      <c r="CR25" s="100">
        <v>6.8888743397457954</v>
      </c>
      <c r="CS25" s="100">
        <v>3653.8589498011697</v>
      </c>
      <c r="CT25" s="100">
        <v>5.7659481033113078</v>
      </c>
      <c r="CU25" s="100">
        <v>3058.2588739963176</v>
      </c>
    </row>
    <row r="26" spans="2:99">
      <c r="C26" s="99" t="s">
        <v>192</v>
      </c>
      <c r="D26" s="100">
        <v>5.5198611616282314</v>
      </c>
      <c r="E26" s="100">
        <v>2682.6525245513203</v>
      </c>
      <c r="F26" s="100">
        <v>3.9203147759202586</v>
      </c>
      <c r="G26" s="100">
        <v>1905.2729810972457</v>
      </c>
      <c r="H26" s="100">
        <v>10.270129323565723</v>
      </c>
      <c r="I26" s="100">
        <v>4991.2828512529413</v>
      </c>
      <c r="J26" s="100">
        <v>4.9146107761390176</v>
      </c>
      <c r="K26" s="100">
        <v>2388.5008372035627</v>
      </c>
      <c r="L26" s="100">
        <v>3.8860522826519386</v>
      </c>
      <c r="M26" s="100">
        <v>1888.6214093688423</v>
      </c>
      <c r="N26" s="100">
        <v>4.490555384197406</v>
      </c>
      <c r="O26" s="100">
        <v>2182.4099167199392</v>
      </c>
      <c r="P26" s="100">
        <v>11.797880728534098</v>
      </c>
      <c r="Q26" s="100">
        <v>5733.7700340675719</v>
      </c>
      <c r="R26" s="100">
        <v>6</v>
      </c>
      <c r="S26" s="100">
        <v>2916</v>
      </c>
      <c r="T26" s="100">
        <v>7.68778490976739</v>
      </c>
      <c r="U26" s="100">
        <v>3736.2634661469515</v>
      </c>
      <c r="V26" s="100">
        <v>6.8331244020518849</v>
      </c>
      <c r="W26" s="100">
        <v>3320.8984593972159</v>
      </c>
      <c r="X26" s="100">
        <v>3.0321188560582817</v>
      </c>
      <c r="Y26" s="100">
        <v>1473.6097640443249</v>
      </c>
      <c r="Z26" s="100">
        <v>12.553978395328036</v>
      </c>
      <c r="AA26" s="100">
        <v>6101.2335001294259</v>
      </c>
      <c r="AB26" s="100">
        <v>3.6345687185006859</v>
      </c>
      <c r="AC26" s="100">
        <v>1766.4003971913332</v>
      </c>
      <c r="AD26" s="100">
        <v>8.7478938264989292</v>
      </c>
      <c r="AE26" s="100">
        <v>4251.4763996784795</v>
      </c>
      <c r="AF26" s="100">
        <v>6.5583833941912477</v>
      </c>
      <c r="AG26" s="100">
        <v>3187.3743295769464</v>
      </c>
      <c r="AH26" s="100">
        <v>5.1863210091336187</v>
      </c>
      <c r="AI26" s="100">
        <v>2520.5520104389389</v>
      </c>
      <c r="AJ26" s="100">
        <v>5.5028441145013831</v>
      </c>
      <c r="AK26" s="100">
        <v>2674.3822396476721</v>
      </c>
      <c r="AL26" s="100">
        <v>2.247193201733686</v>
      </c>
      <c r="AM26" s="100">
        <v>1092.1358960425714</v>
      </c>
      <c r="AN26" s="100">
        <v>9.2209342551309312</v>
      </c>
      <c r="AO26" s="100">
        <v>4481.3740479936323</v>
      </c>
      <c r="AP26" s="100">
        <v>8</v>
      </c>
      <c r="AQ26" s="100">
        <v>3888</v>
      </c>
      <c r="AR26" s="100">
        <v>7.5098643702692378</v>
      </c>
      <c r="AS26" s="100">
        <v>3649.7940839508497</v>
      </c>
      <c r="AT26" s="100">
        <v>1.6296814393582635</v>
      </c>
      <c r="AU26" s="100">
        <v>792.02517952811604</v>
      </c>
      <c r="AV26" s="100">
        <v>9.2214726346986922</v>
      </c>
      <c r="AW26" s="100">
        <v>4481.6357004635647</v>
      </c>
      <c r="AX26" s="100">
        <v>9.0739351882775559</v>
      </c>
      <c r="AY26" s="100">
        <v>4409.9325015028926</v>
      </c>
      <c r="AZ26" s="100">
        <v>7.1261481671401361</v>
      </c>
      <c r="BA26" s="100">
        <v>3463.3080092301061</v>
      </c>
      <c r="BB26" s="100">
        <v>1.8228441752822397</v>
      </c>
      <c r="BC26" s="100">
        <v>885.90226918716849</v>
      </c>
      <c r="BD26" s="100">
        <v>6.5052824914243734</v>
      </c>
      <c r="BE26" s="100">
        <v>3161.5672908322454</v>
      </c>
      <c r="BF26" s="100">
        <v>7.1956455787757401</v>
      </c>
      <c r="BG26" s="100">
        <v>3497.0837512850098</v>
      </c>
      <c r="BH26" s="100">
        <v>10.238784783851511</v>
      </c>
      <c r="BI26" s="100">
        <v>4976.0494049518338</v>
      </c>
      <c r="BJ26" s="100">
        <v>5.9107487808274257</v>
      </c>
      <c r="BK26" s="100">
        <v>2872.6239074821287</v>
      </c>
      <c r="BL26" s="100">
        <v>9.2301028525008935</v>
      </c>
      <c r="BM26" s="100">
        <v>4485.8299863154343</v>
      </c>
      <c r="BN26" s="100">
        <v>7.282116712048782</v>
      </c>
      <c r="BO26" s="100">
        <v>3539.1087220557079</v>
      </c>
      <c r="BP26" s="100">
        <v>7</v>
      </c>
      <c r="BQ26" s="100">
        <v>3402</v>
      </c>
      <c r="BR26" s="100">
        <v>7.3655120515707786</v>
      </c>
      <c r="BS26" s="100">
        <v>3579.6388570633985</v>
      </c>
      <c r="BT26" s="100">
        <v>5.4007370639524872</v>
      </c>
      <c r="BU26" s="100">
        <v>2624.7582130809087</v>
      </c>
      <c r="BV26" s="100">
        <v>5.7475055448213235</v>
      </c>
      <c r="BW26" s="100">
        <v>2793.2876947831633</v>
      </c>
      <c r="BX26" s="100">
        <v>2.896335819796759</v>
      </c>
      <c r="BY26" s="100">
        <v>1407.6192084212248</v>
      </c>
      <c r="BZ26" s="100">
        <v>4.8812623276617284</v>
      </c>
      <c r="CA26" s="100">
        <v>2372.2934912435999</v>
      </c>
      <c r="CB26" s="100">
        <v>3.6511974226180564</v>
      </c>
      <c r="CC26" s="100">
        <v>1774.4819473923753</v>
      </c>
      <c r="CD26" s="100">
        <v>5.8642090830383058</v>
      </c>
      <c r="CE26" s="100">
        <v>2850.0056143566167</v>
      </c>
      <c r="CF26" s="100">
        <v>10.046948964534161</v>
      </c>
      <c r="CG26" s="100">
        <v>4882.8171967636026</v>
      </c>
      <c r="CH26" s="100">
        <v>6.5847555414340277</v>
      </c>
      <c r="CI26" s="100">
        <v>3200.1911931369373</v>
      </c>
      <c r="CJ26" s="100">
        <v>4.064685311217854</v>
      </c>
      <c r="CK26" s="100">
        <v>1975.4370612518771</v>
      </c>
      <c r="CL26" s="100">
        <v>10.226490175416988</v>
      </c>
      <c r="CM26" s="100">
        <v>4970.0742252526561</v>
      </c>
      <c r="CN26" s="100">
        <v>7.5507878216397621</v>
      </c>
      <c r="CO26" s="100">
        <v>3669.6828813169245</v>
      </c>
      <c r="CP26" s="100">
        <v>4.3734028132329161</v>
      </c>
      <c r="CQ26" s="100">
        <v>2125.4737672311971</v>
      </c>
      <c r="CR26" s="100">
        <v>8.3032692351838175</v>
      </c>
      <c r="CS26" s="100">
        <v>4035.3888482993352</v>
      </c>
      <c r="CT26" s="100">
        <v>6.4741394474931306</v>
      </c>
      <c r="CU26" s="100">
        <v>3146.4317714816616</v>
      </c>
    </row>
    <row r="27" spans="2:99">
      <c r="C27" s="99" t="s">
        <v>193</v>
      </c>
      <c r="D27" s="100">
        <v>5.5178923749091</v>
      </c>
      <c r="E27" s="100">
        <v>2357.2436225611673</v>
      </c>
      <c r="F27" s="100">
        <v>3.8354948201154313</v>
      </c>
      <c r="G27" s="100">
        <v>1638.5233871533121</v>
      </c>
      <c r="H27" s="100">
        <v>9.0955039909837438</v>
      </c>
      <c r="I27" s="100">
        <v>3885.5993049482554</v>
      </c>
      <c r="J27" s="100">
        <v>4.9146107761390176</v>
      </c>
      <c r="K27" s="100">
        <v>2099.5217235665882</v>
      </c>
      <c r="L27" s="100">
        <v>3.8860522826519386</v>
      </c>
      <c r="M27" s="100">
        <v>1660.1215351489082</v>
      </c>
      <c r="N27" s="100">
        <v>4.490555384197406</v>
      </c>
      <c r="O27" s="100">
        <v>1918.3652601291317</v>
      </c>
      <c r="P27" s="100">
        <v>11.634437025940089</v>
      </c>
      <c r="Q27" s="100">
        <v>4970.2314974816063</v>
      </c>
      <c r="R27" s="100">
        <v>6</v>
      </c>
      <c r="S27" s="100">
        <v>2563.1999999999998</v>
      </c>
      <c r="T27" s="100">
        <v>8.5419832330748786</v>
      </c>
      <c r="U27" s="100">
        <v>3649.135237169588</v>
      </c>
      <c r="V27" s="100">
        <v>6.8331244020518849</v>
      </c>
      <c r="W27" s="100">
        <v>2919.1107445565654</v>
      </c>
      <c r="X27" s="100">
        <v>3.0321188560582817</v>
      </c>
      <c r="Y27" s="100">
        <v>1295.321175308098</v>
      </c>
      <c r="Z27" s="100">
        <v>11.381314129180476</v>
      </c>
      <c r="AA27" s="100">
        <v>4862.0973959858993</v>
      </c>
      <c r="AB27" s="100">
        <v>4.1537928211436403</v>
      </c>
      <c r="AC27" s="100">
        <v>1774.500293192563</v>
      </c>
      <c r="AD27" s="100">
        <v>7.7478938264989292</v>
      </c>
      <c r="AE27" s="100">
        <v>3309.9002426803427</v>
      </c>
      <c r="AF27" s="100">
        <v>7.4952953076471402</v>
      </c>
      <c r="AG27" s="100">
        <v>3201.9901554268581</v>
      </c>
      <c r="AH27" s="100">
        <v>5.9272240104384224</v>
      </c>
      <c r="AI27" s="100">
        <v>2532.110097259294</v>
      </c>
      <c r="AJ27" s="100">
        <v>6.3234911020552609</v>
      </c>
      <c r="AK27" s="100">
        <v>2701.3953987980076</v>
      </c>
      <c r="AL27" s="100">
        <v>2.0444207831723489</v>
      </c>
      <c r="AM27" s="100">
        <v>873.37655857122741</v>
      </c>
      <c r="AN27" s="100">
        <v>10.220934255130931</v>
      </c>
      <c r="AO27" s="100">
        <v>4366.3831137919333</v>
      </c>
      <c r="AP27" s="100">
        <v>8</v>
      </c>
      <c r="AQ27" s="100">
        <v>3417.6</v>
      </c>
      <c r="AR27" s="100">
        <v>6.6861419695039439</v>
      </c>
      <c r="AS27" s="100">
        <v>2856.3198493720847</v>
      </c>
      <c r="AT27" s="100">
        <v>1.6600725241706755</v>
      </c>
      <c r="AU27" s="100">
        <v>709.1829823257126</v>
      </c>
      <c r="AV27" s="100">
        <v>9.4435585682802721</v>
      </c>
      <c r="AW27" s="100">
        <v>4034.2882203693321</v>
      </c>
      <c r="AX27" s="100">
        <v>9.0739351882775559</v>
      </c>
      <c r="AY27" s="100">
        <v>3876.3851124321718</v>
      </c>
      <c r="AZ27" s="100">
        <v>7.8387629838541493</v>
      </c>
      <c r="BA27" s="100">
        <v>3348.7195467024926</v>
      </c>
      <c r="BB27" s="100">
        <v>1.8228441752822397</v>
      </c>
      <c r="BC27" s="100">
        <v>778.71903168057281</v>
      </c>
      <c r="BD27" s="100">
        <v>7.1297368468250504</v>
      </c>
      <c r="BE27" s="100">
        <v>3045.8235809636612</v>
      </c>
      <c r="BF27" s="100">
        <v>7.1990699515319365</v>
      </c>
      <c r="BG27" s="100">
        <v>3075.4426832944432</v>
      </c>
      <c r="BH27" s="100">
        <v>11.066796659775649</v>
      </c>
      <c r="BI27" s="100">
        <v>4727.7355330561577</v>
      </c>
      <c r="BJ27" s="100">
        <v>6.5458139492784797</v>
      </c>
      <c r="BK27" s="100">
        <v>2796.3717191317664</v>
      </c>
      <c r="BL27" s="100">
        <v>8.3902300181705645</v>
      </c>
      <c r="BM27" s="100">
        <v>3584.3062637624648</v>
      </c>
      <c r="BN27" s="100">
        <v>7.1655606473170748</v>
      </c>
      <c r="BO27" s="100">
        <v>3061.1275085338543</v>
      </c>
      <c r="BP27" s="100">
        <v>7</v>
      </c>
      <c r="BQ27" s="100">
        <v>2990.4</v>
      </c>
      <c r="BR27" s="100">
        <v>8.1020632567278561</v>
      </c>
      <c r="BS27" s="100">
        <v>3461.2014232741399</v>
      </c>
      <c r="BT27" s="100">
        <v>6.0758291969465485</v>
      </c>
      <c r="BU27" s="100">
        <v>2595.5942329355653</v>
      </c>
      <c r="BV27" s="100">
        <v>6.374164293599085</v>
      </c>
      <c r="BW27" s="100">
        <v>2723.0429862255291</v>
      </c>
      <c r="BX27" s="100">
        <v>2.8745653037626302</v>
      </c>
      <c r="BY27" s="100">
        <v>1228.0142977673956</v>
      </c>
      <c r="BZ27" s="100">
        <v>4.6972681402867966</v>
      </c>
      <c r="CA27" s="100">
        <v>2006.6729495305194</v>
      </c>
      <c r="CB27" s="100">
        <v>3.9779533198667418</v>
      </c>
      <c r="CC27" s="100">
        <v>1699.381658247072</v>
      </c>
      <c r="CD27" s="100">
        <v>6.0341243558821311</v>
      </c>
      <c r="CE27" s="100">
        <v>2577.7779248328466</v>
      </c>
      <c r="CF27" s="100">
        <v>10.214478825311867</v>
      </c>
      <c r="CG27" s="100">
        <v>4363.6253541732294</v>
      </c>
      <c r="CH27" s="100">
        <v>7.1833696815643933</v>
      </c>
      <c r="CI27" s="100">
        <v>3068.7355279643089</v>
      </c>
      <c r="CJ27" s="100">
        <v>3.6468256872250628</v>
      </c>
      <c r="CK27" s="100">
        <v>1557.9239335825469</v>
      </c>
      <c r="CL27" s="100">
        <v>10.385525187946772</v>
      </c>
      <c r="CM27" s="100">
        <v>4436.6963602908609</v>
      </c>
      <c r="CN27" s="100">
        <v>8.494636299344732</v>
      </c>
      <c r="CO27" s="100">
        <v>3628.9086270800694</v>
      </c>
      <c r="CP27" s="100">
        <v>4.3763344508330011</v>
      </c>
      <c r="CQ27" s="100">
        <v>1869.5700773958581</v>
      </c>
      <c r="CR27" s="100">
        <v>8.1940552211938869</v>
      </c>
      <c r="CS27" s="100">
        <v>3500.5003904940286</v>
      </c>
      <c r="CT27" s="100">
        <v>6.0075308746557283</v>
      </c>
      <c r="CU27" s="100">
        <v>2566.4171896529269</v>
      </c>
    </row>
    <row r="28" spans="2:99">
      <c r="C28" s="99" t="s">
        <v>194</v>
      </c>
      <c r="D28" s="100">
        <v>4.9647383929306521</v>
      </c>
      <c r="E28" s="100">
        <v>3663.9769339828213</v>
      </c>
      <c r="F28" s="100">
        <v>3.919081529525422</v>
      </c>
      <c r="G28" s="100">
        <v>2892.2821687897613</v>
      </c>
      <c r="H28" s="100">
        <v>9.2701293235657225</v>
      </c>
      <c r="I28" s="100">
        <v>6841.3554407915035</v>
      </c>
      <c r="J28" s="100">
        <v>4.0955089801158486</v>
      </c>
      <c r="K28" s="100">
        <v>3022.4856273254964</v>
      </c>
      <c r="L28" s="100">
        <v>3.4542686956906117</v>
      </c>
      <c r="M28" s="100">
        <v>2549.2502974196714</v>
      </c>
      <c r="N28" s="100">
        <v>4.3946230217492364</v>
      </c>
      <c r="O28" s="100">
        <v>3243.2317900509365</v>
      </c>
      <c r="P28" s="100">
        <v>10.634437025940089</v>
      </c>
      <c r="Q28" s="100">
        <v>7848.214525143786</v>
      </c>
      <c r="R28" s="100">
        <v>6</v>
      </c>
      <c r="S28" s="100">
        <v>4428</v>
      </c>
      <c r="T28" s="100">
        <v>7.68778490976739</v>
      </c>
      <c r="U28" s="100">
        <v>5673.585263408334</v>
      </c>
      <c r="V28" s="100">
        <v>6.8331244020518849</v>
      </c>
      <c r="W28" s="100">
        <v>5042.8458087142908</v>
      </c>
      <c r="X28" s="100">
        <v>3.0321188560582817</v>
      </c>
      <c r="Y28" s="100">
        <v>2237.703715771012</v>
      </c>
      <c r="Z28" s="100">
        <v>11.381314129180476</v>
      </c>
      <c r="AA28" s="100">
        <v>8399.4098273351919</v>
      </c>
      <c r="AB28" s="100">
        <v>3.6345687185006859</v>
      </c>
      <c r="AC28" s="100">
        <v>2682.3117142535061</v>
      </c>
      <c r="AD28" s="100">
        <v>7.7478938264989292</v>
      </c>
      <c r="AE28" s="100">
        <v>5717.94564395621</v>
      </c>
      <c r="AF28" s="100">
        <v>7.4952953076471402</v>
      </c>
      <c r="AG28" s="100">
        <v>5531.5279370435892</v>
      </c>
      <c r="AH28" s="100">
        <v>5.9272240104384224</v>
      </c>
      <c r="AI28" s="100">
        <v>4374.2913197035559</v>
      </c>
      <c r="AJ28" s="100">
        <v>5.5028441145013831</v>
      </c>
      <c r="AK28" s="100">
        <v>4061.0989565020209</v>
      </c>
      <c r="AL28" s="100">
        <v>2.0444207831723489</v>
      </c>
      <c r="AM28" s="100">
        <v>1508.7825379811934</v>
      </c>
      <c r="AN28" s="100">
        <v>9.0988408296178367</v>
      </c>
      <c r="AO28" s="100">
        <v>6714.9445322579631</v>
      </c>
      <c r="AP28" s="100">
        <v>9</v>
      </c>
      <c r="AQ28" s="100">
        <v>6642</v>
      </c>
      <c r="AR28" s="100">
        <v>6.6861419695039439</v>
      </c>
      <c r="AS28" s="100">
        <v>4934.3727734939102</v>
      </c>
      <c r="AT28" s="100">
        <v>1.5992903545458512</v>
      </c>
      <c r="AU28" s="100">
        <v>1180.2762816548382</v>
      </c>
      <c r="AV28" s="100">
        <v>8.2214726346986922</v>
      </c>
      <c r="AW28" s="100">
        <v>6067.4468044076348</v>
      </c>
      <c r="AX28" s="100">
        <v>9.0739351882775559</v>
      </c>
      <c r="AY28" s="100">
        <v>6696.5641689488366</v>
      </c>
      <c r="AZ28" s="100">
        <v>7.1261481671401361</v>
      </c>
      <c r="BA28" s="100">
        <v>5259.0973473494205</v>
      </c>
      <c r="BB28" s="100">
        <v>1.562437864527634</v>
      </c>
      <c r="BC28" s="100">
        <v>1153.0791440213939</v>
      </c>
      <c r="BD28" s="100">
        <v>7.2168888468630197</v>
      </c>
      <c r="BE28" s="100">
        <v>5326.0639689849086</v>
      </c>
      <c r="BF28" s="100">
        <v>7.0348780591638711</v>
      </c>
      <c r="BG28" s="100">
        <v>5191.7400076629365</v>
      </c>
      <c r="BH28" s="100">
        <v>10.92689194373207</v>
      </c>
      <c r="BI28" s="100">
        <v>8064.0462544742677</v>
      </c>
      <c r="BJ28" s="100">
        <v>5.3732647447603421</v>
      </c>
      <c r="BK28" s="100">
        <v>3965.4693816331323</v>
      </c>
      <c r="BL28" s="100">
        <v>8.2742282050592166</v>
      </c>
      <c r="BM28" s="100">
        <v>6106.3804153337023</v>
      </c>
      <c r="BN28" s="100">
        <v>6.282116712048782</v>
      </c>
      <c r="BO28" s="100">
        <v>4636.2021334920009</v>
      </c>
      <c r="BP28" s="100">
        <v>7</v>
      </c>
      <c r="BQ28" s="100">
        <v>5166</v>
      </c>
      <c r="BR28" s="100">
        <v>7.3655120515707786</v>
      </c>
      <c r="BS28" s="100">
        <v>5435.7478940592346</v>
      </c>
      <c r="BT28" s="100">
        <v>6.0758291969465485</v>
      </c>
      <c r="BU28" s="100">
        <v>4483.9619473465527</v>
      </c>
      <c r="BV28" s="100">
        <v>5.6428974894447572</v>
      </c>
      <c r="BW28" s="100">
        <v>4164.4583472102304</v>
      </c>
      <c r="BX28" s="100">
        <v>2.896335819796759</v>
      </c>
      <c r="BY28" s="100">
        <v>2137.4958350100082</v>
      </c>
      <c r="BZ28" s="100">
        <v>5.1950997854644427</v>
      </c>
      <c r="CA28" s="100">
        <v>3833.9836416727589</v>
      </c>
      <c r="CB28" s="100">
        <v>4.3213891497298276</v>
      </c>
      <c r="CC28" s="100">
        <v>3189.1851925006126</v>
      </c>
      <c r="CD28" s="100">
        <v>5.9453328988651464</v>
      </c>
      <c r="CE28" s="100">
        <v>4387.6556793624777</v>
      </c>
      <c r="CF28" s="100">
        <v>9.2517874611060762</v>
      </c>
      <c r="CG28" s="100">
        <v>6827.8191462962841</v>
      </c>
      <c r="CH28" s="100">
        <v>5.9861414013036613</v>
      </c>
      <c r="CI28" s="100">
        <v>4417.7723541621017</v>
      </c>
      <c r="CJ28" s="100">
        <v>3.6847959967950827</v>
      </c>
      <c r="CK28" s="100">
        <v>2719.3794456347709</v>
      </c>
      <c r="CL28" s="100">
        <v>9.0674551628872031</v>
      </c>
      <c r="CM28" s="100">
        <v>6691.781910210756</v>
      </c>
      <c r="CN28" s="100">
        <v>7.5507878216397621</v>
      </c>
      <c r="CO28" s="100">
        <v>5572.4814123701444</v>
      </c>
      <c r="CP28" s="100">
        <v>4.3470180748321514</v>
      </c>
      <c r="CQ28" s="100">
        <v>3208.0993392261275</v>
      </c>
      <c r="CR28" s="100">
        <v>8.2991899542688152</v>
      </c>
      <c r="CS28" s="100">
        <v>6124.8021862503856</v>
      </c>
      <c r="CT28" s="100">
        <v>5.7693132738190007</v>
      </c>
      <c r="CU28" s="100">
        <v>4257.7531960784227</v>
      </c>
    </row>
    <row r="29" spans="2:99">
      <c r="C29" s="99" t="s">
        <v>195</v>
      </c>
      <c r="D29" s="100">
        <v>5.5982943286171416</v>
      </c>
      <c r="E29" s="100">
        <v>1894.4628008040406</v>
      </c>
      <c r="F29" s="100">
        <v>3.8367280665102688</v>
      </c>
      <c r="G29" s="100">
        <v>1298.3487777070748</v>
      </c>
      <c r="H29" s="100">
        <v>9.0955039909837438</v>
      </c>
      <c r="I29" s="100">
        <v>3077.9185505488986</v>
      </c>
      <c r="J29" s="100">
        <v>4.0955089801158486</v>
      </c>
      <c r="K29" s="100">
        <v>1385.9202388712031</v>
      </c>
      <c r="L29" s="100">
        <v>3.4542686956906117</v>
      </c>
      <c r="M29" s="100">
        <v>1168.9245266217029</v>
      </c>
      <c r="N29" s="100">
        <v>4.4866548181412247</v>
      </c>
      <c r="O29" s="100">
        <v>1518.2839904589903</v>
      </c>
      <c r="P29" s="100">
        <v>11.634437025940089</v>
      </c>
      <c r="Q29" s="100">
        <v>3937.0934895781261</v>
      </c>
      <c r="R29" s="100">
        <v>6</v>
      </c>
      <c r="S29" s="100">
        <v>2030.3999999999999</v>
      </c>
      <c r="T29" s="100">
        <v>8.5419832330748786</v>
      </c>
      <c r="U29" s="100">
        <v>2890.6071260725389</v>
      </c>
      <c r="V29" s="100">
        <v>6.8331244020518849</v>
      </c>
      <c r="W29" s="100">
        <v>2312.3292976543576</v>
      </c>
      <c r="X29" s="100">
        <v>3.0321188560582817</v>
      </c>
      <c r="Y29" s="100">
        <v>1026.0690208901224</v>
      </c>
      <c r="Z29" s="100">
        <v>12.726642661475596</v>
      </c>
      <c r="AA29" s="100">
        <v>4306.6958766433418</v>
      </c>
      <c r="AB29" s="100">
        <v>3.6345687185006859</v>
      </c>
      <c r="AC29" s="100">
        <v>1229.9380543406321</v>
      </c>
      <c r="AD29" s="100">
        <v>7.922683209148822</v>
      </c>
      <c r="AE29" s="100">
        <v>2681.035997975961</v>
      </c>
      <c r="AF29" s="100">
        <v>7.4952953076471402</v>
      </c>
      <c r="AG29" s="100">
        <v>2536.407932107792</v>
      </c>
      <c r="AH29" s="100">
        <v>5.9272240104384224</v>
      </c>
      <c r="AI29" s="100">
        <v>2005.7726051323621</v>
      </c>
      <c r="AJ29" s="100">
        <v>5.5028441145013831</v>
      </c>
      <c r="AK29" s="100">
        <v>1862.1624483472679</v>
      </c>
      <c r="AL29" s="100">
        <v>2.0769008935324762</v>
      </c>
      <c r="AM29" s="100">
        <v>702.82326237138989</v>
      </c>
      <c r="AN29" s="100">
        <v>10.098840829617837</v>
      </c>
      <c r="AO29" s="100">
        <v>3417.4477367426757</v>
      </c>
      <c r="AP29" s="100">
        <v>9</v>
      </c>
      <c r="AQ29" s="100">
        <v>3045.6</v>
      </c>
      <c r="AR29" s="100">
        <v>7.4905918175929171</v>
      </c>
      <c r="AS29" s="100">
        <v>2534.8162710734432</v>
      </c>
      <c r="AT29" s="100">
        <v>1.6959357678891747</v>
      </c>
      <c r="AU29" s="100">
        <v>573.90466385369666</v>
      </c>
      <c r="AV29" s="100">
        <v>9.4435585682802721</v>
      </c>
      <c r="AW29" s="100">
        <v>3195.700219506044</v>
      </c>
      <c r="AX29" s="100">
        <v>9.0739351882775559</v>
      </c>
      <c r="AY29" s="100">
        <v>3070.6196677131247</v>
      </c>
      <c r="AZ29" s="100">
        <v>7.8387629838541493</v>
      </c>
      <c r="BA29" s="100">
        <v>2652.6373937362441</v>
      </c>
      <c r="BB29" s="100">
        <v>1.8228441752822397</v>
      </c>
      <c r="BC29" s="100">
        <v>616.85046891550985</v>
      </c>
      <c r="BD29" s="100">
        <v>7.3050085588862803</v>
      </c>
      <c r="BE29" s="100">
        <v>2472.0148963271172</v>
      </c>
      <c r="BF29" s="100">
        <v>7.1169740053479034</v>
      </c>
      <c r="BG29" s="100">
        <v>2408.3840034097302</v>
      </c>
      <c r="BH29" s="100">
        <v>11.614999103612629</v>
      </c>
      <c r="BI29" s="100">
        <v>3930.5156966625132</v>
      </c>
      <c r="BJ29" s="100">
        <v>6.0083299132113961</v>
      </c>
      <c r="BK29" s="100">
        <v>2033.2188426307364</v>
      </c>
      <c r="BL29" s="100">
        <v>9.10135355169046</v>
      </c>
      <c r="BM29" s="100">
        <v>3079.8980418920514</v>
      </c>
      <c r="BN29" s="100">
        <v>7.282116712048782</v>
      </c>
      <c r="BO29" s="100">
        <v>2464.2682953573076</v>
      </c>
      <c r="BP29" s="100">
        <v>7</v>
      </c>
      <c r="BQ29" s="100">
        <v>2368.7999999999997</v>
      </c>
      <c r="BR29" s="100">
        <v>8.1020632567278561</v>
      </c>
      <c r="BS29" s="100">
        <v>2741.7382060767063</v>
      </c>
      <c r="BT29" s="100">
        <v>6.0758291969465485</v>
      </c>
      <c r="BU29" s="100">
        <v>2056.0606002467121</v>
      </c>
      <c r="BV29" s="100">
        <v>6.374164293599085</v>
      </c>
      <c r="BW29" s="100">
        <v>2157.0171969539301</v>
      </c>
      <c r="BX29" s="100">
        <v>3.331889005022274</v>
      </c>
      <c r="BY29" s="100">
        <v>1127.5112392995375</v>
      </c>
      <c r="BZ29" s="100">
        <v>5.8890345305404548</v>
      </c>
      <c r="CA29" s="100">
        <v>1992.8492851348897</v>
      </c>
      <c r="CB29" s="100">
        <v>3.9946332524811421</v>
      </c>
      <c r="CC29" s="100">
        <v>1351.7838926396184</v>
      </c>
      <c r="CD29" s="100">
        <v>6.0341243558821311</v>
      </c>
      <c r="CE29" s="100">
        <v>2041.9476820305131</v>
      </c>
      <c r="CF29" s="100">
        <v>10.382008686089566</v>
      </c>
      <c r="CG29" s="100">
        <v>3513.2717393727089</v>
      </c>
      <c r="CH29" s="100">
        <v>6.5847555414340277</v>
      </c>
      <c r="CI29" s="100">
        <v>2228.2812752212749</v>
      </c>
      <c r="CJ29" s="100">
        <v>3.6468256872250628</v>
      </c>
      <c r="CK29" s="100">
        <v>1234.0858125569612</v>
      </c>
      <c r="CL29" s="100">
        <v>10.226490175416988</v>
      </c>
      <c r="CM29" s="100">
        <v>3460.6442753611086</v>
      </c>
      <c r="CN29" s="100">
        <v>8.494636299344732</v>
      </c>
      <c r="CO29" s="100">
        <v>2874.5849236982572</v>
      </c>
      <c r="CP29" s="100">
        <v>4.4121846680364447</v>
      </c>
      <c r="CQ29" s="100">
        <v>1493.0832916635327</v>
      </c>
      <c r="CR29" s="100">
        <v>7.5373854995548397</v>
      </c>
      <c r="CS29" s="100">
        <v>2550.6512530493574</v>
      </c>
      <c r="CT29" s="100">
        <v>5.896835000506595</v>
      </c>
      <c r="CU29" s="100">
        <v>1995.4889641714317</v>
      </c>
    </row>
    <row r="30" spans="2:99">
      <c r="C30" s="99" t="s">
        <v>196</v>
      </c>
      <c r="D30" s="100">
        <v>5.4335528477627957</v>
      </c>
      <c r="E30" s="100">
        <v>756.35055640858104</v>
      </c>
      <c r="F30" s="100">
        <v>3.919081529525422</v>
      </c>
      <c r="G30" s="100">
        <v>545.53614890993867</v>
      </c>
      <c r="H30" s="100">
        <v>10.444754656147701</v>
      </c>
      <c r="I30" s="100">
        <v>1453.9098481357598</v>
      </c>
      <c r="J30" s="100">
        <v>4.0955089801158486</v>
      </c>
      <c r="K30" s="100">
        <v>570.09485003212603</v>
      </c>
      <c r="L30" s="100">
        <v>3.8860522826519386</v>
      </c>
      <c r="M30" s="100">
        <v>540.93847774514984</v>
      </c>
      <c r="N30" s="100">
        <v>4.390722455693056</v>
      </c>
      <c r="O30" s="100">
        <v>611.18856583247339</v>
      </c>
      <c r="P30" s="100">
        <v>12.797880728534098</v>
      </c>
      <c r="Q30" s="100">
        <v>1781.4649974119463</v>
      </c>
      <c r="R30" s="100">
        <v>6</v>
      </c>
      <c r="S30" s="100">
        <v>835.19999999999993</v>
      </c>
      <c r="T30" s="100">
        <v>8.5419832330748786</v>
      </c>
      <c r="U30" s="100">
        <v>1189.0440660440231</v>
      </c>
      <c r="V30" s="100">
        <v>6.8331244020518849</v>
      </c>
      <c r="W30" s="100">
        <v>951.17091676562234</v>
      </c>
      <c r="X30" s="100">
        <v>3.0321188560582817</v>
      </c>
      <c r="Y30" s="100">
        <v>422.07094476331275</v>
      </c>
      <c r="Z30" s="100">
        <v>12.553978395328036</v>
      </c>
      <c r="AA30" s="100">
        <v>1747.5137926296625</v>
      </c>
      <c r="AB30" s="100">
        <v>4.1537928211436403</v>
      </c>
      <c r="AC30" s="100">
        <v>578.20796070319466</v>
      </c>
      <c r="AD30" s="100">
        <v>7.922683209148822</v>
      </c>
      <c r="AE30" s="100">
        <v>1102.837502713516</v>
      </c>
      <c r="AF30" s="100">
        <v>7.4952953076471402</v>
      </c>
      <c r="AG30" s="100">
        <v>1043.3451068244819</v>
      </c>
      <c r="AH30" s="100">
        <v>5.1863210091336187</v>
      </c>
      <c r="AI30" s="100">
        <v>721.93588447139962</v>
      </c>
      <c r="AJ30" s="100">
        <v>5.5671732466322839</v>
      </c>
      <c r="AK30" s="100">
        <v>774.95051593121389</v>
      </c>
      <c r="AL30" s="100">
        <v>2.2796733120938133</v>
      </c>
      <c r="AM30" s="100">
        <v>317.33052504345881</v>
      </c>
      <c r="AN30" s="100">
        <v>10.220934255130931</v>
      </c>
      <c r="AO30" s="100">
        <v>1422.7540483142254</v>
      </c>
      <c r="AP30" s="100">
        <v>9</v>
      </c>
      <c r="AQ30" s="100">
        <v>1252.8</v>
      </c>
      <c r="AR30" s="100">
        <v>6.7439596275329041</v>
      </c>
      <c r="AS30" s="100">
        <v>938.75918015258014</v>
      </c>
      <c r="AT30" s="100">
        <v>1.8402848363387292</v>
      </c>
      <c r="AU30" s="100">
        <v>256.16764921835107</v>
      </c>
      <c r="AV30" s="100">
        <v>9.4435585682802721</v>
      </c>
      <c r="AW30" s="100">
        <v>1314.5433527046137</v>
      </c>
      <c r="AX30" s="100">
        <v>10.723741586146204</v>
      </c>
      <c r="AY30" s="100">
        <v>1492.7448287915515</v>
      </c>
      <c r="AZ30" s="100">
        <v>7.8387629838541493</v>
      </c>
      <c r="BA30" s="100">
        <v>1091.1558073524975</v>
      </c>
      <c r="BB30" s="100">
        <v>2.0832504860368455</v>
      </c>
      <c r="BC30" s="100">
        <v>289.98846765632885</v>
      </c>
      <c r="BD30" s="100">
        <v>7.217856558848311</v>
      </c>
      <c r="BE30" s="100">
        <v>1004.7256329916848</v>
      </c>
      <c r="BF30" s="100">
        <v>7.1203983781040989</v>
      </c>
      <c r="BG30" s="100">
        <v>991.15945423209052</v>
      </c>
      <c r="BH30" s="100">
        <v>11.894808535699788</v>
      </c>
      <c r="BI30" s="100">
        <v>1655.7573481694103</v>
      </c>
      <c r="BJ30" s="100">
        <v>5.9107487808274257</v>
      </c>
      <c r="BK30" s="100">
        <v>822.77623029117763</v>
      </c>
      <c r="BL30" s="100">
        <v>8.5189793189810015</v>
      </c>
      <c r="BM30" s="100">
        <v>1185.8419212021554</v>
      </c>
      <c r="BN30" s="100">
        <v>7.3986727767804901</v>
      </c>
      <c r="BO30" s="100">
        <v>1029.8952505278442</v>
      </c>
      <c r="BP30" s="100">
        <v>8</v>
      </c>
      <c r="BQ30" s="100">
        <v>1113.5999999999999</v>
      </c>
      <c r="BR30" s="100">
        <v>8.1020632567278561</v>
      </c>
      <c r="BS30" s="100">
        <v>1127.8072053365174</v>
      </c>
      <c r="BT30" s="100">
        <v>6.0758291969465485</v>
      </c>
      <c r="BU30" s="100">
        <v>845.75542421495948</v>
      </c>
      <c r="BV30" s="100">
        <v>6.4787723489756512</v>
      </c>
      <c r="BW30" s="100">
        <v>901.84511097741063</v>
      </c>
      <c r="BX30" s="100">
        <v>3.331889005022274</v>
      </c>
      <c r="BY30" s="100">
        <v>463.7989494991005</v>
      </c>
      <c r="BZ30" s="100">
        <v>5.2931513354136257</v>
      </c>
      <c r="CA30" s="100">
        <v>736.80666588957661</v>
      </c>
      <c r="CB30" s="100">
        <v>4.3380690823442274</v>
      </c>
      <c r="CC30" s="100">
        <v>603.85921626231641</v>
      </c>
      <c r="CD30" s="100">
        <v>7.0637340736412622</v>
      </c>
      <c r="CE30" s="100">
        <v>983.27178305086363</v>
      </c>
      <c r="CF30" s="100">
        <v>10.046948964534161</v>
      </c>
      <c r="CG30" s="100">
        <v>1398.5352958631552</v>
      </c>
      <c r="CH30" s="100">
        <v>6.5847555414340277</v>
      </c>
      <c r="CI30" s="100">
        <v>916.59797136761654</v>
      </c>
      <c r="CJ30" s="100">
        <v>4.064685311217854</v>
      </c>
      <c r="CK30" s="100">
        <v>565.80419532152519</v>
      </c>
      <c r="CL30" s="100">
        <v>10.385525187946772</v>
      </c>
      <c r="CM30" s="100">
        <v>1445.6651061621906</v>
      </c>
      <c r="CN30" s="100">
        <v>7.5507878216397621</v>
      </c>
      <c r="CO30" s="100">
        <v>1051.0696647722548</v>
      </c>
      <c r="CP30" s="100">
        <v>3.787812032590085</v>
      </c>
      <c r="CQ30" s="100">
        <v>527.26343493653974</v>
      </c>
      <c r="CR30" s="100">
        <v>8.1879362998213843</v>
      </c>
      <c r="CS30" s="100">
        <v>1139.7607329351365</v>
      </c>
      <c r="CT30" s="100">
        <v>5.896835000506595</v>
      </c>
      <c r="CU30" s="100">
        <v>820.839432070518</v>
      </c>
    </row>
    <row r="31" spans="2:99">
      <c r="C31" s="99" t="s">
        <v>197</v>
      </c>
      <c r="D31" s="100">
        <v>5.8160589887295</v>
      </c>
      <c r="E31" s="100">
        <v>1982.1129033590137</v>
      </c>
      <c r="F31" s="100">
        <v>3.9178482831305854</v>
      </c>
      <c r="G31" s="100">
        <v>1335.2026948909036</v>
      </c>
      <c r="H31" s="100">
        <v>10.095503990983744</v>
      </c>
      <c r="I31" s="100">
        <v>3440.5477601272601</v>
      </c>
      <c r="J31" s="100">
        <v>4.0955089801158486</v>
      </c>
      <c r="K31" s="100">
        <v>1395.7494604234812</v>
      </c>
      <c r="L31" s="100">
        <v>3.8860522826519386</v>
      </c>
      <c r="M31" s="100">
        <v>1324.3666179277807</v>
      </c>
      <c r="N31" s="100">
        <v>4.3946230217492364</v>
      </c>
      <c r="O31" s="100">
        <v>1497.6875258121397</v>
      </c>
      <c r="P31" s="100">
        <v>11.634437025940089</v>
      </c>
      <c r="Q31" s="100">
        <v>3965.0161384403827</v>
      </c>
      <c r="R31" s="100">
        <v>6</v>
      </c>
      <c r="S31" s="100">
        <v>2044.8000000000002</v>
      </c>
      <c r="T31" s="100">
        <v>7.68778490976739</v>
      </c>
      <c r="U31" s="100">
        <v>2619.9970972487267</v>
      </c>
      <c r="V31" s="100">
        <v>6.8331244020518849</v>
      </c>
      <c r="W31" s="100">
        <v>2328.7287962192822</v>
      </c>
      <c r="X31" s="100">
        <v>3.411133713065567</v>
      </c>
      <c r="Y31" s="100">
        <v>1162.5143694127453</v>
      </c>
      <c r="Z31" s="100">
        <v>12.553978395328036</v>
      </c>
      <c r="AA31" s="100">
        <v>4278.3958371277949</v>
      </c>
      <c r="AB31" s="100">
        <v>4.1537928211436403</v>
      </c>
      <c r="AC31" s="100">
        <v>1415.6125934457527</v>
      </c>
      <c r="AD31" s="100">
        <v>7.922683209148822</v>
      </c>
      <c r="AE31" s="100">
        <v>2700.0504376779186</v>
      </c>
      <c r="AF31" s="100">
        <v>7.4952953076471402</v>
      </c>
      <c r="AG31" s="100">
        <v>2554.3966408461456</v>
      </c>
      <c r="AH31" s="100">
        <v>5.9272240104384224</v>
      </c>
      <c r="AI31" s="100">
        <v>2019.9979427574144</v>
      </c>
      <c r="AJ31" s="100">
        <v>5.4385149823704806</v>
      </c>
      <c r="AK31" s="100">
        <v>1853.4459059918599</v>
      </c>
      <c r="AL31" s="100">
        <v>2.247193201733686</v>
      </c>
      <c r="AM31" s="100">
        <v>765.84344315084024</v>
      </c>
      <c r="AN31" s="100">
        <v>10.220934255130931</v>
      </c>
      <c r="AO31" s="100">
        <v>3483.2943941486214</v>
      </c>
      <c r="AP31" s="100">
        <v>9</v>
      </c>
      <c r="AQ31" s="100">
        <v>3067.2000000000003</v>
      </c>
      <c r="AR31" s="100">
        <v>7.5098643702692378</v>
      </c>
      <c r="AS31" s="100">
        <v>2559.3617773877563</v>
      </c>
      <c r="AT31" s="100">
        <v>1.6310494790847851</v>
      </c>
      <c r="AU31" s="100">
        <v>555.86166247209485</v>
      </c>
      <c r="AV31" s="100">
        <v>9.3325156014894812</v>
      </c>
      <c r="AW31" s="100">
        <v>3180.5213169876151</v>
      </c>
      <c r="AX31" s="100">
        <v>9.0739351882775559</v>
      </c>
      <c r="AY31" s="100">
        <v>3092.3971121649911</v>
      </c>
      <c r="AZ31" s="100">
        <v>7.8387629838541493</v>
      </c>
      <c r="BA31" s="100">
        <v>2671.450424897494</v>
      </c>
      <c r="BB31" s="100">
        <v>1.8228441752822397</v>
      </c>
      <c r="BC31" s="100">
        <v>621.22529493618731</v>
      </c>
      <c r="BD31" s="100">
        <v>6.5033470674537881</v>
      </c>
      <c r="BE31" s="100">
        <v>2216.340680588251</v>
      </c>
      <c r="BF31" s="100">
        <v>6.5914574501969465</v>
      </c>
      <c r="BG31" s="100">
        <v>2246.3686990271194</v>
      </c>
      <c r="BH31" s="100">
        <v>10.92689194373207</v>
      </c>
      <c r="BI31" s="100">
        <v>3723.8847744238897</v>
      </c>
      <c r="BJ31" s="100">
        <v>5.3244741785683569</v>
      </c>
      <c r="BK31" s="100">
        <v>1814.580800056096</v>
      </c>
      <c r="BL31" s="100">
        <v>8.6519777823577968</v>
      </c>
      <c r="BM31" s="100">
        <v>2948.5940282275374</v>
      </c>
      <c r="BN31" s="100">
        <v>7.3986727767804901</v>
      </c>
      <c r="BO31" s="100">
        <v>2521.467682326791</v>
      </c>
      <c r="BP31" s="100">
        <v>7</v>
      </c>
      <c r="BQ31" s="100">
        <v>2385.6</v>
      </c>
      <c r="BR31" s="100">
        <v>8.8386144618849354</v>
      </c>
      <c r="BS31" s="100">
        <v>3012.1998086103863</v>
      </c>
      <c r="BT31" s="100">
        <v>6.0758291969465485</v>
      </c>
      <c r="BU31" s="100">
        <v>2070.642590319384</v>
      </c>
      <c r="BV31" s="100">
        <v>6.374164293599085</v>
      </c>
      <c r="BW31" s="100">
        <v>2172.3151912585681</v>
      </c>
      <c r="BX31" s="100">
        <v>2.896335819796759</v>
      </c>
      <c r="BY31" s="100">
        <v>987.07124738673554</v>
      </c>
      <c r="BZ31" s="100">
        <v>5.7909829805912718</v>
      </c>
      <c r="CA31" s="100">
        <v>1973.5669997855055</v>
      </c>
      <c r="CB31" s="100">
        <v>4.3213891497298276</v>
      </c>
      <c r="CC31" s="100">
        <v>1472.7294222279254</v>
      </c>
      <c r="CD31" s="100">
        <v>6.3790139419178713</v>
      </c>
      <c r="CE31" s="100">
        <v>2173.9679514056106</v>
      </c>
      <c r="CF31" s="100">
        <v>10.214478825311867</v>
      </c>
      <c r="CG31" s="100">
        <v>3481.0943836662841</v>
      </c>
      <c r="CH31" s="100">
        <v>6.5847555414340277</v>
      </c>
      <c r="CI31" s="100">
        <v>2244.0846885207166</v>
      </c>
      <c r="CJ31" s="100">
        <v>3.6658108420100723</v>
      </c>
      <c r="CK31" s="100">
        <v>1249.3083349570327</v>
      </c>
      <c r="CL31" s="100">
        <v>9.3855251879467723</v>
      </c>
      <c r="CM31" s="100">
        <v>3198.58698405226</v>
      </c>
      <c r="CN31" s="100">
        <v>8.494636299344732</v>
      </c>
      <c r="CO31" s="100">
        <v>2894.9720508166847</v>
      </c>
      <c r="CP31" s="100">
        <v>4.3748686320329595</v>
      </c>
      <c r="CQ31" s="100">
        <v>1490.9552297968326</v>
      </c>
      <c r="CR31" s="100">
        <v>7.6506787944597709</v>
      </c>
      <c r="CS31" s="100">
        <v>2607.3513331518902</v>
      </c>
      <c r="CT31" s="100">
        <v>6.7224525598529361</v>
      </c>
      <c r="CU31" s="100">
        <v>2291.0118323978809</v>
      </c>
    </row>
    <row r="32" spans="2:99">
      <c r="C32" s="99" t="s">
        <v>198</v>
      </c>
      <c r="D32" s="100">
        <v>4.9647383929306521</v>
      </c>
      <c r="E32" s="100">
        <v>4170.3802500617476</v>
      </c>
      <c r="F32" s="100">
        <v>3.919081529525422</v>
      </c>
      <c r="G32" s="100">
        <v>3292.0284848013544</v>
      </c>
      <c r="H32" s="100">
        <v>9.2701293235657225</v>
      </c>
      <c r="I32" s="100">
        <v>7786.9086317952069</v>
      </c>
      <c r="J32" s="100">
        <v>4.0955089801158486</v>
      </c>
      <c r="K32" s="100">
        <v>3440.2275432973129</v>
      </c>
      <c r="L32" s="100">
        <v>3.4542686956906117</v>
      </c>
      <c r="M32" s="100">
        <v>2901.5857043801138</v>
      </c>
      <c r="N32" s="100">
        <v>4.8935124644855081</v>
      </c>
      <c r="O32" s="100">
        <v>4110.5504701678265</v>
      </c>
      <c r="P32" s="100">
        <v>11.470993323346081</v>
      </c>
      <c r="Q32" s="100">
        <v>9635.6343916107071</v>
      </c>
      <c r="R32" s="100">
        <v>6</v>
      </c>
      <c r="S32" s="100">
        <v>5040</v>
      </c>
      <c r="T32" s="100">
        <v>6.8335865864599024</v>
      </c>
      <c r="U32" s="100">
        <v>5740.212732626318</v>
      </c>
      <c r="V32" s="100">
        <v>7.6872649523083707</v>
      </c>
      <c r="W32" s="100">
        <v>6457.3025599390312</v>
      </c>
      <c r="X32" s="100">
        <v>2.6531039990509968</v>
      </c>
      <c r="Y32" s="100">
        <v>2228.6073592028374</v>
      </c>
      <c r="Z32" s="100">
        <v>12.553978395328036</v>
      </c>
      <c r="AA32" s="100">
        <v>10545.341852075549</v>
      </c>
      <c r="AB32" s="100">
        <v>3.6345687185006859</v>
      </c>
      <c r="AC32" s="100">
        <v>3053.0377235405763</v>
      </c>
      <c r="AD32" s="100">
        <v>7.7478938264989292</v>
      </c>
      <c r="AE32" s="100">
        <v>6508.230814259101</v>
      </c>
      <c r="AF32" s="100">
        <v>7.4952953076471402</v>
      </c>
      <c r="AG32" s="100">
        <v>6296.0480584235975</v>
      </c>
      <c r="AH32" s="100">
        <v>5.9272240104384224</v>
      </c>
      <c r="AI32" s="100">
        <v>4978.8681687682747</v>
      </c>
      <c r="AJ32" s="100">
        <v>5.5671732466322839</v>
      </c>
      <c r="AK32" s="100">
        <v>4676.4255271711181</v>
      </c>
      <c r="AL32" s="100">
        <v>2.0444207831723489</v>
      </c>
      <c r="AM32" s="100">
        <v>1717.313457864773</v>
      </c>
      <c r="AN32" s="100">
        <v>10.098840829617837</v>
      </c>
      <c r="AO32" s="100">
        <v>8483.026296878983</v>
      </c>
      <c r="AP32" s="100">
        <v>9</v>
      </c>
      <c r="AQ32" s="100">
        <v>7560</v>
      </c>
      <c r="AR32" s="100">
        <v>6.7246870748565835</v>
      </c>
      <c r="AS32" s="100">
        <v>5648.7371428795304</v>
      </c>
      <c r="AT32" s="100">
        <v>1.6324175188113068</v>
      </c>
      <c r="AU32" s="100">
        <v>1371.2307158014978</v>
      </c>
      <c r="AV32" s="100">
        <v>8.2214726346986922</v>
      </c>
      <c r="AW32" s="100">
        <v>6906.0370131469017</v>
      </c>
      <c r="AX32" s="100">
        <v>9.0739351882775559</v>
      </c>
      <c r="AY32" s="100">
        <v>7622.1055581531473</v>
      </c>
      <c r="AZ32" s="100">
        <v>7.8387629838541493</v>
      </c>
      <c r="BA32" s="100">
        <v>6584.5609064374858</v>
      </c>
      <c r="BB32" s="100">
        <v>1.562437864527634</v>
      </c>
      <c r="BC32" s="100">
        <v>1312.4478062032126</v>
      </c>
      <c r="BD32" s="100">
        <v>7.1307045588103435</v>
      </c>
      <c r="BE32" s="100">
        <v>5989.7918294006886</v>
      </c>
      <c r="BF32" s="100">
        <v>6.0556677767774012</v>
      </c>
      <c r="BG32" s="100">
        <v>5086.7609324930172</v>
      </c>
      <c r="BH32" s="100">
        <v>11.066796659775649</v>
      </c>
      <c r="BI32" s="100">
        <v>9296.1091942115454</v>
      </c>
      <c r="BJ32" s="100">
        <v>5.3244741785683569</v>
      </c>
      <c r="BK32" s="100">
        <v>4472.5583099974201</v>
      </c>
      <c r="BL32" s="100">
        <v>7.7003522974824792</v>
      </c>
      <c r="BM32" s="100">
        <v>6468.2959298852829</v>
      </c>
      <c r="BN32" s="100">
        <v>7.282116712048782</v>
      </c>
      <c r="BO32" s="100">
        <v>6116.9780381209766</v>
      </c>
      <c r="BP32" s="100">
        <v>7</v>
      </c>
      <c r="BQ32" s="100">
        <v>5880</v>
      </c>
      <c r="BR32" s="100">
        <v>7.3655120515707786</v>
      </c>
      <c r="BS32" s="100">
        <v>6187.0301233194541</v>
      </c>
      <c r="BT32" s="100">
        <v>6.0758291969465485</v>
      </c>
      <c r="BU32" s="100">
        <v>5103.6965254351007</v>
      </c>
      <c r="BV32" s="100">
        <v>5.7475055448213235</v>
      </c>
      <c r="BW32" s="100">
        <v>4827.9046576499113</v>
      </c>
      <c r="BX32" s="100">
        <v>3.0990559161896853</v>
      </c>
      <c r="BY32" s="100">
        <v>2603.2069695993355</v>
      </c>
      <c r="BZ32" s="100">
        <v>5.2931513354136257</v>
      </c>
      <c r="CA32" s="100">
        <v>4446.2471217474458</v>
      </c>
      <c r="CB32" s="100">
        <v>3.9612733872523416</v>
      </c>
      <c r="CC32" s="100">
        <v>3327.469645291967</v>
      </c>
      <c r="CD32" s="100">
        <v>5.4266942193905106</v>
      </c>
      <c r="CE32" s="100">
        <v>4558.4231442880291</v>
      </c>
      <c r="CF32" s="100">
        <v>9.0842576003283728</v>
      </c>
      <c r="CG32" s="100">
        <v>7630.7763842758332</v>
      </c>
      <c r="CH32" s="100">
        <v>6.5847555414340277</v>
      </c>
      <c r="CI32" s="100">
        <v>5531.1946548045835</v>
      </c>
      <c r="CJ32" s="100">
        <v>3.2859215275873006</v>
      </c>
      <c r="CK32" s="100">
        <v>2760.1740831733323</v>
      </c>
      <c r="CL32" s="100">
        <v>10.385525187946772</v>
      </c>
      <c r="CM32" s="100">
        <v>8723.8411578752894</v>
      </c>
      <c r="CN32" s="100">
        <v>8.494636299344732</v>
      </c>
      <c r="CO32" s="100">
        <v>7135.4944914495745</v>
      </c>
      <c r="CP32" s="100">
        <v>3.4205713539638727</v>
      </c>
      <c r="CQ32" s="100">
        <v>2873.279937329653</v>
      </c>
      <c r="CR32" s="100">
        <v>7.53942514001234</v>
      </c>
      <c r="CS32" s="100">
        <v>6333.1171176103653</v>
      </c>
      <c r="CT32" s="100">
        <v>6.0142612156711124</v>
      </c>
      <c r="CU32" s="100">
        <v>5051.9794211637345</v>
      </c>
    </row>
    <row r="33" spans="2:99">
      <c r="C33" s="99" t="s">
        <v>199</v>
      </c>
      <c r="D33" s="100">
        <v>5.6002631153362739</v>
      </c>
      <c r="E33" s="100">
        <v>2654.5247166693939</v>
      </c>
      <c r="F33" s="100">
        <v>3.4519387972388422</v>
      </c>
      <c r="G33" s="100">
        <v>1636.2189898912113</v>
      </c>
      <c r="H33" s="100">
        <v>9.0955039909837438</v>
      </c>
      <c r="I33" s="100">
        <v>4311.2688917262949</v>
      </c>
      <c r="J33" s="100">
        <v>4.0955089801158486</v>
      </c>
      <c r="K33" s="100">
        <v>1941.2712565749123</v>
      </c>
      <c r="L33" s="100">
        <v>3.8860522826519386</v>
      </c>
      <c r="M33" s="100">
        <v>1841.9887819770188</v>
      </c>
      <c r="N33" s="100">
        <v>4.9894448269336777</v>
      </c>
      <c r="O33" s="100">
        <v>2364.9968479665631</v>
      </c>
      <c r="P33" s="100">
        <v>11.797880728534098</v>
      </c>
      <c r="Q33" s="100">
        <v>5592.1954653251623</v>
      </c>
      <c r="R33" s="100">
        <v>6</v>
      </c>
      <c r="S33" s="100">
        <v>2844</v>
      </c>
      <c r="T33" s="100">
        <v>7.68778490976739</v>
      </c>
      <c r="U33" s="100">
        <v>3644.0100472297427</v>
      </c>
      <c r="V33" s="100">
        <v>6.8331244020518849</v>
      </c>
      <c r="W33" s="100">
        <v>3238.9009665725935</v>
      </c>
      <c r="X33" s="100">
        <v>3.0321188560582817</v>
      </c>
      <c r="Y33" s="100">
        <v>1437.2243377716254</v>
      </c>
      <c r="Z33" s="100">
        <v>12.553978395328036</v>
      </c>
      <c r="AA33" s="100">
        <v>5950.5857593854889</v>
      </c>
      <c r="AB33" s="100">
        <v>4.1537928211436403</v>
      </c>
      <c r="AC33" s="100">
        <v>1968.8977972220855</v>
      </c>
      <c r="AD33" s="100">
        <v>7.7478938264989292</v>
      </c>
      <c r="AE33" s="100">
        <v>3672.5016737604924</v>
      </c>
      <c r="AF33" s="100">
        <v>7.4952953076471402</v>
      </c>
      <c r="AG33" s="100">
        <v>3552.7699758247445</v>
      </c>
      <c r="AH33" s="100">
        <v>5.9272240104384224</v>
      </c>
      <c r="AI33" s="100">
        <v>2809.5041809478121</v>
      </c>
      <c r="AJ33" s="100">
        <v>5.5028441145013831</v>
      </c>
      <c r="AK33" s="100">
        <v>2608.3481102736555</v>
      </c>
      <c r="AL33" s="100">
        <v>2.1093810038926026</v>
      </c>
      <c r="AM33" s="100">
        <v>999.8465958450937</v>
      </c>
      <c r="AN33" s="100">
        <v>10.098840829617837</v>
      </c>
      <c r="AO33" s="100">
        <v>4786.8505532388544</v>
      </c>
      <c r="AP33" s="100">
        <v>9</v>
      </c>
      <c r="AQ33" s="100">
        <v>4266</v>
      </c>
      <c r="AR33" s="100">
        <v>7.5098643702692378</v>
      </c>
      <c r="AS33" s="100">
        <v>3559.6757115076189</v>
      </c>
      <c r="AT33" s="100">
        <v>1.6296814393582635</v>
      </c>
      <c r="AU33" s="100">
        <v>772.46900225581692</v>
      </c>
      <c r="AV33" s="100">
        <v>9.2214726346986922</v>
      </c>
      <c r="AW33" s="100">
        <v>4370.9780288471802</v>
      </c>
      <c r="AX33" s="100">
        <v>9.0739351882775559</v>
      </c>
      <c r="AY33" s="100">
        <v>4301.0452792435617</v>
      </c>
      <c r="AZ33" s="100">
        <v>7.8387629838541493</v>
      </c>
      <c r="BA33" s="100">
        <v>3715.5736543468665</v>
      </c>
      <c r="BB33" s="100">
        <v>2.0832504860368455</v>
      </c>
      <c r="BC33" s="100">
        <v>987.46073038146471</v>
      </c>
      <c r="BD33" s="100">
        <v>7.1307045588103435</v>
      </c>
      <c r="BE33" s="100">
        <v>3379.9539608761029</v>
      </c>
      <c r="BF33" s="100">
        <v>6.0556677767774012</v>
      </c>
      <c r="BG33" s="100">
        <v>2870.386526192488</v>
      </c>
      <c r="BH33" s="100">
        <v>11.894808535699788</v>
      </c>
      <c r="BI33" s="100">
        <v>5638.1392459216995</v>
      </c>
      <c r="BJ33" s="100">
        <v>6.4970233830864945</v>
      </c>
      <c r="BK33" s="100">
        <v>3079.5890835829982</v>
      </c>
      <c r="BL33" s="100">
        <v>8.3944791807369263</v>
      </c>
      <c r="BM33" s="100">
        <v>3978.983131669303</v>
      </c>
      <c r="BN33" s="100">
        <v>6.1655606473170748</v>
      </c>
      <c r="BO33" s="100">
        <v>2922.4757468282933</v>
      </c>
      <c r="BP33" s="100">
        <v>7</v>
      </c>
      <c r="BQ33" s="100">
        <v>3318</v>
      </c>
      <c r="BR33" s="100">
        <v>8.1020632567278561</v>
      </c>
      <c r="BS33" s="100">
        <v>3840.3779836890039</v>
      </c>
      <c r="BT33" s="100">
        <v>6.0758291969465485</v>
      </c>
      <c r="BU33" s="100">
        <v>2879.9430393526641</v>
      </c>
      <c r="BV33" s="100">
        <v>6.374164293599085</v>
      </c>
      <c r="BW33" s="100">
        <v>3021.3538751659662</v>
      </c>
      <c r="BX33" s="100">
        <v>2.8527947877285018</v>
      </c>
      <c r="BY33" s="100">
        <v>1352.2247293833098</v>
      </c>
      <c r="BZ33" s="100">
        <v>5.2891150312391471</v>
      </c>
      <c r="CA33" s="100">
        <v>2507.0405248073557</v>
      </c>
      <c r="CB33" s="100">
        <v>4.3047092171154278</v>
      </c>
      <c r="CC33" s="100">
        <v>2040.4321689127128</v>
      </c>
      <c r="CD33" s="100">
        <v>5.9453328988651464</v>
      </c>
      <c r="CE33" s="100">
        <v>2818.0877940620794</v>
      </c>
      <c r="CF33" s="100">
        <v>10.214478825311867</v>
      </c>
      <c r="CG33" s="100">
        <v>4841.6629631978249</v>
      </c>
      <c r="CH33" s="100">
        <v>7.1833696815643933</v>
      </c>
      <c r="CI33" s="100">
        <v>3404.9172290615224</v>
      </c>
      <c r="CJ33" s="100">
        <v>3.6847959967950827</v>
      </c>
      <c r="CK33" s="100">
        <v>1746.5933024808692</v>
      </c>
      <c r="CL33" s="100">
        <v>10.544560200476557</v>
      </c>
      <c r="CM33" s="100">
        <v>4998.1215350258881</v>
      </c>
      <c r="CN33" s="100">
        <v>7.5507878216397621</v>
      </c>
      <c r="CO33" s="100">
        <v>3579.0734274572474</v>
      </c>
      <c r="CP33" s="100">
        <v>4.0220536091977426</v>
      </c>
      <c r="CQ33" s="100">
        <v>1906.4534107597299</v>
      </c>
      <c r="CR33" s="100">
        <v>6.8868346992882961</v>
      </c>
      <c r="CS33" s="100">
        <v>3264.3596474626524</v>
      </c>
      <c r="CT33" s="100">
        <v>6.601661174180725</v>
      </c>
      <c r="CU33" s="100">
        <v>3129.1873965616637</v>
      </c>
    </row>
    <row r="34" spans="2:99">
      <c r="C34" s="99" t="s">
        <v>200</v>
      </c>
      <c r="D34" s="100">
        <v>5.4355216344819262</v>
      </c>
      <c r="E34" s="100">
        <v>2980.8400643498881</v>
      </c>
      <c r="F34" s="100">
        <v>3.919081529525422</v>
      </c>
      <c r="G34" s="100">
        <v>2149.2243107917411</v>
      </c>
      <c r="H34" s="100">
        <v>9.4447546561477012</v>
      </c>
      <c r="I34" s="100">
        <v>5179.5034534313991</v>
      </c>
      <c r="J34" s="100">
        <v>4.9146107761390176</v>
      </c>
      <c r="K34" s="100">
        <v>2695.1725496346371</v>
      </c>
      <c r="L34" s="100">
        <v>3.4542686956906117</v>
      </c>
      <c r="M34" s="100">
        <v>1894.3209527167314</v>
      </c>
      <c r="N34" s="100">
        <v>4.390722455693056</v>
      </c>
      <c r="O34" s="100">
        <v>2407.8721947020717</v>
      </c>
      <c r="P34" s="100">
        <v>11.797880728534098</v>
      </c>
      <c r="Q34" s="100">
        <v>6469.9577915280988</v>
      </c>
      <c r="R34" s="100">
        <v>6</v>
      </c>
      <c r="S34" s="100">
        <v>3290.3999999999996</v>
      </c>
      <c r="T34" s="100">
        <v>7.68778490976739</v>
      </c>
      <c r="U34" s="100">
        <v>4215.9812445164362</v>
      </c>
      <c r="V34" s="100">
        <v>6.8331244020518849</v>
      </c>
      <c r="W34" s="100">
        <v>3747.2854220852537</v>
      </c>
      <c r="X34" s="100">
        <v>3.411133713065567</v>
      </c>
      <c r="Y34" s="100">
        <v>1870.665728245157</v>
      </c>
      <c r="Z34" s="100">
        <v>12.726642661475596</v>
      </c>
      <c r="AA34" s="100">
        <v>6979.2908355532163</v>
      </c>
      <c r="AB34" s="100">
        <v>3.6345687185006859</v>
      </c>
      <c r="AC34" s="100">
        <v>1993.1974852257761</v>
      </c>
      <c r="AD34" s="100">
        <v>7.922683209148822</v>
      </c>
      <c r="AE34" s="100">
        <v>4344.7994718972141</v>
      </c>
      <c r="AF34" s="100">
        <v>8.4322072211030328</v>
      </c>
      <c r="AG34" s="100">
        <v>4624.222440052903</v>
      </c>
      <c r="AH34" s="100">
        <v>5.9272240104384224</v>
      </c>
      <c r="AI34" s="100">
        <v>3250.4896473244307</v>
      </c>
      <c r="AJ34" s="100">
        <v>5.5028441145013831</v>
      </c>
      <c r="AK34" s="100">
        <v>3017.7597123925584</v>
      </c>
      <c r="AL34" s="100">
        <v>2.0769008935324762</v>
      </c>
      <c r="AM34" s="100">
        <v>1138.9724500132099</v>
      </c>
      <c r="AN34" s="100">
        <v>10.098840829617837</v>
      </c>
      <c r="AO34" s="100">
        <v>5538.204310962421</v>
      </c>
      <c r="AP34" s="100">
        <v>7</v>
      </c>
      <c r="AQ34" s="100">
        <v>3838.7999999999997</v>
      </c>
      <c r="AR34" s="100">
        <v>6.6861419695039439</v>
      </c>
      <c r="AS34" s="100">
        <v>3666.6802560759625</v>
      </c>
      <c r="AT34" s="100">
        <v>1.4880684503617518</v>
      </c>
      <c r="AU34" s="100">
        <v>816.05673817838465</v>
      </c>
      <c r="AV34" s="100">
        <v>9.3325156014894812</v>
      </c>
      <c r="AW34" s="100">
        <v>5117.951555856831</v>
      </c>
      <c r="AX34" s="100">
        <v>9.8988383872118799</v>
      </c>
      <c r="AY34" s="100">
        <v>5428.522971546995</v>
      </c>
      <c r="AZ34" s="100">
        <v>8.5513778005681615</v>
      </c>
      <c r="BA34" s="100">
        <v>4689.5755858315797</v>
      </c>
      <c r="BB34" s="100">
        <v>1.8228441752822397</v>
      </c>
      <c r="BC34" s="100">
        <v>999.64774572478018</v>
      </c>
      <c r="BD34" s="100">
        <v>7.217856558848311</v>
      </c>
      <c r="BE34" s="100">
        <v>3958.2725368724136</v>
      </c>
      <c r="BF34" s="100">
        <v>6.5914574501969465</v>
      </c>
      <c r="BG34" s="100">
        <v>3614.7552656880052</v>
      </c>
      <c r="BH34" s="100">
        <v>10.92689194373207</v>
      </c>
      <c r="BI34" s="100">
        <v>5992.3075419426668</v>
      </c>
      <c r="BJ34" s="100">
        <v>5.95953934701941</v>
      </c>
      <c r="BK34" s="100">
        <v>3268.2113779054444</v>
      </c>
      <c r="BL34" s="100">
        <v>8.39872834330329</v>
      </c>
      <c r="BM34" s="100">
        <v>4605.8626234675239</v>
      </c>
      <c r="BN34" s="100">
        <v>6.282116712048782</v>
      </c>
      <c r="BO34" s="100">
        <v>3445.1128048875521</v>
      </c>
      <c r="BP34" s="100">
        <v>7</v>
      </c>
      <c r="BQ34" s="100">
        <v>3838.7999999999997</v>
      </c>
      <c r="BR34" s="100">
        <v>7.3655120515707786</v>
      </c>
      <c r="BS34" s="100">
        <v>4039.246809081415</v>
      </c>
      <c r="BT34" s="100">
        <v>5.4007370639524872</v>
      </c>
      <c r="BU34" s="100">
        <v>2961.7642058715437</v>
      </c>
      <c r="BV34" s="100">
        <v>6.4787723489756512</v>
      </c>
      <c r="BW34" s="100">
        <v>3552.9587561782469</v>
      </c>
      <c r="BX34" s="100">
        <v>2.8527947877285018</v>
      </c>
      <c r="BY34" s="100">
        <v>1564.4726615903103</v>
      </c>
      <c r="BZ34" s="100">
        <v>5.2931513354136257</v>
      </c>
      <c r="CA34" s="100">
        <v>2902.7641923408323</v>
      </c>
      <c r="CB34" s="100">
        <v>4.3213891497298276</v>
      </c>
      <c r="CC34" s="100">
        <v>2369.8498097118372</v>
      </c>
      <c r="CD34" s="100">
        <v>5.6042771334244774</v>
      </c>
      <c r="CE34" s="100">
        <v>3073.3855799699832</v>
      </c>
      <c r="CF34" s="100">
        <v>9.2517874611060762</v>
      </c>
      <c r="CG34" s="100">
        <v>5073.6802436705721</v>
      </c>
      <c r="CH34" s="100">
        <v>7.1833696815643933</v>
      </c>
      <c r="CI34" s="100">
        <v>3939.3599333699131</v>
      </c>
      <c r="CJ34" s="100">
        <v>4.0267150016478341</v>
      </c>
      <c r="CK34" s="100">
        <v>2208.250506903672</v>
      </c>
      <c r="CL34" s="100">
        <v>9.3855251879467723</v>
      </c>
      <c r="CM34" s="100">
        <v>5147.02201307001</v>
      </c>
      <c r="CN34" s="100">
        <v>7.5507878216397621</v>
      </c>
      <c r="CO34" s="100">
        <v>4140.8520413872457</v>
      </c>
      <c r="CP34" s="100">
        <v>3.4638483213368585</v>
      </c>
      <c r="CQ34" s="100">
        <v>1899.5744194211331</v>
      </c>
      <c r="CR34" s="100">
        <v>6.8909139802032966</v>
      </c>
      <c r="CS34" s="100">
        <v>3778.9772267434878</v>
      </c>
      <c r="CT34" s="100">
        <v>6.0108960451634195</v>
      </c>
      <c r="CU34" s="100">
        <v>3296.375391167619</v>
      </c>
    </row>
    <row r="35" spans="2:99">
      <c r="C35" s="99" t="s">
        <v>201</v>
      </c>
      <c r="D35" s="100">
        <v>5.5198611616282314</v>
      </c>
      <c r="E35" s="100">
        <v>2775.3861920666741</v>
      </c>
      <c r="F35" s="100">
        <v>3.4494723044491695</v>
      </c>
      <c r="G35" s="100">
        <v>1734.3946746770421</v>
      </c>
      <c r="H35" s="100">
        <v>9.0955039909837438</v>
      </c>
      <c r="I35" s="100">
        <v>4573.2194066666252</v>
      </c>
      <c r="J35" s="100">
        <v>4.0955089801158486</v>
      </c>
      <c r="K35" s="100">
        <v>2059.2219152022481</v>
      </c>
      <c r="L35" s="100">
        <v>3.4542686956906117</v>
      </c>
      <c r="M35" s="100">
        <v>1736.8063001932392</v>
      </c>
      <c r="N35" s="100">
        <v>4.4827542520850425</v>
      </c>
      <c r="O35" s="100">
        <v>2253.9288379483587</v>
      </c>
      <c r="P35" s="100">
        <v>11.797880728534098</v>
      </c>
      <c r="Q35" s="100">
        <v>5931.9744303069438</v>
      </c>
      <c r="R35" s="100">
        <v>7</v>
      </c>
      <c r="S35" s="100">
        <v>3519.5999999999995</v>
      </c>
      <c r="T35" s="100">
        <v>7.68778490976739</v>
      </c>
      <c r="U35" s="100">
        <v>3865.4182526310428</v>
      </c>
      <c r="V35" s="100">
        <v>7.6872649523083707</v>
      </c>
      <c r="W35" s="100">
        <v>3865.1568180206482</v>
      </c>
      <c r="X35" s="100">
        <v>3.0321188560582817</v>
      </c>
      <c r="Y35" s="100">
        <v>1524.5493608261038</v>
      </c>
      <c r="Z35" s="100">
        <v>12.381314129180476</v>
      </c>
      <c r="AA35" s="100">
        <v>6225.3247441519416</v>
      </c>
      <c r="AB35" s="100">
        <v>3.6345687185006859</v>
      </c>
      <c r="AC35" s="100">
        <v>1827.4611516621444</v>
      </c>
      <c r="AD35" s="100">
        <v>7.5731044438490356</v>
      </c>
      <c r="AE35" s="100">
        <v>3807.7569143672945</v>
      </c>
      <c r="AF35" s="100">
        <v>8.4322072211030328</v>
      </c>
      <c r="AG35" s="100">
        <v>4239.7137907706037</v>
      </c>
      <c r="AH35" s="100">
        <v>5.9272240104384224</v>
      </c>
      <c r="AI35" s="100">
        <v>2980.2082324484381</v>
      </c>
      <c r="AJ35" s="100">
        <v>5.5671732466322839</v>
      </c>
      <c r="AK35" s="100">
        <v>2799.1747084067119</v>
      </c>
      <c r="AL35" s="100">
        <v>2.247193201733686</v>
      </c>
      <c r="AM35" s="100">
        <v>1129.8887418316972</v>
      </c>
      <c r="AN35" s="100">
        <v>9.0988408296178367</v>
      </c>
      <c r="AO35" s="100">
        <v>4574.8971691318475</v>
      </c>
      <c r="AP35" s="100">
        <v>7</v>
      </c>
      <c r="AQ35" s="100">
        <v>3519.5999999999995</v>
      </c>
      <c r="AR35" s="100">
        <v>6.7246870748565835</v>
      </c>
      <c r="AS35" s="100">
        <v>3381.1726612378893</v>
      </c>
      <c r="AT35" s="100">
        <v>1.6296814393582635</v>
      </c>
      <c r="AU35" s="100">
        <v>819.40382770933468</v>
      </c>
      <c r="AV35" s="100">
        <v>9.2214726346986922</v>
      </c>
      <c r="AW35" s="100">
        <v>4636.556440726501</v>
      </c>
      <c r="AX35" s="100">
        <v>9.8988383872118799</v>
      </c>
      <c r="AY35" s="100">
        <v>4977.1359410901323</v>
      </c>
      <c r="AZ35" s="100">
        <v>7.8387629838541493</v>
      </c>
      <c r="BA35" s="100">
        <v>3941.3300282818655</v>
      </c>
      <c r="BB35" s="100">
        <v>1.562437864527634</v>
      </c>
      <c r="BC35" s="100">
        <v>785.59375828449424</v>
      </c>
      <c r="BD35" s="100">
        <v>6.4171627794011119</v>
      </c>
      <c r="BE35" s="100">
        <v>3226.5494454828786</v>
      </c>
      <c r="BF35" s="100">
        <v>6.5846087046845545</v>
      </c>
      <c r="BG35" s="100">
        <v>3310.7412567153933</v>
      </c>
      <c r="BH35" s="100">
        <v>11.614999103612629</v>
      </c>
      <c r="BI35" s="100">
        <v>5840.0215492964289</v>
      </c>
      <c r="BJ35" s="100">
        <v>5.3244741785683569</v>
      </c>
      <c r="BK35" s="100">
        <v>2677.1456169841695</v>
      </c>
      <c r="BL35" s="100">
        <v>8.5232284815473633</v>
      </c>
      <c r="BM35" s="100">
        <v>4285.4792805220131</v>
      </c>
      <c r="BN35" s="100">
        <v>7.1655606473170748</v>
      </c>
      <c r="BO35" s="100">
        <v>3602.8438934710243</v>
      </c>
      <c r="BP35" s="100">
        <v>7</v>
      </c>
      <c r="BQ35" s="100">
        <v>3519.5999999999995</v>
      </c>
      <c r="BR35" s="100">
        <v>8.1020632567278561</v>
      </c>
      <c r="BS35" s="100">
        <v>4073.7174054827651</v>
      </c>
      <c r="BT35" s="100">
        <v>5.4007370639524872</v>
      </c>
      <c r="BU35" s="100">
        <v>2715.4905957553101</v>
      </c>
      <c r="BV35" s="100">
        <v>6.4787723489756512</v>
      </c>
      <c r="BW35" s="100">
        <v>3257.5267370649567</v>
      </c>
      <c r="BX35" s="100">
        <v>2.8745653037626302</v>
      </c>
      <c r="BY35" s="100">
        <v>1445.3314347318501</v>
      </c>
      <c r="BZ35" s="100">
        <v>5.2931513354136257</v>
      </c>
      <c r="CA35" s="100">
        <v>2661.3964914459702</v>
      </c>
      <c r="CB35" s="100">
        <v>4.3047092171154278</v>
      </c>
      <c r="CC35" s="100">
        <v>2164.4077943656366</v>
      </c>
      <c r="CD35" s="100">
        <v>6.1114143511139005</v>
      </c>
      <c r="CE35" s="100">
        <v>3072.8191357400688</v>
      </c>
      <c r="CF35" s="100">
        <v>9.0842576003283728</v>
      </c>
      <c r="CG35" s="100">
        <v>4567.5647214451046</v>
      </c>
      <c r="CH35" s="100">
        <v>7.1833696815643933</v>
      </c>
      <c r="CI35" s="100">
        <v>3611.7982758905764</v>
      </c>
      <c r="CJ35" s="100">
        <v>3.6468256872250628</v>
      </c>
      <c r="CK35" s="100">
        <v>1833.6239555367613</v>
      </c>
      <c r="CL35" s="100">
        <v>10.385525187946772</v>
      </c>
      <c r="CM35" s="100">
        <v>5221.8420644996359</v>
      </c>
      <c r="CN35" s="100">
        <v>7.5507878216397621</v>
      </c>
      <c r="CO35" s="100">
        <v>3796.5361167204715</v>
      </c>
      <c r="CP35" s="100">
        <v>4.3763344508330011</v>
      </c>
      <c r="CQ35" s="100">
        <v>2200.4209618788327</v>
      </c>
      <c r="CR35" s="100">
        <v>6.8868346992882961</v>
      </c>
      <c r="CS35" s="100">
        <v>3462.7004868021545</v>
      </c>
      <c r="CT35" s="100">
        <v>5.7625829328036149</v>
      </c>
      <c r="CU35" s="100">
        <v>2897.4266986136568</v>
      </c>
    </row>
    <row r="36" spans="2:99">
      <c r="C36" s="99" t="s">
        <v>202</v>
      </c>
      <c r="D36" s="100">
        <v>5.4315840610436634</v>
      </c>
      <c r="E36" s="100">
        <v>4132.3491536420188</v>
      </c>
      <c r="F36" s="100">
        <v>3.3683520878288524</v>
      </c>
      <c r="G36" s="100">
        <v>2562.6422684201907</v>
      </c>
      <c r="H36" s="100">
        <v>9.0955039909837438</v>
      </c>
      <c r="I36" s="100">
        <v>6919.8594363404318</v>
      </c>
      <c r="J36" s="100">
        <v>4.0955089801158486</v>
      </c>
      <c r="K36" s="100">
        <v>3115.8632320721376</v>
      </c>
      <c r="L36" s="100">
        <v>3.4542686956906117</v>
      </c>
      <c r="M36" s="100">
        <v>2628.007623681417</v>
      </c>
      <c r="N36" s="100">
        <v>4.9894448269336777</v>
      </c>
      <c r="O36" s="100">
        <v>3795.9696243311419</v>
      </c>
      <c r="P36" s="100">
        <v>10.470993323346081</v>
      </c>
      <c r="Q36" s="100">
        <v>7966.3317204016976</v>
      </c>
      <c r="R36" s="100">
        <v>6</v>
      </c>
      <c r="S36" s="100">
        <v>4564.7999999999993</v>
      </c>
      <c r="T36" s="100">
        <v>6.8335865864599024</v>
      </c>
      <c r="U36" s="100">
        <v>5198.9926749786937</v>
      </c>
      <c r="V36" s="100">
        <v>6.8331244020518849</v>
      </c>
      <c r="W36" s="100">
        <v>5198.6410450810736</v>
      </c>
      <c r="X36" s="100">
        <v>2.6531039990509968</v>
      </c>
      <c r="Y36" s="100">
        <v>2018.4815224779982</v>
      </c>
      <c r="Z36" s="100">
        <v>11.553978395328036</v>
      </c>
      <c r="AA36" s="100">
        <v>8790.2667631655695</v>
      </c>
      <c r="AB36" s="100">
        <v>3.6345687185006859</v>
      </c>
      <c r="AC36" s="100">
        <v>2765.1798810353216</v>
      </c>
      <c r="AD36" s="100">
        <v>8.5731044438490365</v>
      </c>
      <c r="AE36" s="100">
        <v>6522.4178608803468</v>
      </c>
      <c r="AF36" s="100">
        <v>6.5583833941912477</v>
      </c>
      <c r="AG36" s="100">
        <v>4989.6180863007012</v>
      </c>
      <c r="AH36" s="100">
        <v>5.9272240104384224</v>
      </c>
      <c r="AI36" s="100">
        <v>4509.4320271415518</v>
      </c>
      <c r="AJ36" s="100">
        <v>4.7465262590784061</v>
      </c>
      <c r="AK36" s="100">
        <v>3611.1571779068513</v>
      </c>
      <c r="AL36" s="100">
        <v>2.0444207831723489</v>
      </c>
      <c r="AM36" s="100">
        <v>1555.3953318375229</v>
      </c>
      <c r="AN36" s="100">
        <v>9.0988408296178367</v>
      </c>
      <c r="AO36" s="100">
        <v>6922.3981031732501</v>
      </c>
      <c r="AP36" s="100">
        <v>7</v>
      </c>
      <c r="AQ36" s="100">
        <v>5325.5999999999995</v>
      </c>
      <c r="AR36" s="100">
        <v>6.6668694168276241</v>
      </c>
      <c r="AS36" s="100">
        <v>5072.1542523224562</v>
      </c>
      <c r="AT36" s="100">
        <v>1.3927910767449503</v>
      </c>
      <c r="AU36" s="100">
        <v>1059.6354511875581</v>
      </c>
      <c r="AV36" s="100">
        <v>8.3325156014894812</v>
      </c>
      <c r="AW36" s="100">
        <v>6339.3778696131967</v>
      </c>
      <c r="AX36" s="100">
        <v>9.0739351882775559</v>
      </c>
      <c r="AY36" s="100">
        <v>6903.4498912415638</v>
      </c>
      <c r="AZ36" s="100">
        <v>7.8387629838541493</v>
      </c>
      <c r="BA36" s="100">
        <v>5963.7308781162365</v>
      </c>
      <c r="BB36" s="100">
        <v>1.8228441752822397</v>
      </c>
      <c r="BC36" s="100">
        <v>1386.819848554728</v>
      </c>
      <c r="BD36" s="100">
        <v>6.4171627794011119</v>
      </c>
      <c r="BE36" s="100">
        <v>4882.1774425683652</v>
      </c>
      <c r="BF36" s="100">
        <v>7.1990699515319365</v>
      </c>
      <c r="BG36" s="100">
        <v>5477.0524191254972</v>
      </c>
      <c r="BH36" s="100">
        <v>11.614999103612629</v>
      </c>
      <c r="BI36" s="100">
        <v>8836.6913180284882</v>
      </c>
      <c r="BJ36" s="100">
        <v>5.9107487808274257</v>
      </c>
      <c r="BK36" s="100">
        <v>4496.897672453505</v>
      </c>
      <c r="BL36" s="100">
        <v>8.5274776441137234</v>
      </c>
      <c r="BM36" s="100">
        <v>6487.70499164172</v>
      </c>
      <c r="BN36" s="100">
        <v>7.1655606473170748</v>
      </c>
      <c r="BO36" s="100">
        <v>5451.5585404788299</v>
      </c>
      <c r="BP36" s="100">
        <v>7</v>
      </c>
      <c r="BQ36" s="100">
        <v>5325.5999999999995</v>
      </c>
      <c r="BR36" s="100">
        <v>7.3655120515707786</v>
      </c>
      <c r="BS36" s="100">
        <v>5603.681568835048</v>
      </c>
      <c r="BT36" s="100">
        <v>6.0758291969465485</v>
      </c>
      <c r="BU36" s="100">
        <v>4622.4908530369339</v>
      </c>
      <c r="BV36" s="100">
        <v>5.6428974894447572</v>
      </c>
      <c r="BW36" s="100">
        <v>4293.1164099695707</v>
      </c>
      <c r="BX36" s="100">
        <v>2.8745653037626302</v>
      </c>
      <c r="BY36" s="100">
        <v>2186.9692831026091</v>
      </c>
      <c r="BZ36" s="100">
        <v>5.2931513354136257</v>
      </c>
      <c r="CA36" s="100">
        <v>4027.0295359826864</v>
      </c>
      <c r="CB36" s="100">
        <v>3.6511974226180564</v>
      </c>
      <c r="CC36" s="100">
        <v>2777.830999127817</v>
      </c>
      <c r="CD36" s="100">
        <v>6.4601377577447137</v>
      </c>
      <c r="CE36" s="100">
        <v>4914.8728060921776</v>
      </c>
      <c r="CF36" s="100">
        <v>9.419317321883776</v>
      </c>
      <c r="CG36" s="100">
        <v>7166.2166184891767</v>
      </c>
      <c r="CH36" s="100">
        <v>7.1833696815643933</v>
      </c>
      <c r="CI36" s="100">
        <v>5465.1076537341896</v>
      </c>
      <c r="CJ36" s="100">
        <v>3.6658108420100723</v>
      </c>
      <c r="CK36" s="100">
        <v>2788.9488886012628</v>
      </c>
      <c r="CL36" s="100">
        <v>9.5445602004765568</v>
      </c>
      <c r="CM36" s="100">
        <v>7261.5014005225639</v>
      </c>
      <c r="CN36" s="100">
        <v>7.5507878216397621</v>
      </c>
      <c r="CO36" s="100">
        <v>5744.6393747035308</v>
      </c>
      <c r="CP36" s="100">
        <v>3.6692385863625248</v>
      </c>
      <c r="CQ36" s="100">
        <v>2791.5567165046086</v>
      </c>
      <c r="CR36" s="100">
        <v>7.53942514001234</v>
      </c>
      <c r="CS36" s="100">
        <v>5735.9946465213879</v>
      </c>
      <c r="CT36" s="100">
        <v>5.8833743184758251</v>
      </c>
      <c r="CU36" s="100">
        <v>4476.0711814964079</v>
      </c>
    </row>
    <row r="37" spans="2:99">
      <c r="B37" s="99" t="s">
        <v>128</v>
      </c>
      <c r="C37" s="99" t="s">
        <v>203</v>
      </c>
      <c r="D37" s="100">
        <v>8.4191063819457987</v>
      </c>
      <c r="E37" s="100">
        <v>7243.799131026165</v>
      </c>
      <c r="F37" s="100">
        <v>10.347281779928368</v>
      </c>
      <c r="G37" s="100">
        <v>8902.8012434503671</v>
      </c>
      <c r="H37" s="100">
        <v>20.571627993237808</v>
      </c>
      <c r="I37" s="100">
        <v>17699.828725381809</v>
      </c>
      <c r="J37" s="100">
        <v>14.743832328417053</v>
      </c>
      <c r="K37" s="100">
        <v>12685.593335370031</v>
      </c>
      <c r="L37" s="100">
        <v>7.8993923935872035</v>
      </c>
      <c r="M37" s="100">
        <v>6796.6372154424298</v>
      </c>
      <c r="N37" s="100">
        <v>10.424202561202492</v>
      </c>
      <c r="O37" s="100">
        <v>8968.9838836586241</v>
      </c>
      <c r="P37" s="100">
        <v>14.980662215564054</v>
      </c>
      <c r="Q37" s="100">
        <v>12889.361770271313</v>
      </c>
      <c r="R37" s="100">
        <v>18</v>
      </c>
      <c r="S37" s="100">
        <v>15487.199999999999</v>
      </c>
      <c r="T37" s="100">
        <v>12.812974849612317</v>
      </c>
      <c r="U37" s="100">
        <v>11024.283560606438</v>
      </c>
      <c r="V37" s="100">
        <v>14.520389354360256</v>
      </c>
      <c r="W37" s="100">
        <v>12493.343000491564</v>
      </c>
      <c r="X37" s="100">
        <v>7.5971730925556251</v>
      </c>
      <c r="Y37" s="100">
        <v>6536.6077288348597</v>
      </c>
      <c r="Z37" s="100">
        <v>13.381314129180476</v>
      </c>
      <c r="AA37" s="100">
        <v>11513.282676746881</v>
      </c>
      <c r="AB37" s="100">
        <v>5.711465129072506</v>
      </c>
      <c r="AC37" s="100">
        <v>4914.1445970539844</v>
      </c>
      <c r="AD37" s="100">
        <v>17.873946913249465</v>
      </c>
      <c r="AE37" s="100">
        <v>15378.74392415984</v>
      </c>
      <c r="AF37" s="100">
        <v>12.179854874926603</v>
      </c>
      <c r="AG37" s="100">
        <v>10479.547134386848</v>
      </c>
      <c r="AH37" s="100">
        <v>13.336254023486449</v>
      </c>
      <c r="AI37" s="100">
        <v>11474.512961807741</v>
      </c>
      <c r="AJ37" s="100">
        <v>13.516326593647456</v>
      </c>
      <c r="AK37" s="100">
        <v>11629.447401174271</v>
      </c>
      <c r="AL37" s="100">
        <v>3.0986547427397375</v>
      </c>
      <c r="AM37" s="100">
        <v>2666.0825406532699</v>
      </c>
      <c r="AN37" s="100">
        <v>15.732560553078558</v>
      </c>
      <c r="AO37" s="100">
        <v>13536.295099868792</v>
      </c>
      <c r="AP37" s="100">
        <v>12</v>
      </c>
      <c r="AQ37" s="100">
        <v>10324.799999999999</v>
      </c>
      <c r="AR37" s="100">
        <v>15.419454982424732</v>
      </c>
      <c r="AS37" s="100">
        <v>13266.899066878239</v>
      </c>
      <c r="AT37" s="100">
        <v>3.5848514295440803</v>
      </c>
      <c r="AU37" s="100">
        <v>3084.4061699797267</v>
      </c>
      <c r="AV37" s="100">
        <v>15.888343734326321</v>
      </c>
      <c r="AW37" s="100">
        <v>13670.330949014367</v>
      </c>
      <c r="AX37" s="100">
        <v>9.8988383872118799</v>
      </c>
      <c r="AY37" s="100">
        <v>8516.9605483571013</v>
      </c>
      <c r="AZ37" s="100">
        <v>7.8387629838541493</v>
      </c>
      <c r="BA37" s="100">
        <v>6744.4716713081098</v>
      </c>
      <c r="BB37" s="100">
        <v>3.124875729055268</v>
      </c>
      <c r="BC37" s="100">
        <v>2688.6430772791523</v>
      </c>
      <c r="BD37" s="100">
        <v>9.798955132547821</v>
      </c>
      <c r="BE37" s="100">
        <v>8431.0209960441443</v>
      </c>
      <c r="BF37" s="100">
        <v>8.1873718498607317</v>
      </c>
      <c r="BG37" s="100">
        <v>7044.4147396201733</v>
      </c>
      <c r="BH37" s="100">
        <v>13.679320583254302</v>
      </c>
      <c r="BI37" s="100">
        <v>11769.687429832002</v>
      </c>
      <c r="BJ37" s="100">
        <v>9.7338079919392086</v>
      </c>
      <c r="BK37" s="100">
        <v>8374.968396264494</v>
      </c>
      <c r="BL37" s="100">
        <v>12.056990764720961</v>
      </c>
      <c r="BM37" s="100">
        <v>10373.834853965915</v>
      </c>
      <c r="BN37" s="100">
        <v>12.815892453121952</v>
      </c>
      <c r="BO37" s="100">
        <v>11026.793866666127</v>
      </c>
      <c r="BP37" s="100">
        <v>12</v>
      </c>
      <c r="BQ37" s="100">
        <v>10324.799999999999</v>
      </c>
      <c r="BR37" s="100">
        <v>13.99447289798448</v>
      </c>
      <c r="BS37" s="100">
        <v>12040.844481425846</v>
      </c>
      <c r="BT37" s="100">
        <v>12.151658393893097</v>
      </c>
      <c r="BU37" s="100">
        <v>10455.28688210562</v>
      </c>
      <c r="BV37" s="100">
        <v>15.252984415345948</v>
      </c>
      <c r="BW37" s="100">
        <v>13123.667790963653</v>
      </c>
      <c r="BX37" s="100">
        <v>6.8380850028605193</v>
      </c>
      <c r="BY37" s="100">
        <v>5883.4883364611906</v>
      </c>
      <c r="BZ37" s="100">
        <v>7.6063879822758791</v>
      </c>
      <c r="CA37" s="100">
        <v>6544.536219950166</v>
      </c>
      <c r="CB37" s="100">
        <v>6.9854761255625135</v>
      </c>
      <c r="CC37" s="100">
        <v>6010.3036584339861</v>
      </c>
      <c r="CD37" s="100">
        <v>8.9312605324982908</v>
      </c>
      <c r="CE37" s="100">
        <v>7684.4565621615293</v>
      </c>
      <c r="CF37" s="100">
        <v>18.333623720370433</v>
      </c>
      <c r="CG37" s="100">
        <v>15774.249849006719</v>
      </c>
      <c r="CH37" s="100">
        <v>7.7819838216947597</v>
      </c>
      <c r="CI37" s="100">
        <v>6695.6188801861708</v>
      </c>
      <c r="CJ37" s="100">
        <v>7.4291254368687367</v>
      </c>
      <c r="CK37" s="100">
        <v>6392.0195258818612</v>
      </c>
      <c r="CL37" s="100">
        <v>22.272280100238277</v>
      </c>
      <c r="CM37" s="100">
        <v>19163.069798245011</v>
      </c>
      <c r="CN37" s="100">
        <v>12.270030210164613</v>
      </c>
      <c r="CO37" s="100">
        <v>10557.133992825633</v>
      </c>
      <c r="CP37" s="100">
        <v>5.2496651581212666</v>
      </c>
      <c r="CQ37" s="100">
        <v>4516.8119020475378</v>
      </c>
      <c r="CR37" s="100">
        <v>10.664608363237621</v>
      </c>
      <c r="CS37" s="100">
        <v>9175.8290357296482</v>
      </c>
      <c r="CT37" s="100">
        <v>13.153296686202417</v>
      </c>
      <c r="CU37" s="100">
        <v>11317.096468808559</v>
      </c>
    </row>
    <row r="38" spans="2:99">
      <c r="C38" s="99" t="s">
        <v>204</v>
      </c>
      <c r="D38" s="100">
        <v>8.4191063819457987</v>
      </c>
      <c r="E38" s="100">
        <v>10456.530126376681</v>
      </c>
      <c r="F38" s="100">
        <v>8.9433870902789554</v>
      </c>
      <c r="G38" s="100">
        <v>11107.686766126462</v>
      </c>
      <c r="H38" s="100">
        <v>19.397002660655829</v>
      </c>
      <c r="I38" s="100">
        <v>24091.077304534541</v>
      </c>
      <c r="J38" s="100">
        <v>15.562934124440224</v>
      </c>
      <c r="K38" s="100">
        <v>19329.164182554759</v>
      </c>
      <c r="L38" s="100">
        <v>7.0199142411291335</v>
      </c>
      <c r="M38" s="100">
        <v>8718.7334874823846</v>
      </c>
      <c r="N38" s="100">
        <v>10.420301995146311</v>
      </c>
      <c r="O38" s="100">
        <v>12942.015077971717</v>
      </c>
      <c r="P38" s="100">
        <v>15.980662215564054</v>
      </c>
      <c r="Q38" s="100">
        <v>19847.982471730556</v>
      </c>
      <c r="R38" s="100">
        <v>18</v>
      </c>
      <c r="S38" s="100">
        <v>22356</v>
      </c>
      <c r="T38" s="100">
        <v>11.958776526304829</v>
      </c>
      <c r="U38" s="100">
        <v>14852.800445670598</v>
      </c>
      <c r="V38" s="100">
        <v>15.374529904616741</v>
      </c>
      <c r="W38" s="100">
        <v>19095.166141533991</v>
      </c>
      <c r="X38" s="100">
        <v>7.2181582355483398</v>
      </c>
      <c r="Y38" s="100">
        <v>8964.9525285510372</v>
      </c>
      <c r="Z38" s="100">
        <v>13.208649863032917</v>
      </c>
      <c r="AA38" s="100">
        <v>16405.143129886885</v>
      </c>
      <c r="AB38" s="100">
        <v>4.6730169237865953</v>
      </c>
      <c r="AC38" s="100">
        <v>5803.8870193429511</v>
      </c>
      <c r="AD38" s="100">
        <v>16.873946913249465</v>
      </c>
      <c r="AE38" s="100">
        <v>20957.442066255837</v>
      </c>
      <c r="AF38" s="100">
        <v>11.24294296147071</v>
      </c>
      <c r="AG38" s="100">
        <v>13963.735158146623</v>
      </c>
      <c r="AH38" s="100">
        <v>14.077157024791251</v>
      </c>
      <c r="AI38" s="100">
        <v>17483.829024790735</v>
      </c>
      <c r="AJ38" s="100">
        <v>12.760008738224482</v>
      </c>
      <c r="AK38" s="100">
        <v>15847.930852874806</v>
      </c>
      <c r="AL38" s="100">
        <v>3.0986547427397375</v>
      </c>
      <c r="AM38" s="100">
        <v>3848.5291904827541</v>
      </c>
      <c r="AN38" s="100">
        <v>16.732560553078557</v>
      </c>
      <c r="AO38" s="100">
        <v>20781.840206923567</v>
      </c>
      <c r="AP38" s="100">
        <v>11</v>
      </c>
      <c r="AQ38" s="100">
        <v>13662</v>
      </c>
      <c r="AR38" s="100">
        <v>15.419454982424732</v>
      </c>
      <c r="AS38" s="100">
        <v>19150.963088171517</v>
      </c>
      <c r="AT38" s="100">
        <v>3.162557410576182</v>
      </c>
      <c r="AU38" s="100">
        <v>3927.8963039356181</v>
      </c>
      <c r="AV38" s="100">
        <v>13.888343734326321</v>
      </c>
      <c r="AW38" s="100">
        <v>17249.322918033293</v>
      </c>
      <c r="AX38" s="100">
        <v>9.8988383872118799</v>
      </c>
      <c r="AY38" s="100">
        <v>12294.357276917155</v>
      </c>
      <c r="AZ38" s="100">
        <v>7.8387629838541493</v>
      </c>
      <c r="BA38" s="100">
        <v>9735.7436259468541</v>
      </c>
      <c r="BB38" s="100">
        <v>3.124875729055268</v>
      </c>
      <c r="BC38" s="100">
        <v>3881.095655486643</v>
      </c>
      <c r="BD38" s="100">
        <v>9.0854133531385912</v>
      </c>
      <c r="BE38" s="100">
        <v>11284.083384598131</v>
      </c>
      <c r="BF38" s="100">
        <v>7.6584309219535776</v>
      </c>
      <c r="BG38" s="100">
        <v>9511.7712050663431</v>
      </c>
      <c r="BH38" s="100">
        <v>12.851308707330166</v>
      </c>
      <c r="BI38" s="100">
        <v>15961.325414504066</v>
      </c>
      <c r="BJ38" s="100">
        <v>8.6100493536130553</v>
      </c>
      <c r="BK38" s="100">
        <v>10693.681297187415</v>
      </c>
      <c r="BL38" s="100">
        <v>10.647491185380256</v>
      </c>
      <c r="BM38" s="100">
        <v>13224.184052242277</v>
      </c>
      <c r="BN38" s="100">
        <v>10.815892453121952</v>
      </c>
      <c r="BO38" s="100">
        <v>13433.338426777465</v>
      </c>
      <c r="BP38" s="100">
        <v>12</v>
      </c>
      <c r="BQ38" s="100">
        <v>14904</v>
      </c>
      <c r="BR38" s="100">
        <v>13.99447289798448</v>
      </c>
      <c r="BS38" s="100">
        <v>17381.135339296725</v>
      </c>
      <c r="BT38" s="100">
        <v>12.826750526887158</v>
      </c>
      <c r="BU38" s="100">
        <v>15930.824154393851</v>
      </c>
      <c r="BV38" s="100">
        <v>13.790450807037292</v>
      </c>
      <c r="BW38" s="100">
        <v>17127.739902340316</v>
      </c>
      <c r="BX38" s="100">
        <v>6.7199963440392008</v>
      </c>
      <c r="BY38" s="100">
        <v>8346.2354592966876</v>
      </c>
      <c r="BZ38" s="100">
        <v>7.1004837287492775</v>
      </c>
      <c r="CA38" s="100">
        <v>8818.8007911066034</v>
      </c>
      <c r="CB38" s="100">
        <v>6.3152843984507419</v>
      </c>
      <c r="CC38" s="100">
        <v>7843.5832228758218</v>
      </c>
      <c r="CD38" s="100">
        <v>9.4498992119729266</v>
      </c>
      <c r="CE38" s="100">
        <v>11736.774821270375</v>
      </c>
      <c r="CF38" s="100">
        <v>17.538462216942349</v>
      </c>
      <c r="CG38" s="100">
        <v>21782.7700734424</v>
      </c>
      <c r="CH38" s="100">
        <v>8.3805979618251243</v>
      </c>
      <c r="CI38" s="100">
        <v>10408.702668586804</v>
      </c>
      <c r="CJ38" s="100">
        <v>7.4077485218827572</v>
      </c>
      <c r="CK38" s="100">
        <v>9200.4236641783846</v>
      </c>
      <c r="CL38" s="100">
        <v>20.272280100238277</v>
      </c>
      <c r="CM38" s="100">
        <v>25178.17188449594</v>
      </c>
      <c r="CN38" s="100">
        <v>11.326181732459643</v>
      </c>
      <c r="CO38" s="100">
        <v>14067.117711714876</v>
      </c>
      <c r="CP38" s="100">
        <v>4.5396376560507044</v>
      </c>
      <c r="CQ38" s="100">
        <v>5638.2299688149751</v>
      </c>
      <c r="CR38" s="100">
        <v>10.014057562971075</v>
      </c>
      <c r="CS38" s="100">
        <v>12437.459493210075</v>
      </c>
      <c r="CT38" s="100">
        <v>12.197090903000491</v>
      </c>
      <c r="CU38" s="100">
        <v>15148.78690152661</v>
      </c>
    </row>
    <row r="39" spans="2:99">
      <c r="C39" s="99" t="s">
        <v>205</v>
      </c>
      <c r="D39" s="100">
        <v>8.8859520500588101</v>
      </c>
      <c r="E39" s="100">
        <v>12646.486957643699</v>
      </c>
      <c r="F39" s="100">
        <v>8.3901911557927136</v>
      </c>
      <c r="G39" s="100">
        <v>11940.92005292419</v>
      </c>
      <c r="H39" s="100">
        <v>18.397002660655829</v>
      </c>
      <c r="I39" s="100">
        <v>26182.614186645376</v>
      </c>
      <c r="J39" s="100">
        <v>14.743832328417053</v>
      </c>
      <c r="K39" s="100">
        <v>20983.422169803151</v>
      </c>
      <c r="L39" s="100">
        <v>7.4516978280904604</v>
      </c>
      <c r="M39" s="100">
        <v>10605.256348938343</v>
      </c>
      <c r="N39" s="100">
        <v>10.332170764810503</v>
      </c>
      <c r="O39" s="100">
        <v>14704.745432478308</v>
      </c>
      <c r="P39" s="100">
        <v>13.980662215564054</v>
      </c>
      <c r="Q39" s="100">
        <v>19897.278465190764</v>
      </c>
      <c r="R39" s="100">
        <v>19</v>
      </c>
      <c r="S39" s="100">
        <v>27040.799999999999</v>
      </c>
      <c r="T39" s="100">
        <v>11.104578202997342</v>
      </c>
      <c r="U39" s="100">
        <v>15804.035698505817</v>
      </c>
      <c r="V39" s="100">
        <v>14.520389354360256</v>
      </c>
      <c r="W39" s="100">
        <v>20665.418129125519</v>
      </c>
      <c r="X39" s="100">
        <v>7.2153455768133545</v>
      </c>
      <c r="Y39" s="100">
        <v>10268.879824920767</v>
      </c>
      <c r="Z39" s="100">
        <v>12.208649863032917</v>
      </c>
      <c r="AA39" s="100">
        <v>17375.350485068448</v>
      </c>
      <c r="AB39" s="100">
        <v>5.1922410264295511</v>
      </c>
      <c r="AC39" s="100">
        <v>7389.5974288145371</v>
      </c>
      <c r="AD39" s="100">
        <v>17.873946913249465</v>
      </c>
      <c r="AE39" s="100">
        <v>25438.201246936642</v>
      </c>
      <c r="AF39" s="100">
        <v>11.24294296147071</v>
      </c>
      <c r="AG39" s="100">
        <v>16000.956422765115</v>
      </c>
      <c r="AH39" s="100">
        <v>13.336254023486449</v>
      </c>
      <c r="AI39" s="100">
        <v>18980.156726225916</v>
      </c>
      <c r="AJ39" s="100">
        <v>13.516326593647456</v>
      </c>
      <c r="AK39" s="100">
        <v>19236.436008079061</v>
      </c>
      <c r="AL39" s="100">
        <v>2.8634022138182731</v>
      </c>
      <c r="AM39" s="100">
        <v>4075.1940307061664</v>
      </c>
      <c r="AN39" s="100">
        <v>16.732560553078557</v>
      </c>
      <c r="AO39" s="100">
        <v>23813.780179141402</v>
      </c>
      <c r="AP39" s="100">
        <v>12</v>
      </c>
      <c r="AQ39" s="100">
        <v>17078.400000000001</v>
      </c>
      <c r="AR39" s="100">
        <v>14.63427768701208</v>
      </c>
      <c r="AS39" s="100">
        <v>20827.504004155591</v>
      </c>
      <c r="AT39" s="100">
        <v>3.162557410576182</v>
      </c>
      <c r="AU39" s="100">
        <v>4500.9517067320221</v>
      </c>
      <c r="AV39" s="100">
        <v>14.888343734326321</v>
      </c>
      <c r="AW39" s="100">
        <v>21189.090802693223</v>
      </c>
      <c r="AX39" s="100">
        <v>9.0739351882775559</v>
      </c>
      <c r="AY39" s="100">
        <v>12914.024559956619</v>
      </c>
      <c r="AZ39" s="100">
        <v>9.2639926172821756</v>
      </c>
      <c r="BA39" s="100">
        <v>13184.514292915992</v>
      </c>
      <c r="BB39" s="100">
        <v>2.8644694183006627</v>
      </c>
      <c r="BC39" s="100">
        <v>4076.7128761255035</v>
      </c>
      <c r="BD39" s="100">
        <v>10.512496911957054</v>
      </c>
      <c r="BE39" s="100">
        <v>14961.385605097281</v>
      </c>
      <c r="BF39" s="100">
        <v>7.5432727505338484</v>
      </c>
      <c r="BG39" s="100">
        <v>10735.585778559773</v>
      </c>
      <c r="BH39" s="100">
        <v>12.851308707330166</v>
      </c>
      <c r="BI39" s="100">
        <v>18289.982552272293</v>
      </c>
      <c r="BJ39" s="100">
        <v>7.9631037927117916</v>
      </c>
      <c r="BK39" s="100">
        <v>11333.089317787422</v>
      </c>
      <c r="BL39" s="100">
        <v>10.776240486190693</v>
      </c>
      <c r="BM39" s="100">
        <v>15336.745459946595</v>
      </c>
      <c r="BN39" s="100">
        <v>11.815892453121952</v>
      </c>
      <c r="BO39" s="100">
        <v>16816.378139283162</v>
      </c>
      <c r="BP39" s="100">
        <v>12</v>
      </c>
      <c r="BQ39" s="100">
        <v>17078.400000000001</v>
      </c>
      <c r="BR39" s="100">
        <v>13.257921692827402</v>
      </c>
      <c r="BS39" s="100">
        <v>18868.674153231961</v>
      </c>
      <c r="BT39" s="100">
        <v>12.826750526887158</v>
      </c>
      <c r="BU39" s="100">
        <v>18255.031349865803</v>
      </c>
      <c r="BV39" s="100">
        <v>14.521717611191621</v>
      </c>
      <c r="BW39" s="100">
        <v>20667.308504247914</v>
      </c>
      <c r="BX39" s="100">
        <v>7.0920527524486383</v>
      </c>
      <c r="BY39" s="100">
        <v>10093.409477284902</v>
      </c>
      <c r="BZ39" s="100">
        <v>7.5083364323266961</v>
      </c>
      <c r="CA39" s="100">
        <v>10685.864410487355</v>
      </c>
      <c r="CB39" s="100">
        <v>7.0021560581769133</v>
      </c>
      <c r="CC39" s="100">
        <v>9965.468501997384</v>
      </c>
      <c r="CD39" s="100">
        <v>7.8901493529539453</v>
      </c>
      <c r="CE39" s="100">
        <v>11229.260559124055</v>
      </c>
      <c r="CF39" s="100">
        <v>18.333623720370433</v>
      </c>
      <c r="CG39" s="100">
        <v>26092.413278831202</v>
      </c>
      <c r="CH39" s="100">
        <v>7.7819838216947597</v>
      </c>
      <c r="CI39" s="100">
        <v>11075.319375035982</v>
      </c>
      <c r="CJ39" s="100">
        <v>7.4077485218827572</v>
      </c>
      <c r="CK39" s="100">
        <v>10542.707696343541</v>
      </c>
      <c r="CL39" s="100">
        <v>21.431315112768061</v>
      </c>
      <c r="CM39" s="100">
        <v>30501.047668491505</v>
      </c>
      <c r="CN39" s="100">
        <v>11.326181732459643</v>
      </c>
      <c r="CO39" s="100">
        <v>16119.421841636564</v>
      </c>
      <c r="CP39" s="100">
        <v>4.5784195108542338</v>
      </c>
      <c r="CQ39" s="100">
        <v>6516.0066478477456</v>
      </c>
      <c r="CR39" s="100">
        <v>9.9007642680661441</v>
      </c>
      <c r="CS39" s="100">
        <v>14090.767706311737</v>
      </c>
      <c r="CT39" s="100">
        <v>11.736913997838769</v>
      </c>
      <c r="CU39" s="100">
        <v>16703.976001724139</v>
      </c>
    </row>
    <row r="40" spans="2:99">
      <c r="C40" s="99" t="s">
        <v>206</v>
      </c>
      <c r="D40" s="100">
        <v>8.8879208367779423</v>
      </c>
      <c r="E40" s="100">
        <v>6441.9650224966526</v>
      </c>
      <c r="F40" s="100">
        <v>9.4117630689603722</v>
      </c>
      <c r="G40" s="100">
        <v>6821.6458723824771</v>
      </c>
      <c r="H40" s="100">
        <v>20.397002660655829</v>
      </c>
      <c r="I40" s="100">
        <v>14783.747528443344</v>
      </c>
      <c r="J40" s="100">
        <v>14.743832328417053</v>
      </c>
      <c r="K40" s="100">
        <v>10686.329671636679</v>
      </c>
      <c r="L40" s="100">
        <v>8.3311759805485295</v>
      </c>
      <c r="M40" s="100">
        <v>6038.4363507015742</v>
      </c>
      <c r="N40" s="100">
        <v>10.428103127258673</v>
      </c>
      <c r="O40" s="100">
        <v>7558.2891466370857</v>
      </c>
      <c r="P40" s="100">
        <v>14.980662215564054</v>
      </c>
      <c r="Q40" s="100">
        <v>10857.983973840826</v>
      </c>
      <c r="R40" s="100">
        <v>18</v>
      </c>
      <c r="S40" s="100">
        <v>13046.4</v>
      </c>
      <c r="T40" s="100">
        <v>11.958776526304829</v>
      </c>
      <c r="U40" s="100">
        <v>8667.7212262657395</v>
      </c>
      <c r="V40" s="100">
        <v>16.228670454873228</v>
      </c>
      <c r="W40" s="100">
        <v>11762.540345692116</v>
      </c>
      <c r="X40" s="100">
        <v>7.9761879495629104</v>
      </c>
      <c r="Y40" s="100">
        <v>5781.141025843197</v>
      </c>
      <c r="Z40" s="100">
        <v>13.381314129180476</v>
      </c>
      <c r="AA40" s="100">
        <v>9698.7764808300089</v>
      </c>
      <c r="AB40" s="100">
        <v>5.1922410264295511</v>
      </c>
      <c r="AC40" s="100">
        <v>3763.3362959561382</v>
      </c>
      <c r="AD40" s="100">
        <v>19.048736295899356</v>
      </c>
      <c r="AE40" s="100">
        <v>13806.524067267852</v>
      </c>
      <c r="AF40" s="100">
        <v>11.24294296147071</v>
      </c>
      <c r="AG40" s="100">
        <v>8148.8850584739703</v>
      </c>
      <c r="AH40" s="100">
        <v>14.077157024791251</v>
      </c>
      <c r="AI40" s="100">
        <v>10203.123411568698</v>
      </c>
      <c r="AJ40" s="100">
        <v>15.221949700886114</v>
      </c>
      <c r="AK40" s="100">
        <v>11032.869143202255</v>
      </c>
      <c r="AL40" s="100">
        <v>3.3014271613010742</v>
      </c>
      <c r="AM40" s="100">
        <v>2392.8744065110186</v>
      </c>
      <c r="AN40" s="100">
        <v>17.732560553078557</v>
      </c>
      <c r="AO40" s="100">
        <v>12852.559888871338</v>
      </c>
      <c r="AP40" s="100">
        <v>13</v>
      </c>
      <c r="AQ40" s="100">
        <v>9422.4</v>
      </c>
      <c r="AR40" s="100">
        <v>16.243177383190027</v>
      </c>
      <c r="AS40" s="100">
        <v>11773.054967336131</v>
      </c>
      <c r="AT40" s="100">
        <v>3.3783521517431789</v>
      </c>
      <c r="AU40" s="100">
        <v>2448.6296395834561</v>
      </c>
      <c r="AV40" s="100">
        <v>15.888343734326321</v>
      </c>
      <c r="AW40" s="100">
        <v>11515.871538639716</v>
      </c>
      <c r="AX40" s="100">
        <v>10.723741586146204</v>
      </c>
      <c r="AY40" s="100">
        <v>7772.5679016387685</v>
      </c>
      <c r="AZ40" s="100">
        <v>8.5513778005681615</v>
      </c>
      <c r="BA40" s="100">
        <v>6198.0386298518033</v>
      </c>
      <c r="BB40" s="100">
        <v>3.124875729055268</v>
      </c>
      <c r="BC40" s="100">
        <v>2264.909928419258</v>
      </c>
      <c r="BD40" s="100">
        <v>10.512496911957054</v>
      </c>
      <c r="BE40" s="100">
        <v>7619.4577617864725</v>
      </c>
      <c r="BF40" s="100">
        <v>9.1335199070115038</v>
      </c>
      <c r="BG40" s="100">
        <v>6619.9752286019375</v>
      </c>
      <c r="BH40" s="100">
        <v>14.507332459178441</v>
      </c>
      <c r="BI40" s="100">
        <v>10514.914566412534</v>
      </c>
      <c r="BJ40" s="100">
        <v>9.1475333896801398</v>
      </c>
      <c r="BK40" s="100">
        <v>6630.1322008401648</v>
      </c>
      <c r="BL40" s="100">
        <v>10.780489648757055</v>
      </c>
      <c r="BM40" s="100">
        <v>7813.6988974191127</v>
      </c>
      <c r="BN40" s="100">
        <v>13.815892453121952</v>
      </c>
      <c r="BO40" s="100">
        <v>10013.75885002279</v>
      </c>
      <c r="BP40" s="100">
        <v>12</v>
      </c>
      <c r="BQ40" s="100">
        <v>8697.5999999999985</v>
      </c>
      <c r="BR40" s="100">
        <v>15.467575308298635</v>
      </c>
      <c r="BS40" s="100">
        <v>11210.898583454849</v>
      </c>
      <c r="BT40" s="100">
        <v>12.151658393893097</v>
      </c>
      <c r="BU40" s="100">
        <v>8807.5220038937168</v>
      </c>
      <c r="BV40" s="100">
        <v>16.715518023654603</v>
      </c>
      <c r="BW40" s="100">
        <v>12115.407463544856</v>
      </c>
      <c r="BX40" s="100">
        <v>6.8380850028605193</v>
      </c>
      <c r="BY40" s="100">
        <v>4956.2440100733038</v>
      </c>
      <c r="BZ40" s="100">
        <v>7.6023516781014004</v>
      </c>
      <c r="CA40" s="100">
        <v>5510.1844962878949</v>
      </c>
      <c r="CB40" s="100">
        <v>8.0324635477661719</v>
      </c>
      <c r="CC40" s="100">
        <v>5821.9295794209211</v>
      </c>
      <c r="CD40" s="100">
        <v>10.053495527869476</v>
      </c>
      <c r="CE40" s="100">
        <v>7286.7735585997962</v>
      </c>
      <c r="CF40" s="100">
        <v>20.259006448782014</v>
      </c>
      <c r="CG40" s="100">
        <v>14683.727874077202</v>
      </c>
      <c r="CH40" s="100">
        <v>8.3805979618251243</v>
      </c>
      <c r="CI40" s="100">
        <v>6074.2574027308501</v>
      </c>
      <c r="CJ40" s="100">
        <v>8.5284313103660612</v>
      </c>
      <c r="CK40" s="100">
        <v>6181.4070137533208</v>
      </c>
      <c r="CL40" s="100">
        <v>19.431315112768061</v>
      </c>
      <c r="CM40" s="100">
        <v>14083.81719373429</v>
      </c>
      <c r="CN40" s="100">
        <v>12.270030210164613</v>
      </c>
      <c r="CO40" s="100">
        <v>8893.3178963273112</v>
      </c>
      <c r="CP40" s="100">
        <v>4.9670847508928935</v>
      </c>
      <c r="CQ40" s="100">
        <v>3600.1430274471691</v>
      </c>
      <c r="CR40" s="100">
        <v>10.016097203428579</v>
      </c>
      <c r="CS40" s="100">
        <v>7259.6672530450332</v>
      </c>
      <c r="CT40" s="100">
        <v>14.569679374566062</v>
      </c>
      <c r="CU40" s="100">
        <v>10560.103610685481</v>
      </c>
    </row>
    <row r="41" spans="2:99">
      <c r="C41" s="99" t="s">
        <v>207</v>
      </c>
      <c r="D41" s="100">
        <v>10.376734941701544</v>
      </c>
      <c r="E41" s="100">
        <v>6848.6450615230187</v>
      </c>
      <c r="F41" s="100">
        <v>10.900477714414611</v>
      </c>
      <c r="G41" s="100">
        <v>7194.3152915136434</v>
      </c>
      <c r="H41" s="100">
        <v>20.746253325819787</v>
      </c>
      <c r="I41" s="100">
        <v>13692.527195041059</v>
      </c>
      <c r="J41" s="100">
        <v>16.382035920463395</v>
      </c>
      <c r="K41" s="100">
        <v>10812.14370750584</v>
      </c>
      <c r="L41" s="100">
        <v>7.8993923935872035</v>
      </c>
      <c r="M41" s="100">
        <v>5213.5989797675547</v>
      </c>
      <c r="N41" s="100">
        <v>10.516234357594479</v>
      </c>
      <c r="O41" s="100">
        <v>6940.714676012356</v>
      </c>
      <c r="P41" s="100">
        <v>16.144105918158061</v>
      </c>
      <c r="Q41" s="100">
        <v>10655.10990598432</v>
      </c>
      <c r="R41" s="100">
        <v>21</v>
      </c>
      <c r="S41" s="100">
        <v>13860</v>
      </c>
      <c r="T41" s="100">
        <v>13.667173172919805</v>
      </c>
      <c r="U41" s="100">
        <v>9020.3342941270712</v>
      </c>
      <c r="V41" s="100">
        <v>14.520389354360256</v>
      </c>
      <c r="W41" s="100">
        <v>9583.45697387777</v>
      </c>
      <c r="X41" s="100">
        <v>7.2181582355483398</v>
      </c>
      <c r="Y41" s="100">
        <v>4763.9844354619045</v>
      </c>
      <c r="Z41" s="100">
        <v>14.381314129180476</v>
      </c>
      <c r="AA41" s="100">
        <v>9491.6673252591136</v>
      </c>
      <c r="AB41" s="100">
        <v>5.711465129072506</v>
      </c>
      <c r="AC41" s="100">
        <v>3769.5669851878538</v>
      </c>
      <c r="AD41" s="100">
        <v>17.873946913249465</v>
      </c>
      <c r="AE41" s="100">
        <v>11796.804962744647</v>
      </c>
      <c r="AF41" s="100">
        <v>12.179854874926603</v>
      </c>
      <c r="AG41" s="100">
        <v>8038.7042174515582</v>
      </c>
      <c r="AH41" s="100">
        <v>15.558963027400857</v>
      </c>
      <c r="AI41" s="100">
        <v>10268.915598084566</v>
      </c>
      <c r="AJ41" s="100">
        <v>16.863243675993871</v>
      </c>
      <c r="AK41" s="100">
        <v>11129.740826155956</v>
      </c>
      <c r="AL41" s="100">
        <v>3.536679690222539</v>
      </c>
      <c r="AM41" s="100">
        <v>2334.2085955468756</v>
      </c>
      <c r="AN41" s="100">
        <v>16.732560553078557</v>
      </c>
      <c r="AO41" s="100">
        <v>11043.489965031848</v>
      </c>
      <c r="AP41" s="100">
        <v>12</v>
      </c>
      <c r="AQ41" s="100">
        <v>7920</v>
      </c>
      <c r="AR41" s="100">
        <v>16.243177383190027</v>
      </c>
      <c r="AS41" s="100">
        <v>10720.497072905417</v>
      </c>
      <c r="AT41" s="100">
        <v>3.3690566883770834</v>
      </c>
      <c r="AU41" s="100">
        <v>2223.577414328875</v>
      </c>
      <c r="AV41" s="100">
        <v>15.777300767535531</v>
      </c>
      <c r="AW41" s="100">
        <v>10413.018506573449</v>
      </c>
      <c r="AX41" s="100">
        <v>10.723741586146204</v>
      </c>
      <c r="AY41" s="100">
        <v>7077.6694468564947</v>
      </c>
      <c r="AZ41" s="100">
        <v>9.2639926172821756</v>
      </c>
      <c r="BA41" s="100">
        <v>6114.2351274062357</v>
      </c>
      <c r="BB41" s="100">
        <v>3.3852820398098742</v>
      </c>
      <c r="BC41" s="100">
        <v>2234.2861462745168</v>
      </c>
      <c r="BD41" s="100">
        <v>9.8861071325857903</v>
      </c>
      <c r="BE41" s="100">
        <v>6524.8307075066214</v>
      </c>
      <c r="BF41" s="100">
        <v>9.2452537056750383</v>
      </c>
      <c r="BG41" s="100">
        <v>6101.8674457455254</v>
      </c>
      <c r="BH41" s="100">
        <v>12.851308707330166</v>
      </c>
      <c r="BI41" s="100">
        <v>8481.8637468379093</v>
      </c>
      <c r="BJ41" s="100">
        <v>9.1475333896801398</v>
      </c>
      <c r="BK41" s="100">
        <v>6037.3720371888921</v>
      </c>
      <c r="BL41" s="100">
        <v>10.780489648757055</v>
      </c>
      <c r="BM41" s="100">
        <v>7115.1231681796562</v>
      </c>
      <c r="BN41" s="100">
        <v>12.932448517853659</v>
      </c>
      <c r="BO41" s="100">
        <v>8535.416021783416</v>
      </c>
      <c r="BP41" s="100">
        <v>11</v>
      </c>
      <c r="BQ41" s="100">
        <v>7260</v>
      </c>
      <c r="BR41" s="100">
        <v>13.257921692827402</v>
      </c>
      <c r="BS41" s="100">
        <v>8750.2283172660846</v>
      </c>
      <c r="BT41" s="100">
        <v>12.151658393893097</v>
      </c>
      <c r="BU41" s="100">
        <v>8020.0945399694438</v>
      </c>
      <c r="BV41" s="100">
        <v>15.984251219500274</v>
      </c>
      <c r="BW41" s="100">
        <v>10549.605804870182</v>
      </c>
      <c r="BX41" s="100">
        <v>7.5942765119613105</v>
      </c>
      <c r="BY41" s="100">
        <v>5012.2224978944651</v>
      </c>
      <c r="BZ41" s="100">
        <v>8.5161086352054216</v>
      </c>
      <c r="CA41" s="100">
        <v>5620.6316992355787</v>
      </c>
      <c r="CB41" s="100">
        <v>7.3622718206543993</v>
      </c>
      <c r="CC41" s="100">
        <v>4859.0994016319037</v>
      </c>
      <c r="CD41" s="100">
        <v>9.0162181689202026</v>
      </c>
      <c r="CE41" s="100">
        <v>5950.703991487334</v>
      </c>
      <c r="CF41" s="100">
        <v>21.221697812987802</v>
      </c>
      <c r="CG41" s="100">
        <v>14006.320556571949</v>
      </c>
      <c r="CH41" s="100">
        <v>7.7819838216947597</v>
      </c>
      <c r="CI41" s="100">
        <v>5136.1093223185417</v>
      </c>
      <c r="CJ41" s="100">
        <v>7.4267336766677667</v>
      </c>
      <c r="CK41" s="100">
        <v>4901.6442266007261</v>
      </c>
      <c r="CL41" s="100">
        <v>21.431315112768061</v>
      </c>
      <c r="CM41" s="100">
        <v>14144.66797442692</v>
      </c>
      <c r="CN41" s="100">
        <v>11.326181732459643</v>
      </c>
      <c r="CO41" s="100">
        <v>7475.2799434233648</v>
      </c>
      <c r="CP41" s="100">
        <v>4.9297687148894074</v>
      </c>
      <c r="CQ41" s="100">
        <v>3253.6473518270091</v>
      </c>
      <c r="CR41" s="100">
        <v>9.2542927487146027</v>
      </c>
      <c r="CS41" s="100">
        <v>6107.8332141516375</v>
      </c>
      <c r="CT41" s="100">
        <v>15.281235889255578</v>
      </c>
      <c r="CU41" s="100">
        <v>10085.615686908681</v>
      </c>
    </row>
    <row r="42" spans="2:99">
      <c r="C42" s="99" t="s">
        <v>208</v>
      </c>
      <c r="D42" s="100">
        <v>9.3587040783292164</v>
      </c>
      <c r="E42" s="100">
        <v>7917.4636502665171</v>
      </c>
      <c r="F42" s="100">
        <v>10.348515026323204</v>
      </c>
      <c r="G42" s="100">
        <v>8754.8437122694304</v>
      </c>
      <c r="H42" s="100">
        <v>20.571627993237808</v>
      </c>
      <c r="I42" s="100">
        <v>17403.597282279185</v>
      </c>
      <c r="J42" s="100">
        <v>15.562934124440224</v>
      </c>
      <c r="K42" s="100">
        <v>13166.242269276428</v>
      </c>
      <c r="L42" s="100">
        <v>8.3152650020131134</v>
      </c>
      <c r="M42" s="100">
        <v>7034.714191703094</v>
      </c>
      <c r="N42" s="100">
        <v>10.428103127258673</v>
      </c>
      <c r="O42" s="100">
        <v>8822.1752456608374</v>
      </c>
      <c r="P42" s="100">
        <v>16.980662215564053</v>
      </c>
      <c r="Q42" s="100">
        <v>14365.640234367189</v>
      </c>
      <c r="R42" s="100">
        <v>19</v>
      </c>
      <c r="S42" s="100">
        <v>16074</v>
      </c>
      <c r="T42" s="100">
        <v>12.812974849612317</v>
      </c>
      <c r="U42" s="100">
        <v>10839.77672277202</v>
      </c>
      <c r="V42" s="100">
        <v>16.228670454873228</v>
      </c>
      <c r="W42" s="100">
        <v>13729.455204822751</v>
      </c>
      <c r="X42" s="100">
        <v>7.5971730925556251</v>
      </c>
      <c r="Y42" s="100">
        <v>6427.2084363020585</v>
      </c>
      <c r="Z42" s="100">
        <v>14.381314129180476</v>
      </c>
      <c r="AA42" s="100">
        <v>12166.591753286682</v>
      </c>
      <c r="AB42" s="100">
        <v>5.711465129072506</v>
      </c>
      <c r="AC42" s="100">
        <v>4831.8994991953405</v>
      </c>
      <c r="AD42" s="100">
        <v>16.873946913249465</v>
      </c>
      <c r="AE42" s="100">
        <v>14275.359088609048</v>
      </c>
      <c r="AF42" s="100">
        <v>11.24294296147071</v>
      </c>
      <c r="AG42" s="100">
        <v>9511.5297454042211</v>
      </c>
      <c r="AH42" s="100">
        <v>14.818060026096054</v>
      </c>
      <c r="AI42" s="100">
        <v>12536.078782077262</v>
      </c>
      <c r="AJ42" s="100">
        <v>15.221949700886114</v>
      </c>
      <c r="AK42" s="100">
        <v>12877.769446949653</v>
      </c>
      <c r="AL42" s="100">
        <v>3.3014271613010742</v>
      </c>
      <c r="AM42" s="100">
        <v>2793.0073784607089</v>
      </c>
      <c r="AN42" s="100">
        <v>18.732560553078557</v>
      </c>
      <c r="AO42" s="100">
        <v>15847.746227904459</v>
      </c>
      <c r="AP42" s="100">
        <v>11</v>
      </c>
      <c r="AQ42" s="100">
        <v>9306</v>
      </c>
      <c r="AR42" s="100">
        <v>14.63427768701208</v>
      </c>
      <c r="AS42" s="100">
        <v>12380.598923212219</v>
      </c>
      <c r="AT42" s="100">
        <v>3.497279271501061</v>
      </c>
      <c r="AU42" s="100">
        <v>2958.6982636898974</v>
      </c>
      <c r="AV42" s="100">
        <v>16.777300767535532</v>
      </c>
      <c r="AW42" s="100">
        <v>14193.59644933506</v>
      </c>
      <c r="AX42" s="100">
        <v>10.723741586146204</v>
      </c>
      <c r="AY42" s="100">
        <v>9072.2853818796884</v>
      </c>
      <c r="AZ42" s="100">
        <v>9.2639926172821756</v>
      </c>
      <c r="BA42" s="100">
        <v>7837.3377542207209</v>
      </c>
      <c r="BB42" s="100">
        <v>2.8644694183006627</v>
      </c>
      <c r="BC42" s="100">
        <v>2423.3411278823605</v>
      </c>
      <c r="BD42" s="100">
        <v>10.599648911995022</v>
      </c>
      <c r="BE42" s="100">
        <v>8967.3029795477887</v>
      </c>
      <c r="BF42" s="100">
        <v>9.6590364621624598</v>
      </c>
      <c r="BG42" s="100">
        <v>8171.5448469894409</v>
      </c>
      <c r="BH42" s="100">
        <v>14.367427743134863</v>
      </c>
      <c r="BI42" s="100">
        <v>12154.843870692093</v>
      </c>
      <c r="BJ42" s="100">
        <v>8.6111293892903458</v>
      </c>
      <c r="BK42" s="100">
        <v>7285.0154633396323</v>
      </c>
      <c r="BL42" s="100">
        <v>12.185740065531396</v>
      </c>
      <c r="BM42" s="100">
        <v>10309.13609543956</v>
      </c>
      <c r="BN42" s="100">
        <v>11.815892453121952</v>
      </c>
      <c r="BO42" s="100">
        <v>9996.2450153411719</v>
      </c>
      <c r="BP42" s="100">
        <v>12</v>
      </c>
      <c r="BQ42" s="100">
        <v>10152</v>
      </c>
      <c r="BR42" s="100">
        <v>13.257921692827402</v>
      </c>
      <c r="BS42" s="100">
        <v>11216.201752131983</v>
      </c>
      <c r="BT42" s="100">
        <v>14.176934792875279</v>
      </c>
      <c r="BU42" s="100">
        <v>11993.686834772487</v>
      </c>
      <c r="BV42" s="100">
        <v>14.521717611191621</v>
      </c>
      <c r="BW42" s="100">
        <v>12285.373099068111</v>
      </c>
      <c r="BX42" s="100">
        <v>6.8380850028605193</v>
      </c>
      <c r="BY42" s="100">
        <v>5785.0199124199989</v>
      </c>
      <c r="BZ42" s="100">
        <v>8.01020438167882</v>
      </c>
      <c r="CA42" s="100">
        <v>6776.6329069002813</v>
      </c>
      <c r="CB42" s="100">
        <v>7.3455918880399995</v>
      </c>
      <c r="CC42" s="100">
        <v>6214.3707372818399</v>
      </c>
      <c r="CD42" s="100">
        <v>8.497579489445565</v>
      </c>
      <c r="CE42" s="100">
        <v>7188.9522480709484</v>
      </c>
      <c r="CF42" s="100">
        <v>18.333623720370433</v>
      </c>
      <c r="CG42" s="100">
        <v>15510.245667433386</v>
      </c>
      <c r="CH42" s="100">
        <v>7.7819838216947597</v>
      </c>
      <c r="CI42" s="100">
        <v>6583.5583131537669</v>
      </c>
      <c r="CJ42" s="100">
        <v>7.7876378363055281</v>
      </c>
      <c r="CK42" s="100">
        <v>6588.3416095144767</v>
      </c>
      <c r="CL42" s="100">
        <v>22.431315112768061</v>
      </c>
      <c r="CM42" s="100">
        <v>18976.89258540178</v>
      </c>
      <c r="CN42" s="100">
        <v>12.270030210164613</v>
      </c>
      <c r="CO42" s="100">
        <v>10380.445557799263</v>
      </c>
      <c r="CP42" s="100">
        <v>5.2840495565246677</v>
      </c>
      <c r="CQ42" s="100">
        <v>4470.3059248198688</v>
      </c>
      <c r="CR42" s="100">
        <v>10.66256872278012</v>
      </c>
      <c r="CS42" s="100">
        <v>9020.5331394719815</v>
      </c>
      <c r="CT42" s="100">
        <v>12.905282247182313</v>
      </c>
      <c r="CU42" s="100">
        <v>10917.868781116236</v>
      </c>
    </row>
    <row r="43" spans="2:99">
      <c r="C43" s="99" t="s">
        <v>209</v>
      </c>
      <c r="D43" s="100">
        <v>9.4410748187563911</v>
      </c>
      <c r="E43" s="100">
        <v>9652.5548946965337</v>
      </c>
      <c r="F43" s="100">
        <v>8.9433870902789554</v>
      </c>
      <c r="G43" s="100">
        <v>9143.7189611012036</v>
      </c>
      <c r="H43" s="100">
        <v>18.571627993237808</v>
      </c>
      <c r="I43" s="100">
        <v>18987.632460286335</v>
      </c>
      <c r="J43" s="100">
        <v>14.743832328417053</v>
      </c>
      <c r="K43" s="100">
        <v>15074.094172573594</v>
      </c>
      <c r="L43" s="100">
        <v>8.3311759805485295</v>
      </c>
      <c r="M43" s="100">
        <v>8517.7943225128165</v>
      </c>
      <c r="N43" s="100">
        <v>9.9214125524100396</v>
      </c>
      <c r="O43" s="100">
        <v>10143.652193584025</v>
      </c>
      <c r="P43" s="100">
        <v>15.144105918158063</v>
      </c>
      <c r="Q43" s="100">
        <v>15483.333890724803</v>
      </c>
      <c r="R43" s="100">
        <v>18</v>
      </c>
      <c r="S43" s="100">
        <v>18403.2</v>
      </c>
      <c r="T43" s="100">
        <v>13.667173172919805</v>
      </c>
      <c r="U43" s="100">
        <v>13973.317851993208</v>
      </c>
      <c r="V43" s="100">
        <v>16.228670454873228</v>
      </c>
      <c r="W43" s="100">
        <v>16592.192673062389</v>
      </c>
      <c r="X43" s="100">
        <v>7.2181582355483398</v>
      </c>
      <c r="Y43" s="100">
        <v>7379.8449800246226</v>
      </c>
      <c r="Z43" s="100">
        <v>12.381314129180476</v>
      </c>
      <c r="AA43" s="100">
        <v>12658.655565674118</v>
      </c>
      <c r="AB43" s="100">
        <v>4.6730169237865953</v>
      </c>
      <c r="AC43" s="100">
        <v>4777.6925028794149</v>
      </c>
      <c r="AD43" s="100">
        <v>20.048736295899356</v>
      </c>
      <c r="AE43" s="100">
        <v>20497.8279889275</v>
      </c>
      <c r="AF43" s="100">
        <v>11.24294296147071</v>
      </c>
      <c r="AG43" s="100">
        <v>11494.784883807653</v>
      </c>
      <c r="AH43" s="100">
        <v>13.336254023486449</v>
      </c>
      <c r="AI43" s="100">
        <v>13634.986113612546</v>
      </c>
      <c r="AJ43" s="100">
        <v>13.58065572577836</v>
      </c>
      <c r="AK43" s="100">
        <v>13884.862414035795</v>
      </c>
      <c r="AL43" s="100">
        <v>2.8958823241784</v>
      </c>
      <c r="AM43" s="100">
        <v>2960.7500882399959</v>
      </c>
      <c r="AN43" s="100">
        <v>15.854653978591651</v>
      </c>
      <c r="AO43" s="100">
        <v>16209.798227712105</v>
      </c>
      <c r="AP43" s="100">
        <v>12</v>
      </c>
      <c r="AQ43" s="100">
        <v>12268.8</v>
      </c>
      <c r="AR43" s="100">
        <v>13.829827838923105</v>
      </c>
      <c r="AS43" s="100">
        <v>14139.615982514983</v>
      </c>
      <c r="AT43" s="100">
        <v>3.5755559661779843</v>
      </c>
      <c r="AU43" s="100">
        <v>3655.6484198203711</v>
      </c>
      <c r="AV43" s="100">
        <v>13.888343734326321</v>
      </c>
      <c r="AW43" s="100">
        <v>14199.44263397523</v>
      </c>
      <c r="AX43" s="100">
        <v>9.0739351882775559</v>
      </c>
      <c r="AY43" s="100">
        <v>9277.1913364949723</v>
      </c>
      <c r="AZ43" s="100">
        <v>7.8387629838541493</v>
      </c>
      <c r="BA43" s="100">
        <v>8014.3512746924816</v>
      </c>
      <c r="BB43" s="100">
        <v>2.604063107546057</v>
      </c>
      <c r="BC43" s="100">
        <v>2662.3941211550887</v>
      </c>
      <c r="BD43" s="100">
        <v>9.8861071325857903</v>
      </c>
      <c r="BE43" s="100">
        <v>10107.555932355712</v>
      </c>
      <c r="BF43" s="100">
        <v>8.6045789791043497</v>
      </c>
      <c r="BG43" s="100">
        <v>8797.3215482362866</v>
      </c>
      <c r="BH43" s="100">
        <v>14.367427743134863</v>
      </c>
      <c r="BI43" s="100">
        <v>14689.258124581083</v>
      </c>
      <c r="BJ43" s="100">
        <v>8.5634188587756537</v>
      </c>
      <c r="BK43" s="100">
        <v>8755.2394412122285</v>
      </c>
      <c r="BL43" s="100">
        <v>10.647491185380256</v>
      </c>
      <c r="BM43" s="100">
        <v>10885.994987932772</v>
      </c>
      <c r="BN43" s="100">
        <v>11.699336388390245</v>
      </c>
      <c r="BO43" s="100">
        <v>11961.401523490185</v>
      </c>
      <c r="BP43" s="100">
        <v>12</v>
      </c>
      <c r="BQ43" s="100">
        <v>12268.8</v>
      </c>
      <c r="BR43" s="100">
        <v>15.467575308298635</v>
      </c>
      <c r="BS43" s="100">
        <v>15814.048995204525</v>
      </c>
      <c r="BT43" s="100">
        <v>12.826750526887158</v>
      </c>
      <c r="BU43" s="100">
        <v>13114.06973868943</v>
      </c>
      <c r="BV43" s="100">
        <v>14.521717611191621</v>
      </c>
      <c r="BW43" s="100">
        <v>14847.004085682313</v>
      </c>
      <c r="BX43" s="100">
        <v>6.6564995672231229</v>
      </c>
      <c r="BY43" s="100">
        <v>6805.6051575289202</v>
      </c>
      <c r="BZ43" s="100">
        <v>8.1042196274535243</v>
      </c>
      <c r="CA43" s="100">
        <v>8285.7541471084824</v>
      </c>
      <c r="CB43" s="100">
        <v>7.3289119554255988</v>
      </c>
      <c r="CC43" s="100">
        <v>7493.0795832271324</v>
      </c>
      <c r="CD43" s="100">
        <v>7.8978169941440877</v>
      </c>
      <c r="CE43" s="100">
        <v>8074.7280948129146</v>
      </c>
      <c r="CF43" s="100">
        <v>21.221697812987802</v>
      </c>
      <c r="CG43" s="100">
        <v>21697.063843998727</v>
      </c>
      <c r="CH43" s="100">
        <v>7.7819838216947597</v>
      </c>
      <c r="CI43" s="100">
        <v>7956.3002593007222</v>
      </c>
      <c r="CJ43" s="100">
        <v>8.5687933801370502</v>
      </c>
      <c r="CK43" s="100">
        <v>8760.7343518521193</v>
      </c>
      <c r="CL43" s="100">
        <v>19.272280100238277</v>
      </c>
      <c r="CM43" s="100">
        <v>19703.979174483615</v>
      </c>
      <c r="CN43" s="100">
        <v>11.326181732459643</v>
      </c>
      <c r="CO43" s="100">
        <v>11579.888203266739</v>
      </c>
      <c r="CP43" s="100">
        <v>4.965618932092851</v>
      </c>
      <c r="CQ43" s="100">
        <v>5076.848796171731</v>
      </c>
      <c r="CR43" s="100">
        <v>9.9007642680661441</v>
      </c>
      <c r="CS43" s="100">
        <v>10122.541387670826</v>
      </c>
      <c r="CT43" s="100">
        <v>14.569679374566062</v>
      </c>
      <c r="CU43" s="100">
        <v>14896.040192556342</v>
      </c>
    </row>
    <row r="44" spans="2:99">
      <c r="C44" s="99" t="s">
        <v>210</v>
      </c>
      <c r="D44" s="100">
        <v>8.9722603639242458</v>
      </c>
      <c r="E44" s="100">
        <v>9173.2389960761484</v>
      </c>
      <c r="F44" s="100">
        <v>10.348515026323204</v>
      </c>
      <c r="G44" s="100">
        <v>10580.321762912843</v>
      </c>
      <c r="H44" s="100">
        <v>19.397002660655829</v>
      </c>
      <c r="I44" s="100">
        <v>19831.495520254521</v>
      </c>
      <c r="J44" s="100">
        <v>13.924730532393884</v>
      </c>
      <c r="K44" s="100">
        <v>14236.644496319506</v>
      </c>
      <c r="L44" s="100">
        <v>7.4676088066258766</v>
      </c>
      <c r="M44" s="100">
        <v>7634.8832438942964</v>
      </c>
      <c r="N44" s="100">
        <v>10.332170764810503</v>
      </c>
      <c r="O44" s="100">
        <v>10563.611389942258</v>
      </c>
      <c r="P44" s="100">
        <v>15.144105918158063</v>
      </c>
      <c r="Q44" s="100">
        <v>15483.333890724803</v>
      </c>
      <c r="R44" s="100">
        <v>19</v>
      </c>
      <c r="S44" s="100">
        <v>19425.599999999999</v>
      </c>
      <c r="T44" s="100">
        <v>13.667173172919805</v>
      </c>
      <c r="U44" s="100">
        <v>13973.317851993208</v>
      </c>
      <c r="V44" s="100">
        <v>15.374529904616741</v>
      </c>
      <c r="W44" s="100">
        <v>15718.919374480156</v>
      </c>
      <c r="X44" s="100">
        <v>6.8363307198060683</v>
      </c>
      <c r="Y44" s="100">
        <v>6989.4645279297238</v>
      </c>
      <c r="Z44" s="100">
        <v>12.208649863032917</v>
      </c>
      <c r="AA44" s="100">
        <v>12482.123619964854</v>
      </c>
      <c r="AB44" s="100">
        <v>5.711465129072506</v>
      </c>
      <c r="AC44" s="100">
        <v>5839.40194796373</v>
      </c>
      <c r="AD44" s="100">
        <v>19.048736295899356</v>
      </c>
      <c r="AE44" s="100">
        <v>19475.427988927502</v>
      </c>
      <c r="AF44" s="100">
        <v>12.179854874926603</v>
      </c>
      <c r="AG44" s="100">
        <v>12452.683624124958</v>
      </c>
      <c r="AH44" s="100">
        <v>15.558963027400857</v>
      </c>
      <c r="AI44" s="100">
        <v>15907.483799214637</v>
      </c>
      <c r="AJ44" s="100">
        <v>13.58065572577836</v>
      </c>
      <c r="AK44" s="100">
        <v>13884.862414035795</v>
      </c>
      <c r="AL44" s="100">
        <v>3.2689470509409473</v>
      </c>
      <c r="AM44" s="100">
        <v>3342.1714648820243</v>
      </c>
      <c r="AN44" s="100">
        <v>17.854653978591653</v>
      </c>
      <c r="AO44" s="100">
        <v>18254.598227712104</v>
      </c>
      <c r="AP44" s="100">
        <v>12</v>
      </c>
      <c r="AQ44" s="100">
        <v>12268.8</v>
      </c>
      <c r="AR44" s="100">
        <v>15.438727535101052</v>
      </c>
      <c r="AS44" s="100">
        <v>15784.555031887316</v>
      </c>
      <c r="AT44" s="100">
        <v>3.5755559661779843</v>
      </c>
      <c r="AU44" s="100">
        <v>3655.6484198203711</v>
      </c>
      <c r="AV44" s="100">
        <v>14.888343734326321</v>
      </c>
      <c r="AW44" s="100">
        <v>15221.842633975231</v>
      </c>
      <c r="AX44" s="100">
        <v>9.0739351882775559</v>
      </c>
      <c r="AY44" s="100">
        <v>9277.1913364949723</v>
      </c>
      <c r="AZ44" s="100">
        <v>8.5513778005681615</v>
      </c>
      <c r="BA44" s="100">
        <v>8742.9286633008887</v>
      </c>
      <c r="BB44" s="100">
        <v>2.8644694183006627</v>
      </c>
      <c r="BC44" s="100">
        <v>2928.6335332705976</v>
      </c>
      <c r="BD44" s="100">
        <v>9.1725653531765605</v>
      </c>
      <c r="BE44" s="100">
        <v>9378.0308170877161</v>
      </c>
      <c r="BF44" s="100">
        <v>9.1369442797677021</v>
      </c>
      <c r="BG44" s="100">
        <v>9341.6118316344982</v>
      </c>
      <c r="BH44" s="100">
        <v>12.711403991286584</v>
      </c>
      <c r="BI44" s="100">
        <v>12996.139440691404</v>
      </c>
      <c r="BJ44" s="100">
        <v>8.6111293892903458</v>
      </c>
      <c r="BK44" s="100">
        <v>8804.018687610449</v>
      </c>
      <c r="BL44" s="100">
        <v>11.354365556333789</v>
      </c>
      <c r="BM44" s="100">
        <v>11608.703344795666</v>
      </c>
      <c r="BN44" s="100">
        <v>10.815892453121952</v>
      </c>
      <c r="BO44" s="100">
        <v>11058.168444071884</v>
      </c>
      <c r="BP44" s="100">
        <v>11</v>
      </c>
      <c r="BQ44" s="100">
        <v>11246.4</v>
      </c>
      <c r="BR44" s="100">
        <v>15.467575308298635</v>
      </c>
      <c r="BS44" s="100">
        <v>15814.048995204525</v>
      </c>
      <c r="BT44" s="100">
        <v>13.50184265988122</v>
      </c>
      <c r="BU44" s="100">
        <v>13804.283935462559</v>
      </c>
      <c r="BV44" s="100">
        <v>15.252984415345948</v>
      </c>
      <c r="BW44" s="100">
        <v>15594.651266249697</v>
      </c>
      <c r="BX44" s="100">
        <v>6.8380850028605193</v>
      </c>
      <c r="BY44" s="100">
        <v>6991.2581069245953</v>
      </c>
      <c r="BZ44" s="100">
        <v>8.0142406858532986</v>
      </c>
      <c r="CA44" s="100">
        <v>8193.7596772164125</v>
      </c>
      <c r="CB44" s="100">
        <v>7.0021560581769133</v>
      </c>
      <c r="CC44" s="100">
        <v>7159.0043538800765</v>
      </c>
      <c r="CD44" s="100">
        <v>8.4164556736187244</v>
      </c>
      <c r="CE44" s="100">
        <v>8604.9842807077839</v>
      </c>
      <c r="CF44" s="100">
        <v>20.426536309559719</v>
      </c>
      <c r="CG44" s="100">
        <v>20884.090722893856</v>
      </c>
      <c r="CH44" s="100">
        <v>7.7819838216947597</v>
      </c>
      <c r="CI44" s="100">
        <v>7956.3002593007222</v>
      </c>
      <c r="CJ44" s="100">
        <v>8.5284313103660612</v>
      </c>
      <c r="CK44" s="100">
        <v>8719.4681717182611</v>
      </c>
      <c r="CL44" s="100">
        <v>20.431315112768061</v>
      </c>
      <c r="CM44" s="100">
        <v>20888.976571294064</v>
      </c>
      <c r="CN44" s="100">
        <v>12.270030210164613</v>
      </c>
      <c r="CO44" s="100">
        <v>12544.8788868723</v>
      </c>
      <c r="CP44" s="100">
        <v>4.9312345336894507</v>
      </c>
      <c r="CQ44" s="100">
        <v>5041.6941872440939</v>
      </c>
      <c r="CR44" s="100">
        <v>9.2522531082571025</v>
      </c>
      <c r="CS44" s="100">
        <v>9459.503577882062</v>
      </c>
      <c r="CT44" s="100">
        <v>12.324313956348384</v>
      </c>
      <c r="CU44" s="100">
        <v>12600.378588970587</v>
      </c>
    </row>
    <row r="45" spans="2:99">
      <c r="C45" s="99" t="s">
        <v>211</v>
      </c>
      <c r="D45" s="100">
        <v>8.5014771223729735</v>
      </c>
      <c r="E45" s="100">
        <v>10620.045221268319</v>
      </c>
      <c r="F45" s="100">
        <v>9.7965523382317983</v>
      </c>
      <c r="G45" s="100">
        <v>12237.853180919163</v>
      </c>
      <c r="H45" s="100">
        <v>17.571627993237808</v>
      </c>
      <c r="I45" s="100">
        <v>21950.477689152671</v>
      </c>
      <c r="J45" s="100">
        <v>13.924730532393884</v>
      </c>
      <c r="K45" s="100">
        <v>17394.773381066439</v>
      </c>
      <c r="L45" s="100">
        <v>7.4516978280904604</v>
      </c>
      <c r="M45" s="100">
        <v>9308.6609268506036</v>
      </c>
      <c r="N45" s="100">
        <v>9.4186225436175857</v>
      </c>
      <c r="O45" s="100">
        <v>11765.743281487088</v>
      </c>
      <c r="P45" s="100">
        <v>14.980662215564054</v>
      </c>
      <c r="Q45" s="100">
        <v>18713.843239682617</v>
      </c>
      <c r="R45" s="100">
        <v>19</v>
      </c>
      <c r="S45" s="100">
        <v>23734.799999999999</v>
      </c>
      <c r="T45" s="100">
        <v>12.812974849612317</v>
      </c>
      <c r="U45" s="100">
        <v>16005.968182135706</v>
      </c>
      <c r="V45" s="100">
        <v>15.374529904616741</v>
      </c>
      <c r="W45" s="100">
        <v>19205.862756847233</v>
      </c>
      <c r="X45" s="100">
        <v>6.4601285215337692</v>
      </c>
      <c r="Y45" s="100">
        <v>8069.9925490999849</v>
      </c>
      <c r="Z45" s="100">
        <v>12.208649863032917</v>
      </c>
      <c r="AA45" s="100">
        <v>15251.045408900722</v>
      </c>
      <c r="AB45" s="100">
        <v>5.711465129072506</v>
      </c>
      <c r="AC45" s="100">
        <v>7134.7622392373751</v>
      </c>
      <c r="AD45" s="100">
        <v>16.873946913249465</v>
      </c>
      <c r="AE45" s="100">
        <v>21078.934484031233</v>
      </c>
      <c r="AF45" s="100">
        <v>10.306031048014818</v>
      </c>
      <c r="AG45" s="100">
        <v>12874.293985180111</v>
      </c>
      <c r="AH45" s="100">
        <v>14.818060026096054</v>
      </c>
      <c r="AI45" s="100">
        <v>18510.720584599192</v>
      </c>
      <c r="AJ45" s="100">
        <v>14.336973581201335</v>
      </c>
      <c r="AK45" s="100">
        <v>17909.747397636707</v>
      </c>
      <c r="AL45" s="100">
        <v>3.0986547427397375</v>
      </c>
      <c r="AM45" s="100">
        <v>3870.8395046304804</v>
      </c>
      <c r="AN45" s="100">
        <v>14.732560553078558</v>
      </c>
      <c r="AO45" s="100">
        <v>18403.914642905736</v>
      </c>
      <c r="AP45" s="100">
        <v>12</v>
      </c>
      <c r="AQ45" s="100">
        <v>14990.400000000001</v>
      </c>
      <c r="AR45" s="100">
        <v>16.223904830513703</v>
      </c>
      <c r="AS45" s="100">
        <v>20266.901914277718</v>
      </c>
      <c r="AT45" s="100">
        <v>3.1718528739422776</v>
      </c>
      <c r="AU45" s="100">
        <v>3962.2786101286933</v>
      </c>
      <c r="AV45" s="100">
        <v>15.888343734326321</v>
      </c>
      <c r="AW45" s="100">
        <v>19847.71899292044</v>
      </c>
      <c r="AX45" s="100">
        <v>9.0739351882775559</v>
      </c>
      <c r="AY45" s="100">
        <v>11335.159837196323</v>
      </c>
      <c r="AZ45" s="100">
        <v>7.8387629838541493</v>
      </c>
      <c r="BA45" s="100">
        <v>9792.1827194306043</v>
      </c>
      <c r="BB45" s="100">
        <v>3.124875729055268</v>
      </c>
      <c r="BC45" s="100">
        <v>3903.5947607358407</v>
      </c>
      <c r="BD45" s="100">
        <v>10.512496911957054</v>
      </c>
      <c r="BE45" s="100">
        <v>13132.211142416752</v>
      </c>
      <c r="BF45" s="100">
        <v>8.1543096246250322</v>
      </c>
      <c r="BG45" s="100">
        <v>10186.363583081591</v>
      </c>
      <c r="BH45" s="100">
        <v>11.883392115362446</v>
      </c>
      <c r="BI45" s="100">
        <v>14844.733430510767</v>
      </c>
      <c r="BJ45" s="100">
        <v>8.5634188587756537</v>
      </c>
      <c r="BK45" s="100">
        <v>10697.422838382547</v>
      </c>
      <c r="BL45" s="100">
        <v>12.052741602154601</v>
      </c>
      <c r="BM45" s="100">
        <v>15056.284809411529</v>
      </c>
      <c r="BN45" s="100">
        <v>11.815892453121952</v>
      </c>
      <c r="BO45" s="100">
        <v>14760.412852439944</v>
      </c>
      <c r="BP45" s="100">
        <v>12</v>
      </c>
      <c r="BQ45" s="100">
        <v>14990.400000000001</v>
      </c>
      <c r="BR45" s="100">
        <v>14.731024103141557</v>
      </c>
      <c r="BS45" s="100">
        <v>18401.995309644433</v>
      </c>
      <c r="BT45" s="100">
        <v>12.151658393893097</v>
      </c>
      <c r="BU45" s="100">
        <v>15179.851665651257</v>
      </c>
      <c r="BV45" s="100">
        <v>15.357592470722516</v>
      </c>
      <c r="BW45" s="100">
        <v>19184.704514426568</v>
      </c>
      <c r="BX45" s="100">
        <v>6.4025318176350048</v>
      </c>
      <c r="BY45" s="100">
        <v>7998.0427465896482</v>
      </c>
      <c r="BZ45" s="100">
        <v>7.0064684829745714</v>
      </c>
      <c r="CA45" s="100">
        <v>8752.4804289318345</v>
      </c>
      <c r="CB45" s="100">
        <v>7.0021560581769133</v>
      </c>
      <c r="CC45" s="100">
        <v>8747.093347874601</v>
      </c>
      <c r="CD45" s="100">
        <v>9.5348568483948402</v>
      </c>
      <c r="CE45" s="100">
        <v>11910.943175014834</v>
      </c>
      <c r="CF45" s="100">
        <v>18.501153581148138</v>
      </c>
      <c r="CG45" s="100">
        <v>23111.641053570256</v>
      </c>
      <c r="CH45" s="100">
        <v>8.9792121019554916</v>
      </c>
      <c r="CI45" s="100">
        <v>11216.8317577628</v>
      </c>
      <c r="CJ45" s="100">
        <v>7.4077485218827572</v>
      </c>
      <c r="CK45" s="100">
        <v>9253.7594535359403</v>
      </c>
      <c r="CL45" s="100">
        <v>18.431315112768061</v>
      </c>
      <c r="CM45" s="100">
        <v>23024.398838869864</v>
      </c>
      <c r="CN45" s="100">
        <v>11.326181732459643</v>
      </c>
      <c r="CO45" s="100">
        <v>14148.666220188587</v>
      </c>
      <c r="CP45" s="100">
        <v>4.9297687148894074</v>
      </c>
      <c r="CQ45" s="100">
        <v>6158.2670786398476</v>
      </c>
      <c r="CR45" s="100">
        <v>9.9028039085236461</v>
      </c>
      <c r="CS45" s="100">
        <v>12370.582642527739</v>
      </c>
      <c r="CT45" s="100">
        <v>12.445105342020593</v>
      </c>
      <c r="CU45" s="100">
        <v>15546.425593252125</v>
      </c>
    </row>
    <row r="46" spans="2:99">
      <c r="C46" s="99" t="s">
        <v>212</v>
      </c>
      <c r="D46" s="100">
        <v>8.4191063819457987</v>
      </c>
      <c r="E46" s="100">
        <v>10203.956934918308</v>
      </c>
      <c r="F46" s="100">
        <v>8.9421538438841193</v>
      </c>
      <c r="G46" s="100">
        <v>10837.890458787553</v>
      </c>
      <c r="H46" s="100">
        <v>19.571627993237808</v>
      </c>
      <c r="I46" s="100">
        <v>23720.813127804224</v>
      </c>
      <c r="J46" s="100">
        <v>13.924730532393884</v>
      </c>
      <c r="K46" s="100">
        <v>16876.773405261389</v>
      </c>
      <c r="L46" s="100">
        <v>8.3311759805485295</v>
      </c>
      <c r="M46" s="100">
        <v>10097.385288424817</v>
      </c>
      <c r="N46" s="100">
        <v>10.923092003938763</v>
      </c>
      <c r="O46" s="100">
        <v>13238.787508773781</v>
      </c>
      <c r="P46" s="100">
        <v>14.980662215564054</v>
      </c>
      <c r="Q46" s="100">
        <v>18156.562605263633</v>
      </c>
      <c r="R46" s="100">
        <v>19</v>
      </c>
      <c r="S46" s="100">
        <v>23028</v>
      </c>
      <c r="T46" s="100">
        <v>11.958776526304829</v>
      </c>
      <c r="U46" s="100">
        <v>14494.037149881453</v>
      </c>
      <c r="V46" s="100">
        <v>13.66624880410377</v>
      </c>
      <c r="W46" s="100">
        <v>16563.49355057377</v>
      </c>
      <c r="X46" s="100">
        <v>7.2181582355483398</v>
      </c>
      <c r="Y46" s="100">
        <v>8748.4077814845878</v>
      </c>
      <c r="Z46" s="100">
        <v>12.208649863032917</v>
      </c>
      <c r="AA46" s="100">
        <v>14796.883633995896</v>
      </c>
      <c r="AB46" s="100">
        <v>5.1922410264295511</v>
      </c>
      <c r="AC46" s="100">
        <v>6292.9961240326156</v>
      </c>
      <c r="AD46" s="100">
        <v>19.873946913249465</v>
      </c>
      <c r="AE46" s="100">
        <v>24087.223658858351</v>
      </c>
      <c r="AF46" s="100">
        <v>10.306031048014818</v>
      </c>
      <c r="AG46" s="100">
        <v>12490.909630193959</v>
      </c>
      <c r="AH46" s="100">
        <v>14.077157024791251</v>
      </c>
      <c r="AI46" s="100">
        <v>17061.514314046995</v>
      </c>
      <c r="AJ46" s="100">
        <v>14.401302713332237</v>
      </c>
      <c r="AK46" s="100">
        <v>17454.378888558673</v>
      </c>
      <c r="AL46" s="100">
        <v>3.0986547427397375</v>
      </c>
      <c r="AM46" s="100">
        <v>3755.5695482005617</v>
      </c>
      <c r="AN46" s="100">
        <v>14.732560553078558</v>
      </c>
      <c r="AO46" s="100">
        <v>17855.863390331211</v>
      </c>
      <c r="AP46" s="100">
        <v>12</v>
      </c>
      <c r="AQ46" s="100">
        <v>14544</v>
      </c>
      <c r="AR46" s="100">
        <v>14.63427768701208</v>
      </c>
      <c r="AS46" s="100">
        <v>17736.744556658639</v>
      </c>
      <c r="AT46" s="100">
        <v>3.497279271501061</v>
      </c>
      <c r="AU46" s="100">
        <v>4238.7024770592861</v>
      </c>
      <c r="AV46" s="100">
        <v>13.777300767535531</v>
      </c>
      <c r="AW46" s="100">
        <v>16698.088530253062</v>
      </c>
      <c r="AX46" s="100">
        <v>8.2490319893432336</v>
      </c>
      <c r="AY46" s="100">
        <v>9997.8267710839991</v>
      </c>
      <c r="AZ46" s="100">
        <v>8.5513778005681615</v>
      </c>
      <c r="BA46" s="100">
        <v>10364.269894288613</v>
      </c>
      <c r="BB46" s="100">
        <v>2.8644694183006627</v>
      </c>
      <c r="BC46" s="100">
        <v>3471.736934980403</v>
      </c>
      <c r="BD46" s="100">
        <v>9.1725653531765605</v>
      </c>
      <c r="BE46" s="100">
        <v>11117.149208049992</v>
      </c>
      <c r="BF46" s="100">
        <v>8.1643484015649648</v>
      </c>
      <c r="BG46" s="100">
        <v>9895.1902626967367</v>
      </c>
      <c r="BH46" s="100">
        <v>12.023296831406025</v>
      </c>
      <c r="BI46" s="100">
        <v>14572.235759664103</v>
      </c>
      <c r="BJ46" s="100">
        <v>9.1486134253574303</v>
      </c>
      <c r="BK46" s="100">
        <v>11088.119471533206</v>
      </c>
      <c r="BL46" s="100">
        <v>11.350116393767429</v>
      </c>
      <c r="BM46" s="100">
        <v>13756.341069246124</v>
      </c>
      <c r="BN46" s="100">
        <v>11.699336388390245</v>
      </c>
      <c r="BO46" s="100">
        <v>14179.595702728977</v>
      </c>
      <c r="BP46" s="100">
        <v>12</v>
      </c>
      <c r="BQ46" s="100">
        <v>14544</v>
      </c>
      <c r="BR46" s="100">
        <v>13.257921692827402</v>
      </c>
      <c r="BS46" s="100">
        <v>16068.601091706811</v>
      </c>
      <c r="BT46" s="100">
        <v>12.826750526887158</v>
      </c>
      <c r="BU46" s="100">
        <v>15546.021638587235</v>
      </c>
      <c r="BV46" s="100">
        <v>15.252984415345948</v>
      </c>
      <c r="BW46" s="100">
        <v>18486.61711139929</v>
      </c>
      <c r="BX46" s="100">
        <v>7.2736381880860339</v>
      </c>
      <c r="BY46" s="100">
        <v>8815.6494839602728</v>
      </c>
      <c r="BZ46" s="100">
        <v>6.5086368377969253</v>
      </c>
      <c r="CA46" s="100">
        <v>7888.4678474098737</v>
      </c>
      <c r="CB46" s="100">
        <v>6.9854761255625135</v>
      </c>
      <c r="CC46" s="100">
        <v>8466.3970641817668</v>
      </c>
      <c r="CD46" s="100">
        <v>9.531023027799769</v>
      </c>
      <c r="CE46" s="100">
        <v>11551.599909693319</v>
      </c>
      <c r="CF46" s="100">
        <v>19.296315084576225</v>
      </c>
      <c r="CG46" s="100">
        <v>23387.133882506383</v>
      </c>
      <c r="CH46" s="100">
        <v>8.3805979618251243</v>
      </c>
      <c r="CI46" s="100">
        <v>10157.284729732051</v>
      </c>
      <c r="CJ46" s="100">
        <v>8.1675271507282989</v>
      </c>
      <c r="CK46" s="100">
        <v>9899.0429066826982</v>
      </c>
      <c r="CL46" s="100">
        <v>18.431315112768061</v>
      </c>
      <c r="CM46" s="100">
        <v>22338.75391667489</v>
      </c>
      <c r="CN46" s="100">
        <v>11.326181732459643</v>
      </c>
      <c r="CO46" s="100">
        <v>13727.332259741088</v>
      </c>
      <c r="CP46" s="100">
        <v>4.8939184976859647</v>
      </c>
      <c r="CQ46" s="100">
        <v>5931.4292191953891</v>
      </c>
      <c r="CR46" s="100">
        <v>9.9028039085236461</v>
      </c>
      <c r="CS46" s="100">
        <v>12002.19833713066</v>
      </c>
      <c r="CT46" s="100">
        <v>13.864853200891933</v>
      </c>
      <c r="CU46" s="100">
        <v>16804.202079481023</v>
      </c>
    </row>
    <row r="47" spans="2:99">
      <c r="C47" s="99" t="s">
        <v>213</v>
      </c>
      <c r="D47" s="100">
        <v>9.3527977181718214</v>
      </c>
      <c r="E47" s="100">
        <v>14287.333794279273</v>
      </c>
      <c r="F47" s="100">
        <v>9.4105298225655361</v>
      </c>
      <c r="G47" s="100">
        <v>14375.525356951111</v>
      </c>
      <c r="H47" s="100">
        <v>18.571627993237808</v>
      </c>
      <c r="I47" s="100">
        <v>28370.018922470073</v>
      </c>
      <c r="J47" s="100">
        <v>13.105628736370713</v>
      </c>
      <c r="K47" s="100">
        <v>20020.1584576799</v>
      </c>
      <c r="L47" s="100">
        <v>7.0199142411291335</v>
      </c>
      <c r="M47" s="100">
        <v>10723.620994748864</v>
      </c>
      <c r="N47" s="100">
        <v>9.8254801899618691</v>
      </c>
      <c r="O47" s="100">
        <v>15009.40353818575</v>
      </c>
      <c r="P47" s="100">
        <v>14.980662215564054</v>
      </c>
      <c r="Q47" s="100">
        <v>22884.459600495647</v>
      </c>
      <c r="R47" s="100">
        <v>20</v>
      </c>
      <c r="S47" s="100">
        <v>30552</v>
      </c>
      <c r="T47" s="100">
        <v>11.958776526304829</v>
      </c>
      <c r="U47" s="100">
        <v>18268.227021583258</v>
      </c>
      <c r="V47" s="100">
        <v>15.374529904616741</v>
      </c>
      <c r="W47" s="100">
        <v>23486.131882292531</v>
      </c>
      <c r="X47" s="100">
        <v>7.2153455768133545</v>
      </c>
      <c r="Y47" s="100">
        <v>11022.161903140081</v>
      </c>
      <c r="Z47" s="100">
        <v>11.208649863032917</v>
      </c>
      <c r="AA47" s="100">
        <v>17122.333530769083</v>
      </c>
      <c r="AB47" s="100">
        <v>4.6730169237865953</v>
      </c>
      <c r="AC47" s="100">
        <v>7138.5006527764026</v>
      </c>
      <c r="AD47" s="100">
        <v>18.873946913249465</v>
      </c>
      <c r="AE47" s="100">
        <v>28831.841304679881</v>
      </c>
      <c r="AF47" s="100">
        <v>10.306031048014818</v>
      </c>
      <c r="AG47" s="100">
        <v>15743.493028947434</v>
      </c>
      <c r="AH47" s="100">
        <v>14.818060026096054</v>
      </c>
      <c r="AI47" s="100">
        <v>22636.068495864332</v>
      </c>
      <c r="AJ47" s="100">
        <v>14.401302713332237</v>
      </c>
      <c r="AK47" s="100">
        <v>21999.430024886326</v>
      </c>
      <c r="AL47" s="100">
        <v>3.0661746323796102</v>
      </c>
      <c r="AM47" s="100">
        <v>4683.8883684230923</v>
      </c>
      <c r="AN47" s="100">
        <v>16.732560553078557</v>
      </c>
      <c r="AO47" s="100">
        <v>25560.659500882801</v>
      </c>
      <c r="AP47" s="100">
        <v>12</v>
      </c>
      <c r="AQ47" s="100">
        <v>18331.199999999997</v>
      </c>
      <c r="AR47" s="100">
        <v>13.025377990834134</v>
      </c>
      <c r="AS47" s="100">
        <v>19897.567418798222</v>
      </c>
      <c r="AT47" s="100">
        <v>2.9653535961413771</v>
      </c>
      <c r="AU47" s="100">
        <v>4529.8741534655674</v>
      </c>
      <c r="AV47" s="100">
        <v>14.888343734326321</v>
      </c>
      <c r="AW47" s="100">
        <v>22743.433888556887</v>
      </c>
      <c r="AX47" s="100">
        <v>9.0739351882775559</v>
      </c>
      <c r="AY47" s="100">
        <v>13861.343393612793</v>
      </c>
      <c r="AZ47" s="100">
        <v>8.5513778005681615</v>
      </c>
      <c r="BA47" s="100">
        <v>13063.084728147924</v>
      </c>
      <c r="BB47" s="100">
        <v>2.8644694183006627</v>
      </c>
      <c r="BC47" s="100">
        <v>4375.7634833960919</v>
      </c>
      <c r="BD47" s="100">
        <v>8.3718715737293596</v>
      </c>
      <c r="BE47" s="100">
        <v>12788.871016028968</v>
      </c>
      <c r="BF47" s="100">
        <v>9.2121914804393406</v>
      </c>
      <c r="BG47" s="100">
        <v>14072.543705519136</v>
      </c>
      <c r="BH47" s="100">
        <v>12.023296831406025</v>
      </c>
      <c r="BI47" s="100">
        <v>18366.788239655842</v>
      </c>
      <c r="BJ47" s="100">
        <v>7.9749841851620005</v>
      </c>
      <c r="BK47" s="100">
        <v>12182.585841253471</v>
      </c>
      <c r="BL47" s="100">
        <v>10.651740347946619</v>
      </c>
      <c r="BM47" s="100">
        <v>16271.598555523255</v>
      </c>
      <c r="BN47" s="100">
        <v>12.815892453121952</v>
      </c>
      <c r="BO47" s="100">
        <v>19577.557311389093</v>
      </c>
      <c r="BP47" s="100">
        <v>12</v>
      </c>
      <c r="BQ47" s="100">
        <v>18331.199999999997</v>
      </c>
      <c r="BR47" s="100">
        <v>14.731024103141557</v>
      </c>
      <c r="BS47" s="100">
        <v>22503.112419959041</v>
      </c>
      <c r="BT47" s="100">
        <v>11.476566260899036</v>
      </c>
      <c r="BU47" s="100">
        <v>17531.602620149366</v>
      </c>
      <c r="BV47" s="100">
        <v>13.790450807037292</v>
      </c>
      <c r="BW47" s="100">
        <v>21066.292652830165</v>
      </c>
      <c r="BX47" s="100">
        <v>6.816314486826391</v>
      </c>
      <c r="BY47" s="100">
        <v>10412.602010075994</v>
      </c>
      <c r="BZ47" s="100">
        <v>7.5083364323266961</v>
      </c>
      <c r="CA47" s="100">
        <v>11469.73473402226</v>
      </c>
      <c r="CB47" s="100">
        <v>5.9718485685876566</v>
      </c>
      <c r="CC47" s="100">
        <v>9122.5958733745028</v>
      </c>
      <c r="CD47" s="100">
        <v>7.9827746305660003</v>
      </c>
      <c r="CE47" s="100">
        <v>12194.486525652621</v>
      </c>
      <c r="CF47" s="100">
        <v>20.426536309559719</v>
      </c>
      <c r="CG47" s="100">
        <v>31203.576866483425</v>
      </c>
      <c r="CH47" s="100">
        <v>7.7819838216947597</v>
      </c>
      <c r="CI47" s="100">
        <v>11887.758486020914</v>
      </c>
      <c r="CJ47" s="100">
        <v>6.9766421166199342</v>
      </c>
      <c r="CK47" s="100">
        <v>10657.51849734861</v>
      </c>
      <c r="CL47" s="100">
        <v>19.431315112768061</v>
      </c>
      <c r="CM47" s="100">
        <v>29683.27696626449</v>
      </c>
      <c r="CN47" s="100">
        <v>11.326181732459643</v>
      </c>
      <c r="CO47" s="100">
        <v>17301.875214505351</v>
      </c>
      <c r="CP47" s="100">
        <v>4.225604488019016</v>
      </c>
      <c r="CQ47" s="100">
        <v>6455.0334158978485</v>
      </c>
      <c r="CR47" s="100">
        <v>9.9028039085236461</v>
      </c>
      <c r="CS47" s="100">
        <v>15127.523250660721</v>
      </c>
      <c r="CT47" s="100">
        <v>13.861488030384239</v>
      </c>
      <c r="CU47" s="100">
        <v>21174.809115214961</v>
      </c>
    </row>
    <row r="48" spans="2:99">
      <c r="C48" s="99" t="s">
        <v>214</v>
      </c>
      <c r="D48" s="100">
        <v>8.974229150643378</v>
      </c>
      <c r="E48" s="100">
        <v>7786.0412110981952</v>
      </c>
      <c r="F48" s="100">
        <v>9.8789058012469511</v>
      </c>
      <c r="G48" s="100">
        <v>8570.9386731618542</v>
      </c>
      <c r="H48" s="100">
        <v>20.397002660655829</v>
      </c>
      <c r="I48" s="100">
        <v>17696.439508384999</v>
      </c>
      <c r="J48" s="100">
        <v>16.382035920463395</v>
      </c>
      <c r="K48" s="100">
        <v>14213.054364594042</v>
      </c>
      <c r="L48" s="100">
        <v>7.4676088066258766</v>
      </c>
      <c r="M48" s="100">
        <v>6478.8974006286107</v>
      </c>
      <c r="N48" s="100">
        <v>10.834960773602955</v>
      </c>
      <c r="O48" s="100">
        <v>9400.4119671779245</v>
      </c>
      <c r="P48" s="100">
        <v>15.144105918158063</v>
      </c>
      <c r="Q48" s="100">
        <v>13139.026294593936</v>
      </c>
      <c r="R48" s="100">
        <v>18</v>
      </c>
      <c r="S48" s="100">
        <v>15616.800000000001</v>
      </c>
      <c r="T48" s="100">
        <v>12.812974849612317</v>
      </c>
      <c r="U48" s="100">
        <v>11116.536979523646</v>
      </c>
      <c r="V48" s="100">
        <v>16.228670454873228</v>
      </c>
      <c r="W48" s="100">
        <v>14079.994486648013</v>
      </c>
      <c r="X48" s="100">
        <v>7.9733752908279243</v>
      </c>
      <c r="Y48" s="100">
        <v>6917.7004023223071</v>
      </c>
      <c r="Z48" s="100">
        <v>13.381314129180476</v>
      </c>
      <c r="AA48" s="100">
        <v>11609.628138476981</v>
      </c>
      <c r="AB48" s="100">
        <v>4.6730169237865953</v>
      </c>
      <c r="AC48" s="100">
        <v>4054.3094830772502</v>
      </c>
      <c r="AD48" s="100">
        <v>20.048736295899356</v>
      </c>
      <c r="AE48" s="100">
        <v>17394.283610322283</v>
      </c>
      <c r="AF48" s="100">
        <v>11.24294296147071</v>
      </c>
      <c r="AG48" s="100">
        <v>9754.3773133719878</v>
      </c>
      <c r="AH48" s="100">
        <v>13.336254023486449</v>
      </c>
      <c r="AI48" s="100">
        <v>11570.533990776843</v>
      </c>
      <c r="AJ48" s="100">
        <v>16.042596688439993</v>
      </c>
      <c r="AK48" s="100">
        <v>13918.556886890537</v>
      </c>
      <c r="AL48" s="100">
        <v>3.4717194695022844</v>
      </c>
      <c r="AM48" s="100">
        <v>3012.0638117401818</v>
      </c>
      <c r="AN48" s="100">
        <v>18.732560553078557</v>
      </c>
      <c r="AO48" s="100">
        <v>16252.369535850956</v>
      </c>
      <c r="AP48" s="100">
        <v>13</v>
      </c>
      <c r="AQ48" s="100">
        <v>11278.800000000001</v>
      </c>
      <c r="AR48" s="100">
        <v>14.63427768701208</v>
      </c>
      <c r="AS48" s="100">
        <v>12696.699321251681</v>
      </c>
      <c r="AT48" s="100">
        <v>2.9560581327752815</v>
      </c>
      <c r="AU48" s="100">
        <v>2564.6760359958344</v>
      </c>
      <c r="AV48" s="100">
        <v>15.888343734326321</v>
      </c>
      <c r="AW48" s="100">
        <v>13784.727023901516</v>
      </c>
      <c r="AX48" s="100">
        <v>10.723741586146204</v>
      </c>
      <c r="AY48" s="100">
        <v>9303.9182001404461</v>
      </c>
      <c r="AZ48" s="100">
        <v>9.2639926172821756</v>
      </c>
      <c r="BA48" s="100">
        <v>8037.439994754016</v>
      </c>
      <c r="BB48" s="100">
        <v>2.8644694183006627</v>
      </c>
      <c r="BC48" s="100">
        <v>2485.2136673176551</v>
      </c>
      <c r="BD48" s="100">
        <v>10.599648911995022</v>
      </c>
      <c r="BE48" s="100">
        <v>9196.2553960468813</v>
      </c>
      <c r="BF48" s="100">
        <v>8.0756380511971972</v>
      </c>
      <c r="BG48" s="100">
        <v>7006.4235732186889</v>
      </c>
      <c r="BH48" s="100">
        <v>12.711403991286584</v>
      </c>
      <c r="BI48" s="100">
        <v>11028.414102840241</v>
      </c>
      <c r="BJ48" s="100">
        <v>8.612209424967638</v>
      </c>
      <c r="BK48" s="100">
        <v>7471.9528971019226</v>
      </c>
      <c r="BL48" s="100">
        <v>11.487364019710586</v>
      </c>
      <c r="BM48" s="100">
        <v>9966.4370235009046</v>
      </c>
      <c r="BN48" s="100">
        <v>12.699336388390245</v>
      </c>
      <c r="BO48" s="100">
        <v>11017.944250567376</v>
      </c>
      <c r="BP48" s="100">
        <v>11</v>
      </c>
      <c r="BQ48" s="100">
        <v>9543.6</v>
      </c>
      <c r="BR48" s="100">
        <v>16.204126513455712</v>
      </c>
      <c r="BS48" s="100">
        <v>14058.700163074176</v>
      </c>
      <c r="BT48" s="100">
        <v>12.151658393893097</v>
      </c>
      <c r="BU48" s="100">
        <v>10542.778822541652</v>
      </c>
      <c r="BV48" s="100">
        <v>13.790450807037292</v>
      </c>
      <c r="BW48" s="100">
        <v>11964.595120185555</v>
      </c>
      <c r="BX48" s="100">
        <v>7.2954087041201623</v>
      </c>
      <c r="BY48" s="100">
        <v>6329.496591694653</v>
      </c>
      <c r="BZ48" s="100">
        <v>8.0142406858532986</v>
      </c>
      <c r="CA48" s="100">
        <v>6953.1552190463217</v>
      </c>
      <c r="CB48" s="100">
        <v>6.9854761255625135</v>
      </c>
      <c r="CC48" s="100">
        <v>6060.5990865380372</v>
      </c>
      <c r="CD48" s="100">
        <v>9.9723717120426354</v>
      </c>
      <c r="CE48" s="100">
        <v>8652.0296973681907</v>
      </c>
      <c r="CF48" s="100">
        <v>20.259006448782014</v>
      </c>
      <c r="CG48" s="100">
        <v>17576.713994963276</v>
      </c>
      <c r="CH48" s="100">
        <v>8.9792121019554916</v>
      </c>
      <c r="CI48" s="100">
        <v>7790.3644196565847</v>
      </c>
      <c r="CJ48" s="100">
        <v>8.5474164651510698</v>
      </c>
      <c r="CK48" s="100">
        <v>7415.7385251650685</v>
      </c>
      <c r="CL48" s="100">
        <v>20.272280100238277</v>
      </c>
      <c r="CM48" s="100">
        <v>17588.23021496673</v>
      </c>
      <c r="CN48" s="100">
        <v>13.213878687869583</v>
      </c>
      <c r="CO48" s="100">
        <v>11464.36114959565</v>
      </c>
      <c r="CP48" s="100">
        <v>5.3184339549280679</v>
      </c>
      <c r="CQ48" s="100">
        <v>4614.2732992955916</v>
      </c>
      <c r="CR48" s="100">
        <v>9.3635067627045334</v>
      </c>
      <c r="CS48" s="100">
        <v>8123.7784673224533</v>
      </c>
      <c r="CT48" s="100">
        <v>12.905282247182313</v>
      </c>
      <c r="CU48" s="100">
        <v>11196.622877655376</v>
      </c>
    </row>
    <row r="49" spans="2:99">
      <c r="B49" s="99" t="s">
        <v>129</v>
      </c>
      <c r="C49" s="99" t="s">
        <v>215</v>
      </c>
      <c r="D49" s="100">
        <v>3.6703645254166024</v>
      </c>
      <c r="E49" s="100">
        <v>3616.0431304404365</v>
      </c>
      <c r="F49" s="100">
        <v>9.7443979811158616</v>
      </c>
      <c r="G49" s="100">
        <v>9600.180890995347</v>
      </c>
      <c r="H49" s="100">
        <v>8.6118588058612158</v>
      </c>
      <c r="I49" s="100">
        <v>8484.4032955344701</v>
      </c>
      <c r="J49" s="100">
        <v>7.1323052992936669</v>
      </c>
      <c r="K49" s="100">
        <v>7026.7471808641203</v>
      </c>
      <c r="L49" s="100">
        <v>5.3458149325096294</v>
      </c>
      <c r="M49" s="100">
        <v>5266.6968715084868</v>
      </c>
      <c r="N49" s="100">
        <v>2.4025770030240103</v>
      </c>
      <c r="O49" s="100">
        <v>2367.018863379255</v>
      </c>
      <c r="P49" s="100">
        <v>9.8736220279805806</v>
      </c>
      <c r="Q49" s="100">
        <v>9727.4924219664681</v>
      </c>
      <c r="R49" s="100">
        <v>10</v>
      </c>
      <c r="S49" s="100">
        <v>9852</v>
      </c>
      <c r="T49" s="100">
        <v>6.528303906615557</v>
      </c>
      <c r="U49" s="100">
        <v>6431.6850087976463</v>
      </c>
      <c r="V49" s="100">
        <v>6.243369728544228</v>
      </c>
      <c r="W49" s="100">
        <v>6150.9678565617733</v>
      </c>
      <c r="X49" s="100">
        <v>10.170041840674113</v>
      </c>
      <c r="Y49" s="100">
        <v>10019.525221432135</v>
      </c>
      <c r="Z49" s="100">
        <v>10.886758774521194</v>
      </c>
      <c r="AA49" s="100">
        <v>10725.63474465828</v>
      </c>
      <c r="AB49" s="100">
        <v>6.310569689455332</v>
      </c>
      <c r="AC49" s="100">
        <v>6217.1732580513926</v>
      </c>
      <c r="AD49" s="100">
        <v>5.4754735354094199</v>
      </c>
      <c r="AE49" s="100">
        <v>5394.4365270853605</v>
      </c>
      <c r="AF49" s="100">
        <v>6.9314924812714116</v>
      </c>
      <c r="AG49" s="100">
        <v>6828.9063925485943</v>
      </c>
      <c r="AH49" s="100">
        <v>7.9004701650181905</v>
      </c>
      <c r="AI49" s="100">
        <v>7783.5432065759205</v>
      </c>
      <c r="AJ49" s="100">
        <v>5.82619478401595</v>
      </c>
      <c r="AK49" s="100">
        <v>5739.9671012125136</v>
      </c>
      <c r="AL49" s="100">
        <v>5.1713758715105724</v>
      </c>
      <c r="AM49" s="100">
        <v>5094.8395086122155</v>
      </c>
      <c r="AN49" s="100">
        <v>6.7724627288621795</v>
      </c>
      <c r="AO49" s="100">
        <v>6672.2302804750188</v>
      </c>
      <c r="AP49" s="100">
        <v>6.2982262206655166</v>
      </c>
      <c r="AQ49" s="100">
        <v>6205.0124725996666</v>
      </c>
      <c r="AR49" s="100">
        <v>5.4446951087248623</v>
      </c>
      <c r="AS49" s="100">
        <v>5364.1136211157336</v>
      </c>
      <c r="AT49" s="100">
        <v>7.9891958650809629</v>
      </c>
      <c r="AU49" s="100">
        <v>7870.9557662777643</v>
      </c>
      <c r="AV49" s="100">
        <v>9</v>
      </c>
      <c r="AW49" s="100">
        <v>8866.7999999999993</v>
      </c>
      <c r="AX49" s="100">
        <v>5.1866988462823373</v>
      </c>
      <c r="AY49" s="100">
        <v>5109.9357033573588</v>
      </c>
      <c r="AZ49" s="100">
        <v>1.5144813305410103</v>
      </c>
      <c r="BA49" s="100">
        <v>1492.0670068490033</v>
      </c>
      <c r="BB49" s="100">
        <v>7.5501141079529948</v>
      </c>
      <c r="BC49" s="100">
        <v>7438.3724191552901</v>
      </c>
      <c r="BD49" s="100">
        <v>6.7157214661874045</v>
      </c>
      <c r="BE49" s="100">
        <v>6616.32878848783</v>
      </c>
      <c r="BF49" s="100">
        <v>9.2471086582181474</v>
      </c>
      <c r="BG49" s="100">
        <v>9110.2514500765174</v>
      </c>
      <c r="BH49" s="100">
        <v>5.0470122059082696</v>
      </c>
      <c r="BI49" s="100">
        <v>4972.3164252608267</v>
      </c>
      <c r="BJ49" s="100">
        <v>7.0611365045773864</v>
      </c>
      <c r="BK49" s="100">
        <v>6956.6316843096401</v>
      </c>
      <c r="BL49" s="100">
        <v>1.1855109616588466</v>
      </c>
      <c r="BM49" s="100">
        <v>1167.9653994262956</v>
      </c>
      <c r="BN49" s="100">
        <v>10.565538088406878</v>
      </c>
      <c r="BO49" s="100">
        <v>10409.168124698455</v>
      </c>
      <c r="BP49" s="100">
        <v>8</v>
      </c>
      <c r="BQ49" s="100">
        <v>7881.5999999999995</v>
      </c>
      <c r="BR49" s="100">
        <v>5.22466171800537</v>
      </c>
      <c r="BS49" s="100">
        <v>5147.3367245788904</v>
      </c>
      <c r="BT49" s="100">
        <v>6.0360057660235524</v>
      </c>
      <c r="BU49" s="100">
        <v>5946.672880686403</v>
      </c>
      <c r="BV49" s="100">
        <v>5.3244441106793126</v>
      </c>
      <c r="BW49" s="100">
        <v>5245.6423378412583</v>
      </c>
      <c r="BX49" s="100">
        <v>3.979366926106557</v>
      </c>
      <c r="BY49" s="100">
        <v>3920.4722956001797</v>
      </c>
      <c r="BZ49" s="100">
        <v>3.3428320681476245</v>
      </c>
      <c r="CA49" s="100">
        <v>3293.3581535390394</v>
      </c>
      <c r="CB49" s="100">
        <v>4.8713761070878476</v>
      </c>
      <c r="CC49" s="100">
        <v>4799.2797407029475</v>
      </c>
      <c r="CD49" s="100">
        <v>4.0106355581995308</v>
      </c>
      <c r="CE49" s="100">
        <v>3951.2781519381774</v>
      </c>
      <c r="CF49" s="100">
        <v>8.7997300594916705</v>
      </c>
      <c r="CG49" s="100">
        <v>8669.4940546111939</v>
      </c>
      <c r="CH49" s="100">
        <v>5.4102982313798691</v>
      </c>
      <c r="CI49" s="100">
        <v>5330.2258175554471</v>
      </c>
      <c r="CJ49" s="100">
        <v>7.4868061685242724</v>
      </c>
      <c r="CK49" s="100">
        <v>7376.001437230113</v>
      </c>
      <c r="CL49" s="100">
        <v>10.158231228353559</v>
      </c>
      <c r="CM49" s="100">
        <v>10007.889406173925</v>
      </c>
      <c r="CN49" s="100">
        <v>6.3997501653072204</v>
      </c>
      <c r="CO49" s="100">
        <v>6305.0338628606733</v>
      </c>
      <c r="CP49" s="100">
        <v>4.0641193863077953</v>
      </c>
      <c r="CQ49" s="100">
        <v>4003.9704193904395</v>
      </c>
      <c r="CR49" s="100">
        <v>12.038967366719428</v>
      </c>
      <c r="CS49" s="100">
        <v>11860.790649691979</v>
      </c>
      <c r="CT49" s="100">
        <v>6.0914217641447346</v>
      </c>
      <c r="CU49" s="100">
        <v>6001.2687220353919</v>
      </c>
    </row>
    <row r="50" spans="2:99">
      <c r="C50" s="99" t="s">
        <v>216</v>
      </c>
      <c r="D50" s="100">
        <v>3.7191491133095789</v>
      </c>
      <c r="E50" s="100">
        <v>1048.8000499533011</v>
      </c>
      <c r="F50" s="100">
        <v>5.5787020373093821</v>
      </c>
      <c r="G50" s="100">
        <v>1573.1939745212458</v>
      </c>
      <c r="H50" s="100">
        <v>11.873126662909893</v>
      </c>
      <c r="I50" s="100">
        <v>3348.2217189405901</v>
      </c>
      <c r="J50" s="100">
        <v>8.1910179602316973</v>
      </c>
      <c r="K50" s="100">
        <v>2309.8670647853387</v>
      </c>
      <c r="L50" s="100">
        <v>4.0133401109352649</v>
      </c>
      <c r="M50" s="100">
        <v>1131.7619112837447</v>
      </c>
      <c r="N50" s="100">
        <v>3.5003024310517445</v>
      </c>
      <c r="O50" s="100">
        <v>987.085285556592</v>
      </c>
      <c r="P50" s="100">
        <v>10.817218512970046</v>
      </c>
      <c r="Q50" s="100">
        <v>3050.455620657553</v>
      </c>
      <c r="R50" s="100">
        <v>11</v>
      </c>
      <c r="S50" s="100">
        <v>3102</v>
      </c>
      <c r="T50" s="100">
        <v>9.3961815563823663</v>
      </c>
      <c r="U50" s="100">
        <v>2649.7231988998274</v>
      </c>
      <c r="V50" s="100">
        <v>7.6872649523083707</v>
      </c>
      <c r="W50" s="100">
        <v>2167.8087165509605</v>
      </c>
      <c r="X50" s="100">
        <v>3.7901485700728523</v>
      </c>
      <c r="Y50" s="100">
        <v>1068.8218967605444</v>
      </c>
      <c r="Z50" s="100">
        <v>12.863321330737797</v>
      </c>
      <c r="AA50" s="100">
        <v>3627.4566152680586</v>
      </c>
      <c r="AB50" s="100">
        <v>4.6730169237865953</v>
      </c>
      <c r="AC50" s="100">
        <v>1317.7907725078198</v>
      </c>
      <c r="AD50" s="100">
        <v>9.8739469132494637</v>
      </c>
      <c r="AE50" s="100">
        <v>2784.4530295363488</v>
      </c>
      <c r="AF50" s="100">
        <v>7.4952953076471402</v>
      </c>
      <c r="AG50" s="100">
        <v>2113.6732767564936</v>
      </c>
      <c r="AH50" s="100">
        <v>8.149933014352829</v>
      </c>
      <c r="AI50" s="100">
        <v>2298.2811100474978</v>
      </c>
      <c r="AJ50" s="100">
        <v>5.3098567181086773</v>
      </c>
      <c r="AK50" s="100">
        <v>1497.379594506647</v>
      </c>
      <c r="AL50" s="100">
        <v>1.4115151735287854</v>
      </c>
      <c r="AM50" s="100">
        <v>398.0472789351175</v>
      </c>
      <c r="AN50" s="100">
        <v>9.7325605530785584</v>
      </c>
      <c r="AO50" s="100">
        <v>2744.5820759681533</v>
      </c>
      <c r="AP50" s="100">
        <v>8</v>
      </c>
      <c r="AQ50" s="100">
        <v>2256</v>
      </c>
      <c r="AR50" s="100">
        <v>8.1215886915950133</v>
      </c>
      <c r="AS50" s="100">
        <v>2290.2880110297938</v>
      </c>
      <c r="AT50" s="100">
        <v>2.2278925198832438</v>
      </c>
      <c r="AU50" s="100">
        <v>628.2656906070747</v>
      </c>
      <c r="AV50" s="100">
        <v>9.6662578007447415</v>
      </c>
      <c r="AW50" s="100">
        <v>2725.8846998100171</v>
      </c>
      <c r="AX50" s="100">
        <v>7.4241287904089095</v>
      </c>
      <c r="AY50" s="100">
        <v>2093.6043188953126</v>
      </c>
      <c r="AZ50" s="100">
        <v>5.7009185337121089</v>
      </c>
      <c r="BA50" s="100">
        <v>1607.6590265068146</v>
      </c>
      <c r="BB50" s="100">
        <v>2.3436567967914512</v>
      </c>
      <c r="BC50" s="100">
        <v>660.9112166951893</v>
      </c>
      <c r="BD50" s="100">
        <v>7.5798872021497887</v>
      </c>
      <c r="BE50" s="100">
        <v>2137.5281910062404</v>
      </c>
      <c r="BF50" s="100">
        <v>6.1707046010081932</v>
      </c>
      <c r="BG50" s="100">
        <v>1740.1386974843106</v>
      </c>
      <c r="BH50" s="100">
        <v>7.3236185876110111</v>
      </c>
      <c r="BI50" s="100">
        <v>2065.2604417063053</v>
      </c>
      <c r="BJ50" s="100">
        <v>5.5692148174835303</v>
      </c>
      <c r="BK50" s="100">
        <v>1570.5185785303556</v>
      </c>
      <c r="BL50" s="100">
        <v>5.0307386808492502</v>
      </c>
      <c r="BM50" s="100">
        <v>1418.6683079994887</v>
      </c>
      <c r="BN50" s="100">
        <v>10.466224258926831</v>
      </c>
      <c r="BO50" s="100">
        <v>2951.4752410173664</v>
      </c>
      <c r="BP50" s="100">
        <v>9</v>
      </c>
      <c r="BQ50" s="100">
        <v>2538</v>
      </c>
      <c r="BR50" s="100">
        <v>4.4193072309424677</v>
      </c>
      <c r="BS50" s="100">
        <v>1246.2446391257758</v>
      </c>
      <c r="BT50" s="100">
        <v>6.7509213299406099</v>
      </c>
      <c r="BU50" s="100">
        <v>1903.759815043252</v>
      </c>
      <c r="BV50" s="100">
        <v>5.7465159613396883</v>
      </c>
      <c r="BW50" s="100">
        <v>1620.5175010977921</v>
      </c>
      <c r="BX50" s="100">
        <v>4.9434786497195615</v>
      </c>
      <c r="BY50" s="100">
        <v>1394.0609792209164</v>
      </c>
      <c r="BZ50" s="100">
        <v>4.0852397284620547</v>
      </c>
      <c r="CA50" s="100">
        <v>1152.0376034262995</v>
      </c>
      <c r="CB50" s="100">
        <v>2.5541702025711994</v>
      </c>
      <c r="CC50" s="100">
        <v>720.27599712507822</v>
      </c>
      <c r="CD50" s="100">
        <v>6.237774216322908</v>
      </c>
      <c r="CE50" s="100">
        <v>1759.0523290030601</v>
      </c>
      <c r="CF50" s="100">
        <v>12.725005395913399</v>
      </c>
      <c r="CG50" s="100">
        <v>3588.4515216475784</v>
      </c>
      <c r="CH50" s="100">
        <v>5.3875272611732949</v>
      </c>
      <c r="CI50" s="100">
        <v>1519.2826876508691</v>
      </c>
      <c r="CJ50" s="100">
        <v>3.7992500766861115</v>
      </c>
      <c r="CK50" s="100">
        <v>1071.3885216254835</v>
      </c>
      <c r="CL50" s="100">
        <v>11.272280100238278</v>
      </c>
      <c r="CM50" s="100">
        <v>3178.7829882671945</v>
      </c>
      <c r="CN50" s="100">
        <v>7.5507878216397621</v>
      </c>
      <c r="CO50" s="100">
        <v>2129.3221657024128</v>
      </c>
      <c r="CP50" s="100">
        <v>3.9675191859333601</v>
      </c>
      <c r="CQ50" s="100">
        <v>1118.8404104332076</v>
      </c>
      <c r="CR50" s="100">
        <v>8.6098608698205616</v>
      </c>
      <c r="CS50" s="100">
        <v>2427.9807652893983</v>
      </c>
      <c r="CT50" s="100">
        <v>5.8365308140551546</v>
      </c>
      <c r="CU50" s="100">
        <v>1645.9016895635536</v>
      </c>
    </row>
    <row r="51" spans="2:99">
      <c r="C51" s="99" t="s">
        <v>217</v>
      </c>
      <c r="D51" s="100">
        <v>3.6328407994441427</v>
      </c>
      <c r="E51" s="100">
        <v>3103.8991790450755</v>
      </c>
      <c r="F51" s="100">
        <v>5.0255061028231385</v>
      </c>
      <c r="G51" s="100">
        <v>4293.7924142520897</v>
      </c>
      <c r="H51" s="100">
        <v>10.873126662909893</v>
      </c>
      <c r="I51" s="100">
        <v>9289.9994207902128</v>
      </c>
      <c r="J51" s="100">
        <v>8.1910179602316973</v>
      </c>
      <c r="K51" s="100">
        <v>6998.4057452219622</v>
      </c>
      <c r="L51" s="100">
        <v>3.5656455454385227</v>
      </c>
      <c r="M51" s="100">
        <v>3046.487554022674</v>
      </c>
      <c r="N51" s="100">
        <v>4.0030924398441972</v>
      </c>
      <c r="O51" s="100">
        <v>3420.2421806028819</v>
      </c>
      <c r="P51" s="100">
        <v>8.8172185129700456</v>
      </c>
      <c r="Q51" s="100">
        <v>7533.431497481607</v>
      </c>
      <c r="R51" s="100">
        <v>11</v>
      </c>
      <c r="S51" s="100">
        <v>9398.4</v>
      </c>
      <c r="T51" s="100">
        <v>7.68778490976739</v>
      </c>
      <c r="U51" s="100">
        <v>6568.4434269052581</v>
      </c>
      <c r="V51" s="100">
        <v>7.6872649523083707</v>
      </c>
      <c r="W51" s="100">
        <v>6567.9991752522719</v>
      </c>
      <c r="X51" s="100">
        <v>4.1691634270801368</v>
      </c>
      <c r="Y51" s="100">
        <v>3562.1332320972688</v>
      </c>
      <c r="Z51" s="100">
        <v>10.690657064590239</v>
      </c>
      <c r="AA51" s="100">
        <v>9134.0973959859002</v>
      </c>
      <c r="AB51" s="100">
        <v>4.1537928211436403</v>
      </c>
      <c r="AC51" s="100">
        <v>3549.0005863851261</v>
      </c>
      <c r="AD51" s="100">
        <v>9.699157530599571</v>
      </c>
      <c r="AE51" s="100">
        <v>8286.9601941442725</v>
      </c>
      <c r="AF51" s="100">
        <v>6.5583833941912477</v>
      </c>
      <c r="AG51" s="100">
        <v>5603.4827719970017</v>
      </c>
      <c r="AH51" s="100">
        <v>7.4090300130480271</v>
      </c>
      <c r="AI51" s="100">
        <v>6330.275243148234</v>
      </c>
      <c r="AJ51" s="100">
        <v>5.3098567181086773</v>
      </c>
      <c r="AK51" s="100">
        <v>4536.7415799520541</v>
      </c>
      <c r="AL51" s="100">
        <v>1.4115151735287854</v>
      </c>
      <c r="AM51" s="100">
        <v>1205.9985642629943</v>
      </c>
      <c r="AN51" s="100">
        <v>9.7325605530785584</v>
      </c>
      <c r="AO51" s="100">
        <v>8315.4997365503204</v>
      </c>
      <c r="AP51" s="100">
        <v>7</v>
      </c>
      <c r="AQ51" s="100">
        <v>5980.8</v>
      </c>
      <c r="AR51" s="100">
        <v>7.31713884350604</v>
      </c>
      <c r="AS51" s="100">
        <v>6251.7634278915602</v>
      </c>
      <c r="AT51" s="100">
        <v>2.1961333953443098</v>
      </c>
      <c r="AU51" s="100">
        <v>1876.3763729821783</v>
      </c>
      <c r="AV51" s="100">
        <v>9.5552148339539507</v>
      </c>
      <c r="AW51" s="100">
        <v>8163.9755541302557</v>
      </c>
      <c r="AX51" s="100">
        <v>6.5992255914745872</v>
      </c>
      <c r="AY51" s="100">
        <v>5638.3783453558872</v>
      </c>
      <c r="AZ51" s="100">
        <v>5.7009185337121089</v>
      </c>
      <c r="BA51" s="100">
        <v>4870.8647952036254</v>
      </c>
      <c r="BB51" s="100">
        <v>2.604063107546057</v>
      </c>
      <c r="BC51" s="100">
        <v>2224.9115190873508</v>
      </c>
      <c r="BD51" s="100">
        <v>6.866345422740558</v>
      </c>
      <c r="BE51" s="100">
        <v>5866.6055291895327</v>
      </c>
      <c r="BF51" s="100">
        <v>5.717010873772681</v>
      </c>
      <c r="BG51" s="100">
        <v>4884.6140905513785</v>
      </c>
      <c r="BH51" s="100">
        <v>7.3236185876110111</v>
      </c>
      <c r="BI51" s="100">
        <v>6257.299721254848</v>
      </c>
      <c r="BJ51" s="100">
        <v>4.3586754035463251</v>
      </c>
      <c r="BK51" s="100">
        <v>3724.0522647899802</v>
      </c>
      <c r="BL51" s="100">
        <v>5.1552388190933236</v>
      </c>
      <c r="BM51" s="100">
        <v>4404.6360470333357</v>
      </c>
      <c r="BN51" s="100">
        <v>11.466224258926831</v>
      </c>
      <c r="BO51" s="100">
        <v>9796.742006827084</v>
      </c>
      <c r="BP51" s="100">
        <v>7</v>
      </c>
      <c r="BQ51" s="100">
        <v>5980.8</v>
      </c>
      <c r="BR51" s="100">
        <v>4.4193072309424677</v>
      </c>
      <c r="BS51" s="100">
        <v>3775.8560981172441</v>
      </c>
      <c r="BT51" s="100">
        <v>7.4260134629346704</v>
      </c>
      <c r="BU51" s="100">
        <v>6344.7859027313825</v>
      </c>
      <c r="BV51" s="100">
        <v>5.7465159613396883</v>
      </c>
      <c r="BW51" s="100">
        <v>4909.8232373686296</v>
      </c>
      <c r="BX51" s="100">
        <v>4.0723722792685315</v>
      </c>
      <c r="BY51" s="100">
        <v>3479.4348754070334</v>
      </c>
      <c r="BZ51" s="100">
        <v>4.5830713736397</v>
      </c>
      <c r="CA51" s="100">
        <v>3915.7761816377597</v>
      </c>
      <c r="CB51" s="100">
        <v>2.809313478877784</v>
      </c>
      <c r="CC51" s="100">
        <v>2400.2774363531785</v>
      </c>
      <c r="CD51" s="100">
        <v>5.6341779004263595</v>
      </c>
      <c r="CE51" s="100">
        <v>4813.8415981242815</v>
      </c>
      <c r="CF51" s="100">
        <v>10.799622667501819</v>
      </c>
      <c r="CG51" s="100">
        <v>9227.1976071135541</v>
      </c>
      <c r="CH51" s="100">
        <v>5.3875272611732949</v>
      </c>
      <c r="CI51" s="100">
        <v>4603.1032919464633</v>
      </c>
      <c r="CJ51" s="100">
        <v>3.4954100116395734</v>
      </c>
      <c r="CK51" s="100">
        <v>2986.4783139448514</v>
      </c>
      <c r="CL51" s="100">
        <v>9.1132450877084938</v>
      </c>
      <c r="CM51" s="100">
        <v>7786.3566029381373</v>
      </c>
      <c r="CN51" s="100">
        <v>7.5507878216397621</v>
      </c>
      <c r="CO51" s="100">
        <v>6451.3931148090123</v>
      </c>
      <c r="CP51" s="100">
        <v>3.3648470231344678</v>
      </c>
      <c r="CQ51" s="100">
        <v>2874.9252965660894</v>
      </c>
      <c r="CR51" s="100">
        <v>7.8439771341915847</v>
      </c>
      <c r="CS51" s="100">
        <v>6701.8940634532901</v>
      </c>
      <c r="CT51" s="100">
        <v>6.5413569877292854</v>
      </c>
      <c r="CU51" s="100">
        <v>5588.9354103159012</v>
      </c>
    </row>
    <row r="52" spans="2:99">
      <c r="C52" s="99" t="s">
        <v>218</v>
      </c>
      <c r="D52" s="100">
        <v>4.1016552542762863</v>
      </c>
      <c r="E52" s="100">
        <v>2214.8938373091946</v>
      </c>
      <c r="F52" s="100">
        <v>5.1090928122331283</v>
      </c>
      <c r="G52" s="100">
        <v>2758.9101186058892</v>
      </c>
      <c r="H52" s="100">
        <v>12.873126662909893</v>
      </c>
      <c r="I52" s="100">
        <v>6951.4883979713422</v>
      </c>
      <c r="J52" s="100">
        <v>8.1910179602316973</v>
      </c>
      <c r="K52" s="100">
        <v>4423.1496985251169</v>
      </c>
      <c r="L52" s="100">
        <v>3.5815565239739384</v>
      </c>
      <c r="M52" s="100">
        <v>1934.0405229459268</v>
      </c>
      <c r="N52" s="100">
        <v>3.5003024310517445</v>
      </c>
      <c r="O52" s="100">
        <v>1890.163312767942</v>
      </c>
      <c r="P52" s="100">
        <v>9.8172185129700456</v>
      </c>
      <c r="Q52" s="100">
        <v>5301.297997003825</v>
      </c>
      <c r="R52" s="100">
        <v>11</v>
      </c>
      <c r="S52" s="100">
        <v>5940</v>
      </c>
      <c r="T52" s="100">
        <v>9.3961815563823663</v>
      </c>
      <c r="U52" s="100">
        <v>5073.9380404464782</v>
      </c>
      <c r="V52" s="100">
        <v>7.6872649523083707</v>
      </c>
      <c r="W52" s="100">
        <v>4151.1230742465204</v>
      </c>
      <c r="X52" s="100">
        <v>3.411133713065567</v>
      </c>
      <c r="Y52" s="100">
        <v>1842.0122050554062</v>
      </c>
      <c r="Z52" s="100">
        <v>11.863321330737797</v>
      </c>
      <c r="AA52" s="100">
        <v>6406.1935185984103</v>
      </c>
      <c r="AB52" s="100">
        <v>4.6730169237865953</v>
      </c>
      <c r="AC52" s="100">
        <v>2523.4291388447614</v>
      </c>
      <c r="AD52" s="100">
        <v>11.699157530599571</v>
      </c>
      <c r="AE52" s="100">
        <v>6317.5450665237686</v>
      </c>
      <c r="AF52" s="100">
        <v>6.5583833941912477</v>
      </c>
      <c r="AG52" s="100">
        <v>3541.5270328632737</v>
      </c>
      <c r="AH52" s="100">
        <v>7.4090300130480271</v>
      </c>
      <c r="AI52" s="100">
        <v>4000.8762070459347</v>
      </c>
      <c r="AJ52" s="100">
        <v>4.4892097305547995</v>
      </c>
      <c r="AK52" s="100">
        <v>2424.1732544995916</v>
      </c>
      <c r="AL52" s="100">
        <v>1.6467677024502494</v>
      </c>
      <c r="AM52" s="100">
        <v>889.25455932313469</v>
      </c>
      <c r="AN52" s="100">
        <v>10.732560553078558</v>
      </c>
      <c r="AO52" s="100">
        <v>5795.5826986624215</v>
      </c>
      <c r="AP52" s="100">
        <v>7</v>
      </c>
      <c r="AQ52" s="100">
        <v>3780</v>
      </c>
      <c r="AR52" s="100">
        <v>7.31713884350604</v>
      </c>
      <c r="AS52" s="100">
        <v>3951.2549754932616</v>
      </c>
      <c r="AT52" s="100">
        <v>1.9910021572699306</v>
      </c>
      <c r="AU52" s="100">
        <v>1075.1411649257625</v>
      </c>
      <c r="AV52" s="100">
        <v>9.6662578007447415</v>
      </c>
      <c r="AW52" s="100">
        <v>5219.7792124021607</v>
      </c>
      <c r="AX52" s="100">
        <v>7.4241287904089095</v>
      </c>
      <c r="AY52" s="100">
        <v>4009.029546820811</v>
      </c>
      <c r="AZ52" s="100">
        <v>5.7009185337121089</v>
      </c>
      <c r="BA52" s="100">
        <v>3078.4960082045386</v>
      </c>
      <c r="BB52" s="100">
        <v>2.604063107546057</v>
      </c>
      <c r="BC52" s="100">
        <v>1406.1940780748707</v>
      </c>
      <c r="BD52" s="100">
        <v>8.2924612695737281</v>
      </c>
      <c r="BE52" s="100">
        <v>4477.9290855698127</v>
      </c>
      <c r="BF52" s="100">
        <v>6.2459518016798343</v>
      </c>
      <c r="BG52" s="100">
        <v>3372.8139729071104</v>
      </c>
      <c r="BH52" s="100">
        <v>6.4956067116868725</v>
      </c>
      <c r="BI52" s="100">
        <v>3507.627624310911</v>
      </c>
      <c r="BJ52" s="100">
        <v>4.9829402152244624</v>
      </c>
      <c r="BK52" s="100">
        <v>2690.7877162212098</v>
      </c>
      <c r="BL52" s="100">
        <v>5.0349878434156121</v>
      </c>
      <c r="BM52" s="100">
        <v>2718.8934354444305</v>
      </c>
      <c r="BN52" s="100">
        <v>9.4662242589268306</v>
      </c>
      <c r="BO52" s="100">
        <v>5111.7610998204882</v>
      </c>
      <c r="BP52" s="100">
        <v>8</v>
      </c>
      <c r="BQ52" s="100">
        <v>4320</v>
      </c>
      <c r="BR52" s="100">
        <v>4.4193072309424677</v>
      </c>
      <c r="BS52" s="100">
        <v>2386.4259047089326</v>
      </c>
      <c r="BT52" s="100">
        <v>6.7509213299406099</v>
      </c>
      <c r="BU52" s="100">
        <v>3645.4975181679292</v>
      </c>
      <c r="BV52" s="100">
        <v>5.0152491571853615</v>
      </c>
      <c r="BW52" s="100">
        <v>2708.2345448800952</v>
      </c>
      <c r="BX52" s="100">
        <v>4.5296959805281753</v>
      </c>
      <c r="BY52" s="100">
        <v>2446.0358294852149</v>
      </c>
      <c r="BZ52" s="100">
        <v>4.0852397284620547</v>
      </c>
      <c r="CA52" s="100">
        <v>2206.0294533695096</v>
      </c>
      <c r="CB52" s="100">
        <v>2.809313478877784</v>
      </c>
      <c r="CC52" s="100">
        <v>1517.0292785940035</v>
      </c>
      <c r="CD52" s="100">
        <v>6.2416080369179801</v>
      </c>
      <c r="CE52" s="100">
        <v>3370.4683399357091</v>
      </c>
      <c r="CF52" s="100">
        <v>11.762314031707609</v>
      </c>
      <c r="CG52" s="100">
        <v>6351.6495771221089</v>
      </c>
      <c r="CH52" s="100">
        <v>5.9861414013036613</v>
      </c>
      <c r="CI52" s="100">
        <v>3232.5163567039772</v>
      </c>
      <c r="CJ52" s="100">
        <v>3.8752993260623447</v>
      </c>
      <c r="CK52" s="100">
        <v>2092.6616360736662</v>
      </c>
      <c r="CL52" s="100">
        <v>10.113245087708494</v>
      </c>
      <c r="CM52" s="100">
        <v>5461.1523473625866</v>
      </c>
      <c r="CN52" s="100">
        <v>7.5507878216397621</v>
      </c>
      <c r="CO52" s="100">
        <v>4077.4254236854717</v>
      </c>
      <c r="CP52" s="100">
        <v>4.0704770688049026</v>
      </c>
      <c r="CQ52" s="100">
        <v>2198.0576171546472</v>
      </c>
      <c r="CR52" s="100">
        <v>7.1954659743825413</v>
      </c>
      <c r="CS52" s="100">
        <v>3885.5516261665725</v>
      </c>
      <c r="CT52" s="100">
        <v>7.1354872872542838</v>
      </c>
      <c r="CU52" s="100">
        <v>3853.1631351173132</v>
      </c>
    </row>
    <row r="53" spans="2:99">
      <c r="C53" s="99" t="s">
        <v>219</v>
      </c>
      <c r="D53" s="100">
        <v>4.1036240409954177</v>
      </c>
      <c r="E53" s="100">
        <v>1669.3542598769359</v>
      </c>
      <c r="F53" s="100">
        <v>5.1103260586279653</v>
      </c>
      <c r="G53" s="100">
        <v>2078.8806406498566</v>
      </c>
      <c r="H53" s="100">
        <v>10.873126662909893</v>
      </c>
      <c r="I53" s="100">
        <v>4423.1879264717445</v>
      </c>
      <c r="J53" s="100">
        <v>9.0101197562548663</v>
      </c>
      <c r="K53" s="100">
        <v>3665.3167168444797</v>
      </c>
      <c r="L53" s="100">
        <v>3.5815565239739384</v>
      </c>
      <c r="M53" s="100">
        <v>1456.9771939525981</v>
      </c>
      <c r="N53" s="100">
        <v>3.4121712007159384</v>
      </c>
      <c r="O53" s="100">
        <v>1388.0712444512437</v>
      </c>
      <c r="P53" s="100">
        <v>8.8172185129700456</v>
      </c>
      <c r="Q53" s="100">
        <v>3586.8444910762146</v>
      </c>
      <c r="R53" s="100">
        <v>10</v>
      </c>
      <c r="S53" s="100">
        <v>4068</v>
      </c>
      <c r="T53" s="100">
        <v>9.3961815563823663</v>
      </c>
      <c r="U53" s="100">
        <v>3822.3666571363469</v>
      </c>
      <c r="V53" s="100">
        <v>9.3955460528213415</v>
      </c>
      <c r="W53" s="100">
        <v>3822.1081342877219</v>
      </c>
      <c r="X53" s="100">
        <v>4.548178284087423</v>
      </c>
      <c r="Y53" s="100">
        <v>1850.1989259667637</v>
      </c>
      <c r="Z53" s="100">
        <v>11.690657064590239</v>
      </c>
      <c r="AA53" s="100">
        <v>4755.7592938753096</v>
      </c>
      <c r="AB53" s="100">
        <v>4.1537928211436403</v>
      </c>
      <c r="AC53" s="100">
        <v>1689.7629196412329</v>
      </c>
      <c r="AD53" s="100">
        <v>9.8739469132494637</v>
      </c>
      <c r="AE53" s="100">
        <v>4016.721604309882</v>
      </c>
      <c r="AF53" s="100">
        <v>6.5583833941912477</v>
      </c>
      <c r="AG53" s="100">
        <v>2667.9503647569995</v>
      </c>
      <c r="AH53" s="100">
        <v>8.149933014352829</v>
      </c>
      <c r="AI53" s="100">
        <v>3315.392750238731</v>
      </c>
      <c r="AJ53" s="100">
        <v>4.9238819253232675</v>
      </c>
      <c r="AK53" s="100">
        <v>2003.0351672215054</v>
      </c>
      <c r="AL53" s="100">
        <v>1.6467677024502494</v>
      </c>
      <c r="AM53" s="100">
        <v>669.90510135676152</v>
      </c>
      <c r="AN53" s="100">
        <v>10.732560553078558</v>
      </c>
      <c r="AO53" s="100">
        <v>4366.0056329923573</v>
      </c>
      <c r="AP53" s="100">
        <v>7</v>
      </c>
      <c r="AQ53" s="100">
        <v>2847.6</v>
      </c>
      <c r="AR53" s="100">
        <v>8.1215886915950133</v>
      </c>
      <c r="AS53" s="100">
        <v>3303.8622797408516</v>
      </c>
      <c r="AT53" s="100">
        <v>2.1975014350708317</v>
      </c>
      <c r="AU53" s="100">
        <v>893.94358378681443</v>
      </c>
      <c r="AV53" s="100">
        <v>9.6662578007447415</v>
      </c>
      <c r="AW53" s="100">
        <v>3932.2336733429611</v>
      </c>
      <c r="AX53" s="100">
        <v>6.5992255914745872</v>
      </c>
      <c r="AY53" s="100">
        <v>2684.564970611862</v>
      </c>
      <c r="AZ53" s="100">
        <v>5.7009185337121089</v>
      </c>
      <c r="BA53" s="100">
        <v>2319.133659514086</v>
      </c>
      <c r="BB53" s="100">
        <v>2.3436567967914512</v>
      </c>
      <c r="BC53" s="100">
        <v>953.3995849347624</v>
      </c>
      <c r="BD53" s="100">
        <v>7.5789194901644965</v>
      </c>
      <c r="BE53" s="100">
        <v>3083.1044485989173</v>
      </c>
      <c r="BF53" s="100">
        <v>6.2425274289236379</v>
      </c>
      <c r="BG53" s="100">
        <v>2539.4601580861358</v>
      </c>
      <c r="BH53" s="100">
        <v>7.1837138715674316</v>
      </c>
      <c r="BI53" s="100">
        <v>2922.3348029536314</v>
      </c>
      <c r="BJ53" s="100">
        <v>4.9449500058053939</v>
      </c>
      <c r="BK53" s="100">
        <v>2011.6056623616344</v>
      </c>
      <c r="BL53" s="100">
        <v>5.8621131900468573</v>
      </c>
      <c r="BM53" s="100">
        <v>2384.7076457110616</v>
      </c>
      <c r="BN53" s="100">
        <v>11.466224258926831</v>
      </c>
      <c r="BO53" s="100">
        <v>4664.4600285314345</v>
      </c>
      <c r="BP53" s="100">
        <v>8</v>
      </c>
      <c r="BQ53" s="100">
        <v>3254.4</v>
      </c>
      <c r="BR53" s="100">
        <v>4.4193072309424677</v>
      </c>
      <c r="BS53" s="100">
        <v>1797.774181547396</v>
      </c>
      <c r="BT53" s="100">
        <v>7.4260134629346704</v>
      </c>
      <c r="BU53" s="100">
        <v>3020.9022767218239</v>
      </c>
      <c r="BV53" s="100">
        <v>5.7465159613396883</v>
      </c>
      <c r="BW53" s="100">
        <v>2337.6826930729853</v>
      </c>
      <c r="BX53" s="100">
        <v>4.9434786497195615</v>
      </c>
      <c r="BY53" s="100">
        <v>2011.0071147059177</v>
      </c>
      <c r="BZ53" s="100">
        <v>5.178954568766529</v>
      </c>
      <c r="CA53" s="100">
        <v>2106.798718574224</v>
      </c>
      <c r="CB53" s="100">
        <v>3.1527493087408698</v>
      </c>
      <c r="CC53" s="100">
        <v>1282.5384187957859</v>
      </c>
      <c r="CD53" s="100">
        <v>6.237774216322908</v>
      </c>
      <c r="CE53" s="100">
        <v>2537.5265512001592</v>
      </c>
      <c r="CF53" s="100">
        <v>10.799622667501819</v>
      </c>
      <c r="CG53" s="100">
        <v>4393.2865011397398</v>
      </c>
      <c r="CH53" s="100">
        <v>5.3875272611732949</v>
      </c>
      <c r="CI53" s="100">
        <v>2191.6460898452965</v>
      </c>
      <c r="CJ53" s="100">
        <v>3.8752993260623447</v>
      </c>
      <c r="CK53" s="100">
        <v>1576.4717658421619</v>
      </c>
      <c r="CL53" s="100">
        <v>11.113245087708494</v>
      </c>
      <c r="CM53" s="100">
        <v>4520.8681016798155</v>
      </c>
      <c r="CN53" s="100">
        <v>7.5507878216397621</v>
      </c>
      <c r="CO53" s="100">
        <v>3071.6604858430555</v>
      </c>
      <c r="CP53" s="100">
        <v>4.0704770688049026</v>
      </c>
      <c r="CQ53" s="100">
        <v>1655.8700715898344</v>
      </c>
      <c r="CR53" s="100">
        <v>7.8480564151065879</v>
      </c>
      <c r="CS53" s="100">
        <v>3192.5893496653603</v>
      </c>
      <c r="CT53" s="100">
        <v>6.427295943072461</v>
      </c>
      <c r="CU53" s="100">
        <v>2614.6239896418774</v>
      </c>
    </row>
    <row r="54" spans="2:99">
      <c r="C54" s="99" t="s">
        <v>220</v>
      </c>
      <c r="D54" s="100">
        <v>3.7191491133095789</v>
      </c>
      <c r="E54" s="100">
        <v>1245.1711231360471</v>
      </c>
      <c r="F54" s="100">
        <v>5.5787020373093821</v>
      </c>
      <c r="G54" s="100">
        <v>1867.7494420911812</v>
      </c>
      <c r="H54" s="100">
        <v>11.873126662909893</v>
      </c>
      <c r="I54" s="100">
        <v>3975.1228067422326</v>
      </c>
      <c r="J54" s="100">
        <v>9.0101197562548663</v>
      </c>
      <c r="K54" s="100">
        <v>3016.5880943941293</v>
      </c>
      <c r="L54" s="100">
        <v>3.5815565239739384</v>
      </c>
      <c r="M54" s="100">
        <v>1199.1051242264746</v>
      </c>
      <c r="N54" s="100">
        <v>3.5042029971079263</v>
      </c>
      <c r="O54" s="100">
        <v>1173.2071634317338</v>
      </c>
      <c r="P54" s="100">
        <v>10.817218512970046</v>
      </c>
      <c r="Q54" s="100">
        <v>3621.6047581423713</v>
      </c>
      <c r="R54" s="100">
        <v>12</v>
      </c>
      <c r="S54" s="100">
        <v>4017.6000000000004</v>
      </c>
      <c r="T54" s="100">
        <v>9.3961815563823663</v>
      </c>
      <c r="U54" s="100">
        <v>3145.8415850768165</v>
      </c>
      <c r="V54" s="100">
        <v>8.5414055025648565</v>
      </c>
      <c r="W54" s="100">
        <v>2859.6625622587139</v>
      </c>
      <c r="X54" s="100">
        <v>4.1860393794900581</v>
      </c>
      <c r="Y54" s="100">
        <v>1401.4859842532715</v>
      </c>
      <c r="Z54" s="100">
        <v>10.863321330737797</v>
      </c>
      <c r="AA54" s="100">
        <v>3637.0399815310147</v>
      </c>
      <c r="AB54" s="100">
        <v>4.6730169237865953</v>
      </c>
      <c r="AC54" s="100">
        <v>1564.5260660837521</v>
      </c>
      <c r="AD54" s="100">
        <v>10.873946913249464</v>
      </c>
      <c r="AE54" s="100">
        <v>3640.5974265559207</v>
      </c>
      <c r="AF54" s="100">
        <v>6.5583833941912477</v>
      </c>
      <c r="AG54" s="100">
        <v>2195.7467603752298</v>
      </c>
      <c r="AH54" s="100">
        <v>6.6681270117432243</v>
      </c>
      <c r="AI54" s="100">
        <v>2232.4889235316314</v>
      </c>
      <c r="AJ54" s="100">
        <v>6.1305037056625551</v>
      </c>
      <c r="AK54" s="100">
        <v>2052.4926406558234</v>
      </c>
      <c r="AL54" s="100">
        <v>1.4115151735287854</v>
      </c>
      <c r="AM54" s="100">
        <v>472.57528009743737</v>
      </c>
      <c r="AN54" s="100">
        <v>10.732560553078558</v>
      </c>
      <c r="AO54" s="100">
        <v>3593.2612731707013</v>
      </c>
      <c r="AP54" s="100">
        <v>7</v>
      </c>
      <c r="AQ54" s="100">
        <v>2343.6</v>
      </c>
      <c r="AR54" s="100">
        <v>8.1215886915950133</v>
      </c>
      <c r="AS54" s="100">
        <v>2719.1078939460103</v>
      </c>
      <c r="AT54" s="100">
        <v>2.1975014350708317</v>
      </c>
      <c r="AU54" s="100">
        <v>735.72348046171453</v>
      </c>
      <c r="AV54" s="100">
        <v>9.6662578007447415</v>
      </c>
      <c r="AW54" s="100">
        <v>3236.2631116893394</v>
      </c>
      <c r="AX54" s="100">
        <v>7.4241287904089095</v>
      </c>
      <c r="AY54" s="100">
        <v>2485.598319028903</v>
      </c>
      <c r="AZ54" s="100">
        <v>5.7009185337121089</v>
      </c>
      <c r="BA54" s="100">
        <v>1908.6675250868141</v>
      </c>
      <c r="BB54" s="100">
        <v>2.604063107546057</v>
      </c>
      <c r="BC54" s="100">
        <v>871.84032840641987</v>
      </c>
      <c r="BD54" s="100">
        <v>8.2934289815590212</v>
      </c>
      <c r="BE54" s="100">
        <v>2776.6400230259605</v>
      </c>
      <c r="BF54" s="100">
        <v>5.1880699458655277</v>
      </c>
      <c r="BG54" s="100">
        <v>1736.9658178757788</v>
      </c>
      <c r="BH54" s="100">
        <v>6.4956067116868725</v>
      </c>
      <c r="BI54" s="100">
        <v>2174.7291270727651</v>
      </c>
      <c r="BJ54" s="100">
        <v>4.9937405719973791</v>
      </c>
      <c r="BK54" s="100">
        <v>1671.9043435047226</v>
      </c>
      <c r="BL54" s="100">
        <v>5.1637371442260465</v>
      </c>
      <c r="BM54" s="100">
        <v>1728.8191958868804</v>
      </c>
      <c r="BN54" s="100">
        <v>10.466224258926831</v>
      </c>
      <c r="BO54" s="100">
        <v>3504.091881888703</v>
      </c>
      <c r="BP54" s="100">
        <v>8</v>
      </c>
      <c r="BQ54" s="100">
        <v>2678.4</v>
      </c>
      <c r="BR54" s="100">
        <v>4.4193072309424677</v>
      </c>
      <c r="BS54" s="100">
        <v>1479.5840609195382</v>
      </c>
      <c r="BT54" s="100">
        <v>7.4260134629346704</v>
      </c>
      <c r="BU54" s="100">
        <v>2486.2293073905275</v>
      </c>
      <c r="BV54" s="100">
        <v>5.0152491571853615</v>
      </c>
      <c r="BW54" s="100">
        <v>1679.1054178256591</v>
      </c>
      <c r="BX54" s="100">
        <v>4.5296959805281753</v>
      </c>
      <c r="BY54" s="100">
        <v>1516.5422142808332</v>
      </c>
      <c r="BZ54" s="100">
        <v>4.081203424287577</v>
      </c>
      <c r="CA54" s="100">
        <v>1366.3869064514809</v>
      </c>
      <c r="CB54" s="100">
        <v>2.8809260998198849</v>
      </c>
      <c r="CC54" s="100">
        <v>964.5340582196975</v>
      </c>
      <c r="CD54" s="100">
        <v>6.2416080369179801</v>
      </c>
      <c r="CE54" s="100">
        <v>2089.69037076014</v>
      </c>
      <c r="CF54" s="100">
        <v>10.799622667501819</v>
      </c>
      <c r="CG54" s="100">
        <v>3615.7136690796092</v>
      </c>
      <c r="CH54" s="100">
        <v>5.3875272611732949</v>
      </c>
      <c r="CI54" s="100">
        <v>1803.7441270408192</v>
      </c>
      <c r="CJ54" s="100">
        <v>3.4884995245391663</v>
      </c>
      <c r="CK54" s="100">
        <v>1167.9496408157129</v>
      </c>
      <c r="CL54" s="100">
        <v>10.113245087708494</v>
      </c>
      <c r="CM54" s="100">
        <v>3385.9144553648039</v>
      </c>
      <c r="CN54" s="100">
        <v>6.6069393439347914</v>
      </c>
      <c r="CO54" s="100">
        <v>2212.0032923493682</v>
      </c>
      <c r="CP54" s="100">
        <v>4.3203342087685774</v>
      </c>
      <c r="CQ54" s="100">
        <v>1446.4478930957198</v>
      </c>
      <c r="CR54" s="100">
        <v>7.846016774649085</v>
      </c>
      <c r="CS54" s="100">
        <v>2626.8464161525139</v>
      </c>
      <c r="CT54" s="100">
        <v>6.5447221582369783</v>
      </c>
      <c r="CU54" s="100">
        <v>2191.1729785777402</v>
      </c>
    </row>
    <row r="55" spans="2:99">
      <c r="C55" s="99" t="s">
        <v>221</v>
      </c>
      <c r="D55" s="100">
        <v>4.1036240409954177</v>
      </c>
      <c r="E55" s="100">
        <v>2723.1649136045594</v>
      </c>
      <c r="F55" s="100">
        <v>5.1090928122331283</v>
      </c>
      <c r="G55" s="100">
        <v>3390.3939901979043</v>
      </c>
      <c r="H55" s="100">
        <v>10.873126662909893</v>
      </c>
      <c r="I55" s="100">
        <v>7215.4068535070055</v>
      </c>
      <c r="J55" s="100">
        <v>9.0101197562548663</v>
      </c>
      <c r="K55" s="100">
        <v>5979.1154702507292</v>
      </c>
      <c r="L55" s="100">
        <v>3.5656455454385227</v>
      </c>
      <c r="M55" s="100">
        <v>2366.1623839530039</v>
      </c>
      <c r="N55" s="100">
        <v>3.5003024310517445</v>
      </c>
      <c r="O55" s="100">
        <v>2322.800693245938</v>
      </c>
      <c r="P55" s="100">
        <v>10.817218512970046</v>
      </c>
      <c r="Q55" s="100">
        <v>7178.3062052069226</v>
      </c>
      <c r="R55" s="100">
        <v>12</v>
      </c>
      <c r="S55" s="100">
        <v>7963.2000000000007</v>
      </c>
      <c r="T55" s="100">
        <v>8.5419832330748786</v>
      </c>
      <c r="U55" s="100">
        <v>5668.46007346849</v>
      </c>
      <c r="V55" s="100">
        <v>7.6872649523083707</v>
      </c>
      <c r="W55" s="100">
        <v>5101.2690223518348</v>
      </c>
      <c r="X55" s="100">
        <v>3.411133713065567</v>
      </c>
      <c r="Y55" s="100">
        <v>2263.6283319903105</v>
      </c>
      <c r="Z55" s="100">
        <v>11.863321330737797</v>
      </c>
      <c r="AA55" s="100">
        <v>7872.5000350776027</v>
      </c>
      <c r="AB55" s="100">
        <v>4.1537928211436403</v>
      </c>
      <c r="AC55" s="100">
        <v>2756.4569161109198</v>
      </c>
      <c r="AD55" s="100">
        <v>9.699157530599571</v>
      </c>
      <c r="AE55" s="100">
        <v>6436.3609373058753</v>
      </c>
      <c r="AF55" s="100">
        <v>7.4952953076471402</v>
      </c>
      <c r="AG55" s="100">
        <v>4973.8779661546423</v>
      </c>
      <c r="AH55" s="100">
        <v>7.4090300130480271</v>
      </c>
      <c r="AI55" s="100">
        <v>4916.6323166586708</v>
      </c>
      <c r="AJ55" s="100">
        <v>5.374185850239579</v>
      </c>
      <c r="AK55" s="100">
        <v>3566.3097302189849</v>
      </c>
      <c r="AL55" s="100">
        <v>1.4115151735287854</v>
      </c>
      <c r="AM55" s="100">
        <v>936.68146915370198</v>
      </c>
      <c r="AN55" s="100">
        <v>10.732560553078558</v>
      </c>
      <c r="AO55" s="100">
        <v>7122.1271830229316</v>
      </c>
      <c r="AP55" s="100">
        <v>7</v>
      </c>
      <c r="AQ55" s="100">
        <v>4645.2</v>
      </c>
      <c r="AR55" s="100">
        <v>8.1215886915950133</v>
      </c>
      <c r="AS55" s="100">
        <v>5389.4862557424512</v>
      </c>
      <c r="AT55" s="100">
        <v>2.1975014350708317</v>
      </c>
      <c r="AU55" s="100">
        <v>1458.261952313004</v>
      </c>
      <c r="AV55" s="100">
        <v>8.6662578007447415</v>
      </c>
      <c r="AW55" s="100">
        <v>5750.9286765742108</v>
      </c>
      <c r="AX55" s="100">
        <v>6.5992255914745872</v>
      </c>
      <c r="AY55" s="100">
        <v>4379.2461025025359</v>
      </c>
      <c r="AZ55" s="100">
        <v>6.413533350426122</v>
      </c>
      <c r="BA55" s="100">
        <v>4256.0207313427745</v>
      </c>
      <c r="BB55" s="100">
        <v>2.3436567967914512</v>
      </c>
      <c r="BC55" s="100">
        <v>1555.2506503508071</v>
      </c>
      <c r="BD55" s="100">
        <v>7.4927352021118203</v>
      </c>
      <c r="BE55" s="100">
        <v>4972.1790801214038</v>
      </c>
      <c r="BF55" s="100">
        <v>5.6383393003448434</v>
      </c>
      <c r="BG55" s="100">
        <v>3741.6019597088384</v>
      </c>
      <c r="BH55" s="100">
        <v>7.3236185876110111</v>
      </c>
      <c r="BI55" s="100">
        <v>4859.953294738667</v>
      </c>
      <c r="BJ55" s="100">
        <v>4.3478750467734084</v>
      </c>
      <c r="BK55" s="100">
        <v>2885.2498810388338</v>
      </c>
      <c r="BL55" s="100">
        <v>4.4611119358388764</v>
      </c>
      <c r="BM55" s="100">
        <v>2960.3938806226784</v>
      </c>
      <c r="BN55" s="100">
        <v>10.466224258926831</v>
      </c>
      <c r="BO55" s="100">
        <v>6945.3864182238449</v>
      </c>
      <c r="BP55" s="100">
        <v>7</v>
      </c>
      <c r="BQ55" s="100">
        <v>4645.2</v>
      </c>
      <c r="BR55" s="100">
        <v>4.4193072309424677</v>
      </c>
      <c r="BS55" s="100">
        <v>2932.6522784534218</v>
      </c>
      <c r="BT55" s="100">
        <v>7.4260134629346704</v>
      </c>
      <c r="BU55" s="100">
        <v>4927.9025340034477</v>
      </c>
      <c r="BV55" s="100">
        <v>5.7465159613396883</v>
      </c>
      <c r="BW55" s="100">
        <v>3813.3879919450173</v>
      </c>
      <c r="BX55" s="100">
        <v>4.0723722792685315</v>
      </c>
      <c r="BY55" s="100">
        <v>2702.4262445225977</v>
      </c>
      <c r="BZ55" s="100">
        <v>4.1711823658878027</v>
      </c>
      <c r="CA55" s="100">
        <v>2767.9966180031461</v>
      </c>
      <c r="CB55" s="100">
        <v>2.5374902699567996</v>
      </c>
      <c r="CC55" s="100">
        <v>1683.8785431433323</v>
      </c>
      <c r="CD55" s="100">
        <v>6.6714552593756329</v>
      </c>
      <c r="CE55" s="100">
        <v>4427.1777101216703</v>
      </c>
      <c r="CF55" s="100">
        <v>11.762314031707609</v>
      </c>
      <c r="CG55" s="100">
        <v>7805.4715914411699</v>
      </c>
      <c r="CH55" s="100">
        <v>5.3875272611732949</v>
      </c>
      <c r="CI55" s="100">
        <v>3575.1630905145985</v>
      </c>
      <c r="CJ55" s="100">
        <v>3.4884995245391663</v>
      </c>
      <c r="CK55" s="100">
        <v>2314.9682844841909</v>
      </c>
      <c r="CL55" s="100">
        <v>9.9542100751787093</v>
      </c>
      <c r="CM55" s="100">
        <v>6605.6138058885917</v>
      </c>
      <c r="CN55" s="100">
        <v>6.6069393439347914</v>
      </c>
      <c r="CO55" s="100">
        <v>4384.3649486351278</v>
      </c>
      <c r="CP55" s="100">
        <v>3.6147041630981427</v>
      </c>
      <c r="CQ55" s="100">
        <v>2398.7176826319273</v>
      </c>
      <c r="CR55" s="100">
        <v>8.4965675749156304</v>
      </c>
      <c r="CS55" s="100">
        <v>5638.3222427140126</v>
      </c>
      <c r="CT55" s="100">
        <v>5.8365308140551546</v>
      </c>
      <c r="CU55" s="100">
        <v>3873.1218482070008</v>
      </c>
    </row>
    <row r="56" spans="2:99">
      <c r="C56" s="99" t="s">
        <v>222</v>
      </c>
      <c r="D56" s="100">
        <v>6.1048439337115425</v>
      </c>
      <c r="E56" s="100">
        <v>5992.5148053312496</v>
      </c>
      <c r="F56" s="100">
        <v>6.9408140138730516</v>
      </c>
      <c r="G56" s="100">
        <v>6813.1030360177865</v>
      </c>
      <c r="H56" s="100">
        <v>7.0810293523429015</v>
      </c>
      <c r="I56" s="100">
        <v>6950.7384122597914</v>
      </c>
      <c r="J56" s="100">
        <v>7.711840472165945</v>
      </c>
      <c r="K56" s="100">
        <v>7569.9426074780913</v>
      </c>
      <c r="L56" s="100">
        <v>8.1223840735795481</v>
      </c>
      <c r="M56" s="100">
        <v>7972.9322066256836</v>
      </c>
      <c r="N56" s="100">
        <v>5.9512455586304842</v>
      </c>
      <c r="O56" s="100">
        <v>5841.7426403516829</v>
      </c>
      <c r="P56" s="100">
        <v>6.7590031579658865</v>
      </c>
      <c r="Q56" s="100">
        <v>6634.6374998593137</v>
      </c>
      <c r="R56" s="100">
        <v>8.4611934153197996</v>
      </c>
      <c r="S56" s="100">
        <v>8305.5074564779152</v>
      </c>
      <c r="T56" s="100">
        <v>5.3757697414215544</v>
      </c>
      <c r="U56" s="100">
        <v>5276.8555781793975</v>
      </c>
      <c r="V56" s="100">
        <v>9.6691468941311882</v>
      </c>
      <c r="W56" s="100">
        <v>9491.2345912791734</v>
      </c>
      <c r="X56" s="100">
        <v>8.6846304834900181</v>
      </c>
      <c r="Y56" s="100">
        <v>8524.8332825938014</v>
      </c>
      <c r="Z56" s="100">
        <v>4.2808129696029411</v>
      </c>
      <c r="AA56" s="100">
        <v>4202.0460109622463</v>
      </c>
      <c r="AB56" s="100">
        <v>8.9710642854952649</v>
      </c>
      <c r="AC56" s="100">
        <v>8805.9967026421509</v>
      </c>
      <c r="AD56" s="100">
        <v>3.3268012656658019</v>
      </c>
      <c r="AE56" s="100">
        <v>3265.5881223775509</v>
      </c>
      <c r="AF56" s="100">
        <v>8.6774573016765242</v>
      </c>
      <c r="AG56" s="100">
        <v>8517.7920873256753</v>
      </c>
      <c r="AH56" s="100">
        <v>6.9784969031615072</v>
      </c>
      <c r="AI56" s="100">
        <v>6850.0925601433346</v>
      </c>
      <c r="AJ56" s="100">
        <v>2.5191014586308853</v>
      </c>
      <c r="AK56" s="100">
        <v>2472.7499917920768</v>
      </c>
      <c r="AL56" s="100">
        <v>3.5455165239145687</v>
      </c>
      <c r="AM56" s="100">
        <v>3480.2790198745402</v>
      </c>
      <c r="AN56" s="100">
        <v>5.0033505579480533</v>
      </c>
      <c r="AO56" s="100">
        <v>4911.2889076818083</v>
      </c>
      <c r="AP56" s="100">
        <v>7.8432321071620823</v>
      </c>
      <c r="AQ56" s="100">
        <v>7698.9166363902996</v>
      </c>
      <c r="AR56" s="100">
        <v>4.4553596764469079</v>
      </c>
      <c r="AS56" s="100">
        <v>4373.381058400284</v>
      </c>
      <c r="AT56" s="100">
        <v>10.942129687391775</v>
      </c>
      <c r="AU56" s="100">
        <v>10740.794501143766</v>
      </c>
      <c r="AV56" s="100">
        <v>8.4740247818921368</v>
      </c>
      <c r="AW56" s="100">
        <v>8318.1027259053208</v>
      </c>
      <c r="AX56" s="100">
        <v>6.3715110341807764</v>
      </c>
      <c r="AY56" s="100">
        <v>6254.2752311518498</v>
      </c>
      <c r="AZ56" s="100">
        <v>1.8963823167076572</v>
      </c>
      <c r="BA56" s="100">
        <v>1861.4888820802362</v>
      </c>
      <c r="BB56" s="100">
        <v>5.4986772243289197</v>
      </c>
      <c r="BC56" s="100">
        <v>5397.501563401267</v>
      </c>
      <c r="BD56" s="100">
        <v>6.0774653287978344</v>
      </c>
      <c r="BE56" s="100">
        <v>5965.6399667479536</v>
      </c>
      <c r="BF56" s="100">
        <v>6.5189013092390757</v>
      </c>
      <c r="BG56" s="100">
        <v>6398.9535251490761</v>
      </c>
      <c r="BH56" s="100">
        <v>1.7147344881435704</v>
      </c>
      <c r="BI56" s="100">
        <v>1683.1833735617286</v>
      </c>
      <c r="BJ56" s="100">
        <v>4.7245295805639076</v>
      </c>
      <c r="BK56" s="100">
        <v>4637.5982362815312</v>
      </c>
      <c r="BL56" s="100">
        <v>4.518039835808775</v>
      </c>
      <c r="BM56" s="100">
        <v>4434.9079028298929</v>
      </c>
      <c r="BN56" s="100">
        <v>10.508438401661735</v>
      </c>
      <c r="BO56" s="100">
        <v>10315.083135071158</v>
      </c>
      <c r="BP56" s="100">
        <v>8</v>
      </c>
      <c r="BQ56" s="100">
        <v>7852.7999999999993</v>
      </c>
      <c r="BR56" s="100">
        <v>4.8780955858233153</v>
      </c>
      <c r="BS56" s="100">
        <v>4788.3386270441661</v>
      </c>
      <c r="BT56" s="100">
        <v>5.89943376368974</v>
      </c>
      <c r="BU56" s="100">
        <v>5790.8841824378487</v>
      </c>
      <c r="BV56" s="100">
        <v>3.9140926911950391</v>
      </c>
      <c r="BW56" s="100">
        <v>3842.0733856770498</v>
      </c>
      <c r="BX56" s="100">
        <v>4.6048690436520054</v>
      </c>
      <c r="BY56" s="100">
        <v>4520.1394532488084</v>
      </c>
      <c r="BZ56" s="100">
        <v>3.7131137765590756</v>
      </c>
      <c r="CA56" s="100">
        <v>3644.7924830703882</v>
      </c>
      <c r="CB56" s="100">
        <v>2.848696244634322</v>
      </c>
      <c r="CC56" s="100">
        <v>2796.2802337330504</v>
      </c>
      <c r="CD56" s="100">
        <v>4.3560054720329777</v>
      </c>
      <c r="CE56" s="100">
        <v>4275.8549713475704</v>
      </c>
      <c r="CF56" s="100">
        <v>7.207832714488335</v>
      </c>
      <c r="CG56" s="100">
        <v>7075.2085925417487</v>
      </c>
      <c r="CH56" s="100">
        <v>4.7461966839215632</v>
      </c>
      <c r="CI56" s="100">
        <v>4658.8666649374063</v>
      </c>
      <c r="CJ56" s="100">
        <v>5.3714750996702136</v>
      </c>
      <c r="CK56" s="100">
        <v>5272.6399578362816</v>
      </c>
      <c r="CL56" s="100">
        <v>6.7109779142464774</v>
      </c>
      <c r="CM56" s="100">
        <v>6587.495920624342</v>
      </c>
      <c r="CN56" s="100">
        <v>7.6992359875374481</v>
      </c>
      <c r="CO56" s="100">
        <v>7557.5700453667587</v>
      </c>
      <c r="CP56" s="100">
        <v>7.8691285885988096</v>
      </c>
      <c r="CQ56" s="100">
        <v>7724.3366225685904</v>
      </c>
      <c r="CR56" s="100">
        <v>8.9121932217859552</v>
      </c>
      <c r="CS56" s="100">
        <v>8748.2088665050924</v>
      </c>
      <c r="CT56" s="100">
        <v>7.2380511102370617</v>
      </c>
      <c r="CU56" s="100">
        <v>7104.8709698086996</v>
      </c>
    </row>
    <row r="57" spans="2:99">
      <c r="C57" s="99" t="s">
        <v>223</v>
      </c>
      <c r="D57" s="100">
        <v>3.6308720127250114</v>
      </c>
      <c r="E57" s="100">
        <v>5123.8865843575359</v>
      </c>
      <c r="F57" s="100">
        <v>4.6407168335517124</v>
      </c>
      <c r="G57" s="100">
        <v>6548.9795955081763</v>
      </c>
      <c r="H57" s="100">
        <v>10.873126662909893</v>
      </c>
      <c r="I57" s="100">
        <v>15344.156346698443</v>
      </c>
      <c r="J57" s="100">
        <v>9.0101197562548663</v>
      </c>
      <c r="K57" s="100">
        <v>12715.081000026868</v>
      </c>
      <c r="L57" s="100">
        <v>3.5656455454385227</v>
      </c>
      <c r="M57" s="100">
        <v>5031.838993722843</v>
      </c>
      <c r="N57" s="100">
        <v>2.9975124222592919</v>
      </c>
      <c r="O57" s="100">
        <v>4230.0895302923127</v>
      </c>
      <c r="P57" s="100">
        <v>8.9806622155640543</v>
      </c>
      <c r="Q57" s="100">
        <v>12673.510518603995</v>
      </c>
      <c r="R57" s="100">
        <v>11</v>
      </c>
      <c r="S57" s="100">
        <v>15523.2</v>
      </c>
      <c r="T57" s="100">
        <v>7.68778490976739</v>
      </c>
      <c r="U57" s="100">
        <v>10849.00206466374</v>
      </c>
      <c r="V57" s="100">
        <v>7.6872649523083707</v>
      </c>
      <c r="W57" s="100">
        <v>10848.268300697573</v>
      </c>
      <c r="X57" s="100">
        <v>3.8070245224827728</v>
      </c>
      <c r="Y57" s="100">
        <v>5372.4730061276887</v>
      </c>
      <c r="Z57" s="100">
        <v>10.863321330737797</v>
      </c>
      <c r="AA57" s="100">
        <v>15330.31906193718</v>
      </c>
      <c r="AB57" s="100">
        <v>4.1537928211436403</v>
      </c>
      <c r="AC57" s="100">
        <v>5861.8324291979052</v>
      </c>
      <c r="AD57" s="100">
        <v>9.8739469132494637</v>
      </c>
      <c r="AE57" s="100">
        <v>13934.113883977643</v>
      </c>
      <c r="AF57" s="100">
        <v>6.5583833941912477</v>
      </c>
      <c r="AG57" s="100">
        <v>9255.1906458826888</v>
      </c>
      <c r="AH57" s="100">
        <v>6.6681270117432243</v>
      </c>
      <c r="AI57" s="100">
        <v>9410.0608389720383</v>
      </c>
      <c r="AJ57" s="100">
        <v>5.3098567181086773</v>
      </c>
      <c r="AK57" s="100">
        <v>7493.269800594966</v>
      </c>
      <c r="AL57" s="100">
        <v>1.2087427549674483</v>
      </c>
      <c r="AM57" s="100">
        <v>1705.7777758100631</v>
      </c>
      <c r="AN57" s="100">
        <v>8.7325605530785584</v>
      </c>
      <c r="AO57" s="100">
        <v>12323.389452504462</v>
      </c>
      <c r="AP57" s="100">
        <v>6</v>
      </c>
      <c r="AQ57" s="100">
        <v>8467.2000000000007</v>
      </c>
      <c r="AR57" s="100">
        <v>8.1023161389186917</v>
      </c>
      <c r="AS57" s="100">
        <v>11433.988535242059</v>
      </c>
      <c r="AT57" s="100">
        <v>1.9896341175434087</v>
      </c>
      <c r="AU57" s="100">
        <v>2807.7716666772585</v>
      </c>
      <c r="AV57" s="100">
        <v>8.5552148339539507</v>
      </c>
      <c r="AW57" s="100">
        <v>12073.119173675816</v>
      </c>
      <c r="AX57" s="100">
        <v>5.774322392540264</v>
      </c>
      <c r="AY57" s="100">
        <v>8148.723760352821</v>
      </c>
      <c r="AZ57" s="100">
        <v>5.7009185337121089</v>
      </c>
      <c r="BA57" s="100">
        <v>8045.136234774528</v>
      </c>
      <c r="BB57" s="100">
        <v>2.3436567967914512</v>
      </c>
      <c r="BC57" s="100">
        <v>3307.3684716320959</v>
      </c>
      <c r="BD57" s="100">
        <v>7.5798872021497887</v>
      </c>
      <c r="BE57" s="100">
        <v>10696.736819673783</v>
      </c>
      <c r="BF57" s="100">
        <v>5.1846455731093313</v>
      </c>
      <c r="BG57" s="100">
        <v>7316.5718327718887</v>
      </c>
      <c r="BH57" s="100">
        <v>6.3557019956432921</v>
      </c>
      <c r="BI57" s="100">
        <v>8969.1666562518149</v>
      </c>
      <c r="BJ57" s="100">
        <v>4.3575953678690329</v>
      </c>
      <c r="BK57" s="100">
        <v>6149.438583136779</v>
      </c>
      <c r="BL57" s="100">
        <v>4.3281134724620793</v>
      </c>
      <c r="BM57" s="100">
        <v>6107.8337323384867</v>
      </c>
      <c r="BN57" s="100">
        <v>10.466224258926831</v>
      </c>
      <c r="BO57" s="100">
        <v>14769.935674197544</v>
      </c>
      <c r="BP57" s="100">
        <v>7</v>
      </c>
      <c r="BQ57" s="100">
        <v>9878.4</v>
      </c>
      <c r="BR57" s="100">
        <v>4.4193072309424677</v>
      </c>
      <c r="BS57" s="100">
        <v>6236.5263643060107</v>
      </c>
      <c r="BT57" s="100">
        <v>6.0758291969465485</v>
      </c>
      <c r="BU57" s="100">
        <v>8574.2101627309694</v>
      </c>
      <c r="BV57" s="100">
        <v>5.0152491571853615</v>
      </c>
      <c r="BW57" s="100">
        <v>7077.5196106199819</v>
      </c>
      <c r="BX57" s="100">
        <v>4.0723722792685315</v>
      </c>
      <c r="BY57" s="100">
        <v>5746.9317605037522</v>
      </c>
      <c r="BZ57" s="100">
        <v>4.5830713736397</v>
      </c>
      <c r="CA57" s="100">
        <v>6467.6303224803451</v>
      </c>
      <c r="CB57" s="100">
        <v>2.5374902699567996</v>
      </c>
      <c r="CC57" s="100">
        <v>3580.9062689630359</v>
      </c>
      <c r="CD57" s="100">
        <v>6.237774216322908</v>
      </c>
      <c r="CE57" s="100">
        <v>8802.7469740748875</v>
      </c>
      <c r="CF57" s="100">
        <v>9.8369313032960299</v>
      </c>
      <c r="CG57" s="100">
        <v>13881.877455211357</v>
      </c>
      <c r="CH57" s="100">
        <v>5.3875272611732949</v>
      </c>
      <c r="CI57" s="100">
        <v>7602.8784709677539</v>
      </c>
      <c r="CJ57" s="100">
        <v>3.0394714478405684</v>
      </c>
      <c r="CK57" s="100">
        <v>4289.3021071926105</v>
      </c>
      <c r="CL57" s="100">
        <v>10.113245087708494</v>
      </c>
      <c r="CM57" s="100">
        <v>14271.811467774227</v>
      </c>
      <c r="CN57" s="100">
        <v>6.6069393439347914</v>
      </c>
      <c r="CO57" s="100">
        <v>9323.7128021607787</v>
      </c>
      <c r="CP57" s="100">
        <v>3.7176620459696852</v>
      </c>
      <c r="CQ57" s="100">
        <v>5246.3646792724203</v>
      </c>
      <c r="CR57" s="100">
        <v>7.846016774649085</v>
      </c>
      <c r="CS57" s="100">
        <v>11072.298872384788</v>
      </c>
      <c r="CT57" s="100">
        <v>6.427295943072461</v>
      </c>
      <c r="CU57" s="100">
        <v>9070.2000348638576</v>
      </c>
    </row>
    <row r="58" spans="2:99">
      <c r="C58" s="99" t="s">
        <v>224</v>
      </c>
      <c r="D58" s="100">
        <v>4.1568510889702592</v>
      </c>
      <c r="E58" s="100">
        <v>4893.4451019357894</v>
      </c>
      <c r="F58" s="100">
        <v>9.8001604451337681</v>
      </c>
      <c r="G58" s="100">
        <v>11536.748876011472</v>
      </c>
      <c r="H58" s="100">
        <v>9.2359530008283794</v>
      </c>
      <c r="I58" s="100">
        <v>10872.563872575169</v>
      </c>
      <c r="J58" s="100">
        <v>7.8407532164197917</v>
      </c>
      <c r="K58" s="100">
        <v>9230.1346863693798</v>
      </c>
      <c r="L58" s="100">
        <v>4.7076862439631535</v>
      </c>
      <c r="M58" s="100">
        <v>5541.8882463934242</v>
      </c>
      <c r="N58" s="100">
        <v>2.4025770030240103</v>
      </c>
      <c r="O58" s="100">
        <v>2828.3136479598652</v>
      </c>
      <c r="P58" s="100">
        <v>9.8736220279805806</v>
      </c>
      <c r="Q58" s="100">
        <v>11623.227851338739</v>
      </c>
      <c r="R58" s="100">
        <v>10</v>
      </c>
      <c r="S58" s="100">
        <v>11772</v>
      </c>
      <c r="T58" s="100">
        <v>6.528303906615557</v>
      </c>
      <c r="U58" s="100">
        <v>7685.1193588678343</v>
      </c>
      <c r="V58" s="100">
        <v>6.243369728544228</v>
      </c>
      <c r="W58" s="100">
        <v>7349.6948444422651</v>
      </c>
      <c r="X58" s="100">
        <v>10.002893006292098</v>
      </c>
      <c r="Y58" s="100">
        <v>11775.405647007057</v>
      </c>
      <c r="Z58" s="100">
        <v>9.8970534313829059</v>
      </c>
      <c r="AA58" s="100">
        <v>11650.811299423958</v>
      </c>
      <c r="AB58" s="100">
        <v>5.5217484782734161</v>
      </c>
      <c r="AC58" s="100">
        <v>6500.2023086234658</v>
      </c>
      <c r="AD58" s="100">
        <v>5.4754735354094199</v>
      </c>
      <c r="AE58" s="100">
        <v>6445.7274458839693</v>
      </c>
      <c r="AF58" s="100">
        <v>6.9314924812714116</v>
      </c>
      <c r="AG58" s="100">
        <v>8159.752948952706</v>
      </c>
      <c r="AH58" s="100">
        <v>7.160669732852166</v>
      </c>
      <c r="AI58" s="100">
        <v>8429.5404095135709</v>
      </c>
      <c r="AJ58" s="100">
        <v>5.82619478401595</v>
      </c>
      <c r="AK58" s="100">
        <v>6858.5964997435767</v>
      </c>
      <c r="AL58" s="100">
        <v>5.1713758715105724</v>
      </c>
      <c r="AM58" s="100">
        <v>6087.7436759422462</v>
      </c>
      <c r="AN58" s="100">
        <v>6.7724627288621795</v>
      </c>
      <c r="AO58" s="100">
        <v>7972.5431244165584</v>
      </c>
      <c r="AP58" s="100">
        <v>7.2133449457734509</v>
      </c>
      <c r="AQ58" s="100">
        <v>8491.5496701645061</v>
      </c>
      <c r="AR58" s="100">
        <v>5.4446951087248623</v>
      </c>
      <c r="AS58" s="100">
        <v>6409.4950819909081</v>
      </c>
      <c r="AT58" s="100">
        <v>7.9508587561457666</v>
      </c>
      <c r="AU58" s="100">
        <v>9359.7509277347963</v>
      </c>
      <c r="AV58" s="100">
        <v>8</v>
      </c>
      <c r="AW58" s="100">
        <v>9417.6</v>
      </c>
      <c r="AX58" s="100">
        <v>5.1973513661415431</v>
      </c>
      <c r="AY58" s="100">
        <v>6118.3220282218244</v>
      </c>
      <c r="AZ58" s="100">
        <v>1.7258335013049557</v>
      </c>
      <c r="BA58" s="100">
        <v>2031.651197736194</v>
      </c>
      <c r="BB58" s="100">
        <v>7.5519592659905834</v>
      </c>
      <c r="BC58" s="100">
        <v>8890.1664479241153</v>
      </c>
      <c r="BD58" s="100">
        <v>6.9527519668506423</v>
      </c>
      <c r="BE58" s="100">
        <v>8184.7796153765767</v>
      </c>
      <c r="BF58" s="100">
        <v>8.3315337194294639</v>
      </c>
      <c r="BG58" s="100">
        <v>9807.881494512365</v>
      </c>
      <c r="BH58" s="100">
        <v>5.3462465043327914</v>
      </c>
      <c r="BI58" s="100">
        <v>6293.6013849005622</v>
      </c>
      <c r="BJ58" s="100">
        <v>7.0611365045773864</v>
      </c>
      <c r="BK58" s="100">
        <v>8312.3698931884992</v>
      </c>
      <c r="BL58" s="100">
        <v>1.1840013076589881</v>
      </c>
      <c r="BM58" s="100">
        <v>1393.8063393761608</v>
      </c>
      <c r="BN58" s="100">
        <v>10.424153566305158</v>
      </c>
      <c r="BO58" s="100">
        <v>12271.313578254432</v>
      </c>
      <c r="BP58" s="100">
        <v>8</v>
      </c>
      <c r="BQ58" s="100">
        <v>9417.6</v>
      </c>
      <c r="BR58" s="100">
        <v>4.3538847650044747</v>
      </c>
      <c r="BS58" s="100">
        <v>5125.3931453632676</v>
      </c>
      <c r="BT58" s="100">
        <v>5.4324051894211971</v>
      </c>
      <c r="BU58" s="100">
        <v>6395.0273889866339</v>
      </c>
      <c r="BV58" s="100">
        <v>4.5638092377251249</v>
      </c>
      <c r="BW58" s="100">
        <v>5372.5162346500174</v>
      </c>
      <c r="BX58" s="100">
        <v>3.5770644826932454</v>
      </c>
      <c r="BY58" s="100">
        <v>4210.9203090264882</v>
      </c>
      <c r="BZ58" s="100">
        <v>2.9229317400648913</v>
      </c>
      <c r="CA58" s="100">
        <v>3440.8752444043903</v>
      </c>
      <c r="CB58" s="100">
        <v>5.5611147186090655</v>
      </c>
      <c r="CC58" s="100">
        <v>6546.5442467465919</v>
      </c>
      <c r="CD58" s="100">
        <v>3.6546058051891355</v>
      </c>
      <c r="CE58" s="100">
        <v>4302.2019538686509</v>
      </c>
      <c r="CF58" s="100">
        <v>7.8829769634892175</v>
      </c>
      <c r="CG58" s="100">
        <v>9279.8404814195073</v>
      </c>
      <c r="CH58" s="100">
        <v>5.2143832305297124</v>
      </c>
      <c r="CI58" s="100">
        <v>6138.3719389795779</v>
      </c>
      <c r="CJ58" s="100">
        <v>7.3424169546878648</v>
      </c>
      <c r="CK58" s="100">
        <v>8643.4932390585545</v>
      </c>
      <c r="CL58" s="100">
        <v>9.158231228353559</v>
      </c>
      <c r="CM58" s="100">
        <v>10781.06980201781</v>
      </c>
      <c r="CN58" s="100">
        <v>5.6589312456929326</v>
      </c>
      <c r="CO58" s="100">
        <v>6661.6938624297209</v>
      </c>
      <c r="CP58" s="100">
        <v>3.9238097568958192</v>
      </c>
      <c r="CQ58" s="100">
        <v>4619.1088458177583</v>
      </c>
      <c r="CR58" s="100">
        <v>12.038967366719428</v>
      </c>
      <c r="CS58" s="100">
        <v>14172.272384102111</v>
      </c>
      <c r="CT58" s="100">
        <v>5.3299940436266429</v>
      </c>
      <c r="CU58" s="100">
        <v>6274.468988157284</v>
      </c>
    </row>
    <row r="59" spans="2:99">
      <c r="C59" s="99" t="s">
        <v>225</v>
      </c>
      <c r="D59" s="100">
        <v>3.7191491133095789</v>
      </c>
      <c r="E59" s="100">
        <v>1129.133670800788</v>
      </c>
      <c r="F59" s="100">
        <v>5.5787020373093821</v>
      </c>
      <c r="G59" s="100">
        <v>1693.6939385271282</v>
      </c>
      <c r="H59" s="100">
        <v>12.047751995491872</v>
      </c>
      <c r="I59" s="100">
        <v>3657.6975058313319</v>
      </c>
      <c r="J59" s="100">
        <v>9.8292215522780353</v>
      </c>
      <c r="K59" s="100">
        <v>2984.1516632716111</v>
      </c>
      <c r="L59" s="100">
        <v>3.5815565239739384</v>
      </c>
      <c r="M59" s="100">
        <v>1087.3605606784877</v>
      </c>
      <c r="N59" s="100">
        <v>4.0030924398441972</v>
      </c>
      <c r="O59" s="100">
        <v>1215.338864736698</v>
      </c>
      <c r="P59" s="100">
        <v>10.817218512970046</v>
      </c>
      <c r="Q59" s="100">
        <v>3284.1075405377055</v>
      </c>
      <c r="R59" s="100">
        <v>12</v>
      </c>
      <c r="S59" s="100">
        <v>3643.2</v>
      </c>
      <c r="T59" s="100">
        <v>8.5419832330748786</v>
      </c>
      <c r="U59" s="100">
        <v>2593.346109561533</v>
      </c>
      <c r="V59" s="100">
        <v>8.5414055025648565</v>
      </c>
      <c r="W59" s="100">
        <v>2593.17071057869</v>
      </c>
      <c r="X59" s="100">
        <v>3.7901485700728523</v>
      </c>
      <c r="Y59" s="100">
        <v>1150.6891058741178</v>
      </c>
      <c r="Z59" s="100">
        <v>11.863321330737797</v>
      </c>
      <c r="AA59" s="100">
        <v>3601.7043560119946</v>
      </c>
      <c r="AB59" s="100">
        <v>4.6730169237865953</v>
      </c>
      <c r="AC59" s="100">
        <v>1418.7279380616101</v>
      </c>
      <c r="AD59" s="100">
        <v>11.699157530599571</v>
      </c>
      <c r="AE59" s="100">
        <v>3551.8642262900294</v>
      </c>
      <c r="AF59" s="100">
        <v>7.4952953076471402</v>
      </c>
      <c r="AG59" s="100">
        <v>2275.5716554016717</v>
      </c>
      <c r="AH59" s="100">
        <v>7.4090300130480271</v>
      </c>
      <c r="AI59" s="100">
        <v>2249.381511961381</v>
      </c>
      <c r="AJ59" s="100">
        <v>4.9238819253232675</v>
      </c>
      <c r="AK59" s="100">
        <v>1494.8905525281439</v>
      </c>
      <c r="AL59" s="100">
        <v>1.6467677024502494</v>
      </c>
      <c r="AM59" s="100">
        <v>499.95867446389565</v>
      </c>
      <c r="AN59" s="100">
        <v>10.732560553078558</v>
      </c>
      <c r="AO59" s="100">
        <v>3258.40538391465</v>
      </c>
      <c r="AP59" s="100">
        <v>7</v>
      </c>
      <c r="AQ59" s="100">
        <v>2125.1999999999998</v>
      </c>
      <c r="AR59" s="100">
        <v>8.1215886915950133</v>
      </c>
      <c r="AS59" s="100">
        <v>2465.7143267682459</v>
      </c>
      <c r="AT59" s="100">
        <v>2.4040007128717327</v>
      </c>
      <c r="AU59" s="100">
        <v>729.85461642785799</v>
      </c>
      <c r="AV59" s="100">
        <v>8.6662578007447415</v>
      </c>
      <c r="AW59" s="100">
        <v>2631.0758683061031</v>
      </c>
      <c r="AX59" s="100">
        <v>7.4241287904089095</v>
      </c>
      <c r="AY59" s="100">
        <v>2253.9655007681445</v>
      </c>
      <c r="AZ59" s="100">
        <v>5.7009185337121089</v>
      </c>
      <c r="BA59" s="100">
        <v>1730.798866834996</v>
      </c>
      <c r="BB59" s="100">
        <v>2.3436567967914512</v>
      </c>
      <c r="BC59" s="100">
        <v>711.53420350588453</v>
      </c>
      <c r="BD59" s="100">
        <v>7.5798872021497887</v>
      </c>
      <c r="BE59" s="100">
        <v>2301.2537545726755</v>
      </c>
      <c r="BF59" s="100">
        <v>5.1846455731093313</v>
      </c>
      <c r="BG59" s="100">
        <v>1574.0583959959929</v>
      </c>
      <c r="BH59" s="100">
        <v>7.3236185876110111</v>
      </c>
      <c r="BI59" s="100">
        <v>2223.4506031987025</v>
      </c>
      <c r="BJ59" s="100">
        <v>4.9937405719973791</v>
      </c>
      <c r="BK59" s="100">
        <v>1516.0996376584042</v>
      </c>
      <c r="BL59" s="100">
        <v>5.0264895182828893</v>
      </c>
      <c r="BM59" s="100">
        <v>1526.042217750685</v>
      </c>
      <c r="BN59" s="100">
        <v>11.466224258926831</v>
      </c>
      <c r="BO59" s="100">
        <v>3481.1456850101854</v>
      </c>
      <c r="BP59" s="100">
        <v>8</v>
      </c>
      <c r="BQ59" s="100">
        <v>2428.7999999999997</v>
      </c>
      <c r="BR59" s="100">
        <v>5.1558584360995452</v>
      </c>
      <c r="BS59" s="100">
        <v>1565.3186211998218</v>
      </c>
      <c r="BT59" s="100">
        <v>7.4260134629346704</v>
      </c>
      <c r="BU59" s="100">
        <v>2254.5376873469659</v>
      </c>
      <c r="BV59" s="100">
        <v>5.1198572125619277</v>
      </c>
      <c r="BW59" s="100">
        <v>1554.388649733801</v>
      </c>
      <c r="BX59" s="100">
        <v>4.5079254644940461</v>
      </c>
      <c r="BY59" s="100">
        <v>1368.6061710203921</v>
      </c>
      <c r="BZ59" s="100">
        <v>4.6770866194144052</v>
      </c>
      <c r="CA59" s="100">
        <v>1419.9634976542131</v>
      </c>
      <c r="CB59" s="100">
        <v>3.1527493087408698</v>
      </c>
      <c r="CC59" s="100">
        <v>957.17469013372795</v>
      </c>
      <c r="CD59" s="100">
        <v>6.237774216322908</v>
      </c>
      <c r="CE59" s="100">
        <v>1893.7882520756345</v>
      </c>
      <c r="CF59" s="100">
        <v>11.594784170929906</v>
      </c>
      <c r="CG59" s="100">
        <v>3520.1764742943187</v>
      </c>
      <c r="CH59" s="100">
        <v>5.9861414013036613</v>
      </c>
      <c r="CI59" s="100">
        <v>1817.3925294357914</v>
      </c>
      <c r="CJ59" s="100">
        <v>3.4262712493637473</v>
      </c>
      <c r="CK59" s="100">
        <v>1040.2159513068336</v>
      </c>
      <c r="CL59" s="100">
        <v>10.113245087708494</v>
      </c>
      <c r="CM59" s="100">
        <v>3070.3812086282983</v>
      </c>
      <c r="CN59" s="100">
        <v>6.6069393439347914</v>
      </c>
      <c r="CO59" s="100">
        <v>2005.8667848186024</v>
      </c>
      <c r="CP59" s="100">
        <v>3.7176620459696852</v>
      </c>
      <c r="CQ59" s="100">
        <v>1128.6821971563963</v>
      </c>
      <c r="CR59" s="100">
        <v>7.8480564151065879</v>
      </c>
      <c r="CS59" s="100">
        <v>2382.6699276263598</v>
      </c>
      <c r="CT59" s="100">
        <v>6.4239307725647681</v>
      </c>
      <c r="CU59" s="100">
        <v>1950.3053825506634</v>
      </c>
    </row>
    <row r="60" spans="2:99">
      <c r="C60" s="99" t="s">
        <v>226</v>
      </c>
      <c r="D60" s="100">
        <v>4.1036240409954177</v>
      </c>
      <c r="E60" s="100">
        <v>2673.9214251126141</v>
      </c>
      <c r="F60" s="100">
        <v>4.6419500799465494</v>
      </c>
      <c r="G60" s="100">
        <v>3024.6946720931719</v>
      </c>
      <c r="H60" s="100">
        <v>11.873126662909893</v>
      </c>
      <c r="I60" s="100">
        <v>7736.5293335520864</v>
      </c>
      <c r="J60" s="100">
        <v>9.0101197562548663</v>
      </c>
      <c r="K60" s="100">
        <v>5870.9940331756707</v>
      </c>
      <c r="L60" s="100">
        <v>3.149772937012612</v>
      </c>
      <c r="M60" s="100">
        <v>2052.3920457574181</v>
      </c>
      <c r="N60" s="100">
        <v>3.5003024310517445</v>
      </c>
      <c r="O60" s="100">
        <v>2280.797064073317</v>
      </c>
      <c r="P60" s="100">
        <v>9.8172185129700456</v>
      </c>
      <c r="Q60" s="100">
        <v>6396.8995830512822</v>
      </c>
      <c r="R60" s="100">
        <v>12</v>
      </c>
      <c r="S60" s="100">
        <v>7819.2000000000007</v>
      </c>
      <c r="T60" s="100">
        <v>8.5419832330748786</v>
      </c>
      <c r="U60" s="100">
        <v>5565.956274671591</v>
      </c>
      <c r="V60" s="100">
        <v>7.6872649523083707</v>
      </c>
      <c r="W60" s="100">
        <v>5009.0218429241349</v>
      </c>
      <c r="X60" s="100">
        <v>3.7901485700728523</v>
      </c>
      <c r="Y60" s="100">
        <v>2469.6608082594707</v>
      </c>
      <c r="Z60" s="100">
        <v>11.863321330737797</v>
      </c>
      <c r="AA60" s="100">
        <v>7730.1401791087492</v>
      </c>
      <c r="AB60" s="100">
        <v>4.6730169237865953</v>
      </c>
      <c r="AC60" s="100">
        <v>3044.9378275393456</v>
      </c>
      <c r="AD60" s="100">
        <v>10.873946913249464</v>
      </c>
      <c r="AE60" s="100">
        <v>7085.4638086733512</v>
      </c>
      <c r="AF60" s="100">
        <v>7.4952953076471402</v>
      </c>
      <c r="AG60" s="100">
        <v>4883.9344224628767</v>
      </c>
      <c r="AH60" s="100">
        <v>8.149933014352829</v>
      </c>
      <c r="AI60" s="100">
        <v>5310.4963521523032</v>
      </c>
      <c r="AJ60" s="100">
        <v>5.3098567181086773</v>
      </c>
      <c r="AK60" s="100">
        <v>3459.9026375196145</v>
      </c>
      <c r="AL60" s="100">
        <v>1.4439952838889125</v>
      </c>
      <c r="AM60" s="100">
        <v>940.90732698201543</v>
      </c>
      <c r="AN60" s="100">
        <v>10.732560553078558</v>
      </c>
      <c r="AO60" s="100">
        <v>6993.3364563859886</v>
      </c>
      <c r="AP60" s="100">
        <v>6</v>
      </c>
      <c r="AQ60" s="100">
        <v>3909.6000000000004</v>
      </c>
      <c r="AR60" s="100">
        <v>8.1215886915950133</v>
      </c>
      <c r="AS60" s="100">
        <v>5292.0271914433106</v>
      </c>
      <c r="AT60" s="100">
        <v>1.9910021572699306</v>
      </c>
      <c r="AU60" s="100">
        <v>1297.3370056770868</v>
      </c>
      <c r="AV60" s="100">
        <v>9.5552148339539507</v>
      </c>
      <c r="AW60" s="100">
        <v>6226.1779858043947</v>
      </c>
      <c r="AX60" s="100">
        <v>7.4241287904089095</v>
      </c>
      <c r="AY60" s="100">
        <v>4837.5623198304456</v>
      </c>
      <c r="AZ60" s="100">
        <v>5.7009185337121089</v>
      </c>
      <c r="BA60" s="100">
        <v>3714.7185165668102</v>
      </c>
      <c r="BB60" s="100">
        <v>2.3436567967914512</v>
      </c>
      <c r="BC60" s="100">
        <v>1527.1267687893096</v>
      </c>
      <c r="BD60" s="100">
        <v>8.2934289815590212</v>
      </c>
      <c r="BE60" s="100">
        <v>5403.9983243838587</v>
      </c>
      <c r="BF60" s="100">
        <v>5.1880699458655277</v>
      </c>
      <c r="BG60" s="100">
        <v>3380.546376725978</v>
      </c>
      <c r="BH60" s="100">
        <v>7.3236185876110111</v>
      </c>
      <c r="BI60" s="100">
        <v>4772.0698716873349</v>
      </c>
      <c r="BJ60" s="100">
        <v>5.5692148174835303</v>
      </c>
      <c r="BK60" s="100">
        <v>3628.9003750722686</v>
      </c>
      <c r="BL60" s="100">
        <v>5.0307386808492502</v>
      </c>
      <c r="BM60" s="100">
        <v>3278.0293244413715</v>
      </c>
      <c r="BN60" s="100">
        <v>11.466224258926831</v>
      </c>
      <c r="BO60" s="100">
        <v>7471.3917271167229</v>
      </c>
      <c r="BP60" s="100">
        <v>8</v>
      </c>
      <c r="BQ60" s="100">
        <v>5212.8</v>
      </c>
      <c r="BR60" s="100">
        <v>4.4193072309424677</v>
      </c>
      <c r="BS60" s="100">
        <v>2879.6205916821123</v>
      </c>
      <c r="BT60" s="100">
        <v>6.7509213299406099</v>
      </c>
      <c r="BU60" s="100">
        <v>4398.900338589302</v>
      </c>
      <c r="BV60" s="100">
        <v>5.0152491571853615</v>
      </c>
      <c r="BW60" s="100">
        <v>3267.9363508219817</v>
      </c>
      <c r="BX60" s="100">
        <v>4.0723722792685315</v>
      </c>
      <c r="BY60" s="100">
        <v>2653.5577771713752</v>
      </c>
      <c r="BZ60" s="100">
        <v>4.6770866194144052</v>
      </c>
      <c r="CA60" s="100">
        <v>3047.5896412104266</v>
      </c>
      <c r="CB60" s="100">
        <v>2.5541702025711994</v>
      </c>
      <c r="CC60" s="100">
        <v>1664.2973039953936</v>
      </c>
      <c r="CD60" s="100">
        <v>6.237774216322908</v>
      </c>
      <c r="CE60" s="100">
        <v>4064.5336793560068</v>
      </c>
      <c r="CF60" s="100">
        <v>11.762314031707609</v>
      </c>
      <c r="CG60" s="100">
        <v>7664.3238230606785</v>
      </c>
      <c r="CH60" s="100">
        <v>5.3875272611732949</v>
      </c>
      <c r="CI60" s="100">
        <v>3510.5127633805191</v>
      </c>
      <c r="CJ60" s="100">
        <v>3.4919547680893701</v>
      </c>
      <c r="CK60" s="100">
        <v>2275.3577268870336</v>
      </c>
      <c r="CL60" s="100">
        <v>10.113245087708494</v>
      </c>
      <c r="CM60" s="100">
        <v>6589.7904991508549</v>
      </c>
      <c r="CN60" s="100">
        <v>6.6069393439347914</v>
      </c>
      <c r="CO60" s="100">
        <v>4305.0816765079098</v>
      </c>
      <c r="CP60" s="100">
        <v>4.0704770688049026</v>
      </c>
      <c r="CQ60" s="100">
        <v>2652.3228580332748</v>
      </c>
      <c r="CR60" s="100">
        <v>7.846016774649085</v>
      </c>
      <c r="CS60" s="100">
        <v>5112.4645303613443</v>
      </c>
      <c r="CT60" s="100">
        <v>5.8331656435474617</v>
      </c>
      <c r="CU60" s="100">
        <v>3800.890733335526</v>
      </c>
    </row>
    <row r="61" spans="2:99">
      <c r="C61" s="99" t="s">
        <v>227</v>
      </c>
      <c r="D61" s="100">
        <v>3.6328407994441427</v>
      </c>
      <c r="E61" s="100">
        <v>3457.0113047510458</v>
      </c>
      <c r="F61" s="100">
        <v>4.6419500799465494</v>
      </c>
      <c r="G61" s="100">
        <v>4417.2796960771357</v>
      </c>
      <c r="H61" s="100">
        <v>10.873126662909893</v>
      </c>
      <c r="I61" s="100">
        <v>10346.867332425054</v>
      </c>
      <c r="J61" s="100">
        <v>9.0101197562548663</v>
      </c>
      <c r="K61" s="100">
        <v>8574.0299600521303</v>
      </c>
      <c r="L61" s="100">
        <v>3.5815565239739384</v>
      </c>
      <c r="M61" s="100">
        <v>3408.2091882135996</v>
      </c>
      <c r="N61" s="100">
        <v>3.5003024310517445</v>
      </c>
      <c r="O61" s="100">
        <v>3330.8877933888398</v>
      </c>
      <c r="P61" s="100">
        <v>8.8172185129700456</v>
      </c>
      <c r="Q61" s="100">
        <v>8390.4651369422954</v>
      </c>
      <c r="R61" s="100">
        <v>10</v>
      </c>
      <c r="S61" s="100">
        <v>9516</v>
      </c>
      <c r="T61" s="100">
        <v>7.68778490976739</v>
      </c>
      <c r="U61" s="100">
        <v>7315.6961201346476</v>
      </c>
      <c r="V61" s="100">
        <v>7.6872649523083707</v>
      </c>
      <c r="W61" s="100">
        <v>7315.2013286166448</v>
      </c>
      <c r="X61" s="100">
        <v>3.411133713065567</v>
      </c>
      <c r="Y61" s="100">
        <v>3246.0348413531933</v>
      </c>
      <c r="Z61" s="100">
        <v>11.863321330737797</v>
      </c>
      <c r="AA61" s="100">
        <v>11289.136578330086</v>
      </c>
      <c r="AB61" s="100">
        <v>4.1537928211436403</v>
      </c>
      <c r="AC61" s="100">
        <v>3952.749248600288</v>
      </c>
      <c r="AD61" s="100">
        <v>9.8739469132494637</v>
      </c>
      <c r="AE61" s="100">
        <v>9396.0478826481885</v>
      </c>
      <c r="AF61" s="100">
        <v>7.4952953076471402</v>
      </c>
      <c r="AG61" s="100">
        <v>7132.5230147570182</v>
      </c>
      <c r="AH61" s="100">
        <v>7.4090300130480271</v>
      </c>
      <c r="AI61" s="100">
        <v>7050.4329604165023</v>
      </c>
      <c r="AJ61" s="100">
        <v>4.1032349377693897</v>
      </c>
      <c r="AK61" s="100">
        <v>3904.6383667813511</v>
      </c>
      <c r="AL61" s="100">
        <v>1.6467677024502494</v>
      </c>
      <c r="AM61" s="100">
        <v>1567.0641456516571</v>
      </c>
      <c r="AN61" s="100">
        <v>10.610467127565466</v>
      </c>
      <c r="AO61" s="100">
        <v>10096.920518591296</v>
      </c>
      <c r="AP61" s="100">
        <v>7</v>
      </c>
      <c r="AQ61" s="100">
        <v>6661.1999999999989</v>
      </c>
      <c r="AR61" s="100">
        <v>6.5126889954170668</v>
      </c>
      <c r="AS61" s="100">
        <v>6197.4748480388798</v>
      </c>
      <c r="AT61" s="100">
        <v>1.9910021572699306</v>
      </c>
      <c r="AU61" s="100">
        <v>1894.6376528580658</v>
      </c>
      <c r="AV61" s="100">
        <v>8.5552148339539507</v>
      </c>
      <c r="AW61" s="100">
        <v>8141.1424359905786</v>
      </c>
      <c r="AX61" s="100">
        <v>6.5992255914745872</v>
      </c>
      <c r="AY61" s="100">
        <v>6279.8230728472163</v>
      </c>
      <c r="AZ61" s="100">
        <v>4.9883037169980948</v>
      </c>
      <c r="BA61" s="100">
        <v>4746.8698170953867</v>
      </c>
      <c r="BB61" s="100">
        <v>2.3436567967914512</v>
      </c>
      <c r="BC61" s="100">
        <v>2230.2238078267446</v>
      </c>
      <c r="BD61" s="100">
        <v>6.7791934227025887</v>
      </c>
      <c r="BE61" s="100">
        <v>6451.0804610437826</v>
      </c>
      <c r="BF61" s="100">
        <v>5.6417636731010399</v>
      </c>
      <c r="BG61" s="100">
        <v>5368.7023113229488</v>
      </c>
      <c r="BH61" s="100">
        <v>6.4956067116868725</v>
      </c>
      <c r="BI61" s="100">
        <v>6181.219346841227</v>
      </c>
      <c r="BJ61" s="100">
        <v>4.3478750467734084</v>
      </c>
      <c r="BK61" s="100">
        <v>4137.437894509575</v>
      </c>
      <c r="BL61" s="100">
        <v>5.1637371442260465</v>
      </c>
      <c r="BM61" s="100">
        <v>4913.812266445505</v>
      </c>
      <c r="BN61" s="100">
        <v>10.466224258926831</v>
      </c>
      <c r="BO61" s="100">
        <v>9959.6590047947702</v>
      </c>
      <c r="BP61" s="100">
        <v>7</v>
      </c>
      <c r="BQ61" s="100">
        <v>6661.1999999999989</v>
      </c>
      <c r="BR61" s="100">
        <v>4.4193072309424677</v>
      </c>
      <c r="BS61" s="100">
        <v>4205.4127609648522</v>
      </c>
      <c r="BT61" s="100">
        <v>6.0758291969465485</v>
      </c>
      <c r="BU61" s="100">
        <v>5781.7590638143347</v>
      </c>
      <c r="BV61" s="100">
        <v>5.0152491571853615</v>
      </c>
      <c r="BW61" s="100">
        <v>4772.5110979775891</v>
      </c>
      <c r="BX61" s="100">
        <v>4.5079254644940461</v>
      </c>
      <c r="BY61" s="100">
        <v>4289.7418720125343</v>
      </c>
      <c r="BZ61" s="100">
        <v>4.5830713736397</v>
      </c>
      <c r="CA61" s="100">
        <v>4361.2507191555378</v>
      </c>
      <c r="CB61" s="100">
        <v>2.5374902699567996</v>
      </c>
      <c r="CC61" s="100">
        <v>2414.6757408908902</v>
      </c>
      <c r="CD61" s="100">
        <v>5.7191355368482713</v>
      </c>
      <c r="CE61" s="100">
        <v>5442.3293768648145</v>
      </c>
      <c r="CF61" s="100">
        <v>10.799622667501819</v>
      </c>
      <c r="CG61" s="100">
        <v>10276.92093039473</v>
      </c>
      <c r="CH61" s="100">
        <v>4.7889131210429294</v>
      </c>
      <c r="CI61" s="100">
        <v>4557.1297259844514</v>
      </c>
      <c r="CJ61" s="100">
        <v>3.4954100116395734</v>
      </c>
      <c r="CK61" s="100">
        <v>3326.2321670762176</v>
      </c>
      <c r="CL61" s="100">
        <v>11.113245087708494</v>
      </c>
      <c r="CM61" s="100">
        <v>10575.364025463401</v>
      </c>
      <c r="CN61" s="100">
        <v>6.6069393439347914</v>
      </c>
      <c r="CO61" s="100">
        <v>6287.1634796883473</v>
      </c>
      <c r="CP61" s="100">
        <v>3.6147041630981427</v>
      </c>
      <c r="CQ61" s="100">
        <v>3439.7524816041923</v>
      </c>
      <c r="CR61" s="100">
        <v>8.4965675749156304</v>
      </c>
      <c r="CS61" s="100">
        <v>8085.3337042897128</v>
      </c>
      <c r="CT61" s="100">
        <v>6.4205656020570752</v>
      </c>
      <c r="CU61" s="100">
        <v>6109.8102269175124</v>
      </c>
    </row>
    <row r="62" spans="2:99">
      <c r="C62" s="99" t="s">
        <v>228</v>
      </c>
      <c r="D62" s="100">
        <v>5.4025832507574147</v>
      </c>
      <c r="E62" s="100">
        <v>9017.9919621642766</v>
      </c>
      <c r="F62" s="100">
        <v>5.6581415698758262</v>
      </c>
      <c r="G62" s="100">
        <v>9444.5699084367297</v>
      </c>
      <c r="H62" s="100">
        <v>7.0810293523429015</v>
      </c>
      <c r="I62" s="100">
        <v>11819.654194930772</v>
      </c>
      <c r="J62" s="100">
        <v>7.5213295883101274</v>
      </c>
      <c r="K62" s="100">
        <v>12554.603348807264</v>
      </c>
      <c r="L62" s="100">
        <v>8.1223840735795481</v>
      </c>
      <c r="M62" s="100">
        <v>13557.883495618982</v>
      </c>
      <c r="N62" s="100">
        <v>5.1631832141103695</v>
      </c>
      <c r="O62" s="100">
        <v>8618.3854209930287</v>
      </c>
      <c r="P62" s="100">
        <v>6.0748236492216003</v>
      </c>
      <c r="Q62" s="100">
        <v>10140.095635280695</v>
      </c>
      <c r="R62" s="100">
        <v>7.7382877281977569</v>
      </c>
      <c r="S62" s="100">
        <v>12916.749875907697</v>
      </c>
      <c r="T62" s="100">
        <v>5.9204573221284322</v>
      </c>
      <c r="U62" s="100">
        <v>9882.4273620967797</v>
      </c>
      <c r="V62" s="100">
        <v>7.7644197900862313</v>
      </c>
      <c r="W62" s="100">
        <v>12960.369513611937</v>
      </c>
      <c r="X62" s="100">
        <v>7.8370491366814239</v>
      </c>
      <c r="Y62" s="100">
        <v>13081.602418948632</v>
      </c>
      <c r="Z62" s="100">
        <v>3.8655441425991262</v>
      </c>
      <c r="AA62" s="100">
        <v>6452.3662828264614</v>
      </c>
      <c r="AB62" s="100">
        <v>8.8092202379127205</v>
      </c>
      <c r="AC62" s="100">
        <v>14704.350421123914</v>
      </c>
      <c r="AD62" s="100">
        <v>2.9689778513931642</v>
      </c>
      <c r="AE62" s="100">
        <v>4955.81782954547</v>
      </c>
      <c r="AF62" s="100">
        <v>6.6774573016765242</v>
      </c>
      <c r="AG62" s="100">
        <v>11146.011727958454</v>
      </c>
      <c r="AH62" s="100">
        <v>7.7435350591972014</v>
      </c>
      <c r="AI62" s="100">
        <v>12925.508720811969</v>
      </c>
      <c r="AJ62" s="100">
        <v>2.1181303264889118</v>
      </c>
      <c r="AK62" s="100">
        <v>3535.5831409752914</v>
      </c>
      <c r="AL62" s="100">
        <v>3.4581129261453909</v>
      </c>
      <c r="AM62" s="100">
        <v>5772.2820963218865</v>
      </c>
      <c r="AN62" s="100">
        <v>4.9140691696634793</v>
      </c>
      <c r="AO62" s="100">
        <v>8202.5642580022795</v>
      </c>
      <c r="AP62" s="100">
        <v>7.8432321071620823</v>
      </c>
      <c r="AQ62" s="100">
        <v>13091.923033274948</v>
      </c>
      <c r="AR62" s="100">
        <v>4.0102708692296885</v>
      </c>
      <c r="AS62" s="100">
        <v>6693.9441349181961</v>
      </c>
      <c r="AT62" s="100">
        <v>8.1145184836980651</v>
      </c>
      <c r="AU62" s="100">
        <v>13544.754252988811</v>
      </c>
      <c r="AV62" s="100">
        <v>7.4740247818921377</v>
      </c>
      <c r="AW62" s="100">
        <v>12475.642165934356</v>
      </c>
      <c r="AX62" s="100">
        <v>6.2501108118329674</v>
      </c>
      <c r="AY62" s="100">
        <v>10432.684967111589</v>
      </c>
      <c r="AZ62" s="100">
        <v>1.6856731704068064</v>
      </c>
      <c r="BA62" s="100">
        <v>2813.7256560430415</v>
      </c>
      <c r="BB62" s="100">
        <v>5.4403338567498336</v>
      </c>
      <c r="BC62" s="100">
        <v>9081.005273686822</v>
      </c>
      <c r="BD62" s="100">
        <v>6.1756260355984391</v>
      </c>
      <c r="BE62" s="100">
        <v>10308.354978620915</v>
      </c>
      <c r="BF62" s="100">
        <v>6.419994139112351</v>
      </c>
      <c r="BG62" s="100">
        <v>10716.254217006337</v>
      </c>
      <c r="BH62" s="100">
        <v>1.4725855212675556</v>
      </c>
      <c r="BI62" s="100">
        <v>2458.039752099804</v>
      </c>
      <c r="BJ62" s="100">
        <v>4.1118434484223361</v>
      </c>
      <c r="BK62" s="100">
        <v>6863.4890841065635</v>
      </c>
      <c r="BL62" s="100">
        <v>3.8760331493449094</v>
      </c>
      <c r="BM62" s="100">
        <v>6469.8745328865225</v>
      </c>
      <c r="BN62" s="100">
        <v>9.6779178688823126</v>
      </c>
      <c r="BO62" s="100">
        <v>16154.380506738356</v>
      </c>
      <c r="BP62" s="100">
        <v>8</v>
      </c>
      <c r="BQ62" s="100">
        <v>13353.6</v>
      </c>
      <c r="BR62" s="100">
        <v>4.8780955858233153</v>
      </c>
      <c r="BS62" s="100">
        <v>8142.5171518562784</v>
      </c>
      <c r="BT62" s="100">
        <v>4.8707958111805647</v>
      </c>
      <c r="BU62" s="100">
        <v>8130.3323680225985</v>
      </c>
      <c r="BV62" s="100">
        <v>3.3851514857637506</v>
      </c>
      <c r="BW62" s="100">
        <v>5650.4948600368525</v>
      </c>
      <c r="BX62" s="100">
        <v>4.1721098560025931</v>
      </c>
      <c r="BY62" s="100">
        <v>6964.0857716395285</v>
      </c>
      <c r="BZ62" s="100">
        <v>3.2287444956120792</v>
      </c>
      <c r="CA62" s="100">
        <v>5389.4203120756829</v>
      </c>
      <c r="CB62" s="100">
        <v>2.848696244634322</v>
      </c>
      <c r="CC62" s="100">
        <v>4755.0437715436101</v>
      </c>
      <c r="CD62" s="100">
        <v>4.7564513742606307</v>
      </c>
      <c r="CE62" s="100">
        <v>7939.4686339158452</v>
      </c>
      <c r="CF62" s="100">
        <v>7.2043389091069541</v>
      </c>
      <c r="CG62" s="100">
        <v>12025.482507081328</v>
      </c>
      <c r="CH62" s="100">
        <v>4.2576447332987915</v>
      </c>
      <c r="CI62" s="100">
        <v>7106.8605888223428</v>
      </c>
      <c r="CJ62" s="100">
        <v>4.6706500183278115</v>
      </c>
      <c r="CK62" s="100">
        <v>7796.2490105927827</v>
      </c>
      <c r="CL62" s="100">
        <v>5.5187643247976057</v>
      </c>
      <c r="CM62" s="100">
        <v>9211.9214109521636</v>
      </c>
      <c r="CN62" s="100">
        <v>7.6992359875374481</v>
      </c>
      <c r="CO62" s="100">
        <v>12851.564710397508</v>
      </c>
      <c r="CP62" s="100">
        <v>7.0930313488616035</v>
      </c>
      <c r="CQ62" s="100">
        <v>11839.687927519788</v>
      </c>
      <c r="CR62" s="100">
        <v>8.9121932217859552</v>
      </c>
      <c r="CS62" s="100">
        <v>14876.232925805118</v>
      </c>
      <c r="CT62" s="100">
        <v>6.3173740565220236</v>
      </c>
      <c r="CU62" s="100">
        <v>10544.960775146563</v>
      </c>
    </row>
    <row r="63" spans="2:99">
      <c r="C63" s="99" t="s">
        <v>229</v>
      </c>
      <c r="D63" s="100">
        <v>4.1859947814225906</v>
      </c>
      <c r="E63" s="100">
        <v>3330.3774480998131</v>
      </c>
      <c r="F63" s="100">
        <v>5.1103260586279653</v>
      </c>
      <c r="G63" s="100">
        <v>4065.7754122444094</v>
      </c>
      <c r="H63" s="100">
        <v>10.873126662909893</v>
      </c>
      <c r="I63" s="100">
        <v>8650.6595730111112</v>
      </c>
      <c r="J63" s="100">
        <v>8.1910179602316973</v>
      </c>
      <c r="K63" s="100">
        <v>6516.7738891603385</v>
      </c>
      <c r="L63" s="100">
        <v>3.5656455454385227</v>
      </c>
      <c r="M63" s="100">
        <v>2836.8275959508887</v>
      </c>
      <c r="N63" s="100">
        <v>3.5042029971079263</v>
      </c>
      <c r="O63" s="100">
        <v>2787.9439044990663</v>
      </c>
      <c r="P63" s="100">
        <v>9.8172185129700456</v>
      </c>
      <c r="Q63" s="100">
        <v>7810.5790489189685</v>
      </c>
      <c r="R63" s="100">
        <v>12</v>
      </c>
      <c r="S63" s="100">
        <v>9547.2000000000007</v>
      </c>
      <c r="T63" s="100">
        <v>8.5419832330748786</v>
      </c>
      <c r="U63" s="100">
        <v>6796.0018602343735</v>
      </c>
      <c r="V63" s="100">
        <v>8.5414055025648565</v>
      </c>
      <c r="W63" s="100">
        <v>6795.5422178405997</v>
      </c>
      <c r="X63" s="100">
        <v>4.1691634270801368</v>
      </c>
      <c r="Y63" s="100">
        <v>3316.9864225849569</v>
      </c>
      <c r="Z63" s="100">
        <v>10.690657064590239</v>
      </c>
      <c r="AA63" s="100">
        <v>8505.4867605879936</v>
      </c>
      <c r="AB63" s="100">
        <v>4.1537928211436403</v>
      </c>
      <c r="AC63" s="100">
        <v>3304.7575685018805</v>
      </c>
      <c r="AD63" s="100">
        <v>10.873946913249464</v>
      </c>
      <c r="AE63" s="100">
        <v>8651.3121641812741</v>
      </c>
      <c r="AF63" s="100">
        <v>7.4952953076471402</v>
      </c>
      <c r="AG63" s="100">
        <v>5963.2569467640651</v>
      </c>
      <c r="AH63" s="100">
        <v>6.6681270117432243</v>
      </c>
      <c r="AI63" s="100">
        <v>5305.1618505429096</v>
      </c>
      <c r="AJ63" s="100">
        <v>4.9238819253232675</v>
      </c>
      <c r="AK63" s="100">
        <v>3917.4404597871917</v>
      </c>
      <c r="AL63" s="100">
        <v>1.4439952838889125</v>
      </c>
      <c r="AM63" s="100">
        <v>1148.8426478620188</v>
      </c>
      <c r="AN63" s="100">
        <v>10.732560553078558</v>
      </c>
      <c r="AO63" s="100">
        <v>8538.8251760293006</v>
      </c>
      <c r="AP63" s="100">
        <v>7</v>
      </c>
      <c r="AQ63" s="100">
        <v>5569.2</v>
      </c>
      <c r="AR63" s="100">
        <v>8.1215886915950133</v>
      </c>
      <c r="AS63" s="100">
        <v>6461.5359630329931</v>
      </c>
      <c r="AT63" s="100">
        <v>2.2265244801567219</v>
      </c>
      <c r="AU63" s="100">
        <v>1771.4228764126881</v>
      </c>
      <c r="AV63" s="100">
        <v>8.6662578007447415</v>
      </c>
      <c r="AW63" s="100">
        <v>6894.874706272517</v>
      </c>
      <c r="AX63" s="100">
        <v>6.5992255914745872</v>
      </c>
      <c r="AY63" s="100">
        <v>5250.3438805771821</v>
      </c>
      <c r="AZ63" s="100">
        <v>6.413533350426122</v>
      </c>
      <c r="BA63" s="100">
        <v>5102.6071335990227</v>
      </c>
      <c r="BB63" s="100">
        <v>2.3436567967914512</v>
      </c>
      <c r="BC63" s="100">
        <v>1864.6133475272786</v>
      </c>
      <c r="BD63" s="100">
        <v>8.2934289815590212</v>
      </c>
      <c r="BE63" s="100">
        <v>6598.2520977283575</v>
      </c>
      <c r="BF63" s="100">
        <v>5.717010873772681</v>
      </c>
      <c r="BG63" s="100">
        <v>4548.4538511735454</v>
      </c>
      <c r="BH63" s="100">
        <v>7.3236185876110111</v>
      </c>
      <c r="BI63" s="100">
        <v>5826.670948303321</v>
      </c>
      <c r="BJ63" s="100">
        <v>4.9926605363200869</v>
      </c>
      <c r="BK63" s="100">
        <v>3972.160722696261</v>
      </c>
      <c r="BL63" s="100">
        <v>5.1552388190933236</v>
      </c>
      <c r="BM63" s="100">
        <v>4101.5080044706483</v>
      </c>
      <c r="BN63" s="100">
        <v>11.466224258926831</v>
      </c>
      <c r="BO63" s="100">
        <v>9122.5280204021874</v>
      </c>
      <c r="BP63" s="100">
        <v>7</v>
      </c>
      <c r="BQ63" s="100">
        <v>5569.2</v>
      </c>
      <c r="BR63" s="100">
        <v>4.4193072309424677</v>
      </c>
      <c r="BS63" s="100">
        <v>3516.0008329378275</v>
      </c>
      <c r="BT63" s="100">
        <v>7.4260134629346704</v>
      </c>
      <c r="BU63" s="100">
        <v>5908.136311110824</v>
      </c>
      <c r="BV63" s="100">
        <v>5.7465159613396883</v>
      </c>
      <c r="BW63" s="100">
        <v>4571.9280988418559</v>
      </c>
      <c r="BX63" s="100">
        <v>4.5079254644940461</v>
      </c>
      <c r="BY63" s="100">
        <v>3586.5054995514633</v>
      </c>
      <c r="BZ63" s="100">
        <v>4.0852397284620547</v>
      </c>
      <c r="CA63" s="100">
        <v>3250.2167279644109</v>
      </c>
      <c r="CB63" s="100">
        <v>2.1940544400937139</v>
      </c>
      <c r="CC63" s="100">
        <v>1745.5897125385588</v>
      </c>
      <c r="CD63" s="100">
        <v>5.7191355368482713</v>
      </c>
      <c r="CE63" s="100">
        <v>4550.1442331164844</v>
      </c>
      <c r="CF63" s="100">
        <v>11.594784170929906</v>
      </c>
      <c r="CG63" s="100">
        <v>9224.8102863918339</v>
      </c>
      <c r="CH63" s="100">
        <v>5.9861414013036613</v>
      </c>
      <c r="CI63" s="100">
        <v>4762.5740988771931</v>
      </c>
      <c r="CJ63" s="100">
        <v>3.4919547680893701</v>
      </c>
      <c r="CK63" s="100">
        <v>2778.1992134919028</v>
      </c>
      <c r="CL63" s="100">
        <v>9.9542100751787093</v>
      </c>
      <c r="CM63" s="100">
        <v>7919.5695358121811</v>
      </c>
      <c r="CN63" s="100">
        <v>6.6069393439347914</v>
      </c>
      <c r="CO63" s="100">
        <v>5256.48094203452</v>
      </c>
      <c r="CP63" s="100">
        <v>4.0704770688049026</v>
      </c>
      <c r="CQ63" s="100">
        <v>3238.4715559411807</v>
      </c>
      <c r="CR63" s="100">
        <v>8.6098608698205616</v>
      </c>
      <c r="CS63" s="100">
        <v>6850.0053080292391</v>
      </c>
      <c r="CT63" s="100">
        <v>6.5447221582369783</v>
      </c>
      <c r="CU63" s="100">
        <v>5206.9809490933403</v>
      </c>
    </row>
    <row r="64" spans="2:99">
      <c r="C64" s="99" t="s">
        <v>230</v>
      </c>
      <c r="D64" s="100">
        <v>3.6308720127250114</v>
      </c>
      <c r="E64" s="100">
        <v>3664.276035242081</v>
      </c>
      <c r="F64" s="100">
        <v>5.5774687909145451</v>
      </c>
      <c r="G64" s="100">
        <v>5628.7815037909577</v>
      </c>
      <c r="H64" s="100">
        <v>10.873126662909893</v>
      </c>
      <c r="I64" s="100">
        <v>10973.159428208663</v>
      </c>
      <c r="J64" s="100">
        <v>8.1910179602316973</v>
      </c>
      <c r="K64" s="100">
        <v>8266.3753254658277</v>
      </c>
      <c r="L64" s="100">
        <v>3.5815565239739384</v>
      </c>
      <c r="M64" s="100">
        <v>3614.506843994498</v>
      </c>
      <c r="N64" s="100">
        <v>3.5003024310517445</v>
      </c>
      <c r="O64" s="100">
        <v>3532.5052134174198</v>
      </c>
      <c r="P64" s="100">
        <v>8.9806622155640543</v>
      </c>
      <c r="Q64" s="100">
        <v>9063.2843079472423</v>
      </c>
      <c r="R64" s="100">
        <v>11</v>
      </c>
      <c r="S64" s="100">
        <v>11101.199999999997</v>
      </c>
      <c r="T64" s="100">
        <v>8.5419832330748786</v>
      </c>
      <c r="U64" s="100">
        <v>8620.5694788191668</v>
      </c>
      <c r="V64" s="100">
        <v>7.6872649523083707</v>
      </c>
      <c r="W64" s="100">
        <v>7757.9877898696059</v>
      </c>
      <c r="X64" s="100">
        <v>3.7901485700728523</v>
      </c>
      <c r="Y64" s="100">
        <v>3825.0179369175221</v>
      </c>
      <c r="Z64" s="100">
        <v>11.863321330737797</v>
      </c>
      <c r="AA64" s="100">
        <v>11972.463886980582</v>
      </c>
      <c r="AB64" s="100">
        <v>4.1537928211436403</v>
      </c>
      <c r="AC64" s="100">
        <v>4192.0077150981615</v>
      </c>
      <c r="AD64" s="100">
        <v>9.699157530599571</v>
      </c>
      <c r="AE64" s="100">
        <v>9788.3897798810849</v>
      </c>
      <c r="AF64" s="100">
        <v>7.4952953076471402</v>
      </c>
      <c r="AG64" s="100">
        <v>7564.2520244774923</v>
      </c>
      <c r="AH64" s="100">
        <v>7.4090300130480271</v>
      </c>
      <c r="AI64" s="100">
        <v>7477.1930891680677</v>
      </c>
      <c r="AJ64" s="100">
        <v>4.5535388626857003</v>
      </c>
      <c r="AK64" s="100">
        <v>4595.4314202224077</v>
      </c>
      <c r="AL64" s="100">
        <v>1.4439952838889125</v>
      </c>
      <c r="AM64" s="100">
        <v>1457.2800405006903</v>
      </c>
      <c r="AN64" s="100">
        <v>9.7325605530785584</v>
      </c>
      <c r="AO64" s="100">
        <v>9822.1001101668789</v>
      </c>
      <c r="AP64" s="100">
        <v>7</v>
      </c>
      <c r="AQ64" s="100">
        <v>7064.3999999999987</v>
      </c>
      <c r="AR64" s="100">
        <v>7.2978662908297185</v>
      </c>
      <c r="AS64" s="100">
        <v>7365.0066607053504</v>
      </c>
      <c r="AT64" s="100">
        <v>2.1975014350708317</v>
      </c>
      <c r="AU64" s="100">
        <v>2217.7184482734829</v>
      </c>
      <c r="AV64" s="100">
        <v>8.6662578007447415</v>
      </c>
      <c r="AW64" s="100">
        <v>8745.9873725115922</v>
      </c>
      <c r="AX64" s="100">
        <v>6.5992255914745872</v>
      </c>
      <c r="AY64" s="100">
        <v>6659.9384669161518</v>
      </c>
      <c r="AZ64" s="100">
        <v>6.413533350426122</v>
      </c>
      <c r="BA64" s="100">
        <v>6472.5378572500413</v>
      </c>
      <c r="BB64" s="100">
        <v>2.3436567967914512</v>
      </c>
      <c r="BC64" s="100">
        <v>2365.2184393219322</v>
      </c>
      <c r="BD64" s="100">
        <v>6.8653777107552658</v>
      </c>
      <c r="BE64" s="100">
        <v>6928.5391856942133</v>
      </c>
      <c r="BF64" s="100">
        <v>5.717010873772681</v>
      </c>
      <c r="BG64" s="100">
        <v>5769.6073738113882</v>
      </c>
      <c r="BH64" s="100">
        <v>6.4956067116868725</v>
      </c>
      <c r="BI64" s="100">
        <v>6555.3662934343902</v>
      </c>
      <c r="BJ64" s="100">
        <v>4.3575953678690329</v>
      </c>
      <c r="BK64" s="100">
        <v>4397.6852452534276</v>
      </c>
      <c r="BL64" s="100">
        <v>4.4611119358388764</v>
      </c>
      <c r="BM64" s="100">
        <v>4502.1541656485933</v>
      </c>
      <c r="BN64" s="100">
        <v>11.349668194195122</v>
      </c>
      <c r="BO64" s="100">
        <v>11454.085141581714</v>
      </c>
      <c r="BP64" s="100">
        <v>8</v>
      </c>
      <c r="BQ64" s="100">
        <v>8073.5999999999985</v>
      </c>
      <c r="BR64" s="100">
        <v>4.4193072309424677</v>
      </c>
      <c r="BS64" s="100">
        <v>4459.9648574671373</v>
      </c>
      <c r="BT64" s="100">
        <v>6.0758291969465485</v>
      </c>
      <c r="BU64" s="100">
        <v>6131.7268255584559</v>
      </c>
      <c r="BV64" s="100">
        <v>5.0152491571853615</v>
      </c>
      <c r="BW64" s="100">
        <v>5061.3894494314654</v>
      </c>
      <c r="BX64" s="100">
        <v>4.0723722792685315</v>
      </c>
      <c r="BY64" s="100">
        <v>4109.8381042378014</v>
      </c>
      <c r="BZ64" s="100">
        <v>4.5871076778141786</v>
      </c>
      <c r="CA64" s="100">
        <v>4629.3090684500685</v>
      </c>
      <c r="CB64" s="100">
        <v>2.5374902699567996</v>
      </c>
      <c r="CC64" s="100">
        <v>2560.8351804404015</v>
      </c>
      <c r="CD64" s="100">
        <v>6.1528165799009953</v>
      </c>
      <c r="CE64" s="100">
        <v>6209.4224924360833</v>
      </c>
      <c r="CF64" s="100">
        <v>10.632092806724115</v>
      </c>
      <c r="CG64" s="100">
        <v>10729.908060545975</v>
      </c>
      <c r="CH64" s="100">
        <v>5.9861414013036613</v>
      </c>
      <c r="CI64" s="100">
        <v>6041.2139021956536</v>
      </c>
      <c r="CJ64" s="100">
        <v>3.1120654536665984</v>
      </c>
      <c r="CK64" s="100">
        <v>3140.6964558403306</v>
      </c>
      <c r="CL64" s="100">
        <v>10.113245087708494</v>
      </c>
      <c r="CM64" s="100">
        <v>10206.286942515409</v>
      </c>
      <c r="CN64" s="100">
        <v>6.6069393439347914</v>
      </c>
      <c r="CO64" s="100">
        <v>6667.7231858989899</v>
      </c>
      <c r="CP64" s="100">
        <v>3.6147041630981427</v>
      </c>
      <c r="CQ64" s="100">
        <v>3647.9594413986451</v>
      </c>
      <c r="CR64" s="100">
        <v>7.8480564151065879</v>
      </c>
      <c r="CS64" s="100">
        <v>7920.2585341255672</v>
      </c>
      <c r="CT64" s="100">
        <v>6.4239307725647681</v>
      </c>
      <c r="CU64" s="100">
        <v>6483.0309356723628</v>
      </c>
    </row>
    <row r="65" spans="2:99">
      <c r="C65" s="99" t="s">
        <v>231</v>
      </c>
      <c r="D65" s="100">
        <v>3.6328407994441427</v>
      </c>
      <c r="E65" s="100">
        <v>3727.2946602296906</v>
      </c>
      <c r="F65" s="100">
        <v>5.1090928122331283</v>
      </c>
      <c r="G65" s="100">
        <v>5241.9292253511894</v>
      </c>
      <c r="H65" s="100">
        <v>11.873126662909893</v>
      </c>
      <c r="I65" s="100">
        <v>12181.827956145551</v>
      </c>
      <c r="J65" s="100">
        <v>8.1910179602316973</v>
      </c>
      <c r="K65" s="100">
        <v>8403.9844271977217</v>
      </c>
      <c r="L65" s="100">
        <v>3.5656455454385227</v>
      </c>
      <c r="M65" s="100">
        <v>3658.3523296199241</v>
      </c>
      <c r="N65" s="100">
        <v>3.4082706346597571</v>
      </c>
      <c r="O65" s="100">
        <v>3496.885671160911</v>
      </c>
      <c r="P65" s="100">
        <v>9.9806622155640543</v>
      </c>
      <c r="Q65" s="100">
        <v>10240.159433168719</v>
      </c>
      <c r="R65" s="100">
        <v>11</v>
      </c>
      <c r="S65" s="100">
        <v>11286</v>
      </c>
      <c r="T65" s="100">
        <v>8.5419832330748786</v>
      </c>
      <c r="U65" s="100">
        <v>8764.0747971348246</v>
      </c>
      <c r="V65" s="100">
        <v>7.6872649523083707</v>
      </c>
      <c r="W65" s="100">
        <v>7887.1338410683884</v>
      </c>
      <c r="X65" s="100">
        <v>4.1691634270801368</v>
      </c>
      <c r="Y65" s="100">
        <v>4277.5616761842202</v>
      </c>
      <c r="Z65" s="100">
        <v>11.690657064590239</v>
      </c>
      <c r="AA65" s="100">
        <v>11994.614148269586</v>
      </c>
      <c r="AB65" s="100">
        <v>4.1537928211436403</v>
      </c>
      <c r="AC65" s="100">
        <v>4261.7914344933752</v>
      </c>
      <c r="AD65" s="100">
        <v>10.873946913249464</v>
      </c>
      <c r="AE65" s="100">
        <v>11156.66953299395</v>
      </c>
      <c r="AF65" s="100">
        <v>7.4952953076471402</v>
      </c>
      <c r="AG65" s="100">
        <v>7690.172985645966</v>
      </c>
      <c r="AH65" s="100">
        <v>6.6681270117432243</v>
      </c>
      <c r="AI65" s="100">
        <v>6841.4983140485483</v>
      </c>
      <c r="AJ65" s="100">
        <v>4.9238819253232675</v>
      </c>
      <c r="AK65" s="100">
        <v>5051.9028553816725</v>
      </c>
      <c r="AL65" s="100">
        <v>1.4439952838889125</v>
      </c>
      <c r="AM65" s="100">
        <v>1481.5391612700244</v>
      </c>
      <c r="AN65" s="100">
        <v>8.7325605530785584</v>
      </c>
      <c r="AO65" s="100">
        <v>8959.6071274586011</v>
      </c>
      <c r="AP65" s="100">
        <v>7</v>
      </c>
      <c r="AQ65" s="100">
        <v>7182</v>
      </c>
      <c r="AR65" s="100">
        <v>8.1215886915950133</v>
      </c>
      <c r="AS65" s="100">
        <v>8332.749997576484</v>
      </c>
      <c r="AT65" s="100">
        <v>2.4026326731452108</v>
      </c>
      <c r="AU65" s="100">
        <v>2465.1011226469864</v>
      </c>
      <c r="AV65" s="100">
        <v>8.6662578007447415</v>
      </c>
      <c r="AW65" s="100">
        <v>8891.5805035641042</v>
      </c>
      <c r="AX65" s="100">
        <v>6.5992255914745872</v>
      </c>
      <c r="AY65" s="100">
        <v>6770.8054568529269</v>
      </c>
      <c r="AZ65" s="100">
        <v>5.7009185337121089</v>
      </c>
      <c r="BA65" s="100">
        <v>5849.1424155886234</v>
      </c>
      <c r="BB65" s="100">
        <v>2.3436567967914512</v>
      </c>
      <c r="BC65" s="100">
        <v>2404.591873508029</v>
      </c>
      <c r="BD65" s="100">
        <v>7.4927352021118203</v>
      </c>
      <c r="BE65" s="100">
        <v>7687.5463173667276</v>
      </c>
      <c r="BF65" s="100">
        <v>6.2425274289236379</v>
      </c>
      <c r="BG65" s="100">
        <v>6404.8331420756522</v>
      </c>
      <c r="BH65" s="100">
        <v>6.4956067116868725</v>
      </c>
      <c r="BI65" s="100">
        <v>6664.4924861907311</v>
      </c>
      <c r="BJ65" s="100">
        <v>4.9438699701281026</v>
      </c>
      <c r="BK65" s="100">
        <v>5072.4105893514334</v>
      </c>
      <c r="BL65" s="100">
        <v>4.4568627732725146</v>
      </c>
      <c r="BM65" s="100">
        <v>4572.7412053775997</v>
      </c>
      <c r="BN65" s="100">
        <v>11.466224258926831</v>
      </c>
      <c r="BO65" s="100">
        <v>11764.346089658928</v>
      </c>
      <c r="BP65" s="100">
        <v>8</v>
      </c>
      <c r="BQ65" s="100">
        <v>8208</v>
      </c>
      <c r="BR65" s="100">
        <v>4.4193072309424677</v>
      </c>
      <c r="BS65" s="100">
        <v>4534.2092189469722</v>
      </c>
      <c r="BT65" s="100">
        <v>7.4260134629346704</v>
      </c>
      <c r="BU65" s="100">
        <v>7619.0898129709722</v>
      </c>
      <c r="BV65" s="100">
        <v>5.641907905963123</v>
      </c>
      <c r="BW65" s="100">
        <v>5788.5975115181645</v>
      </c>
      <c r="BX65" s="100">
        <v>4.4861549484599177</v>
      </c>
      <c r="BY65" s="100">
        <v>4602.7949771198755</v>
      </c>
      <c r="BZ65" s="100">
        <v>4.081203424287577</v>
      </c>
      <c r="CA65" s="100">
        <v>4187.3147133190541</v>
      </c>
      <c r="CB65" s="100">
        <v>2.5208103373423998</v>
      </c>
      <c r="CC65" s="100">
        <v>2586.3514061133023</v>
      </c>
      <c r="CD65" s="100">
        <v>5.7191355368482713</v>
      </c>
      <c r="CE65" s="100">
        <v>5867.8330608063261</v>
      </c>
      <c r="CF65" s="100">
        <v>11.594784170929906</v>
      </c>
      <c r="CG65" s="100">
        <v>11896.248559374084</v>
      </c>
      <c r="CH65" s="100">
        <v>5.3875272611732949</v>
      </c>
      <c r="CI65" s="100">
        <v>5527.6029699638002</v>
      </c>
      <c r="CJ65" s="100">
        <v>3.4884995245391663</v>
      </c>
      <c r="CK65" s="100">
        <v>3579.2005121771845</v>
      </c>
      <c r="CL65" s="100">
        <v>9.1132450877084938</v>
      </c>
      <c r="CM65" s="100">
        <v>9350.1894599889147</v>
      </c>
      <c r="CN65" s="100">
        <v>6.6069393439347914</v>
      </c>
      <c r="CO65" s="100">
        <v>6778.7197668770959</v>
      </c>
      <c r="CP65" s="100">
        <v>3.9675191859333601</v>
      </c>
      <c r="CQ65" s="100">
        <v>4070.6746847676272</v>
      </c>
      <c r="CR65" s="100">
        <v>7.1934263339250402</v>
      </c>
      <c r="CS65" s="100">
        <v>7380.4554186070909</v>
      </c>
      <c r="CT65" s="100">
        <v>5.7157394283829444</v>
      </c>
      <c r="CU65" s="100">
        <v>5864.3486535209013</v>
      </c>
    </row>
    <row r="66" spans="2:99">
      <c r="C66" s="99" t="s">
        <v>232</v>
      </c>
      <c r="D66" s="100">
        <v>3.6328407994441427</v>
      </c>
      <c r="E66" s="100">
        <v>4324.5336876583069</v>
      </c>
      <c r="F66" s="100">
        <v>5.1090928122331283</v>
      </c>
      <c r="G66" s="100">
        <v>6081.8640836823151</v>
      </c>
      <c r="H66" s="100">
        <v>10.873126662909893</v>
      </c>
      <c r="I66" s="100">
        <v>12943.369979527935</v>
      </c>
      <c r="J66" s="100">
        <v>9.0101197562548663</v>
      </c>
      <c r="K66" s="100">
        <v>10725.646557845792</v>
      </c>
      <c r="L66" s="100">
        <v>3.5656455454385227</v>
      </c>
      <c r="M66" s="100">
        <v>4244.5444572900169</v>
      </c>
      <c r="N66" s="100">
        <v>3.4964018649955633</v>
      </c>
      <c r="O66" s="100">
        <v>4162.1167800907178</v>
      </c>
      <c r="P66" s="100">
        <v>8.8172185129700456</v>
      </c>
      <c r="Q66" s="100">
        <v>10496.016917839541</v>
      </c>
      <c r="R66" s="100">
        <v>11</v>
      </c>
      <c r="S66" s="100">
        <v>13094.399999999998</v>
      </c>
      <c r="T66" s="100">
        <v>7.68778490976739</v>
      </c>
      <c r="U66" s="100">
        <v>9151.5391565870996</v>
      </c>
      <c r="V66" s="100">
        <v>7.6872649523083707</v>
      </c>
      <c r="W66" s="100">
        <v>9150.9201992278831</v>
      </c>
      <c r="X66" s="100">
        <v>3.411133713065567</v>
      </c>
      <c r="Y66" s="100">
        <v>4060.6135720332504</v>
      </c>
      <c r="Z66" s="100">
        <v>11.863321330737797</v>
      </c>
      <c r="AA66" s="100">
        <v>14122.097712110271</v>
      </c>
      <c r="AB66" s="100">
        <v>4.6730169237865953</v>
      </c>
      <c r="AC66" s="100">
        <v>5562.7593460755625</v>
      </c>
      <c r="AD66" s="100">
        <v>8.8739469132494637</v>
      </c>
      <c r="AE66" s="100">
        <v>10563.546405532161</v>
      </c>
      <c r="AF66" s="100">
        <v>7.4952953076471402</v>
      </c>
      <c r="AG66" s="100">
        <v>8922.3995342231556</v>
      </c>
      <c r="AH66" s="100">
        <v>7.4090300130480271</v>
      </c>
      <c r="AI66" s="100">
        <v>8819.7093275323696</v>
      </c>
      <c r="AJ66" s="100">
        <v>4.4892097305547995</v>
      </c>
      <c r="AK66" s="100">
        <v>5343.9552632524328</v>
      </c>
      <c r="AL66" s="100">
        <v>1.4115151735287854</v>
      </c>
      <c r="AM66" s="100">
        <v>1680.2676625686659</v>
      </c>
      <c r="AN66" s="100">
        <v>9.7325605530785584</v>
      </c>
      <c r="AO66" s="100">
        <v>11585.640082384714</v>
      </c>
      <c r="AP66" s="100">
        <v>7</v>
      </c>
      <c r="AQ66" s="100">
        <v>8332.7999999999993</v>
      </c>
      <c r="AR66" s="100">
        <v>6.5126889954170668</v>
      </c>
      <c r="AS66" s="100">
        <v>7752.7049801444755</v>
      </c>
      <c r="AT66" s="100">
        <v>1.9910021572699306</v>
      </c>
      <c r="AU66" s="100">
        <v>2370.0889680141249</v>
      </c>
      <c r="AV66" s="100">
        <v>8.6662578007447415</v>
      </c>
      <c r="AW66" s="100">
        <v>10316.31328600654</v>
      </c>
      <c r="AX66" s="100">
        <v>5.774322392540264</v>
      </c>
      <c r="AY66" s="100">
        <v>6873.7533760799297</v>
      </c>
      <c r="AZ66" s="100">
        <v>5.7009185337121089</v>
      </c>
      <c r="BA66" s="100">
        <v>6786.3734225308935</v>
      </c>
      <c r="BB66" s="100">
        <v>2.0832504860368455</v>
      </c>
      <c r="BC66" s="100">
        <v>2479.9013785782604</v>
      </c>
      <c r="BD66" s="100">
        <v>7.4917674901265281</v>
      </c>
      <c r="BE66" s="100">
        <v>8918.2000202466188</v>
      </c>
      <c r="BF66" s="100">
        <v>5.6383393003448434</v>
      </c>
      <c r="BG66" s="100">
        <v>6711.8791031305009</v>
      </c>
      <c r="BH66" s="100">
        <v>6.4956067116868725</v>
      </c>
      <c r="BI66" s="100">
        <v>7732.3702295920521</v>
      </c>
      <c r="BJ66" s="100">
        <v>4.3575953678690329</v>
      </c>
      <c r="BK66" s="100">
        <v>5187.2815259112958</v>
      </c>
      <c r="BL66" s="100">
        <v>4.4526136107061527</v>
      </c>
      <c r="BM66" s="100">
        <v>5300.3912421846035</v>
      </c>
      <c r="BN66" s="100">
        <v>9.4662242589268306</v>
      </c>
      <c r="BO66" s="100">
        <v>11268.593357826498</v>
      </c>
      <c r="BP66" s="100">
        <v>8</v>
      </c>
      <c r="BQ66" s="100">
        <v>9523.1999999999989</v>
      </c>
      <c r="BR66" s="100">
        <v>4.4193072309424677</v>
      </c>
      <c r="BS66" s="100">
        <v>5260.7433277139125</v>
      </c>
      <c r="BT66" s="100">
        <v>6.7509213299406099</v>
      </c>
      <c r="BU66" s="100">
        <v>8036.2967511613015</v>
      </c>
      <c r="BV66" s="100">
        <v>5.0152491571853615</v>
      </c>
      <c r="BW66" s="100">
        <v>5970.1525967134539</v>
      </c>
      <c r="BX66" s="100">
        <v>4.5079254644940461</v>
      </c>
      <c r="BY66" s="100">
        <v>5366.2344729337119</v>
      </c>
      <c r="BZ66" s="100">
        <v>4.081203424287577</v>
      </c>
      <c r="CA66" s="100">
        <v>4858.2645562719308</v>
      </c>
      <c r="CB66" s="100">
        <v>2.5374902699567996</v>
      </c>
      <c r="CC66" s="100">
        <v>3020.6284173565741</v>
      </c>
      <c r="CD66" s="100">
        <v>6.2339403957278368</v>
      </c>
      <c r="CE66" s="100">
        <v>7420.8826470744161</v>
      </c>
      <c r="CF66" s="100">
        <v>11.594784170929906</v>
      </c>
      <c r="CG66" s="100">
        <v>13802.431077074958</v>
      </c>
      <c r="CH66" s="100">
        <v>5.3875272611732949</v>
      </c>
      <c r="CI66" s="100">
        <v>6413.31245170069</v>
      </c>
      <c r="CJ66" s="100">
        <v>3.4228160058135435</v>
      </c>
      <c r="CK66" s="100">
        <v>4074.5201733204417</v>
      </c>
      <c r="CL66" s="100">
        <v>10.954210075178709</v>
      </c>
      <c r="CM66" s="100">
        <v>13039.891673492733</v>
      </c>
      <c r="CN66" s="100">
        <v>6.6069393439347914</v>
      </c>
      <c r="CO66" s="100">
        <v>7864.9005950199744</v>
      </c>
      <c r="CP66" s="100">
        <v>3.6147041630981427</v>
      </c>
      <c r="CQ66" s="100">
        <v>4302.9438357520285</v>
      </c>
      <c r="CR66" s="100">
        <v>8.4965675749156304</v>
      </c>
      <c r="CS66" s="100">
        <v>10114.314041179565</v>
      </c>
      <c r="CT66" s="100">
        <v>5.7191045988906382</v>
      </c>
      <c r="CU66" s="100">
        <v>6808.0221145194146</v>
      </c>
    </row>
    <row r="67" spans="2:99">
      <c r="C67" s="99" t="s">
        <v>233</v>
      </c>
      <c r="D67" s="100">
        <v>3.6348095861632741</v>
      </c>
      <c r="E67" s="100">
        <v>4082.6181271785895</v>
      </c>
      <c r="F67" s="100">
        <v>5.5774687909145451</v>
      </c>
      <c r="G67" s="100">
        <v>6264.6129459552176</v>
      </c>
      <c r="H67" s="100">
        <v>11.873126662909893</v>
      </c>
      <c r="I67" s="100">
        <v>13335.895867780393</v>
      </c>
      <c r="J67" s="100">
        <v>9.0101197562548663</v>
      </c>
      <c r="K67" s="100">
        <v>10120.166510225466</v>
      </c>
      <c r="L67" s="100">
        <v>3.149772937012612</v>
      </c>
      <c r="M67" s="100">
        <v>3537.8249628525659</v>
      </c>
      <c r="N67" s="100">
        <v>3.5003024310517445</v>
      </c>
      <c r="O67" s="100">
        <v>3931.5396905573198</v>
      </c>
      <c r="P67" s="100">
        <v>9.8172185129700456</v>
      </c>
      <c r="Q67" s="100">
        <v>11026.699833767956</v>
      </c>
      <c r="R67" s="100">
        <v>10</v>
      </c>
      <c r="S67" s="100">
        <v>11232</v>
      </c>
      <c r="T67" s="100">
        <v>7.68778490976739</v>
      </c>
      <c r="U67" s="100">
        <v>8634.9200106507324</v>
      </c>
      <c r="V67" s="100">
        <v>8.5414055025648565</v>
      </c>
      <c r="W67" s="100">
        <v>9593.7066604808479</v>
      </c>
      <c r="X67" s="100">
        <v>3.411133713065567</v>
      </c>
      <c r="Y67" s="100">
        <v>3831.385386515245</v>
      </c>
      <c r="Z67" s="100">
        <v>10.690657064590239</v>
      </c>
      <c r="AA67" s="100">
        <v>12007.746014947757</v>
      </c>
      <c r="AB67" s="100">
        <v>4.1537928211436403</v>
      </c>
      <c r="AC67" s="100">
        <v>4665.540096708537</v>
      </c>
      <c r="AD67" s="100">
        <v>10.873946913249464</v>
      </c>
      <c r="AE67" s="100">
        <v>12213.617172961798</v>
      </c>
      <c r="AF67" s="100">
        <v>6.5583833941912477</v>
      </c>
      <c r="AG67" s="100">
        <v>7366.3762283556098</v>
      </c>
      <c r="AH67" s="100">
        <v>7.4090300130480271</v>
      </c>
      <c r="AI67" s="100">
        <v>8321.8225106555437</v>
      </c>
      <c r="AJ67" s="100">
        <v>4.1032349377693897</v>
      </c>
      <c r="AK67" s="100">
        <v>4608.7534821025783</v>
      </c>
      <c r="AL67" s="100">
        <v>1.4115151735287854</v>
      </c>
      <c r="AM67" s="100">
        <v>1585.4138429075319</v>
      </c>
      <c r="AN67" s="100">
        <v>10.610467127565466</v>
      </c>
      <c r="AO67" s="100">
        <v>11917.676677681531</v>
      </c>
      <c r="AP67" s="100">
        <v>6</v>
      </c>
      <c r="AQ67" s="100">
        <v>6739.2000000000007</v>
      </c>
      <c r="AR67" s="100">
        <v>7.2978662908297185</v>
      </c>
      <c r="AS67" s="100">
        <v>8196.9634178599408</v>
      </c>
      <c r="AT67" s="100">
        <v>2.4040007128717327</v>
      </c>
      <c r="AU67" s="100">
        <v>2700.1736006975302</v>
      </c>
      <c r="AV67" s="100">
        <v>8.5552148339539507</v>
      </c>
      <c r="AW67" s="100">
        <v>9609.2173014970776</v>
      </c>
      <c r="AX67" s="100">
        <v>6.5992255914745872</v>
      </c>
      <c r="AY67" s="100">
        <v>7412.2501843442569</v>
      </c>
      <c r="AZ67" s="100">
        <v>5.7009185337121089</v>
      </c>
      <c r="BA67" s="100">
        <v>6403.271697065441</v>
      </c>
      <c r="BB67" s="100">
        <v>2.3436567967914512</v>
      </c>
      <c r="BC67" s="100">
        <v>2632.3953141561583</v>
      </c>
      <c r="BD67" s="100">
        <v>8.2062769815210519</v>
      </c>
      <c r="BE67" s="100">
        <v>9217.2903056444466</v>
      </c>
      <c r="BF67" s="100">
        <v>5.6349149275886479</v>
      </c>
      <c r="BG67" s="100">
        <v>6329.1364466675695</v>
      </c>
      <c r="BH67" s="100">
        <v>6.4956067116868725</v>
      </c>
      <c r="BI67" s="100">
        <v>7295.8654585666955</v>
      </c>
      <c r="BJ67" s="100">
        <v>4.9829402152244624</v>
      </c>
      <c r="BK67" s="100">
        <v>5596.8384497401166</v>
      </c>
      <c r="BL67" s="100">
        <v>5.0264895182828893</v>
      </c>
      <c r="BM67" s="100">
        <v>5645.753026935341</v>
      </c>
      <c r="BN67" s="100">
        <v>9.4662242589268306</v>
      </c>
      <c r="BO67" s="100">
        <v>10632.463087626616</v>
      </c>
      <c r="BP67" s="100">
        <v>8</v>
      </c>
      <c r="BQ67" s="100">
        <v>8985.6</v>
      </c>
      <c r="BR67" s="100">
        <v>4.4193072309424677</v>
      </c>
      <c r="BS67" s="100">
        <v>4963.7658817945803</v>
      </c>
      <c r="BT67" s="100">
        <v>6.7509213299406099</v>
      </c>
      <c r="BU67" s="100">
        <v>7582.6348377892937</v>
      </c>
      <c r="BV67" s="100">
        <v>5.7465159613396883</v>
      </c>
      <c r="BW67" s="100">
        <v>6454.486727776738</v>
      </c>
      <c r="BX67" s="100">
        <v>4.5079254644940461</v>
      </c>
      <c r="BY67" s="100">
        <v>5063.3018817197126</v>
      </c>
      <c r="BZ67" s="100">
        <v>4.5830713736397</v>
      </c>
      <c r="CA67" s="100">
        <v>5147.7057668721109</v>
      </c>
      <c r="CB67" s="100">
        <v>2.5374902699567996</v>
      </c>
      <c r="CC67" s="100">
        <v>2850.1090712154773</v>
      </c>
      <c r="CD67" s="100">
        <v>6.1528165799009953</v>
      </c>
      <c r="CE67" s="100">
        <v>6910.8435825447978</v>
      </c>
      <c r="CF67" s="100">
        <v>10.632092806724115</v>
      </c>
      <c r="CG67" s="100">
        <v>11941.966640512526</v>
      </c>
      <c r="CH67" s="100">
        <v>5.3875272611732949</v>
      </c>
      <c r="CI67" s="100">
        <v>6051.2706197498455</v>
      </c>
      <c r="CJ67" s="100">
        <v>3.0429266913907722</v>
      </c>
      <c r="CK67" s="100">
        <v>3417.8152597701155</v>
      </c>
      <c r="CL67" s="100">
        <v>9.9542100751787093</v>
      </c>
      <c r="CM67" s="100">
        <v>11180.568756440727</v>
      </c>
      <c r="CN67" s="100">
        <v>6.6069393439347914</v>
      </c>
      <c r="CO67" s="100">
        <v>7420.9142711075583</v>
      </c>
      <c r="CP67" s="100">
        <v>3.6803460099662</v>
      </c>
      <c r="CQ67" s="100">
        <v>4133.7646383940364</v>
      </c>
      <c r="CR67" s="100">
        <v>7.8439771341915847</v>
      </c>
      <c r="CS67" s="100">
        <v>8810.3551171239887</v>
      </c>
      <c r="CT67" s="100">
        <v>6.4239307725647681</v>
      </c>
      <c r="CU67" s="100">
        <v>7215.3590437447474</v>
      </c>
    </row>
    <row r="68" spans="2:99">
      <c r="C68" s="99" t="s">
        <v>234</v>
      </c>
      <c r="D68" s="100">
        <v>3.6328407994441427</v>
      </c>
      <c r="E68" s="100">
        <v>3753.4511139856886</v>
      </c>
      <c r="F68" s="100">
        <v>4.6419500799465494</v>
      </c>
      <c r="G68" s="100">
        <v>4796.0628226007748</v>
      </c>
      <c r="H68" s="100">
        <v>11.873126662909893</v>
      </c>
      <c r="I68" s="100">
        <v>12267.314468118502</v>
      </c>
      <c r="J68" s="100">
        <v>8.1910179602316973</v>
      </c>
      <c r="K68" s="100">
        <v>8462.9597565113909</v>
      </c>
      <c r="L68" s="100">
        <v>3.1338619584771963</v>
      </c>
      <c r="M68" s="100">
        <v>3237.9061754986392</v>
      </c>
      <c r="N68" s="100">
        <v>4.0030924398441972</v>
      </c>
      <c r="O68" s="100">
        <v>4135.9951088470243</v>
      </c>
      <c r="P68" s="100">
        <v>8.8172185129700456</v>
      </c>
      <c r="Q68" s="100">
        <v>9109.9501676006512</v>
      </c>
      <c r="R68" s="100">
        <v>11</v>
      </c>
      <c r="S68" s="100">
        <v>11365.2</v>
      </c>
      <c r="T68" s="100">
        <v>9.3961815563823663</v>
      </c>
      <c r="U68" s="100">
        <v>9708.1347840542621</v>
      </c>
      <c r="V68" s="100">
        <v>7.6872649523083707</v>
      </c>
      <c r="W68" s="100">
        <v>7942.4821487250092</v>
      </c>
      <c r="X68" s="100">
        <v>3.7901485700728523</v>
      </c>
      <c r="Y68" s="100">
        <v>3915.9815025992712</v>
      </c>
      <c r="Z68" s="100">
        <v>10.690657064590239</v>
      </c>
      <c r="AA68" s="100">
        <v>11045.586879134635</v>
      </c>
      <c r="AB68" s="100">
        <v>4.1537928211436403</v>
      </c>
      <c r="AC68" s="100">
        <v>4291.6987428056091</v>
      </c>
      <c r="AD68" s="100">
        <v>8.699157530599571</v>
      </c>
      <c r="AE68" s="100">
        <v>8987.9695606154764</v>
      </c>
      <c r="AF68" s="100">
        <v>6.5583833941912477</v>
      </c>
      <c r="AG68" s="100">
        <v>6776.1217228783971</v>
      </c>
      <c r="AH68" s="100">
        <v>6.6681270117432243</v>
      </c>
      <c r="AI68" s="100">
        <v>6889.5088285330994</v>
      </c>
      <c r="AJ68" s="100">
        <v>4.9238819253232675</v>
      </c>
      <c r="AK68" s="100">
        <v>5087.3548052440001</v>
      </c>
      <c r="AL68" s="100">
        <v>1.4115151735287854</v>
      </c>
      <c r="AM68" s="100">
        <v>1458.3774772899412</v>
      </c>
      <c r="AN68" s="100">
        <v>9.6104671275654656</v>
      </c>
      <c r="AO68" s="100">
        <v>9929.5346362006403</v>
      </c>
      <c r="AP68" s="100">
        <v>6</v>
      </c>
      <c r="AQ68" s="100">
        <v>6199.2000000000007</v>
      </c>
      <c r="AR68" s="100">
        <v>8.1215886915950133</v>
      </c>
      <c r="AS68" s="100">
        <v>8391.2254361559681</v>
      </c>
      <c r="AT68" s="100">
        <v>2.0213932420823424</v>
      </c>
      <c r="AU68" s="100">
        <v>2088.5034977194764</v>
      </c>
      <c r="AV68" s="100">
        <v>8.6662578007447415</v>
      </c>
      <c r="AW68" s="100">
        <v>8953.9775597294665</v>
      </c>
      <c r="AX68" s="100">
        <v>6.5992255914745872</v>
      </c>
      <c r="AY68" s="100">
        <v>6818.3198811115435</v>
      </c>
      <c r="AZ68" s="100">
        <v>5.7009185337121089</v>
      </c>
      <c r="BA68" s="100">
        <v>5890.1890290313513</v>
      </c>
      <c r="BB68" s="100">
        <v>2.3436567967914512</v>
      </c>
      <c r="BC68" s="100">
        <v>2421.4662024449276</v>
      </c>
      <c r="BD68" s="100">
        <v>6.7791934227025887</v>
      </c>
      <c r="BE68" s="100">
        <v>7004.2626443363151</v>
      </c>
      <c r="BF68" s="100">
        <v>5.1880699458655277</v>
      </c>
      <c r="BG68" s="100">
        <v>5360.3138680682632</v>
      </c>
      <c r="BH68" s="100">
        <v>6.4956067116868725</v>
      </c>
      <c r="BI68" s="100">
        <v>6711.2608545148769</v>
      </c>
      <c r="BJ68" s="100">
        <v>4.9937405719973791</v>
      </c>
      <c r="BK68" s="100">
        <v>5159.5327589876924</v>
      </c>
      <c r="BL68" s="100">
        <v>5.1637371442260465</v>
      </c>
      <c r="BM68" s="100">
        <v>5335.1732174143517</v>
      </c>
      <c r="BN68" s="100">
        <v>10.349668194195122</v>
      </c>
      <c r="BO68" s="100">
        <v>10693.277178242401</v>
      </c>
      <c r="BP68" s="100">
        <v>7</v>
      </c>
      <c r="BQ68" s="100">
        <v>7232.4000000000005</v>
      </c>
      <c r="BR68" s="100">
        <v>4.4193072309424677</v>
      </c>
      <c r="BS68" s="100">
        <v>4566.0282310097582</v>
      </c>
      <c r="BT68" s="100">
        <v>7.4260134629346704</v>
      </c>
      <c r="BU68" s="100">
        <v>7672.5571099041017</v>
      </c>
      <c r="BV68" s="100">
        <v>5.7465159613396883</v>
      </c>
      <c r="BW68" s="100">
        <v>5937.300291256166</v>
      </c>
      <c r="BX68" s="100">
        <v>3.636819094043017</v>
      </c>
      <c r="BY68" s="100">
        <v>3757.5614879652453</v>
      </c>
      <c r="BZ68" s="100">
        <v>4.5871076778141786</v>
      </c>
      <c r="CA68" s="100">
        <v>4739.3996527176096</v>
      </c>
      <c r="CB68" s="100">
        <v>2.809313478877784</v>
      </c>
      <c r="CC68" s="100">
        <v>2902.5826863765265</v>
      </c>
      <c r="CD68" s="100">
        <v>6.237774216322908</v>
      </c>
      <c r="CE68" s="100">
        <v>6444.8683203048286</v>
      </c>
      <c r="CF68" s="100">
        <v>10.799622667501819</v>
      </c>
      <c r="CG68" s="100">
        <v>11158.170140062879</v>
      </c>
      <c r="CH68" s="100">
        <v>5.3875272611732949</v>
      </c>
      <c r="CI68" s="100">
        <v>5566.3931662442483</v>
      </c>
      <c r="CJ68" s="100">
        <v>3.0429266913907722</v>
      </c>
      <c r="CK68" s="100">
        <v>3143.9518575449461</v>
      </c>
      <c r="CL68" s="100">
        <v>10.113245087708494</v>
      </c>
      <c r="CM68" s="100">
        <v>10449.004824620417</v>
      </c>
      <c r="CN68" s="100">
        <v>6.6069393439347914</v>
      </c>
      <c r="CO68" s="100">
        <v>6826.2897301534267</v>
      </c>
      <c r="CP68" s="100">
        <v>3.3648470231344678</v>
      </c>
      <c r="CQ68" s="100">
        <v>3476.5599443025321</v>
      </c>
      <c r="CR68" s="100">
        <v>7.846016774649085</v>
      </c>
      <c r="CS68" s="100">
        <v>8106.5045315674352</v>
      </c>
      <c r="CT68" s="100">
        <v>6.5480873287446713</v>
      </c>
      <c r="CU68" s="100">
        <v>6765.4838280589947</v>
      </c>
    </row>
    <row r="69" spans="2:99">
      <c r="C69" s="99" t="s">
        <v>235</v>
      </c>
      <c r="D69" s="100">
        <v>3.6328407994441427</v>
      </c>
      <c r="E69" s="100">
        <v>2755.1464622984377</v>
      </c>
      <c r="F69" s="100">
        <v>5.1090928122331283</v>
      </c>
      <c r="G69" s="100">
        <v>3874.7359887976045</v>
      </c>
      <c r="H69" s="100">
        <v>10.873126662909893</v>
      </c>
      <c r="I69" s="100">
        <v>8246.1792611508627</v>
      </c>
      <c r="J69" s="100">
        <v>9.0101197562548663</v>
      </c>
      <c r="K69" s="100">
        <v>6833.2748231436908</v>
      </c>
      <c r="L69" s="100">
        <v>3.5815565239739384</v>
      </c>
      <c r="M69" s="100">
        <v>2716.2524677818346</v>
      </c>
      <c r="N69" s="100">
        <v>3.4082706346597571</v>
      </c>
      <c r="O69" s="100">
        <v>2584.8324493259597</v>
      </c>
      <c r="P69" s="100">
        <v>9.8172185129700456</v>
      </c>
      <c r="Q69" s="100">
        <v>7445.3785202364825</v>
      </c>
      <c r="R69" s="100">
        <v>11</v>
      </c>
      <c r="S69" s="100">
        <v>8342.4</v>
      </c>
      <c r="T69" s="100">
        <v>8.5419832330748786</v>
      </c>
      <c r="U69" s="100">
        <v>6478.2400839639877</v>
      </c>
      <c r="V69" s="100">
        <v>7.6872649523083707</v>
      </c>
      <c r="W69" s="100">
        <v>5830.0217398306686</v>
      </c>
      <c r="X69" s="100">
        <v>4.1860393794900581</v>
      </c>
      <c r="Y69" s="100">
        <v>3174.6922654052601</v>
      </c>
      <c r="Z69" s="100">
        <v>11.690657064590239</v>
      </c>
      <c r="AA69" s="100">
        <v>8866.1943177852372</v>
      </c>
      <c r="AB69" s="100">
        <v>4.6730169237865953</v>
      </c>
      <c r="AC69" s="100">
        <v>3544.0160349997536</v>
      </c>
      <c r="AD69" s="100">
        <v>10.873946913249464</v>
      </c>
      <c r="AE69" s="100">
        <v>8246.8013390083925</v>
      </c>
      <c r="AF69" s="100">
        <v>6.5583833941912477</v>
      </c>
      <c r="AG69" s="100">
        <v>4973.8779661546423</v>
      </c>
      <c r="AH69" s="100">
        <v>8.149933014352829</v>
      </c>
      <c r="AI69" s="100">
        <v>6180.9091980851854</v>
      </c>
      <c r="AJ69" s="100">
        <v>4.9238819253232675</v>
      </c>
      <c r="AK69" s="100">
        <v>3734.2720521651659</v>
      </c>
      <c r="AL69" s="100">
        <v>1.4439952838889125</v>
      </c>
      <c r="AM69" s="100">
        <v>1095.1260233013513</v>
      </c>
      <c r="AN69" s="100">
        <v>9.6104671275654656</v>
      </c>
      <c r="AO69" s="100">
        <v>7288.5782695456492</v>
      </c>
      <c r="AP69" s="100">
        <v>7</v>
      </c>
      <c r="AQ69" s="100">
        <v>5308.8</v>
      </c>
      <c r="AR69" s="100">
        <v>8.1215886915950133</v>
      </c>
      <c r="AS69" s="100">
        <v>6159.4128637056583</v>
      </c>
      <c r="AT69" s="100">
        <v>2.1961333953443098</v>
      </c>
      <c r="AU69" s="100">
        <v>1665.5475670291246</v>
      </c>
      <c r="AV69" s="100">
        <v>8.5552148339539507</v>
      </c>
      <c r="AW69" s="100">
        <v>6488.2749300706764</v>
      </c>
      <c r="AX69" s="100">
        <v>7.4241287904089095</v>
      </c>
      <c r="AY69" s="100">
        <v>5630.4592746461167</v>
      </c>
      <c r="AZ69" s="100">
        <v>5.7009185337121089</v>
      </c>
      <c r="BA69" s="100">
        <v>4323.576615967263</v>
      </c>
      <c r="BB69" s="100">
        <v>2.3436567967914512</v>
      </c>
      <c r="BC69" s="100">
        <v>1777.4293146866366</v>
      </c>
      <c r="BD69" s="100">
        <v>6.866345422740558</v>
      </c>
      <c r="BE69" s="100">
        <v>5207.4363686064389</v>
      </c>
      <c r="BF69" s="100">
        <v>5.1093983724376901</v>
      </c>
      <c r="BG69" s="100">
        <v>3874.9677256567443</v>
      </c>
      <c r="BH69" s="100">
        <v>6.4956067116868725</v>
      </c>
      <c r="BI69" s="100">
        <v>4926.268130143324</v>
      </c>
      <c r="BJ69" s="100">
        <v>4.9438699701281026</v>
      </c>
      <c r="BK69" s="100">
        <v>3749.4309853451527</v>
      </c>
      <c r="BL69" s="100">
        <v>5.1594879816596855</v>
      </c>
      <c r="BM69" s="100">
        <v>3912.9556852907053</v>
      </c>
      <c r="BN69" s="100">
        <v>11.466224258926831</v>
      </c>
      <c r="BO69" s="100">
        <v>8695.9844779701089</v>
      </c>
      <c r="BP69" s="100">
        <v>8</v>
      </c>
      <c r="BQ69" s="100">
        <v>6067.2</v>
      </c>
      <c r="BR69" s="100">
        <v>4.4193072309424677</v>
      </c>
      <c r="BS69" s="100">
        <v>3351.6026039467674</v>
      </c>
      <c r="BT69" s="100">
        <v>6.7509213299406099</v>
      </c>
      <c r="BU69" s="100">
        <v>5119.8987366269585</v>
      </c>
      <c r="BV69" s="100">
        <v>5.0152491571853615</v>
      </c>
      <c r="BW69" s="100">
        <v>3803.5649608093781</v>
      </c>
      <c r="BX69" s="100">
        <v>4.0941427953026599</v>
      </c>
      <c r="BY69" s="100">
        <v>3104.9978959575374</v>
      </c>
      <c r="BZ69" s="100">
        <v>4.0852397284620547</v>
      </c>
      <c r="CA69" s="100">
        <v>3098.2458100656222</v>
      </c>
      <c r="CB69" s="100">
        <v>3.1527493087408698</v>
      </c>
      <c r="CC69" s="100">
        <v>2391.0450757490757</v>
      </c>
      <c r="CD69" s="100">
        <v>6.7564128957975447</v>
      </c>
      <c r="CE69" s="100">
        <v>5124.0635401728578</v>
      </c>
      <c r="CF69" s="100">
        <v>10.799622667501819</v>
      </c>
      <c r="CG69" s="100">
        <v>8190.4338310333787</v>
      </c>
      <c r="CH69" s="100">
        <v>5.3875272611732949</v>
      </c>
      <c r="CI69" s="100">
        <v>4085.9006748738266</v>
      </c>
      <c r="CJ69" s="100">
        <v>3.4228160058135435</v>
      </c>
      <c r="CK69" s="100">
        <v>2595.8636588089912</v>
      </c>
      <c r="CL69" s="100">
        <v>11.113245087708494</v>
      </c>
      <c r="CM69" s="100">
        <v>8428.2850745181222</v>
      </c>
      <c r="CN69" s="100">
        <v>7.5507878216397621</v>
      </c>
      <c r="CO69" s="100">
        <v>5726.5174839315951</v>
      </c>
      <c r="CP69" s="100">
        <v>3.7176620459696852</v>
      </c>
      <c r="CQ69" s="100">
        <v>2819.4748956634094</v>
      </c>
      <c r="CR69" s="100">
        <v>7.846016774649085</v>
      </c>
      <c r="CS69" s="100">
        <v>5950.4191218938658</v>
      </c>
      <c r="CT69" s="100">
        <v>5.8398959845628475</v>
      </c>
      <c r="CU69" s="100">
        <v>4428.9771146924631</v>
      </c>
    </row>
    <row r="70" spans="2:99">
      <c r="C70" s="99" t="s">
        <v>236</v>
      </c>
      <c r="D70" s="100">
        <v>3.6328407994441427</v>
      </c>
      <c r="E70" s="100">
        <v>1944.2963958625051</v>
      </c>
      <c r="F70" s="100">
        <v>4.6407168335517124</v>
      </c>
      <c r="G70" s="100">
        <v>2483.711649316876</v>
      </c>
      <c r="H70" s="100">
        <v>11.873126662909893</v>
      </c>
      <c r="I70" s="100">
        <v>6354.4973899893739</v>
      </c>
      <c r="J70" s="100">
        <v>8.1910179602316973</v>
      </c>
      <c r="K70" s="100">
        <v>4383.8328123160036</v>
      </c>
      <c r="L70" s="100">
        <v>3.5815565239739384</v>
      </c>
      <c r="M70" s="100">
        <v>1916.8490516308516</v>
      </c>
      <c r="N70" s="100">
        <v>3.5003024310517445</v>
      </c>
      <c r="O70" s="100">
        <v>1873.3618610988935</v>
      </c>
      <c r="P70" s="100">
        <v>10.817218512970046</v>
      </c>
      <c r="Q70" s="100">
        <v>5789.3753481415679</v>
      </c>
      <c r="R70" s="100">
        <v>13</v>
      </c>
      <c r="S70" s="100">
        <v>6957.5999999999995</v>
      </c>
      <c r="T70" s="100">
        <v>9.3961815563823663</v>
      </c>
      <c r="U70" s="100">
        <v>5028.8363689758417</v>
      </c>
      <c r="V70" s="100">
        <v>7.6872649523083707</v>
      </c>
      <c r="W70" s="100">
        <v>4114.2242024754396</v>
      </c>
      <c r="X70" s="100">
        <v>3.7901485700728523</v>
      </c>
      <c r="Y70" s="100">
        <v>2028.4875147029902</v>
      </c>
      <c r="Z70" s="100">
        <v>10.690657064590239</v>
      </c>
      <c r="AA70" s="100">
        <v>5721.6396609686954</v>
      </c>
      <c r="AB70" s="100">
        <v>4.1537928211436403</v>
      </c>
      <c r="AC70" s="100">
        <v>2223.109917876076</v>
      </c>
      <c r="AD70" s="100">
        <v>10.699157530599571</v>
      </c>
      <c r="AE70" s="100">
        <v>5726.1891103768894</v>
      </c>
      <c r="AF70" s="100">
        <v>7.4952953076471402</v>
      </c>
      <c r="AG70" s="100">
        <v>4011.4820486527487</v>
      </c>
      <c r="AH70" s="100">
        <v>8.149933014352829</v>
      </c>
      <c r="AI70" s="100">
        <v>4361.8441492816337</v>
      </c>
      <c r="AJ70" s="100">
        <v>4.9238819253232675</v>
      </c>
      <c r="AK70" s="100">
        <v>2635.2616064330123</v>
      </c>
      <c r="AL70" s="100">
        <v>1.6467677024502494</v>
      </c>
      <c r="AM70" s="100">
        <v>881.35007435137334</v>
      </c>
      <c r="AN70" s="100">
        <v>9.7325605530785584</v>
      </c>
      <c r="AO70" s="100">
        <v>5208.8664080076442</v>
      </c>
      <c r="AP70" s="100">
        <v>6</v>
      </c>
      <c r="AQ70" s="100">
        <v>3211.2</v>
      </c>
      <c r="AR70" s="100">
        <v>7.31713884350604</v>
      </c>
      <c r="AS70" s="100">
        <v>3916.132709044432</v>
      </c>
      <c r="AT70" s="100">
        <v>2.1975014350708317</v>
      </c>
      <c r="AU70" s="100">
        <v>1176.1027680499089</v>
      </c>
      <c r="AV70" s="100">
        <v>8.5552148339539507</v>
      </c>
      <c r="AW70" s="100">
        <v>4578.7509791321536</v>
      </c>
      <c r="AX70" s="100">
        <v>6.5992255914745872</v>
      </c>
      <c r="AY70" s="100">
        <v>3531.9055365571985</v>
      </c>
      <c r="AZ70" s="100">
        <v>5.7009185337121089</v>
      </c>
      <c r="BA70" s="100">
        <v>3051.1315992427203</v>
      </c>
      <c r="BB70" s="100">
        <v>2.3436567967914512</v>
      </c>
      <c r="BC70" s="100">
        <v>1254.3251176427846</v>
      </c>
      <c r="BD70" s="100">
        <v>8.2924612695737281</v>
      </c>
      <c r="BE70" s="100">
        <v>4438.1252714758584</v>
      </c>
      <c r="BF70" s="100">
        <v>6.2493761744360308</v>
      </c>
      <c r="BG70" s="100">
        <v>3344.6661285581631</v>
      </c>
      <c r="BH70" s="100">
        <v>7.3236185876110111</v>
      </c>
      <c r="BI70" s="100">
        <v>3919.6006680894125</v>
      </c>
      <c r="BJ70" s="100">
        <v>4.9438699701281026</v>
      </c>
      <c r="BK70" s="100">
        <v>2645.9592080125603</v>
      </c>
      <c r="BL70" s="100">
        <v>4.3323626350284412</v>
      </c>
      <c r="BM70" s="100">
        <v>2318.6804822672216</v>
      </c>
      <c r="BN70" s="100">
        <v>10.466224258926831</v>
      </c>
      <c r="BO70" s="100">
        <v>5601.5232233776387</v>
      </c>
      <c r="BP70" s="100">
        <v>8</v>
      </c>
      <c r="BQ70" s="100">
        <v>4281.5999999999995</v>
      </c>
      <c r="BR70" s="100">
        <v>4.4193072309424677</v>
      </c>
      <c r="BS70" s="100">
        <v>2365.2132300004082</v>
      </c>
      <c r="BT70" s="100">
        <v>6.7509213299406099</v>
      </c>
      <c r="BU70" s="100">
        <v>3613.0930957842138</v>
      </c>
      <c r="BV70" s="100">
        <v>5.1198572125619277</v>
      </c>
      <c r="BW70" s="100">
        <v>2740.1475801631432</v>
      </c>
      <c r="BX70" s="100">
        <v>4.5079254644940461</v>
      </c>
      <c r="BY70" s="100">
        <v>2412.641708597213</v>
      </c>
      <c r="BZ70" s="100">
        <v>4.5871076778141786</v>
      </c>
      <c r="CA70" s="100">
        <v>2455.0200291661481</v>
      </c>
      <c r="CB70" s="100">
        <v>2.809313478877784</v>
      </c>
      <c r="CC70" s="100">
        <v>1503.5445738953899</v>
      </c>
      <c r="CD70" s="100">
        <v>6.237774216322908</v>
      </c>
      <c r="CE70" s="100">
        <v>3338.4567605760199</v>
      </c>
      <c r="CF70" s="100">
        <v>12.557475535135696</v>
      </c>
      <c r="CG70" s="100">
        <v>6720.7609064046237</v>
      </c>
      <c r="CH70" s="100">
        <v>5.9861414013036613</v>
      </c>
      <c r="CI70" s="100">
        <v>3203.7828779777192</v>
      </c>
      <c r="CJ70" s="100">
        <v>3.0429266913907722</v>
      </c>
      <c r="CK70" s="100">
        <v>1628.5743652323411</v>
      </c>
      <c r="CL70" s="100">
        <v>10.113245087708494</v>
      </c>
      <c r="CM70" s="100">
        <v>5412.6087709415851</v>
      </c>
      <c r="CN70" s="100">
        <v>6.6069393439347914</v>
      </c>
      <c r="CO70" s="100">
        <v>3536.0339368739001</v>
      </c>
      <c r="CP70" s="100">
        <v>3.9675191859333601</v>
      </c>
      <c r="CQ70" s="100">
        <v>2123.4162683115342</v>
      </c>
      <c r="CR70" s="100">
        <v>7.8439771341915847</v>
      </c>
      <c r="CS70" s="100">
        <v>4198.0965622193353</v>
      </c>
      <c r="CT70" s="100">
        <v>5.7123742578752514</v>
      </c>
      <c r="CU70" s="100">
        <v>3057.262702814834</v>
      </c>
    </row>
    <row r="71" spans="2:99">
      <c r="B71" s="99" t="s">
        <v>130</v>
      </c>
      <c r="C71" s="99" t="s">
        <v>237</v>
      </c>
      <c r="D71" s="100">
        <v>3.8028438156871034</v>
      </c>
      <c r="E71" s="100">
        <v>2144.8039120475264</v>
      </c>
      <c r="F71" s="100">
        <v>4.9707138494832641</v>
      </c>
      <c r="G71" s="100">
        <v>2803.4826111085608</v>
      </c>
      <c r="H71" s="100">
        <v>5.8741631635454601</v>
      </c>
      <c r="I71" s="100">
        <v>3313.0280242396393</v>
      </c>
      <c r="J71" s="100">
        <v>5.1758910720595628</v>
      </c>
      <c r="K71" s="100">
        <v>2919.2025646415932</v>
      </c>
      <c r="L71" s="100">
        <v>5.6289571927065589</v>
      </c>
      <c r="M71" s="100">
        <v>3174.7318566864992</v>
      </c>
      <c r="N71" s="100">
        <v>3.023613990515734</v>
      </c>
      <c r="O71" s="100">
        <v>1705.3182906508739</v>
      </c>
      <c r="P71" s="100">
        <v>5.8736220279805806</v>
      </c>
      <c r="Q71" s="100">
        <v>3312.7228237810473</v>
      </c>
      <c r="R71" s="100">
        <v>6</v>
      </c>
      <c r="S71" s="100">
        <v>3384</v>
      </c>
      <c r="T71" s="100">
        <v>5.8754735159540017</v>
      </c>
      <c r="U71" s="100">
        <v>3313.7670629980571</v>
      </c>
      <c r="V71" s="100">
        <v>3.121684864272114</v>
      </c>
      <c r="W71" s="100">
        <v>1760.6302634494723</v>
      </c>
      <c r="X71" s="100">
        <v>8.668595337528064</v>
      </c>
      <c r="Y71" s="100">
        <v>4889.087770365828</v>
      </c>
      <c r="Z71" s="100">
        <v>6.927937401968034</v>
      </c>
      <c r="AA71" s="100">
        <v>3907.3566947099712</v>
      </c>
      <c r="AB71" s="100">
        <v>4.6814026408563922</v>
      </c>
      <c r="AC71" s="100">
        <v>2640.3110894430051</v>
      </c>
      <c r="AD71" s="100">
        <v>2.9760513791058925</v>
      </c>
      <c r="AE71" s="100">
        <v>1678.4929778157234</v>
      </c>
      <c r="AF71" s="100">
        <v>5.1292279116318928</v>
      </c>
      <c r="AG71" s="100">
        <v>2892.8845421603874</v>
      </c>
      <c r="AH71" s="100">
        <v>5.6465384672740226</v>
      </c>
      <c r="AI71" s="100">
        <v>3184.6476955425487</v>
      </c>
      <c r="AJ71" s="100">
        <v>6.9077271835156377</v>
      </c>
      <c r="AK71" s="100">
        <v>3895.9581315028195</v>
      </c>
      <c r="AL71" s="100">
        <v>4.8365354245651133</v>
      </c>
      <c r="AM71" s="100">
        <v>2727.8059794547239</v>
      </c>
      <c r="AN71" s="100">
        <v>5.9335951273628522</v>
      </c>
      <c r="AO71" s="100">
        <v>3346.5476518326486</v>
      </c>
      <c r="AP71" s="100">
        <v>7.2133449457734509</v>
      </c>
      <c r="AQ71" s="100">
        <v>4068.3265494162265</v>
      </c>
      <c r="AR71" s="100">
        <v>6.1252819973154695</v>
      </c>
      <c r="AS71" s="100">
        <v>3454.6590464859246</v>
      </c>
      <c r="AT71" s="100">
        <v>4.609499396159638</v>
      </c>
      <c r="AU71" s="100">
        <v>2599.7576594340358</v>
      </c>
      <c r="AV71" s="100">
        <v>6</v>
      </c>
      <c r="AW71" s="100">
        <v>3384</v>
      </c>
      <c r="AX71" s="100">
        <v>5.8461028100673964</v>
      </c>
      <c r="AY71" s="100">
        <v>3297.2019848780114</v>
      </c>
      <c r="AZ71" s="100">
        <v>1.7363383418629732</v>
      </c>
      <c r="BA71" s="100">
        <v>979.29482481071693</v>
      </c>
      <c r="BB71" s="100">
        <v>6.8389580653313686</v>
      </c>
      <c r="BC71" s="100">
        <v>3857.172348846892</v>
      </c>
      <c r="BD71" s="100">
        <v>5.9695301921665811</v>
      </c>
      <c r="BE71" s="100">
        <v>3366.8150283819518</v>
      </c>
      <c r="BF71" s="100">
        <v>5.6007285640171975</v>
      </c>
      <c r="BG71" s="100">
        <v>3158.8109101056993</v>
      </c>
      <c r="BH71" s="100">
        <v>6.1040555594690922</v>
      </c>
      <c r="BI71" s="100">
        <v>3442.6873355405678</v>
      </c>
      <c r="BJ71" s="100">
        <v>5.2958523784330396</v>
      </c>
      <c r="BK71" s="100">
        <v>2986.8607414362341</v>
      </c>
      <c r="BL71" s="100">
        <v>1.7763793749884467</v>
      </c>
      <c r="BM71" s="100">
        <v>1001.8779674934839</v>
      </c>
      <c r="BN71" s="100">
        <v>6.7069226105085971</v>
      </c>
      <c r="BO71" s="100">
        <v>3782.7043523268489</v>
      </c>
      <c r="BP71" s="100">
        <v>5</v>
      </c>
      <c r="BQ71" s="100">
        <v>2820</v>
      </c>
      <c r="BR71" s="100">
        <v>7.8369925770080551</v>
      </c>
      <c r="BS71" s="100">
        <v>4420.0638134325427</v>
      </c>
      <c r="BT71" s="100">
        <v>5.4324051894211971</v>
      </c>
      <c r="BU71" s="100">
        <v>3063.8765268335551</v>
      </c>
      <c r="BV71" s="100">
        <v>4.5638092377251249</v>
      </c>
      <c r="BW71" s="100">
        <v>2573.9884100769705</v>
      </c>
      <c r="BX71" s="100">
        <v>2.1424847411462515</v>
      </c>
      <c r="BY71" s="100">
        <v>1208.3613940064859</v>
      </c>
      <c r="BZ71" s="100">
        <v>3.5015237685584064</v>
      </c>
      <c r="CA71" s="100">
        <v>1974.8594054669413</v>
      </c>
      <c r="CB71" s="100">
        <v>3.9084078849583328</v>
      </c>
      <c r="CC71" s="100">
        <v>2204.3420471164995</v>
      </c>
      <c r="CD71" s="100">
        <v>3.504448351545757</v>
      </c>
      <c r="CE71" s="100">
        <v>1976.5088702718069</v>
      </c>
      <c r="CF71" s="100">
        <v>4.5837654800122669</v>
      </c>
      <c r="CG71" s="100">
        <v>2585.2437307269183</v>
      </c>
      <c r="CH71" s="100">
        <v>2.8308284237194146</v>
      </c>
      <c r="CI71" s="100">
        <v>1596.5872309777499</v>
      </c>
      <c r="CJ71" s="100">
        <v>5.6384577294702849</v>
      </c>
      <c r="CK71" s="100">
        <v>3180.0901594212405</v>
      </c>
      <c r="CL71" s="100">
        <v>7.1582312283535581</v>
      </c>
      <c r="CM71" s="100">
        <v>4037.2424127914069</v>
      </c>
      <c r="CN71" s="100">
        <v>6.478616633372706</v>
      </c>
      <c r="CO71" s="100">
        <v>3653.939781222206</v>
      </c>
      <c r="CP71" s="100">
        <v>3.3005695842752996</v>
      </c>
      <c r="CQ71" s="100">
        <v>1861.521245531269</v>
      </c>
      <c r="CR71" s="100">
        <v>7.6926449111462851</v>
      </c>
      <c r="CS71" s="100">
        <v>4338.6517298865047</v>
      </c>
      <c r="CT71" s="100">
        <v>3.807138602590459</v>
      </c>
      <c r="CU71" s="100">
        <v>2147.2261718610189</v>
      </c>
    </row>
    <row r="72" spans="2:99">
      <c r="C72" s="99" t="s">
        <v>238</v>
      </c>
      <c r="D72" s="100">
        <v>4.7758169427944184</v>
      </c>
      <c r="E72" s="100">
        <v>355.32078054390468</v>
      </c>
      <c r="F72" s="100">
        <v>4.9707138494832641</v>
      </c>
      <c r="G72" s="100">
        <v>369.82111040155479</v>
      </c>
      <c r="H72" s="100">
        <v>5.8741631635454601</v>
      </c>
      <c r="I72" s="100">
        <v>437.03773936778219</v>
      </c>
      <c r="J72" s="100">
        <v>5.8843389891856877</v>
      </c>
      <c r="K72" s="100">
        <v>437.79482079541509</v>
      </c>
      <c r="L72" s="100">
        <v>6.2098538640230965</v>
      </c>
      <c r="M72" s="100">
        <v>462.01312748331833</v>
      </c>
      <c r="N72" s="100">
        <v>3.4086245785141083</v>
      </c>
      <c r="O72" s="100">
        <v>253.60166864144963</v>
      </c>
      <c r="P72" s="100">
        <v>6.6988976223844645</v>
      </c>
      <c r="Q72" s="100">
        <v>498.39798310540408</v>
      </c>
      <c r="R72" s="100">
        <v>7</v>
      </c>
      <c r="S72" s="100">
        <v>520.79999999999995</v>
      </c>
      <c r="T72" s="100">
        <v>5.2226431252924455</v>
      </c>
      <c r="U72" s="100">
        <v>388.56464852175787</v>
      </c>
      <c r="V72" s="100">
        <v>2.4973478914176912</v>
      </c>
      <c r="W72" s="100">
        <v>185.80268312147621</v>
      </c>
      <c r="X72" s="100">
        <v>8.668595337528064</v>
      </c>
      <c r="Y72" s="100">
        <v>644.94349311208794</v>
      </c>
      <c r="Z72" s="100">
        <v>7.917642745106324</v>
      </c>
      <c r="AA72" s="100">
        <v>589.07262023591045</v>
      </c>
      <c r="AB72" s="100">
        <v>6.2281101515501813</v>
      </c>
      <c r="AC72" s="100">
        <v>463.37139527533344</v>
      </c>
      <c r="AD72" s="100">
        <v>2.9561918281557946</v>
      </c>
      <c r="AE72" s="100">
        <v>219.94067201479109</v>
      </c>
      <c r="AF72" s="100">
        <v>6.0303601964516522</v>
      </c>
      <c r="AG72" s="100">
        <v>448.65879861600285</v>
      </c>
      <c r="AH72" s="100">
        <v>5.5943309188928945</v>
      </c>
      <c r="AI72" s="100">
        <v>416.21822036563128</v>
      </c>
      <c r="AJ72" s="100">
        <v>6.9077271835156377</v>
      </c>
      <c r="AK72" s="100">
        <v>513.93490245356338</v>
      </c>
      <c r="AL72" s="100">
        <v>4.8436972669071103</v>
      </c>
      <c r="AM72" s="100">
        <v>360.37107665788898</v>
      </c>
      <c r="AN72" s="100">
        <v>6.5781263077042356</v>
      </c>
      <c r="AO72" s="100">
        <v>489.41259729319506</v>
      </c>
      <c r="AP72" s="100">
        <v>8.128463670881386</v>
      </c>
      <c r="AQ72" s="100">
        <v>604.75769711357509</v>
      </c>
      <c r="AR72" s="100">
        <v>6.1252819973154695</v>
      </c>
      <c r="AS72" s="100">
        <v>455.72098060027088</v>
      </c>
      <c r="AT72" s="100">
        <v>5.0695447033819852</v>
      </c>
      <c r="AU72" s="100">
        <v>377.17412593161964</v>
      </c>
      <c r="AV72" s="100">
        <v>7</v>
      </c>
      <c r="AW72" s="100">
        <v>520.79999999999995</v>
      </c>
      <c r="AX72" s="100">
        <v>5.8461028100673964</v>
      </c>
      <c r="AY72" s="100">
        <v>434.95004906901426</v>
      </c>
      <c r="AZ72" s="100">
        <v>1.7363383418629732</v>
      </c>
      <c r="BA72" s="100">
        <v>129.18357263460518</v>
      </c>
      <c r="BB72" s="100">
        <v>7.6328759081725952</v>
      </c>
      <c r="BC72" s="100">
        <v>567.885967568041</v>
      </c>
      <c r="BD72" s="100">
        <v>5.9695301921665811</v>
      </c>
      <c r="BE72" s="100">
        <v>444.13304629719357</v>
      </c>
      <c r="BF72" s="100">
        <v>5.6007285640171975</v>
      </c>
      <c r="BG72" s="100">
        <v>416.69420516287943</v>
      </c>
      <c r="BH72" s="100">
        <v>6.1040555594690922</v>
      </c>
      <c r="BI72" s="100">
        <v>454.14173362450043</v>
      </c>
      <c r="BJ72" s="100">
        <v>6.1784944415052134</v>
      </c>
      <c r="BK72" s="100">
        <v>459.6799864479878</v>
      </c>
      <c r="BL72" s="100">
        <v>1.5801780642118428</v>
      </c>
      <c r="BM72" s="100">
        <v>117.5652479773611</v>
      </c>
      <c r="BN72" s="100">
        <v>6.7069226105085971</v>
      </c>
      <c r="BO72" s="100">
        <v>498.99504222183958</v>
      </c>
      <c r="BP72" s="100">
        <v>6</v>
      </c>
      <c r="BQ72" s="100">
        <v>446.4</v>
      </c>
      <c r="BR72" s="100">
        <v>8.7077695300089495</v>
      </c>
      <c r="BS72" s="100">
        <v>647.85805303266579</v>
      </c>
      <c r="BT72" s="100">
        <v>4.8288046128188418</v>
      </c>
      <c r="BU72" s="100">
        <v>359.26306319372179</v>
      </c>
      <c r="BV72" s="100">
        <v>6.0850789836335011</v>
      </c>
      <c r="BW72" s="100">
        <v>452.72987638233241</v>
      </c>
      <c r="BX72" s="100">
        <v>2.5302346818840427</v>
      </c>
      <c r="BY72" s="100">
        <v>188.24946033217276</v>
      </c>
      <c r="BZ72" s="100">
        <v>3.4574259637472697</v>
      </c>
      <c r="CA72" s="100">
        <v>257.23249170279684</v>
      </c>
      <c r="CB72" s="100">
        <v>3.7934791781202719</v>
      </c>
      <c r="CC72" s="100">
        <v>282.23485085214821</v>
      </c>
      <c r="CD72" s="100">
        <v>3.0211365284060006</v>
      </c>
      <c r="CE72" s="100">
        <v>224.77255771340643</v>
      </c>
      <c r="CF72" s="100">
        <v>4.5837654800122669</v>
      </c>
      <c r="CG72" s="100">
        <v>341.03215171291259</v>
      </c>
      <c r="CH72" s="100">
        <v>3.3517495575726843</v>
      </c>
      <c r="CI72" s="100">
        <v>249.37016708340769</v>
      </c>
      <c r="CJ72" s="100">
        <v>6.4578763395183252</v>
      </c>
      <c r="CK72" s="100">
        <v>480.46599966016333</v>
      </c>
      <c r="CL72" s="100">
        <v>7.1582312283535581</v>
      </c>
      <c r="CM72" s="100">
        <v>532.57240338950464</v>
      </c>
      <c r="CN72" s="100">
        <v>7.258868787019737</v>
      </c>
      <c r="CO72" s="100">
        <v>540.05983775426841</v>
      </c>
      <c r="CP72" s="100">
        <v>3.3005695842752996</v>
      </c>
      <c r="CQ72" s="100">
        <v>245.56237707008225</v>
      </c>
      <c r="CR72" s="100">
        <v>7.6926449111462851</v>
      </c>
      <c r="CS72" s="100">
        <v>572.33278138928358</v>
      </c>
      <c r="CT72" s="100">
        <v>3.807138602590459</v>
      </c>
      <c r="CU72" s="100">
        <v>283.25111203273013</v>
      </c>
    </row>
    <row r="73" spans="2:99">
      <c r="C73" s="99" t="s">
        <v>239</v>
      </c>
      <c r="D73" s="100">
        <v>4.2893303792407611</v>
      </c>
      <c r="E73" s="100">
        <v>2398.5935480714334</v>
      </c>
      <c r="F73" s="100">
        <v>4.027287163784055</v>
      </c>
      <c r="G73" s="100">
        <v>2252.0589819880433</v>
      </c>
      <c r="H73" s="100">
        <v>5.8921012669447581</v>
      </c>
      <c r="I73" s="100">
        <v>3294.8630284755081</v>
      </c>
      <c r="J73" s="100">
        <v>6.5927869063118125</v>
      </c>
      <c r="K73" s="100">
        <v>3686.6864380095653</v>
      </c>
      <c r="L73" s="100">
        <v>5.6289571927065589</v>
      </c>
      <c r="M73" s="100">
        <v>3147.7128621615075</v>
      </c>
      <c r="N73" s="100">
        <v>3.4086245785141083</v>
      </c>
      <c r="O73" s="100">
        <v>1906.102864305089</v>
      </c>
      <c r="P73" s="100">
        <v>5.6988976223844645</v>
      </c>
      <c r="Q73" s="100">
        <v>3186.823550437392</v>
      </c>
      <c r="R73" s="100">
        <v>7</v>
      </c>
      <c r="S73" s="100">
        <v>3914.3999999999996</v>
      </c>
      <c r="T73" s="100">
        <v>5.8754735159540017</v>
      </c>
      <c r="U73" s="100">
        <v>3285.5647901214775</v>
      </c>
      <c r="V73" s="100">
        <v>2.4973478914176912</v>
      </c>
      <c r="W73" s="100">
        <v>1396.5169408807728</v>
      </c>
      <c r="X73" s="100">
        <v>7.6685953375280649</v>
      </c>
      <c r="Y73" s="100">
        <v>4288.2785127456937</v>
      </c>
      <c r="Z73" s="100">
        <v>6.927937401968034</v>
      </c>
      <c r="AA73" s="100">
        <v>3874.1025951805241</v>
      </c>
      <c r="AB73" s="100">
        <v>5.4444363690095301</v>
      </c>
      <c r="AC73" s="100">
        <v>3044.5288175501287</v>
      </c>
      <c r="AD73" s="100">
        <v>3.5116830020767753</v>
      </c>
      <c r="AE73" s="100">
        <v>1963.7331347613326</v>
      </c>
      <c r="AF73" s="100">
        <v>6.0303601964516522</v>
      </c>
      <c r="AG73" s="100">
        <v>3372.1774218557634</v>
      </c>
      <c r="AH73" s="100">
        <v>6.4158957137552202</v>
      </c>
      <c r="AI73" s="100">
        <v>3587.7688831319188</v>
      </c>
      <c r="AJ73" s="100">
        <v>7.8787596475182964</v>
      </c>
      <c r="AK73" s="100">
        <v>4405.802394892231</v>
      </c>
      <c r="AL73" s="100">
        <v>4.8436972669071103</v>
      </c>
      <c r="AM73" s="100">
        <v>2708.5955116544555</v>
      </c>
      <c r="AN73" s="100">
        <v>6.5781263077042356</v>
      </c>
      <c r="AO73" s="100">
        <v>3678.488231268208</v>
      </c>
      <c r="AP73" s="100">
        <v>7.2133449457734509</v>
      </c>
      <c r="AQ73" s="100">
        <v>4033.7024936765133</v>
      </c>
      <c r="AR73" s="100">
        <v>6.1252819973154695</v>
      </c>
      <c r="AS73" s="100">
        <v>3425.2576928988101</v>
      </c>
      <c r="AT73" s="100">
        <v>3.8412494967996982</v>
      </c>
      <c r="AU73" s="100">
        <v>2148.0267186103911</v>
      </c>
      <c r="AV73" s="100">
        <v>5</v>
      </c>
      <c r="AW73" s="100">
        <v>2795.9999999999995</v>
      </c>
      <c r="AX73" s="100">
        <v>5.8349464777170077</v>
      </c>
      <c r="AY73" s="100">
        <v>3262.9020703393503</v>
      </c>
      <c r="AZ73" s="100">
        <v>1.7363383418629732</v>
      </c>
      <c r="BA73" s="100">
        <v>970.96040076977454</v>
      </c>
      <c r="BB73" s="100">
        <v>6.8389580653313686</v>
      </c>
      <c r="BC73" s="100">
        <v>3824.3453501333011</v>
      </c>
      <c r="BD73" s="100">
        <v>5.9695301921665811</v>
      </c>
      <c r="BE73" s="100">
        <v>3338.1612834595517</v>
      </c>
      <c r="BF73" s="100">
        <v>5.6007285640171975</v>
      </c>
      <c r="BG73" s="100">
        <v>3131.9274129984165</v>
      </c>
      <c r="BH73" s="100">
        <v>6.0131967514909324</v>
      </c>
      <c r="BI73" s="100">
        <v>3362.579623433729</v>
      </c>
      <c r="BJ73" s="100">
        <v>6.1784944415052134</v>
      </c>
      <c r="BK73" s="100">
        <v>3455.0140916897149</v>
      </c>
      <c r="BL73" s="100">
        <v>1.774869720988588</v>
      </c>
      <c r="BM73" s="100">
        <v>992.50714797681826</v>
      </c>
      <c r="BN73" s="100">
        <v>7.7069226105085971</v>
      </c>
      <c r="BO73" s="100">
        <v>4309.7111237964073</v>
      </c>
      <c r="BP73" s="100">
        <v>5</v>
      </c>
      <c r="BQ73" s="100">
        <v>2795.9999999999995</v>
      </c>
      <c r="BR73" s="100">
        <v>6.9662156240071598</v>
      </c>
      <c r="BS73" s="100">
        <v>3895.5077769448035</v>
      </c>
      <c r="BT73" s="100">
        <v>5.4324051894211971</v>
      </c>
      <c r="BU73" s="100">
        <v>3037.800981924333</v>
      </c>
      <c r="BV73" s="100">
        <v>5.3244441106793126</v>
      </c>
      <c r="BW73" s="100">
        <v>2977.4291466918712</v>
      </c>
      <c r="BX73" s="100">
        <v>2.5156821792085218</v>
      </c>
      <c r="BY73" s="100">
        <v>1406.7694746134052</v>
      </c>
      <c r="BZ73" s="100">
        <v>3.4246848507187995</v>
      </c>
      <c r="CA73" s="100">
        <v>1915.0837685219524</v>
      </c>
      <c r="CB73" s="100">
        <v>3.7934791781202719</v>
      </c>
      <c r="CC73" s="100">
        <v>2121.3135564048557</v>
      </c>
      <c r="CD73" s="100">
        <v>3.1454929781532419</v>
      </c>
      <c r="CE73" s="100">
        <v>1758.9596733832927</v>
      </c>
      <c r="CF73" s="100">
        <v>4.5837654800122669</v>
      </c>
      <c r="CG73" s="100">
        <v>2563.2416564228593</v>
      </c>
      <c r="CH73" s="100">
        <v>2.8308284237194146</v>
      </c>
      <c r="CI73" s="100">
        <v>1582.9992545438965</v>
      </c>
      <c r="CJ73" s="100">
        <v>6.4578763395183252</v>
      </c>
      <c r="CK73" s="100">
        <v>3611.2444490586472</v>
      </c>
      <c r="CL73" s="100">
        <v>6.9927696243030502</v>
      </c>
      <c r="CM73" s="100">
        <v>3910.356773910265</v>
      </c>
      <c r="CN73" s="100">
        <v>6.478616633372706</v>
      </c>
      <c r="CO73" s="100">
        <v>3622.8424213820167</v>
      </c>
      <c r="CP73" s="100">
        <v>3.3005695842752996</v>
      </c>
      <c r="CQ73" s="100">
        <v>1845.6785115267473</v>
      </c>
      <c r="CR73" s="100">
        <v>7.6926449111462851</v>
      </c>
      <c r="CS73" s="100">
        <v>4301.7270343130022</v>
      </c>
      <c r="CT73" s="100">
        <v>3.0457108820723673</v>
      </c>
      <c r="CU73" s="100">
        <v>1703.1615252548677</v>
      </c>
    </row>
    <row r="74" spans="2:99">
      <c r="C74" s="99" t="s">
        <v>240</v>
      </c>
      <c r="D74" s="100">
        <v>4.2230907341055097</v>
      </c>
      <c r="E74" s="100">
        <v>1702.7501839913414</v>
      </c>
      <c r="F74" s="100">
        <v>4.9707138494832641</v>
      </c>
      <c r="G74" s="100">
        <v>2004.1918241116521</v>
      </c>
      <c r="H74" s="100">
        <v>5.8921012669447581</v>
      </c>
      <c r="I74" s="100">
        <v>2375.6952308321265</v>
      </c>
      <c r="J74" s="100">
        <v>6.6469758193559842</v>
      </c>
      <c r="K74" s="100">
        <v>2680.0606503643326</v>
      </c>
      <c r="L74" s="100">
        <v>4.9952309670239234</v>
      </c>
      <c r="M74" s="100">
        <v>2014.0771259040459</v>
      </c>
      <c r="N74" s="100">
        <v>3.4086245785141083</v>
      </c>
      <c r="O74" s="100">
        <v>1374.3574300568885</v>
      </c>
      <c r="P74" s="100">
        <v>5.6988976223844645</v>
      </c>
      <c r="Q74" s="100">
        <v>2297.7955213454161</v>
      </c>
      <c r="R74" s="100">
        <v>7</v>
      </c>
      <c r="S74" s="100">
        <v>2822.4</v>
      </c>
      <c r="T74" s="100">
        <v>5.2226431252924455</v>
      </c>
      <c r="U74" s="100">
        <v>2105.769708117914</v>
      </c>
      <c r="V74" s="100">
        <v>3.121684864272114</v>
      </c>
      <c r="W74" s="100">
        <v>1258.6633372745164</v>
      </c>
      <c r="X74" s="100">
        <v>8.668595337528064</v>
      </c>
      <c r="Y74" s="100">
        <v>3495.1776400913154</v>
      </c>
      <c r="Z74" s="100">
        <v>6.927937401968034</v>
      </c>
      <c r="AA74" s="100">
        <v>2793.3443604735112</v>
      </c>
      <c r="AB74" s="100">
        <v>5.4444363690095301</v>
      </c>
      <c r="AC74" s="100">
        <v>2195.1967439846426</v>
      </c>
      <c r="AD74" s="100">
        <v>2.9760513791058925</v>
      </c>
      <c r="AE74" s="100">
        <v>1199.9439160554957</v>
      </c>
      <c r="AF74" s="100">
        <v>6.0303601964516522</v>
      </c>
      <c r="AG74" s="100">
        <v>2431.4412312093059</v>
      </c>
      <c r="AH74" s="100">
        <v>5.6465384672740226</v>
      </c>
      <c r="AI74" s="100">
        <v>2276.6843100048859</v>
      </c>
      <c r="AJ74" s="100">
        <v>7.8787596475182964</v>
      </c>
      <c r="AK74" s="100">
        <v>3176.7158898793768</v>
      </c>
      <c r="AL74" s="100">
        <v>4.8365354245651133</v>
      </c>
      <c r="AM74" s="100">
        <v>1950.0910831846536</v>
      </c>
      <c r="AN74" s="100">
        <v>5.2242851399688188</v>
      </c>
      <c r="AO74" s="100">
        <v>2106.4317684354278</v>
      </c>
      <c r="AP74" s="100">
        <v>7.9938780258784012</v>
      </c>
      <c r="AQ74" s="100">
        <v>3223.1316200341712</v>
      </c>
      <c r="AR74" s="100">
        <v>6.8058688859060776</v>
      </c>
      <c r="AS74" s="100">
        <v>2744.1263347973304</v>
      </c>
      <c r="AT74" s="100">
        <v>3.8412494967996982</v>
      </c>
      <c r="AU74" s="100">
        <v>1548.7917971096383</v>
      </c>
      <c r="AV74" s="100">
        <v>5</v>
      </c>
      <c r="AW74" s="100">
        <v>2016</v>
      </c>
      <c r="AX74" s="100">
        <v>5.1928170537208889</v>
      </c>
      <c r="AY74" s="100">
        <v>2093.7438360602623</v>
      </c>
      <c r="AZ74" s="100">
        <v>1.5284877846183671</v>
      </c>
      <c r="BA74" s="100">
        <v>616.28627475812561</v>
      </c>
      <c r="BB74" s="100">
        <v>6.8389580653313686</v>
      </c>
      <c r="BC74" s="100">
        <v>2757.4678919416078</v>
      </c>
      <c r="BD74" s="100">
        <v>5.9695301921665811</v>
      </c>
      <c r="BE74" s="100">
        <v>2406.9145734815656</v>
      </c>
      <c r="BF74" s="100">
        <v>6.515348998443252</v>
      </c>
      <c r="BG74" s="100">
        <v>2626.9887161723191</v>
      </c>
      <c r="BH74" s="100">
        <v>6.1040555594690922</v>
      </c>
      <c r="BI74" s="100">
        <v>2461.155201577938</v>
      </c>
      <c r="BJ74" s="100">
        <v>6.1784944415052134</v>
      </c>
      <c r="BK74" s="100">
        <v>2491.168958814902</v>
      </c>
      <c r="BL74" s="100">
        <v>1.7756245479885173</v>
      </c>
      <c r="BM74" s="100">
        <v>715.93181774897016</v>
      </c>
      <c r="BN74" s="100">
        <v>7.7069226105085971</v>
      </c>
      <c r="BO74" s="100">
        <v>3107.4311965570664</v>
      </c>
      <c r="BP74" s="100">
        <v>5</v>
      </c>
      <c r="BQ74" s="100">
        <v>2016</v>
      </c>
      <c r="BR74" s="100">
        <v>7.8369925770080551</v>
      </c>
      <c r="BS74" s="100">
        <v>3159.8754070496475</v>
      </c>
      <c r="BT74" s="100">
        <v>4.8288046128188418</v>
      </c>
      <c r="BU74" s="100">
        <v>1946.974019888557</v>
      </c>
      <c r="BV74" s="100">
        <v>5.3244441106793126</v>
      </c>
      <c r="BW74" s="100">
        <v>2146.8158654258987</v>
      </c>
      <c r="BX74" s="100">
        <v>2.5302346818840427</v>
      </c>
      <c r="BY74" s="100">
        <v>1020.190623735646</v>
      </c>
      <c r="BZ74" s="100">
        <v>3.4246848507187995</v>
      </c>
      <c r="CA74" s="100">
        <v>1380.8329318098199</v>
      </c>
      <c r="CB74" s="100">
        <v>4.4832177896414906</v>
      </c>
      <c r="CC74" s="100">
        <v>1807.6334127834489</v>
      </c>
      <c r="CD74" s="100">
        <v>3.5015227311636363</v>
      </c>
      <c r="CE74" s="100">
        <v>1411.8139652051782</v>
      </c>
      <c r="CF74" s="100">
        <v>4.4430833325901933</v>
      </c>
      <c r="CG74" s="100">
        <v>1791.4511997003658</v>
      </c>
      <c r="CH74" s="100">
        <v>3.3517495575726843</v>
      </c>
      <c r="CI74" s="100">
        <v>1351.4254216133063</v>
      </c>
      <c r="CJ74" s="100">
        <v>5.6384577294702849</v>
      </c>
      <c r="CK74" s="100">
        <v>2273.4261565224188</v>
      </c>
      <c r="CL74" s="100">
        <v>6.9927696243030502</v>
      </c>
      <c r="CM74" s="100">
        <v>2819.4847125189899</v>
      </c>
      <c r="CN74" s="100">
        <v>7.2194355529869947</v>
      </c>
      <c r="CO74" s="100">
        <v>2910.8764149643562</v>
      </c>
      <c r="CP74" s="100">
        <v>3.3005695842752996</v>
      </c>
      <c r="CQ74" s="100">
        <v>1330.7896563798008</v>
      </c>
      <c r="CR74" s="100">
        <v>7.6926449111462851</v>
      </c>
      <c r="CS74" s="100">
        <v>3101.6744281741821</v>
      </c>
      <c r="CT74" s="100">
        <v>3.807138602590459</v>
      </c>
      <c r="CU74" s="100">
        <v>1535.0382845644731</v>
      </c>
    </row>
    <row r="75" spans="2:99">
      <c r="C75" s="99" t="s">
        <v>241</v>
      </c>
      <c r="D75" s="100">
        <v>4.2893303792407611</v>
      </c>
      <c r="E75" s="100">
        <v>2758.8972999276571</v>
      </c>
      <c r="F75" s="100">
        <v>4.9707138494832641</v>
      </c>
      <c r="G75" s="100">
        <v>3197.1631479876351</v>
      </c>
      <c r="H75" s="100">
        <v>5.8741631635454601</v>
      </c>
      <c r="I75" s="100">
        <v>3778.2617467924397</v>
      </c>
      <c r="J75" s="100">
        <v>5.1758910720595628</v>
      </c>
      <c r="K75" s="100">
        <v>3329.1331375487102</v>
      </c>
      <c r="L75" s="100">
        <v>5.5717251754766188</v>
      </c>
      <c r="M75" s="100">
        <v>3583.733632866561</v>
      </c>
      <c r="N75" s="100">
        <v>3.4086245785141083</v>
      </c>
      <c r="O75" s="100">
        <v>2192.427328900274</v>
      </c>
      <c r="P75" s="100">
        <v>5.6988976223844645</v>
      </c>
      <c r="Q75" s="100">
        <v>3665.5309507176871</v>
      </c>
      <c r="R75" s="100">
        <v>6</v>
      </c>
      <c r="S75" s="100">
        <v>3859.2</v>
      </c>
      <c r="T75" s="100">
        <v>5.2226431252924455</v>
      </c>
      <c r="U75" s="100">
        <v>3359.2040581881006</v>
      </c>
      <c r="V75" s="100">
        <v>3.121684864272114</v>
      </c>
      <c r="W75" s="100">
        <v>2007.8677046998234</v>
      </c>
      <c r="X75" s="100">
        <v>7.6685953375280649</v>
      </c>
      <c r="Y75" s="100">
        <v>4932.4405210980512</v>
      </c>
      <c r="Z75" s="100">
        <v>6.927937401968034</v>
      </c>
      <c r="AA75" s="100">
        <v>4456.0493369458391</v>
      </c>
      <c r="AB75" s="100">
        <v>5.4444363690095301</v>
      </c>
      <c r="AC75" s="100">
        <v>3501.8614725469292</v>
      </c>
      <c r="AD75" s="100">
        <v>2.9959109300559916</v>
      </c>
      <c r="AE75" s="100">
        <v>1926.9699102120137</v>
      </c>
      <c r="AF75" s="100">
        <v>6.0303601964516522</v>
      </c>
      <c r="AG75" s="100">
        <v>3878.7276783577022</v>
      </c>
      <c r="AH75" s="100">
        <v>6.3636881653740929</v>
      </c>
      <c r="AI75" s="100">
        <v>4093.1242279686162</v>
      </c>
      <c r="AJ75" s="100">
        <v>7.8787596475182964</v>
      </c>
      <c r="AK75" s="100">
        <v>5067.6182052837676</v>
      </c>
      <c r="AL75" s="100">
        <v>4.8365354245651133</v>
      </c>
      <c r="AM75" s="100">
        <v>3110.8595850802803</v>
      </c>
      <c r="AN75" s="100">
        <v>5.8688163203102022</v>
      </c>
      <c r="AO75" s="100">
        <v>3774.8226572235217</v>
      </c>
      <c r="AP75" s="100">
        <v>7.2133449457734509</v>
      </c>
      <c r="AQ75" s="100">
        <v>4639.6234691214831</v>
      </c>
      <c r="AR75" s="100">
        <v>6.8058688859060776</v>
      </c>
      <c r="AS75" s="100">
        <v>4377.534867414789</v>
      </c>
      <c r="AT75" s="100">
        <v>4.609499396159638</v>
      </c>
      <c r="AU75" s="100">
        <v>2964.830011609879</v>
      </c>
      <c r="AV75" s="100">
        <v>6</v>
      </c>
      <c r="AW75" s="100">
        <v>3859.2</v>
      </c>
      <c r="AX75" s="100">
        <v>5.1928170537208889</v>
      </c>
      <c r="AY75" s="100">
        <v>3340.0199289532752</v>
      </c>
      <c r="AZ75" s="100">
        <v>1.7363383418629732</v>
      </c>
      <c r="BA75" s="100">
        <v>1116.8128214862643</v>
      </c>
      <c r="BB75" s="100">
        <v>7.6328759081725952</v>
      </c>
      <c r="BC75" s="100">
        <v>4909.4657841366125</v>
      </c>
      <c r="BD75" s="100">
        <v>5.9695301921665811</v>
      </c>
      <c r="BE75" s="100">
        <v>3839.6018196015448</v>
      </c>
      <c r="BF75" s="100">
        <v>5.6007285640171975</v>
      </c>
      <c r="BG75" s="100">
        <v>3602.3886123758612</v>
      </c>
      <c r="BH75" s="100">
        <v>6.1040555594690922</v>
      </c>
      <c r="BI75" s="100">
        <v>3926.1285358505197</v>
      </c>
      <c r="BJ75" s="100">
        <v>6.1784944415052134</v>
      </c>
      <c r="BK75" s="100">
        <v>3974.0076247761531</v>
      </c>
      <c r="BL75" s="100">
        <v>1.7756245479885173</v>
      </c>
      <c r="BM75" s="100">
        <v>1142.0817092662141</v>
      </c>
      <c r="BN75" s="100">
        <v>7.7069226105085971</v>
      </c>
      <c r="BO75" s="100">
        <v>4957.0926230791292</v>
      </c>
      <c r="BP75" s="100">
        <v>5</v>
      </c>
      <c r="BQ75" s="100">
        <v>3215.9999999999995</v>
      </c>
      <c r="BR75" s="100">
        <v>7.8369925770080551</v>
      </c>
      <c r="BS75" s="100">
        <v>5040.7536255315808</v>
      </c>
      <c r="BT75" s="100">
        <v>5.4324051894211971</v>
      </c>
      <c r="BU75" s="100">
        <v>3494.1230178357137</v>
      </c>
      <c r="BV75" s="100">
        <v>5.3244441106793126</v>
      </c>
      <c r="BW75" s="100">
        <v>3424.6824519889333</v>
      </c>
      <c r="BX75" s="100">
        <v>2.1570372438217733</v>
      </c>
      <c r="BY75" s="100">
        <v>1387.4063552261644</v>
      </c>
      <c r="BZ75" s="100">
        <v>3.0375256356645375</v>
      </c>
      <c r="CA75" s="100">
        <v>1953.7364888594302</v>
      </c>
      <c r="CB75" s="100">
        <v>3.7934791781202719</v>
      </c>
      <c r="CC75" s="100">
        <v>2439.9658073669584</v>
      </c>
      <c r="CD75" s="100">
        <v>3.1484185985353621</v>
      </c>
      <c r="CE75" s="100">
        <v>2025.0628425779446</v>
      </c>
      <c r="CF75" s="100">
        <v>4.5837654800122669</v>
      </c>
      <c r="CG75" s="100">
        <v>2948.2779567438897</v>
      </c>
      <c r="CH75" s="100">
        <v>3.753101350993894</v>
      </c>
      <c r="CI75" s="100">
        <v>2413.9947889592722</v>
      </c>
      <c r="CJ75" s="100">
        <v>5.6384577294702849</v>
      </c>
      <c r="CK75" s="100">
        <v>3626.6560115952871</v>
      </c>
      <c r="CL75" s="100">
        <v>7.1582312283535581</v>
      </c>
      <c r="CM75" s="100">
        <v>4604.1743260770081</v>
      </c>
      <c r="CN75" s="100">
        <v>6.478616633372706</v>
      </c>
      <c r="CO75" s="100">
        <v>4167.0462185853239</v>
      </c>
      <c r="CP75" s="100">
        <v>2.9178529224520275</v>
      </c>
      <c r="CQ75" s="100">
        <v>1876.7629997211438</v>
      </c>
      <c r="CR75" s="100">
        <v>7.6926449111462851</v>
      </c>
      <c r="CS75" s="100">
        <v>4947.9092068492901</v>
      </c>
      <c r="CT75" s="100">
        <v>3.807138602590459</v>
      </c>
      <c r="CU75" s="100">
        <v>2448.7515491861832</v>
      </c>
    </row>
    <row r="76" spans="2:99">
      <c r="C76" s="99" t="s">
        <v>242</v>
      </c>
      <c r="D76" s="100">
        <v>3.7366041705518533</v>
      </c>
      <c r="E76" s="100">
        <v>2910.0673280257834</v>
      </c>
      <c r="F76" s="100">
        <v>4.9707138494832641</v>
      </c>
      <c r="G76" s="100">
        <v>3871.1919459775659</v>
      </c>
      <c r="H76" s="100">
        <v>5.8741631635454601</v>
      </c>
      <c r="I76" s="100">
        <v>4574.7982717692039</v>
      </c>
      <c r="J76" s="100">
        <v>5.8843389891856877</v>
      </c>
      <c r="K76" s="100">
        <v>4582.7232047778134</v>
      </c>
      <c r="L76" s="100">
        <v>5.026935620351102</v>
      </c>
      <c r="M76" s="100">
        <v>3914.9774611294379</v>
      </c>
      <c r="N76" s="100">
        <v>3.023613990515734</v>
      </c>
      <c r="O76" s="100">
        <v>2354.7905758136535</v>
      </c>
      <c r="P76" s="100">
        <v>6.8736220279805806</v>
      </c>
      <c r="Q76" s="100">
        <v>5353.1768353912757</v>
      </c>
      <c r="R76" s="100">
        <v>7</v>
      </c>
      <c r="S76" s="100">
        <v>5451.5999999999995</v>
      </c>
      <c r="T76" s="100">
        <v>5.2226431252924455</v>
      </c>
      <c r="U76" s="100">
        <v>4067.3944659777562</v>
      </c>
      <c r="V76" s="100">
        <v>2.4973478914176912</v>
      </c>
      <c r="W76" s="100">
        <v>1944.9345378360979</v>
      </c>
      <c r="X76" s="100">
        <v>7.6685953375280649</v>
      </c>
      <c r="Y76" s="100">
        <v>5972.3020488668562</v>
      </c>
      <c r="Z76" s="100">
        <v>6.927937401968034</v>
      </c>
      <c r="AA76" s="100">
        <v>5395.4776486527044</v>
      </c>
      <c r="AB76" s="100">
        <v>5.4444363690095301</v>
      </c>
      <c r="AC76" s="100">
        <v>4240.1270441846218</v>
      </c>
      <c r="AD76" s="100">
        <v>2.9760513791058925</v>
      </c>
      <c r="AE76" s="100">
        <v>2317.7488140476689</v>
      </c>
      <c r="AF76" s="100">
        <v>6.0303601964516522</v>
      </c>
      <c r="AG76" s="100">
        <v>4696.4445209965461</v>
      </c>
      <c r="AH76" s="100">
        <v>5.5943309188928945</v>
      </c>
      <c r="AI76" s="100">
        <v>4356.8649196337856</v>
      </c>
      <c r="AJ76" s="100">
        <v>6.8801021996413807</v>
      </c>
      <c r="AK76" s="100">
        <v>5358.2235930807074</v>
      </c>
      <c r="AL76" s="100">
        <v>4.8365354245651133</v>
      </c>
      <c r="AM76" s="100">
        <v>3766.6937886513101</v>
      </c>
      <c r="AN76" s="100">
        <v>5.2242851399688188</v>
      </c>
      <c r="AO76" s="100">
        <v>4068.6732670077158</v>
      </c>
      <c r="AP76" s="100">
        <v>7.078759300770467</v>
      </c>
      <c r="AQ76" s="100">
        <v>5512.9377434400394</v>
      </c>
      <c r="AR76" s="100">
        <v>5.4446951087248623</v>
      </c>
      <c r="AS76" s="100">
        <v>4240.3285506749226</v>
      </c>
      <c r="AT76" s="100">
        <v>4.609499396159638</v>
      </c>
      <c r="AU76" s="100">
        <v>3589.8781297291257</v>
      </c>
      <c r="AV76" s="100">
        <v>6</v>
      </c>
      <c r="AW76" s="100">
        <v>4672.7999999999993</v>
      </c>
      <c r="AX76" s="100">
        <v>5.1928170537208889</v>
      </c>
      <c r="AY76" s="100">
        <v>4044.1659214378278</v>
      </c>
      <c r="AZ76" s="100">
        <v>1.7398399553823125</v>
      </c>
      <c r="BA76" s="100">
        <v>1354.9873572517449</v>
      </c>
      <c r="BB76" s="100">
        <v>6.8389580653313686</v>
      </c>
      <c r="BC76" s="100">
        <v>5326.1805412800695</v>
      </c>
      <c r="BD76" s="100">
        <v>5.9695301921665811</v>
      </c>
      <c r="BE76" s="100">
        <v>4649.0701136593334</v>
      </c>
      <c r="BF76" s="100">
        <v>5.5781273725250236</v>
      </c>
      <c r="BG76" s="100">
        <v>4344.2455977224881</v>
      </c>
      <c r="BH76" s="100">
        <v>5.3183339125409148</v>
      </c>
      <c r="BI76" s="100">
        <v>4141.9184510868645</v>
      </c>
      <c r="BJ76" s="100">
        <v>6.1784944415052134</v>
      </c>
      <c r="BK76" s="100">
        <v>4811.8114710442596</v>
      </c>
      <c r="BL76" s="100">
        <v>1.5801780642118428</v>
      </c>
      <c r="BM76" s="100">
        <v>1230.6426764081832</v>
      </c>
      <c r="BN76" s="100">
        <v>6.7069226105085971</v>
      </c>
      <c r="BO76" s="100">
        <v>5223.3513290640949</v>
      </c>
      <c r="BP76" s="100">
        <v>5</v>
      </c>
      <c r="BQ76" s="100">
        <v>3894</v>
      </c>
      <c r="BR76" s="100">
        <v>6.9662156240071598</v>
      </c>
      <c r="BS76" s="100">
        <v>5425.2887279767756</v>
      </c>
      <c r="BT76" s="100">
        <v>5.4324051894211971</v>
      </c>
      <c r="BU76" s="100">
        <v>4230.7571615212282</v>
      </c>
      <c r="BV76" s="100">
        <v>4.5638092377251249</v>
      </c>
      <c r="BW76" s="100">
        <v>3554.2946343403269</v>
      </c>
      <c r="BX76" s="100">
        <v>2.5302346818840427</v>
      </c>
      <c r="BY76" s="100">
        <v>1970.5467702512924</v>
      </c>
      <c r="BZ76" s="100">
        <v>3.0538961921787724</v>
      </c>
      <c r="CA76" s="100">
        <v>2378.3743544688277</v>
      </c>
      <c r="CB76" s="100">
        <v>3.9084078849583328</v>
      </c>
      <c r="CC76" s="100">
        <v>3043.8680608055492</v>
      </c>
      <c r="CD76" s="100">
        <v>3.504448351545757</v>
      </c>
      <c r="CE76" s="100">
        <v>2729.2643761838353</v>
      </c>
      <c r="CF76" s="100">
        <v>4.6719144853289718</v>
      </c>
      <c r="CG76" s="100">
        <v>3638.4870011742032</v>
      </c>
      <c r="CH76" s="100">
        <v>3.3266136959667887</v>
      </c>
      <c r="CI76" s="100">
        <v>2590.7667464189349</v>
      </c>
      <c r="CJ76" s="100">
        <v>5.6384577294702849</v>
      </c>
      <c r="CK76" s="100">
        <v>4391.2308797114574</v>
      </c>
      <c r="CL76" s="100">
        <v>6.9927696243030502</v>
      </c>
      <c r="CM76" s="100">
        <v>5445.9689834072151</v>
      </c>
      <c r="CN76" s="100">
        <v>7.258868787019737</v>
      </c>
      <c r="CO76" s="100">
        <v>5653.207011330971</v>
      </c>
      <c r="CP76" s="100">
        <v>2.9159694008379775</v>
      </c>
      <c r="CQ76" s="100">
        <v>2270.9569693726166</v>
      </c>
      <c r="CR76" s="100">
        <v>7.6926449111462851</v>
      </c>
      <c r="CS76" s="100">
        <v>5991.0318568007269</v>
      </c>
      <c r="CT76" s="100">
        <v>3.807138602590459</v>
      </c>
      <c r="CU76" s="100">
        <v>2964.9995436974491</v>
      </c>
    </row>
    <row r="77" spans="2:99">
      <c r="C77" s="99" t="s">
        <v>243</v>
      </c>
      <c r="D77" s="100">
        <v>4.2230907341055097</v>
      </c>
      <c r="E77" s="100">
        <v>1175.7084603749738</v>
      </c>
      <c r="F77" s="100">
        <v>4.027287163784055</v>
      </c>
      <c r="G77" s="100">
        <v>1121.1967463974809</v>
      </c>
      <c r="H77" s="100">
        <v>5.8741631635454601</v>
      </c>
      <c r="I77" s="100">
        <v>1635.3670247310561</v>
      </c>
      <c r="J77" s="100">
        <v>5.9385279022298594</v>
      </c>
      <c r="K77" s="100">
        <v>1653.2861679807927</v>
      </c>
      <c r="L77" s="100">
        <v>5.026935620351102</v>
      </c>
      <c r="M77" s="100">
        <v>1399.4988767057466</v>
      </c>
      <c r="N77" s="100">
        <v>3.0267815316509026</v>
      </c>
      <c r="O77" s="100">
        <v>842.65597841161116</v>
      </c>
      <c r="P77" s="100">
        <v>6.8736220279805806</v>
      </c>
      <c r="Q77" s="100">
        <v>1913.6163725897934</v>
      </c>
      <c r="R77" s="100">
        <v>8</v>
      </c>
      <c r="S77" s="100">
        <v>2227.1999999999998</v>
      </c>
      <c r="T77" s="100">
        <v>5.2226431252924455</v>
      </c>
      <c r="U77" s="100">
        <v>1453.9838460814167</v>
      </c>
      <c r="V77" s="100">
        <v>3.121684864272114</v>
      </c>
      <c r="W77" s="100">
        <v>869.07706621335649</v>
      </c>
      <c r="X77" s="100">
        <v>8.668595337528064</v>
      </c>
      <c r="Y77" s="100">
        <v>2413.3369419678129</v>
      </c>
      <c r="Z77" s="100">
        <v>6.927937401968034</v>
      </c>
      <c r="AA77" s="100">
        <v>1928.7377727079006</v>
      </c>
      <c r="AB77" s="100">
        <v>5.4650764233970444</v>
      </c>
      <c r="AC77" s="100">
        <v>1521.4772762737371</v>
      </c>
      <c r="AD77" s="100">
        <v>3.4719639001765783</v>
      </c>
      <c r="AE77" s="100">
        <v>966.59474980915934</v>
      </c>
      <c r="AF77" s="100">
        <v>6.0303601964516522</v>
      </c>
      <c r="AG77" s="100">
        <v>1678.8522786921399</v>
      </c>
      <c r="AH77" s="100">
        <v>5.6465384672740226</v>
      </c>
      <c r="AI77" s="100">
        <v>1571.9963092890878</v>
      </c>
      <c r="AJ77" s="100">
        <v>7.8787596475182964</v>
      </c>
      <c r="AK77" s="100">
        <v>2193.4466858690935</v>
      </c>
      <c r="AL77" s="100">
        <v>5.6450119427732988</v>
      </c>
      <c r="AM77" s="100">
        <v>1571.5713248680863</v>
      </c>
      <c r="AN77" s="100">
        <v>5.8688163203102022</v>
      </c>
      <c r="AO77" s="100">
        <v>1633.8784635743602</v>
      </c>
      <c r="AP77" s="100">
        <v>7.078759300770467</v>
      </c>
      <c r="AQ77" s="100">
        <v>1970.7265893344979</v>
      </c>
      <c r="AR77" s="100">
        <v>6.1252819973154695</v>
      </c>
      <c r="AS77" s="100">
        <v>1705.2785080526266</v>
      </c>
      <c r="AT77" s="100">
        <v>4.609499396159638</v>
      </c>
      <c r="AU77" s="100">
        <v>1283.284631890843</v>
      </c>
      <c r="AV77" s="100">
        <v>6</v>
      </c>
      <c r="AW77" s="100">
        <v>1670.3999999999999</v>
      </c>
      <c r="AX77" s="100">
        <v>5.8461028100673964</v>
      </c>
      <c r="AY77" s="100">
        <v>1627.5550223227631</v>
      </c>
      <c r="AZ77" s="100">
        <v>1.7433415689016518</v>
      </c>
      <c r="BA77" s="100">
        <v>485.34629278221985</v>
      </c>
      <c r="BB77" s="100">
        <v>7.6328759081725952</v>
      </c>
      <c r="BC77" s="100">
        <v>2124.9926528352503</v>
      </c>
      <c r="BD77" s="100">
        <v>5.9695301921665811</v>
      </c>
      <c r="BE77" s="100">
        <v>1661.9172054991761</v>
      </c>
      <c r="BF77" s="100">
        <v>5.6007285640171975</v>
      </c>
      <c r="BG77" s="100">
        <v>1559.2428322223877</v>
      </c>
      <c r="BH77" s="100">
        <v>6.7080595904409472</v>
      </c>
      <c r="BI77" s="100">
        <v>1867.5237899787596</v>
      </c>
      <c r="BJ77" s="100">
        <v>6.1784944415052134</v>
      </c>
      <c r="BK77" s="100">
        <v>1720.0928525150514</v>
      </c>
      <c r="BL77" s="100">
        <v>1.9733355127649801</v>
      </c>
      <c r="BM77" s="100">
        <v>549.37660675377037</v>
      </c>
      <c r="BN77" s="100">
        <v>7.5655380884068775</v>
      </c>
      <c r="BO77" s="100">
        <v>2106.2458038124746</v>
      </c>
      <c r="BP77" s="100">
        <v>5</v>
      </c>
      <c r="BQ77" s="100">
        <v>1392</v>
      </c>
      <c r="BR77" s="100">
        <v>7.8369925770080551</v>
      </c>
      <c r="BS77" s="100">
        <v>2181.8187334390423</v>
      </c>
      <c r="BT77" s="100">
        <v>5.4324051894211971</v>
      </c>
      <c r="BU77" s="100">
        <v>1512.3816047348612</v>
      </c>
      <c r="BV77" s="100">
        <v>5.3244441106793126</v>
      </c>
      <c r="BW77" s="100">
        <v>1482.3252404131206</v>
      </c>
      <c r="BX77" s="100">
        <v>2.5156821792085218</v>
      </c>
      <c r="BY77" s="100">
        <v>700.36591869165238</v>
      </c>
      <c r="BZ77" s="100">
        <v>3.5015237685584064</v>
      </c>
      <c r="CA77" s="100">
        <v>974.82421716666022</v>
      </c>
      <c r="CB77" s="100">
        <v>4.4832177896414906</v>
      </c>
      <c r="CC77" s="100">
        <v>1248.127832636191</v>
      </c>
      <c r="CD77" s="100">
        <v>3.4985971107815161</v>
      </c>
      <c r="CE77" s="100">
        <v>974.00943564157399</v>
      </c>
      <c r="CF77" s="100">
        <v>4.538013030623568</v>
      </c>
      <c r="CG77" s="100">
        <v>1263.3828277256011</v>
      </c>
      <c r="CH77" s="100">
        <v>3.3517495575726843</v>
      </c>
      <c r="CI77" s="100">
        <v>933.1270768282352</v>
      </c>
      <c r="CJ77" s="100">
        <v>6.4578763395183252</v>
      </c>
      <c r="CK77" s="100">
        <v>1797.8727729219015</v>
      </c>
      <c r="CL77" s="100">
        <v>7.1582312283535581</v>
      </c>
      <c r="CM77" s="100">
        <v>1992.8515739736304</v>
      </c>
      <c r="CN77" s="100">
        <v>6.478616633372706</v>
      </c>
      <c r="CO77" s="100">
        <v>1803.6468707309612</v>
      </c>
      <c r="CP77" s="100">
        <v>3.3024531058893496</v>
      </c>
      <c r="CQ77" s="100">
        <v>919.40294467959484</v>
      </c>
      <c r="CR77" s="100">
        <v>8.6926449111462851</v>
      </c>
      <c r="CS77" s="100">
        <v>2420.0323432631258</v>
      </c>
      <c r="CT77" s="100">
        <v>3.807138602590459</v>
      </c>
      <c r="CU77" s="100">
        <v>1059.9073869611836</v>
      </c>
    </row>
    <row r="78" spans="2:99">
      <c r="C78" s="99" t="s">
        <v>244</v>
      </c>
      <c r="D78" s="100">
        <v>3.8028438156871034</v>
      </c>
      <c r="E78" s="100">
        <v>2099.169786259281</v>
      </c>
      <c r="F78" s="100">
        <v>4.9707138494832641</v>
      </c>
      <c r="G78" s="100">
        <v>2743.8340449147618</v>
      </c>
      <c r="H78" s="100">
        <v>5.0426847559243786</v>
      </c>
      <c r="I78" s="100">
        <v>2783.5619852702571</v>
      </c>
      <c r="J78" s="100">
        <v>6.5927869063118125</v>
      </c>
      <c r="K78" s="100">
        <v>3639.2183722841205</v>
      </c>
      <c r="L78" s="100">
        <v>4.9335964869301421</v>
      </c>
      <c r="M78" s="100">
        <v>2723.3452607854383</v>
      </c>
      <c r="N78" s="100">
        <v>3.4054570373789397</v>
      </c>
      <c r="O78" s="100">
        <v>1879.8122846331746</v>
      </c>
      <c r="P78" s="100">
        <v>6.8736220279805806</v>
      </c>
      <c r="Q78" s="100">
        <v>3794.2393594452806</v>
      </c>
      <c r="R78" s="100">
        <v>7</v>
      </c>
      <c r="S78" s="100">
        <v>3864</v>
      </c>
      <c r="T78" s="100">
        <v>5.2226431252924455</v>
      </c>
      <c r="U78" s="100">
        <v>2882.8990051614301</v>
      </c>
      <c r="V78" s="100">
        <v>3.121684864272114</v>
      </c>
      <c r="W78" s="100">
        <v>1723.1700450782068</v>
      </c>
      <c r="X78" s="100">
        <v>7.6685953375280649</v>
      </c>
      <c r="Y78" s="100">
        <v>4233.0646263154922</v>
      </c>
      <c r="Z78" s="100">
        <v>5.938232058829743</v>
      </c>
      <c r="AA78" s="100">
        <v>3277.9040964740179</v>
      </c>
      <c r="AB78" s="100">
        <v>4.6814026408563922</v>
      </c>
      <c r="AC78" s="100">
        <v>2584.1342577527284</v>
      </c>
      <c r="AD78" s="100">
        <v>3.4918234511266775</v>
      </c>
      <c r="AE78" s="100">
        <v>1927.4865450219258</v>
      </c>
      <c r="AF78" s="100">
        <v>6.0303601964516522</v>
      </c>
      <c r="AG78" s="100">
        <v>3328.7588284413118</v>
      </c>
      <c r="AH78" s="100">
        <v>6.3636881653740929</v>
      </c>
      <c r="AI78" s="100">
        <v>3512.7558672864993</v>
      </c>
      <c r="AJ78" s="100">
        <v>6.9077271835156377</v>
      </c>
      <c r="AK78" s="100">
        <v>3813.0654053006319</v>
      </c>
      <c r="AL78" s="100">
        <v>4.8436972669071103</v>
      </c>
      <c r="AM78" s="100">
        <v>2673.7208913327249</v>
      </c>
      <c r="AN78" s="100">
        <v>5.8688163203102022</v>
      </c>
      <c r="AO78" s="100">
        <v>3239.5866088112316</v>
      </c>
      <c r="AP78" s="100">
        <v>7.2133449457734509</v>
      </c>
      <c r="AQ78" s="100">
        <v>3981.7664100669449</v>
      </c>
      <c r="AR78" s="100">
        <v>5.4446951087248623</v>
      </c>
      <c r="AS78" s="100">
        <v>3005.471700016124</v>
      </c>
      <c r="AT78" s="100">
        <v>4.609499396159638</v>
      </c>
      <c r="AU78" s="100">
        <v>2544.4436666801203</v>
      </c>
      <c r="AV78" s="100">
        <v>6</v>
      </c>
      <c r="AW78" s="100">
        <v>3312</v>
      </c>
      <c r="AX78" s="100">
        <v>5.8349464777170077</v>
      </c>
      <c r="AY78" s="100">
        <v>3220.8904556997882</v>
      </c>
      <c r="AZ78" s="100">
        <v>1.7363383418629732</v>
      </c>
      <c r="BA78" s="100">
        <v>958.45876470836117</v>
      </c>
      <c r="BB78" s="100">
        <v>6.8389580653313686</v>
      </c>
      <c r="BC78" s="100">
        <v>3775.1048520629156</v>
      </c>
      <c r="BD78" s="100">
        <v>5.9695301921665811</v>
      </c>
      <c r="BE78" s="100">
        <v>3295.1806660759526</v>
      </c>
      <c r="BF78" s="100">
        <v>5.6007285640171975</v>
      </c>
      <c r="BG78" s="100">
        <v>3091.602167337493</v>
      </c>
      <c r="BH78" s="100">
        <v>6.1040555594690922</v>
      </c>
      <c r="BI78" s="100">
        <v>3369.4386688269387</v>
      </c>
      <c r="BJ78" s="100">
        <v>6.1784944415052134</v>
      </c>
      <c r="BK78" s="100">
        <v>3410.5289317108777</v>
      </c>
      <c r="BL78" s="100">
        <v>1.774869720988588</v>
      </c>
      <c r="BM78" s="100">
        <v>979.72808598570055</v>
      </c>
      <c r="BN78" s="100">
        <v>6.7069226105085971</v>
      </c>
      <c r="BO78" s="100">
        <v>3702.2212810007454</v>
      </c>
      <c r="BP78" s="100">
        <v>6</v>
      </c>
      <c r="BQ78" s="100">
        <v>3312</v>
      </c>
      <c r="BR78" s="100">
        <v>7.8369925770080551</v>
      </c>
      <c r="BS78" s="100">
        <v>4326.0199025084466</v>
      </c>
      <c r="BT78" s="100">
        <v>4.8288046128188418</v>
      </c>
      <c r="BU78" s="100">
        <v>2665.5001462760006</v>
      </c>
      <c r="BV78" s="100">
        <v>4.5638092377251249</v>
      </c>
      <c r="BW78" s="100">
        <v>2519.222699224269</v>
      </c>
      <c r="BX78" s="100">
        <v>2.1570372438217733</v>
      </c>
      <c r="BY78" s="100">
        <v>1190.684558589619</v>
      </c>
      <c r="BZ78" s="100">
        <v>3.4246848507187995</v>
      </c>
      <c r="CA78" s="100">
        <v>1890.4260375967774</v>
      </c>
      <c r="CB78" s="100">
        <v>4.4832177896414906</v>
      </c>
      <c r="CC78" s="100">
        <v>2474.7362198821029</v>
      </c>
      <c r="CD78" s="100">
        <v>3.1454929781532419</v>
      </c>
      <c r="CE78" s="100">
        <v>1736.3121239405896</v>
      </c>
      <c r="CF78" s="100">
        <v>4.5837654800122669</v>
      </c>
      <c r="CG78" s="100">
        <v>2530.2385449667713</v>
      </c>
      <c r="CH78" s="100">
        <v>3.3517495575726843</v>
      </c>
      <c r="CI78" s="100">
        <v>1850.1657557801218</v>
      </c>
      <c r="CJ78" s="100">
        <v>5.6384577294702849</v>
      </c>
      <c r="CK78" s="100">
        <v>3112.4286666675971</v>
      </c>
      <c r="CL78" s="100">
        <v>6.1582312283535581</v>
      </c>
      <c r="CM78" s="100">
        <v>3399.3436380511639</v>
      </c>
      <c r="CN78" s="100">
        <v>7.258868787019737</v>
      </c>
      <c r="CO78" s="100">
        <v>4006.895570434895</v>
      </c>
      <c r="CP78" s="100">
        <v>3.3024531058893496</v>
      </c>
      <c r="CQ78" s="100">
        <v>1822.954114450921</v>
      </c>
      <c r="CR78" s="100">
        <v>7.6926449111462851</v>
      </c>
      <c r="CS78" s="100">
        <v>4246.3399909527498</v>
      </c>
      <c r="CT78" s="100">
        <v>3.807138602590459</v>
      </c>
      <c r="CU78" s="100">
        <v>2101.5405086299334</v>
      </c>
    </row>
    <row r="79" spans="2:99">
      <c r="C79" s="99" t="s">
        <v>245</v>
      </c>
      <c r="D79" s="100">
        <v>4.2893303792407611</v>
      </c>
      <c r="E79" s="100">
        <v>3247.8809631611039</v>
      </c>
      <c r="F79" s="100">
        <v>4.027287163784055</v>
      </c>
      <c r="G79" s="100">
        <v>3049.4618404172861</v>
      </c>
      <c r="H79" s="100">
        <v>5.0426847559243786</v>
      </c>
      <c r="I79" s="100">
        <v>3818.320897185939</v>
      </c>
      <c r="J79" s="100">
        <v>5.2300799851037345</v>
      </c>
      <c r="K79" s="100">
        <v>3960.2165647205475</v>
      </c>
      <c r="L79" s="100">
        <v>4.9335964869301421</v>
      </c>
      <c r="M79" s="100">
        <v>3735.7192599035034</v>
      </c>
      <c r="N79" s="100">
        <v>3.4086245785141083</v>
      </c>
      <c r="O79" s="100">
        <v>2581.0105308508823</v>
      </c>
      <c r="P79" s="100">
        <v>5.8736220279805806</v>
      </c>
      <c r="Q79" s="100">
        <v>4447.5065995868954</v>
      </c>
      <c r="R79" s="100">
        <v>7</v>
      </c>
      <c r="S79" s="100">
        <v>5300.4</v>
      </c>
      <c r="T79" s="100">
        <v>5.8754735159540017</v>
      </c>
      <c r="U79" s="100">
        <v>4448.9085462803696</v>
      </c>
      <c r="V79" s="100">
        <v>3.121684864272114</v>
      </c>
      <c r="W79" s="100">
        <v>2363.7397792268443</v>
      </c>
      <c r="X79" s="100">
        <v>6.6685953375280649</v>
      </c>
      <c r="Y79" s="100">
        <v>5049.4603895762502</v>
      </c>
      <c r="Z79" s="100">
        <v>6.927937401968034</v>
      </c>
      <c r="AA79" s="100">
        <v>5245.8342007701949</v>
      </c>
      <c r="AB79" s="100">
        <v>4.7020426952439056</v>
      </c>
      <c r="AC79" s="100">
        <v>3560.386728838685</v>
      </c>
      <c r="AD79" s="100">
        <v>2.9363322772056955</v>
      </c>
      <c r="AE79" s="100">
        <v>2223.3908003001525</v>
      </c>
      <c r="AF79" s="100">
        <v>6.0303601964516522</v>
      </c>
      <c r="AG79" s="100">
        <v>4566.1887407531904</v>
      </c>
      <c r="AH79" s="100">
        <v>5.6465384672740226</v>
      </c>
      <c r="AI79" s="100">
        <v>4275.5589274198892</v>
      </c>
      <c r="AJ79" s="100">
        <v>5.9366947195129791</v>
      </c>
      <c r="AK79" s="100">
        <v>4495.2652416152278</v>
      </c>
      <c r="AL79" s="100">
        <v>4.8365354245651133</v>
      </c>
      <c r="AM79" s="100">
        <v>3662.2246234807035</v>
      </c>
      <c r="AN79" s="100">
        <v>5.9335951273628522</v>
      </c>
      <c r="AO79" s="100">
        <v>4492.9182304391516</v>
      </c>
      <c r="AP79" s="100">
        <v>7.2133449457734509</v>
      </c>
      <c r="AQ79" s="100">
        <v>5461.9447929396565</v>
      </c>
      <c r="AR79" s="100">
        <v>5.4446951087248623</v>
      </c>
      <c r="AS79" s="100">
        <v>4122.7231363264655</v>
      </c>
      <c r="AT79" s="100">
        <v>3.8412494967996982</v>
      </c>
      <c r="AU79" s="100">
        <v>2908.5941189767314</v>
      </c>
      <c r="AV79" s="100">
        <v>6</v>
      </c>
      <c r="AW79" s="100">
        <v>4543.2</v>
      </c>
      <c r="AX79" s="100">
        <v>5.1928170537208889</v>
      </c>
      <c r="AY79" s="100">
        <v>3932.0010730774566</v>
      </c>
      <c r="AZ79" s="100">
        <v>1.7433415689016518</v>
      </c>
      <c r="BA79" s="100">
        <v>1320.0582359723307</v>
      </c>
      <c r="BB79" s="100">
        <v>7.6328759081725952</v>
      </c>
      <c r="BC79" s="100">
        <v>5779.6136376682889</v>
      </c>
      <c r="BD79" s="100">
        <v>5.9695301921665811</v>
      </c>
      <c r="BE79" s="100">
        <v>4520.1282615085347</v>
      </c>
      <c r="BF79" s="100">
        <v>5.6007285640171975</v>
      </c>
      <c r="BG79" s="100">
        <v>4240.8716686738217</v>
      </c>
      <c r="BH79" s="100">
        <v>6.0131967514909324</v>
      </c>
      <c r="BI79" s="100">
        <v>4553.1925802289334</v>
      </c>
      <c r="BJ79" s="100">
        <v>6.1784944415052134</v>
      </c>
      <c r="BK79" s="100">
        <v>4678.3559911077473</v>
      </c>
      <c r="BL79" s="100">
        <v>1.5801780642118428</v>
      </c>
      <c r="BM79" s="100">
        <v>1196.5108302212072</v>
      </c>
      <c r="BN79" s="100">
        <v>6.5655380884068775</v>
      </c>
      <c r="BO79" s="100">
        <v>4971.4254405416868</v>
      </c>
      <c r="BP79" s="100">
        <v>5</v>
      </c>
      <c r="BQ79" s="100">
        <v>3785.9999999999995</v>
      </c>
      <c r="BR79" s="100">
        <v>7.8369925770080551</v>
      </c>
      <c r="BS79" s="100">
        <v>5934.1707793104988</v>
      </c>
      <c r="BT79" s="100">
        <v>4.8288046128188418</v>
      </c>
      <c r="BU79" s="100">
        <v>3656.3708528264265</v>
      </c>
      <c r="BV79" s="100">
        <v>5.3244441106793126</v>
      </c>
      <c r="BW79" s="100">
        <v>4031.6690806063752</v>
      </c>
      <c r="BX79" s="100">
        <v>2.5302346818840427</v>
      </c>
      <c r="BY79" s="100">
        <v>1915.8937011225969</v>
      </c>
      <c r="BZ79" s="100">
        <v>3.4410554072330348</v>
      </c>
      <c r="CA79" s="100">
        <v>2605.5671543568537</v>
      </c>
      <c r="CB79" s="100">
        <v>3.9084078849583328</v>
      </c>
      <c r="CC79" s="100">
        <v>2959.4464504904495</v>
      </c>
      <c r="CD79" s="100">
        <v>3.5015227311636363</v>
      </c>
      <c r="CE79" s="100">
        <v>2651.3530120371051</v>
      </c>
      <c r="CF79" s="100">
        <v>4.4430833325901933</v>
      </c>
      <c r="CG79" s="100">
        <v>3364.302699437294</v>
      </c>
      <c r="CH79" s="100">
        <v>3.6562911829024811</v>
      </c>
      <c r="CI79" s="100">
        <v>2768.5436836937583</v>
      </c>
      <c r="CJ79" s="100">
        <v>5.6384577294702849</v>
      </c>
      <c r="CK79" s="100">
        <v>4269.4401927548997</v>
      </c>
      <c r="CL79" s="100">
        <v>6.1582312283535581</v>
      </c>
      <c r="CM79" s="100">
        <v>4663.012686109314</v>
      </c>
      <c r="CN79" s="100">
        <v>7.2194355529869947</v>
      </c>
      <c r="CO79" s="100">
        <v>5466.5566007217521</v>
      </c>
      <c r="CP79" s="100">
        <v>3.3005695842752996</v>
      </c>
      <c r="CQ79" s="100">
        <v>2499.1912892132568</v>
      </c>
      <c r="CR79" s="100">
        <v>7.6926449111462851</v>
      </c>
      <c r="CS79" s="100">
        <v>5824.870726719967</v>
      </c>
      <c r="CT79" s="100">
        <v>3.807138602590459</v>
      </c>
      <c r="CU79" s="100">
        <v>2882.7653498814952</v>
      </c>
    </row>
    <row r="80" spans="2:99">
      <c r="C80" s="99" t="s">
        <v>246</v>
      </c>
      <c r="D80" s="100">
        <v>4.2893303792407611</v>
      </c>
      <c r="E80" s="100">
        <v>3453.7688213646607</v>
      </c>
      <c r="F80" s="100">
        <v>4.027287163784055</v>
      </c>
      <c r="G80" s="100">
        <v>3242.7716242789206</v>
      </c>
      <c r="H80" s="100">
        <v>5.8741631635454601</v>
      </c>
      <c r="I80" s="100">
        <v>4729.8761792868045</v>
      </c>
      <c r="J80" s="100">
        <v>5.1758910720595628</v>
      </c>
      <c r="K80" s="100">
        <v>4167.6274912223598</v>
      </c>
      <c r="L80" s="100">
        <v>5.6245547298427176</v>
      </c>
      <c r="M80" s="100">
        <v>4528.8914684693555</v>
      </c>
      <c r="N80" s="100">
        <v>3.4086245785141083</v>
      </c>
      <c r="O80" s="100">
        <v>2744.6245106195597</v>
      </c>
      <c r="P80" s="100">
        <v>5.8736220279805806</v>
      </c>
      <c r="Q80" s="100">
        <v>4729.4404569299631</v>
      </c>
      <c r="R80" s="100">
        <v>7</v>
      </c>
      <c r="S80" s="100">
        <v>5636.4</v>
      </c>
      <c r="T80" s="100">
        <v>5.2226431252924455</v>
      </c>
      <c r="U80" s="100">
        <v>4205.2722444854771</v>
      </c>
      <c r="V80" s="100">
        <v>3.121684864272114</v>
      </c>
      <c r="W80" s="100">
        <v>2513.5806527119062</v>
      </c>
      <c r="X80" s="100">
        <v>6.6685953375280649</v>
      </c>
      <c r="Y80" s="100">
        <v>5369.5529657775978</v>
      </c>
      <c r="Z80" s="100">
        <v>6.927937401968034</v>
      </c>
      <c r="AA80" s="100">
        <v>5578.3751960646605</v>
      </c>
      <c r="AB80" s="100">
        <v>4.7020426952439056</v>
      </c>
      <c r="AC80" s="100">
        <v>3786.0847782103924</v>
      </c>
      <c r="AD80" s="100">
        <v>2.9363322772056955</v>
      </c>
      <c r="AE80" s="100">
        <v>2364.334749606026</v>
      </c>
      <c r="AF80" s="100">
        <v>6.0303601964516522</v>
      </c>
      <c r="AG80" s="100">
        <v>4855.6460301828702</v>
      </c>
      <c r="AH80" s="100">
        <v>5.5943309188928945</v>
      </c>
      <c r="AI80" s="100">
        <v>4504.5552558925583</v>
      </c>
      <c r="AJ80" s="100">
        <v>5.9366947195129791</v>
      </c>
      <c r="AK80" s="100">
        <v>4780.2265881518506</v>
      </c>
      <c r="AL80" s="100">
        <v>4.8365354245651133</v>
      </c>
      <c r="AM80" s="100">
        <v>3894.3783238598289</v>
      </c>
      <c r="AN80" s="100">
        <v>5.9335951273628522</v>
      </c>
      <c r="AO80" s="100">
        <v>4777.7307965525679</v>
      </c>
      <c r="AP80" s="100">
        <v>7.2133449457734509</v>
      </c>
      <c r="AQ80" s="100">
        <v>5808.185350336782</v>
      </c>
      <c r="AR80" s="100">
        <v>6.8058688859060776</v>
      </c>
      <c r="AS80" s="100">
        <v>5480.0856269315736</v>
      </c>
      <c r="AT80" s="100">
        <v>3.8412494967996982</v>
      </c>
      <c r="AU80" s="100">
        <v>3092.9740948231165</v>
      </c>
      <c r="AV80" s="100">
        <v>6</v>
      </c>
      <c r="AW80" s="100">
        <v>4831.2</v>
      </c>
      <c r="AX80" s="100">
        <v>5.8461028100673964</v>
      </c>
      <c r="AY80" s="100">
        <v>4707.2819826662671</v>
      </c>
      <c r="AZ80" s="100">
        <v>1.5249861710990278</v>
      </c>
      <c r="BA80" s="100">
        <v>1227.918864968937</v>
      </c>
      <c r="BB80" s="100">
        <v>6.8389580653313686</v>
      </c>
      <c r="BC80" s="100">
        <v>5506.7290342048173</v>
      </c>
      <c r="BD80" s="100">
        <v>5.9695301921665811</v>
      </c>
      <c r="BE80" s="100">
        <v>4806.6657107325309</v>
      </c>
      <c r="BF80" s="100">
        <v>5.6007285640171975</v>
      </c>
      <c r="BG80" s="100">
        <v>4509.7066397466469</v>
      </c>
      <c r="BH80" s="100">
        <v>6.0131967514909324</v>
      </c>
      <c r="BI80" s="100">
        <v>4841.8260243004979</v>
      </c>
      <c r="BJ80" s="100">
        <v>5.2958523784330396</v>
      </c>
      <c r="BK80" s="100">
        <v>4264.2203351142834</v>
      </c>
      <c r="BL80" s="100">
        <v>1.7763793749884467</v>
      </c>
      <c r="BM80" s="100">
        <v>1430.3406727406971</v>
      </c>
      <c r="BN80" s="100">
        <v>6.7069226105085971</v>
      </c>
      <c r="BO80" s="100">
        <v>5400.4140859815216</v>
      </c>
      <c r="BP80" s="100">
        <v>5</v>
      </c>
      <c r="BQ80" s="100">
        <v>4025.9999999999995</v>
      </c>
      <c r="BR80" s="100">
        <v>7.8369925770080551</v>
      </c>
      <c r="BS80" s="100">
        <v>6310.3464230068857</v>
      </c>
      <c r="BT80" s="100">
        <v>5.4324051894211971</v>
      </c>
      <c r="BU80" s="100">
        <v>4374.1726585219476</v>
      </c>
      <c r="BV80" s="100">
        <v>6.0850789836335011</v>
      </c>
      <c r="BW80" s="100">
        <v>4899.7055976216943</v>
      </c>
      <c r="BX80" s="100">
        <v>2.5447871845595644</v>
      </c>
      <c r="BY80" s="100">
        <v>2049.062641007361</v>
      </c>
      <c r="BZ80" s="100">
        <v>3.4246848507187995</v>
      </c>
      <c r="CA80" s="100">
        <v>2757.5562417987771</v>
      </c>
      <c r="CB80" s="100">
        <v>4.5981464964795506</v>
      </c>
      <c r="CC80" s="100">
        <v>3702.4275589653339</v>
      </c>
      <c r="CD80" s="100">
        <v>3.1454929781532419</v>
      </c>
      <c r="CE80" s="100">
        <v>2532.75094600899</v>
      </c>
      <c r="CF80" s="100">
        <v>4.4430833325901933</v>
      </c>
      <c r="CG80" s="100">
        <v>3577.5706994016232</v>
      </c>
      <c r="CH80" s="100">
        <v>3.3517495575726843</v>
      </c>
      <c r="CI80" s="100">
        <v>2698.828743757525</v>
      </c>
      <c r="CJ80" s="100">
        <v>5.4940685156338764</v>
      </c>
      <c r="CK80" s="100">
        <v>4423.823968788397</v>
      </c>
      <c r="CL80" s="100">
        <v>6.9927696243030502</v>
      </c>
      <c r="CM80" s="100">
        <v>5630.5781014888153</v>
      </c>
      <c r="CN80" s="100">
        <v>5.6983644797256758</v>
      </c>
      <c r="CO80" s="100">
        <v>4588.323079075114</v>
      </c>
      <c r="CP80" s="100">
        <v>2.9178529224520275</v>
      </c>
      <c r="CQ80" s="100">
        <v>2349.4551731583724</v>
      </c>
      <c r="CR80" s="100">
        <v>6.6926449111462851</v>
      </c>
      <c r="CS80" s="100">
        <v>5388.9176824549886</v>
      </c>
      <c r="CT80" s="100">
        <v>3.807138602590459</v>
      </c>
      <c r="CU80" s="100">
        <v>3065.5080028058374</v>
      </c>
    </row>
    <row r="81" spans="2:99">
      <c r="C81" s="99" t="s">
        <v>247</v>
      </c>
      <c r="D81" s="100">
        <v>4.2893303792407611</v>
      </c>
      <c r="E81" s="100">
        <v>3232.4393737958376</v>
      </c>
      <c r="F81" s="100">
        <v>4.9707138494832641</v>
      </c>
      <c r="G81" s="100">
        <v>3745.9299569705881</v>
      </c>
      <c r="H81" s="100">
        <v>5.8921012669447581</v>
      </c>
      <c r="I81" s="100">
        <v>4440.2875147695695</v>
      </c>
      <c r="J81" s="100">
        <v>5.8843389891856877</v>
      </c>
      <c r="K81" s="100">
        <v>4434.4378622503345</v>
      </c>
      <c r="L81" s="100">
        <v>4.9335964869301421</v>
      </c>
      <c r="M81" s="100">
        <v>3717.9583125505551</v>
      </c>
      <c r="N81" s="100">
        <v>3.023613990515734</v>
      </c>
      <c r="O81" s="100">
        <v>2278.5955032526572</v>
      </c>
      <c r="P81" s="100">
        <v>6.8736220279805806</v>
      </c>
      <c r="Q81" s="100">
        <v>5179.9615602861659</v>
      </c>
      <c r="R81" s="100">
        <v>7</v>
      </c>
      <c r="S81" s="100">
        <v>5275.2</v>
      </c>
      <c r="T81" s="100">
        <v>5.8754735159540017</v>
      </c>
      <c r="U81" s="100">
        <v>4427.756841622936</v>
      </c>
      <c r="V81" s="100">
        <v>3.121684864272114</v>
      </c>
      <c r="W81" s="100">
        <v>2352.501713715465</v>
      </c>
      <c r="X81" s="100">
        <v>7.6685953375280649</v>
      </c>
      <c r="Y81" s="100">
        <v>5779.0534463611502</v>
      </c>
      <c r="Z81" s="100">
        <v>6.927937401968034</v>
      </c>
      <c r="AA81" s="100">
        <v>5220.8936261231102</v>
      </c>
      <c r="AB81" s="100">
        <v>5.4650764233970444</v>
      </c>
      <c r="AC81" s="100">
        <v>4118.481592672013</v>
      </c>
      <c r="AD81" s="100">
        <v>2.9760513791058925</v>
      </c>
      <c r="AE81" s="100">
        <v>2242.7523192942008</v>
      </c>
      <c r="AF81" s="100">
        <v>6.0303601964516522</v>
      </c>
      <c r="AG81" s="100">
        <v>4544.4794440459655</v>
      </c>
      <c r="AH81" s="100">
        <v>5.5943309188928945</v>
      </c>
      <c r="AI81" s="100">
        <v>4215.8877804776857</v>
      </c>
      <c r="AJ81" s="100">
        <v>6.9077271835156377</v>
      </c>
      <c r="AK81" s="100">
        <v>5205.6632054973852</v>
      </c>
      <c r="AL81" s="100">
        <v>4.8365354245651133</v>
      </c>
      <c r="AM81" s="100">
        <v>3644.8130959522696</v>
      </c>
      <c r="AN81" s="100">
        <v>5.1595063329161706</v>
      </c>
      <c r="AO81" s="100">
        <v>3888.2039724856263</v>
      </c>
      <c r="AP81" s="100">
        <v>7.2133449457734509</v>
      </c>
      <c r="AQ81" s="100">
        <v>5435.9767511348728</v>
      </c>
      <c r="AR81" s="100">
        <v>6.1252819973154695</v>
      </c>
      <c r="AS81" s="100">
        <v>4616.0125131769382</v>
      </c>
      <c r="AT81" s="100">
        <v>3.8412494967996982</v>
      </c>
      <c r="AU81" s="100">
        <v>2894.7656207882528</v>
      </c>
      <c r="AV81" s="100">
        <v>6</v>
      </c>
      <c r="AW81" s="100">
        <v>4521.6000000000004</v>
      </c>
      <c r="AX81" s="100">
        <v>5.1928170537208889</v>
      </c>
      <c r="AY81" s="100">
        <v>3913.306931684062</v>
      </c>
      <c r="AZ81" s="100">
        <v>1.5249861710990278</v>
      </c>
      <c r="BA81" s="100">
        <v>1149.2295785402273</v>
      </c>
      <c r="BB81" s="100">
        <v>6.8389580653313686</v>
      </c>
      <c r="BC81" s="100">
        <v>5153.8387980337193</v>
      </c>
      <c r="BD81" s="100">
        <v>5.9695301921665811</v>
      </c>
      <c r="BE81" s="100">
        <v>4498.6379528167354</v>
      </c>
      <c r="BF81" s="100">
        <v>4.6861081295911422</v>
      </c>
      <c r="BG81" s="100">
        <v>3531.4510864598847</v>
      </c>
      <c r="BH81" s="100">
        <v>6.7080595904409472</v>
      </c>
      <c r="BI81" s="100">
        <v>5055.1937073562976</v>
      </c>
      <c r="BJ81" s="100">
        <v>6.1784944415052134</v>
      </c>
      <c r="BK81" s="100">
        <v>4656.1134111183292</v>
      </c>
      <c r="BL81" s="100">
        <v>1.7756245479885173</v>
      </c>
      <c r="BM81" s="100">
        <v>1338.1106593641466</v>
      </c>
      <c r="BN81" s="100">
        <v>6.7069226105085971</v>
      </c>
      <c r="BO81" s="100">
        <v>5054.3368792792789</v>
      </c>
      <c r="BP81" s="100">
        <v>5</v>
      </c>
      <c r="BQ81" s="100">
        <v>3768</v>
      </c>
      <c r="BR81" s="100">
        <v>7.8369925770080551</v>
      </c>
      <c r="BS81" s="100">
        <v>5905.9576060332702</v>
      </c>
      <c r="BT81" s="100">
        <v>4.8288046128188418</v>
      </c>
      <c r="BU81" s="100">
        <v>3638.9871562202793</v>
      </c>
      <c r="BV81" s="100">
        <v>5.3244441106793126</v>
      </c>
      <c r="BW81" s="100">
        <v>4012.5010818079299</v>
      </c>
      <c r="BX81" s="100">
        <v>2.5156821792085218</v>
      </c>
      <c r="BY81" s="100">
        <v>1895.8180902515421</v>
      </c>
      <c r="BZ81" s="100">
        <v>3.4410554072330348</v>
      </c>
      <c r="CA81" s="100">
        <v>2593.1793548908149</v>
      </c>
      <c r="CB81" s="100">
        <v>3.7934791781202719</v>
      </c>
      <c r="CC81" s="100">
        <v>2858.765908631437</v>
      </c>
      <c r="CD81" s="100">
        <v>3.1484185985353621</v>
      </c>
      <c r="CE81" s="100">
        <v>2372.6482558562489</v>
      </c>
      <c r="CF81" s="100">
        <v>3.8958435367485911</v>
      </c>
      <c r="CG81" s="100">
        <v>2935.9076892937383</v>
      </c>
      <c r="CH81" s="100">
        <v>3.3517495575726843</v>
      </c>
      <c r="CI81" s="100">
        <v>2525.8784665867752</v>
      </c>
      <c r="CJ81" s="100">
        <v>5.4940685156338764</v>
      </c>
      <c r="CK81" s="100">
        <v>4140.3300333816896</v>
      </c>
      <c r="CL81" s="100">
        <v>6.1582312283535581</v>
      </c>
      <c r="CM81" s="100">
        <v>4640.8430536872411</v>
      </c>
      <c r="CN81" s="100">
        <v>6.478616633372706</v>
      </c>
      <c r="CO81" s="100">
        <v>4882.2854949096718</v>
      </c>
      <c r="CP81" s="100">
        <v>3.3024531058893496</v>
      </c>
      <c r="CQ81" s="100">
        <v>2488.728660598214</v>
      </c>
      <c r="CR81" s="100">
        <v>7.6926449111462851</v>
      </c>
      <c r="CS81" s="100">
        <v>5797.1772050398404</v>
      </c>
      <c r="CT81" s="100">
        <v>3.0457108820723673</v>
      </c>
      <c r="CU81" s="100">
        <v>2295.2477207297361</v>
      </c>
    </row>
    <row r="82" spans="2:99">
      <c r="C82" s="99" t="s">
        <v>248</v>
      </c>
      <c r="D82" s="100">
        <v>3.8028438156871034</v>
      </c>
      <c r="E82" s="100">
        <v>1934.8869334215979</v>
      </c>
      <c r="F82" s="100">
        <v>4.027287163784055</v>
      </c>
      <c r="G82" s="100">
        <v>2049.0837089333268</v>
      </c>
      <c r="H82" s="100">
        <v>5.8741631635454601</v>
      </c>
      <c r="I82" s="100">
        <v>2988.7742176119295</v>
      </c>
      <c r="J82" s="100">
        <v>5.9385279022298594</v>
      </c>
      <c r="K82" s="100">
        <v>3021.5229966545517</v>
      </c>
      <c r="L82" s="100">
        <v>4.9335964869301421</v>
      </c>
      <c r="M82" s="100">
        <v>2510.2138925500558</v>
      </c>
      <c r="N82" s="100">
        <v>3.4054570373789397</v>
      </c>
      <c r="O82" s="100">
        <v>1732.6965406184042</v>
      </c>
      <c r="P82" s="100">
        <v>5.8736220279805806</v>
      </c>
      <c r="Q82" s="100">
        <v>2988.4988878365189</v>
      </c>
      <c r="R82" s="100">
        <v>7</v>
      </c>
      <c r="S82" s="100">
        <v>3561.5999999999995</v>
      </c>
      <c r="T82" s="100">
        <v>5.8754735159540017</v>
      </c>
      <c r="U82" s="100">
        <v>2989.4409249173955</v>
      </c>
      <c r="V82" s="100">
        <v>3.121684864272114</v>
      </c>
      <c r="W82" s="100">
        <v>1588.3132589416514</v>
      </c>
      <c r="X82" s="100">
        <v>7.6685953375280649</v>
      </c>
      <c r="Y82" s="100">
        <v>3901.7813077342785</v>
      </c>
      <c r="Z82" s="100">
        <v>6.927937401968034</v>
      </c>
      <c r="AA82" s="100">
        <v>3524.9345501213352</v>
      </c>
      <c r="AB82" s="100">
        <v>5.4444363690095301</v>
      </c>
      <c r="AC82" s="100">
        <v>2770.1292245520485</v>
      </c>
      <c r="AD82" s="100">
        <v>2.9363322772056955</v>
      </c>
      <c r="AE82" s="100">
        <v>1494.0058626422576</v>
      </c>
      <c r="AF82" s="100">
        <v>6.0303601964516522</v>
      </c>
      <c r="AG82" s="100">
        <v>3068.2472679545999</v>
      </c>
      <c r="AH82" s="100">
        <v>6.3636881653740929</v>
      </c>
      <c r="AI82" s="100">
        <v>3237.8445385423379</v>
      </c>
      <c r="AJ82" s="100">
        <v>6.9077271835156377</v>
      </c>
      <c r="AK82" s="100">
        <v>3514.6515909727559</v>
      </c>
      <c r="AL82" s="100">
        <v>4.8365354245651133</v>
      </c>
      <c r="AM82" s="100">
        <v>2460.8292240187293</v>
      </c>
      <c r="AN82" s="100">
        <v>6.6429051147568838</v>
      </c>
      <c r="AO82" s="100">
        <v>3379.9101223883017</v>
      </c>
      <c r="AP82" s="100">
        <v>7.2133449457734509</v>
      </c>
      <c r="AQ82" s="100">
        <v>3670.1499084095312</v>
      </c>
      <c r="AR82" s="100">
        <v>6.8058688859060776</v>
      </c>
      <c r="AS82" s="100">
        <v>3462.8260891490118</v>
      </c>
      <c r="AT82" s="100">
        <v>3.8412494967996982</v>
      </c>
      <c r="AU82" s="100">
        <v>1954.4277439716861</v>
      </c>
      <c r="AV82" s="100">
        <v>6</v>
      </c>
      <c r="AW82" s="100">
        <v>3052.7999999999993</v>
      </c>
      <c r="AX82" s="100">
        <v>5.8349464777170077</v>
      </c>
      <c r="AY82" s="100">
        <v>2968.820767862413</v>
      </c>
      <c r="AZ82" s="100">
        <v>1.7363383418629732</v>
      </c>
      <c r="BA82" s="100">
        <v>883.44894833988053</v>
      </c>
      <c r="BB82" s="100">
        <v>6.8389580653313686</v>
      </c>
      <c r="BC82" s="100">
        <v>3479.6618636405997</v>
      </c>
      <c r="BD82" s="100">
        <v>5.9695301921665811</v>
      </c>
      <c r="BE82" s="100">
        <v>3037.2969617743561</v>
      </c>
      <c r="BF82" s="100">
        <v>5.6007285640171975</v>
      </c>
      <c r="BG82" s="100">
        <v>2849.6506933719497</v>
      </c>
      <c r="BH82" s="100">
        <v>6.1040555594690922</v>
      </c>
      <c r="BI82" s="100">
        <v>3105.7434686578736</v>
      </c>
      <c r="BJ82" s="100">
        <v>6.1784944415052134</v>
      </c>
      <c r="BK82" s="100">
        <v>3143.6179718378521</v>
      </c>
      <c r="BL82" s="100">
        <v>1.7756245479885173</v>
      </c>
      <c r="BM82" s="100">
        <v>903.43777001655747</v>
      </c>
      <c r="BN82" s="100">
        <v>6.5655380884068775</v>
      </c>
      <c r="BO82" s="100">
        <v>3340.5457793814185</v>
      </c>
      <c r="BP82" s="100">
        <v>5</v>
      </c>
      <c r="BQ82" s="100">
        <v>2543.9999999999995</v>
      </c>
      <c r="BR82" s="100">
        <v>7.8369925770080551</v>
      </c>
      <c r="BS82" s="100">
        <v>3987.4618231816976</v>
      </c>
      <c r="BT82" s="100">
        <v>4.8288046128188418</v>
      </c>
      <c r="BU82" s="100">
        <v>2456.8957870022264</v>
      </c>
      <c r="BV82" s="100">
        <v>5.3244441106793126</v>
      </c>
      <c r="BW82" s="100">
        <v>2709.0771635136339</v>
      </c>
      <c r="BX82" s="100">
        <v>2.5302346818840427</v>
      </c>
      <c r="BY82" s="100">
        <v>1287.3834061426007</v>
      </c>
      <c r="BZ82" s="100">
        <v>3.8445851788015322</v>
      </c>
      <c r="CA82" s="100">
        <v>1956.1249389742193</v>
      </c>
      <c r="CB82" s="100">
        <v>4.4832177896414906</v>
      </c>
      <c r="CC82" s="100">
        <v>2281.0612113695902</v>
      </c>
      <c r="CD82" s="100">
        <v>3.1454929781532419</v>
      </c>
      <c r="CE82" s="100">
        <v>1600.4268272843692</v>
      </c>
      <c r="CF82" s="100">
        <v>4.6786951780456416</v>
      </c>
      <c r="CG82" s="100">
        <v>2380.5201065896222</v>
      </c>
      <c r="CH82" s="100">
        <v>3.3517495575726843</v>
      </c>
      <c r="CI82" s="100">
        <v>1705.3701748929814</v>
      </c>
      <c r="CJ82" s="100">
        <v>5.6384577294702849</v>
      </c>
      <c r="CK82" s="100">
        <v>2868.8472927544803</v>
      </c>
      <c r="CL82" s="100">
        <v>7.1582312283535581</v>
      </c>
      <c r="CM82" s="100">
        <v>3642.1080489862898</v>
      </c>
      <c r="CN82" s="100">
        <v>5.6983644797256758</v>
      </c>
      <c r="CO82" s="100">
        <v>2899.3278472844231</v>
      </c>
      <c r="CP82" s="100">
        <v>3.683286246098572</v>
      </c>
      <c r="CQ82" s="100">
        <v>1874.0560420149532</v>
      </c>
      <c r="CR82" s="100">
        <v>6.6926449111462851</v>
      </c>
      <c r="CS82" s="100">
        <v>3405.2177307912293</v>
      </c>
      <c r="CT82" s="100">
        <v>3.807138602590459</v>
      </c>
      <c r="CU82" s="100">
        <v>1937.0721209980252</v>
      </c>
    </row>
    <row r="83" spans="2:99">
      <c r="C83" s="99" t="s">
        <v>249</v>
      </c>
      <c r="D83" s="100">
        <v>3.8028438156871034</v>
      </c>
      <c r="E83" s="100">
        <v>3271.9668190171838</v>
      </c>
      <c r="F83" s="100">
        <v>4.9707138494832641</v>
      </c>
      <c r="G83" s="100">
        <v>4276.8021960954002</v>
      </c>
      <c r="H83" s="100">
        <v>5.8741631635454601</v>
      </c>
      <c r="I83" s="100">
        <v>5054.1299859145138</v>
      </c>
      <c r="J83" s="100">
        <v>5.8843389891856877</v>
      </c>
      <c r="K83" s="100">
        <v>5062.8852662953659</v>
      </c>
      <c r="L83" s="100">
        <v>4.9335964869301421</v>
      </c>
      <c r="M83" s="100">
        <v>4244.866417354694</v>
      </c>
      <c r="N83" s="100">
        <v>3.4054570373789397</v>
      </c>
      <c r="O83" s="100">
        <v>2930.0552349608397</v>
      </c>
      <c r="P83" s="100">
        <v>5.6988976223844645</v>
      </c>
      <c r="Q83" s="100">
        <v>4903.3315142995934</v>
      </c>
      <c r="R83" s="100">
        <v>7</v>
      </c>
      <c r="S83" s="100">
        <v>6022.8</v>
      </c>
      <c r="T83" s="100">
        <v>5.2226431252924455</v>
      </c>
      <c r="U83" s="100">
        <v>4493.5621450016197</v>
      </c>
      <c r="V83" s="100">
        <v>3.121684864272114</v>
      </c>
      <c r="W83" s="100">
        <v>2685.8976572197266</v>
      </c>
      <c r="X83" s="100">
        <v>7.6685953375280649</v>
      </c>
      <c r="Y83" s="100">
        <v>6598.0594284091467</v>
      </c>
      <c r="Z83" s="100">
        <v>5.938232058829743</v>
      </c>
      <c r="AA83" s="100">
        <v>5109.2548634171108</v>
      </c>
      <c r="AB83" s="100">
        <v>5.4444363690095301</v>
      </c>
      <c r="AC83" s="100">
        <v>4684.3930518957995</v>
      </c>
      <c r="AD83" s="100">
        <v>2.9561918281557946</v>
      </c>
      <c r="AE83" s="100">
        <v>2543.5074489452454</v>
      </c>
      <c r="AF83" s="100">
        <v>6.0303601964516522</v>
      </c>
      <c r="AG83" s="100">
        <v>5188.5219130270016</v>
      </c>
      <c r="AH83" s="100">
        <v>5.5943309188928945</v>
      </c>
      <c r="AI83" s="100">
        <v>4813.3623226154459</v>
      </c>
      <c r="AJ83" s="100">
        <v>6.8801021996413807</v>
      </c>
      <c r="AK83" s="100">
        <v>5919.6399325714438</v>
      </c>
      <c r="AL83" s="100">
        <v>4.0423825910409228</v>
      </c>
      <c r="AM83" s="100">
        <v>3478.0659813316097</v>
      </c>
      <c r="AN83" s="100">
        <v>5.2242851399688188</v>
      </c>
      <c r="AO83" s="100">
        <v>4494.9749344291713</v>
      </c>
      <c r="AP83" s="100">
        <v>7.078759300770467</v>
      </c>
      <c r="AQ83" s="100">
        <v>6090.5645023829093</v>
      </c>
      <c r="AR83" s="100">
        <v>5.4446951087248623</v>
      </c>
      <c r="AS83" s="100">
        <v>4684.6156715468715</v>
      </c>
      <c r="AT83" s="100">
        <v>3.8412494967996982</v>
      </c>
      <c r="AU83" s="100">
        <v>3305.0110670464601</v>
      </c>
      <c r="AV83" s="100">
        <v>6</v>
      </c>
      <c r="AW83" s="100">
        <v>5162.3999999999996</v>
      </c>
      <c r="AX83" s="100">
        <v>5.1928170537208889</v>
      </c>
      <c r="AY83" s="100">
        <v>4467.8997930214528</v>
      </c>
      <c r="AZ83" s="100">
        <v>1.5214845575796885</v>
      </c>
      <c r="BA83" s="100">
        <v>1309.085313341564</v>
      </c>
      <c r="BB83" s="100">
        <v>7.6328759081725952</v>
      </c>
      <c r="BC83" s="100">
        <v>6567.3264313917007</v>
      </c>
      <c r="BD83" s="100">
        <v>5.9695301921665811</v>
      </c>
      <c r="BE83" s="100">
        <v>5136.1837773401267</v>
      </c>
      <c r="BF83" s="100">
        <v>5.6007285640171975</v>
      </c>
      <c r="BG83" s="100">
        <v>4818.8668564803966</v>
      </c>
      <c r="BH83" s="100">
        <v>6.0131967514909324</v>
      </c>
      <c r="BI83" s="100">
        <v>5173.7544849827982</v>
      </c>
      <c r="BJ83" s="100">
        <v>6.1784944415052134</v>
      </c>
      <c r="BK83" s="100">
        <v>5315.9766174710858</v>
      </c>
      <c r="BL83" s="100">
        <v>1.5794232372119135</v>
      </c>
      <c r="BM83" s="100">
        <v>1358.9357532971303</v>
      </c>
      <c r="BN83" s="100">
        <v>6.7069226105085971</v>
      </c>
      <c r="BO83" s="100">
        <v>5770.6362140815963</v>
      </c>
      <c r="BP83" s="100">
        <v>5</v>
      </c>
      <c r="BQ83" s="100">
        <v>4302</v>
      </c>
      <c r="BR83" s="100">
        <v>7.8369925770080551</v>
      </c>
      <c r="BS83" s="100">
        <v>6742.94841325773</v>
      </c>
      <c r="BT83" s="100">
        <v>5.4324051894211971</v>
      </c>
      <c r="BU83" s="100">
        <v>4674.0414249779978</v>
      </c>
      <c r="BV83" s="100">
        <v>4.5638092377251249</v>
      </c>
      <c r="BW83" s="100">
        <v>3926.7014681386972</v>
      </c>
      <c r="BX83" s="100">
        <v>2.5447871845595644</v>
      </c>
      <c r="BY83" s="100">
        <v>2189.5348935950492</v>
      </c>
      <c r="BZ83" s="100">
        <v>3.4246848507187995</v>
      </c>
      <c r="CA83" s="100">
        <v>2946.5988455584552</v>
      </c>
      <c r="CB83" s="100">
        <v>3.7934791781202719</v>
      </c>
      <c r="CC83" s="100">
        <v>3263.909484854682</v>
      </c>
      <c r="CD83" s="100">
        <v>2.7894632251428471</v>
      </c>
      <c r="CE83" s="100">
        <v>2400.0541589129057</v>
      </c>
      <c r="CF83" s="100">
        <v>4.4430833325901933</v>
      </c>
      <c r="CG83" s="100">
        <v>3822.828899360602</v>
      </c>
      <c r="CH83" s="100">
        <v>2.8056925621135185</v>
      </c>
      <c r="CI83" s="100">
        <v>2414.0178804424713</v>
      </c>
      <c r="CJ83" s="100">
        <v>6.4578763395183252</v>
      </c>
      <c r="CK83" s="100">
        <v>5556.3568025215673</v>
      </c>
      <c r="CL83" s="100">
        <v>5.9927696243030502</v>
      </c>
      <c r="CM83" s="100">
        <v>5156.1789847503442</v>
      </c>
      <c r="CN83" s="100">
        <v>5.6983644797256758</v>
      </c>
      <c r="CO83" s="100">
        <v>4902.8727983559711</v>
      </c>
      <c r="CP83" s="100">
        <v>3.3005695842752996</v>
      </c>
      <c r="CQ83" s="100">
        <v>2839.8100703104678</v>
      </c>
      <c r="CR83" s="100">
        <v>6.6926449111462851</v>
      </c>
      <c r="CS83" s="100">
        <v>5758.3516815502635</v>
      </c>
      <c r="CT83" s="100">
        <v>3.807138602590459</v>
      </c>
      <c r="CU83" s="100">
        <v>3275.662053668831</v>
      </c>
    </row>
    <row r="84" spans="2:99">
      <c r="C84" s="99" t="s">
        <v>250</v>
      </c>
      <c r="D84" s="100">
        <v>3.8028438156871034</v>
      </c>
      <c r="E84" s="100">
        <v>2970.7815888147647</v>
      </c>
      <c r="F84" s="100">
        <v>4.9707138494832641</v>
      </c>
      <c r="G84" s="100">
        <v>3883.1216592163255</v>
      </c>
      <c r="H84" s="100">
        <v>5.8921012669447581</v>
      </c>
      <c r="I84" s="100">
        <v>4602.9095097372447</v>
      </c>
      <c r="J84" s="100">
        <v>6.5927869063118125</v>
      </c>
      <c r="K84" s="100">
        <v>5150.2851312107878</v>
      </c>
      <c r="L84" s="100">
        <v>4.9335964869301421</v>
      </c>
      <c r="M84" s="100">
        <v>3854.1255755898264</v>
      </c>
      <c r="N84" s="100">
        <v>3.0267815316509026</v>
      </c>
      <c r="O84" s="100">
        <v>2364.5217325256849</v>
      </c>
      <c r="P84" s="100">
        <v>6.8736220279805806</v>
      </c>
      <c r="Q84" s="100">
        <v>5369.6735282584295</v>
      </c>
      <c r="R84" s="100">
        <v>7</v>
      </c>
      <c r="S84" s="100">
        <v>5468.4</v>
      </c>
      <c r="T84" s="100">
        <v>5.8754735159540017</v>
      </c>
      <c r="U84" s="100">
        <v>4589.9199106632659</v>
      </c>
      <c r="V84" s="100">
        <v>2.4973478914176912</v>
      </c>
      <c r="W84" s="100">
        <v>1950.9281727755001</v>
      </c>
      <c r="X84" s="100">
        <v>7.6685953375280649</v>
      </c>
      <c r="Y84" s="100">
        <v>5990.7066776769234</v>
      </c>
      <c r="Z84" s="100">
        <v>6.927937401968034</v>
      </c>
      <c r="AA84" s="100">
        <v>5412.1046984174272</v>
      </c>
      <c r="AB84" s="100">
        <v>5.4444363690095301</v>
      </c>
      <c r="AC84" s="100">
        <v>4253.1936914702446</v>
      </c>
      <c r="AD84" s="100">
        <v>2.9561918281557946</v>
      </c>
      <c r="AE84" s="100">
        <v>2309.3770561553065</v>
      </c>
      <c r="AF84" s="100">
        <v>5.1292279116318928</v>
      </c>
      <c r="AG84" s="100">
        <v>4006.9528445668343</v>
      </c>
      <c r="AH84" s="100">
        <v>6.3636881653740929</v>
      </c>
      <c r="AI84" s="100">
        <v>4971.3131947902411</v>
      </c>
      <c r="AJ84" s="100">
        <v>6.9077271835156377</v>
      </c>
      <c r="AK84" s="100">
        <v>5396.3164757624154</v>
      </c>
      <c r="AL84" s="100">
        <v>4.8365354245651133</v>
      </c>
      <c r="AM84" s="100">
        <v>3778.3014736702662</v>
      </c>
      <c r="AN84" s="100">
        <v>6.6429051147568838</v>
      </c>
      <c r="AO84" s="100">
        <v>5189.4374756480775</v>
      </c>
      <c r="AP84" s="100">
        <v>8.128463670881386</v>
      </c>
      <c r="AQ84" s="100">
        <v>6349.9558196925382</v>
      </c>
      <c r="AR84" s="100">
        <v>5.4446951087248623</v>
      </c>
      <c r="AS84" s="100">
        <v>4253.3958189358618</v>
      </c>
      <c r="AT84" s="100">
        <v>4.609499396159638</v>
      </c>
      <c r="AU84" s="100">
        <v>3600.9409282799088</v>
      </c>
      <c r="AV84" s="100">
        <v>5</v>
      </c>
      <c r="AW84" s="100">
        <v>3905.9999999999995</v>
      </c>
      <c r="AX84" s="100">
        <v>5.8349464777170077</v>
      </c>
      <c r="AY84" s="100">
        <v>4558.2601883925263</v>
      </c>
      <c r="AZ84" s="100">
        <v>1.5284877846183671</v>
      </c>
      <c r="BA84" s="100">
        <v>1194.0546573438683</v>
      </c>
      <c r="BB84" s="100">
        <v>7.6328759081725952</v>
      </c>
      <c r="BC84" s="100">
        <v>5962.8026594644307</v>
      </c>
      <c r="BD84" s="100">
        <v>5.2233389181457586</v>
      </c>
      <c r="BE84" s="100">
        <v>4080.4723628554661</v>
      </c>
      <c r="BF84" s="100">
        <v>5.6007285640171975</v>
      </c>
      <c r="BG84" s="100">
        <v>4375.2891542102343</v>
      </c>
      <c r="BH84" s="100">
        <v>6.0131967514909324</v>
      </c>
      <c r="BI84" s="100">
        <v>4697.5093022647161</v>
      </c>
      <c r="BJ84" s="100">
        <v>5.2958523784330396</v>
      </c>
      <c r="BK84" s="100">
        <v>4137.11987803189</v>
      </c>
      <c r="BL84" s="100">
        <v>1.7756245479885173</v>
      </c>
      <c r="BM84" s="100">
        <v>1387.1178968886295</v>
      </c>
      <c r="BN84" s="100">
        <v>6.7069226105085971</v>
      </c>
      <c r="BO84" s="100">
        <v>5239.4479433293154</v>
      </c>
      <c r="BP84" s="100">
        <v>5</v>
      </c>
      <c r="BQ84" s="100">
        <v>3905.9999999999995</v>
      </c>
      <c r="BR84" s="100">
        <v>7.8369925770080551</v>
      </c>
      <c r="BS84" s="100">
        <v>6122.2586011586918</v>
      </c>
      <c r="BT84" s="100">
        <v>4.8288046128188418</v>
      </c>
      <c r="BU84" s="100">
        <v>3772.2621635340788</v>
      </c>
      <c r="BV84" s="100">
        <v>5.3244441106793126</v>
      </c>
      <c r="BW84" s="100">
        <v>4159.4557392626784</v>
      </c>
      <c r="BX84" s="100">
        <v>2.1279322384707307</v>
      </c>
      <c r="BY84" s="100">
        <v>1662.3406646933347</v>
      </c>
      <c r="BZ84" s="100">
        <v>3.0211550791503026</v>
      </c>
      <c r="CA84" s="100">
        <v>2360.1263478322162</v>
      </c>
      <c r="CB84" s="100">
        <v>3.7934791781202719</v>
      </c>
      <c r="CC84" s="100">
        <v>2963.4659339475561</v>
      </c>
      <c r="CD84" s="100">
        <v>3.1425673577711213</v>
      </c>
      <c r="CE84" s="100">
        <v>2454.9736198907999</v>
      </c>
      <c r="CF84" s="100">
        <v>4.538013030623568</v>
      </c>
      <c r="CG84" s="100">
        <v>3545.0957795231311</v>
      </c>
      <c r="CH84" s="100">
        <v>2.8056925621135185</v>
      </c>
      <c r="CI84" s="100">
        <v>2191.8070295230805</v>
      </c>
      <c r="CJ84" s="100">
        <v>5.4940685156338764</v>
      </c>
      <c r="CK84" s="100">
        <v>4291.9663244131843</v>
      </c>
      <c r="CL84" s="100">
        <v>6.9927696243030502</v>
      </c>
      <c r="CM84" s="100">
        <v>5462.7516305055424</v>
      </c>
      <c r="CN84" s="100">
        <v>5.6589312456929326</v>
      </c>
      <c r="CO84" s="100">
        <v>4420.7570891353189</v>
      </c>
      <c r="CP84" s="100">
        <v>3.3024531058893496</v>
      </c>
      <c r="CQ84" s="100">
        <v>2579.8763663207596</v>
      </c>
      <c r="CR84" s="100">
        <v>6.6926449111462851</v>
      </c>
      <c r="CS84" s="100">
        <v>5228.2942045874779</v>
      </c>
      <c r="CT84" s="100">
        <v>3.807138602590459</v>
      </c>
      <c r="CU84" s="100">
        <v>2974.1366763436663</v>
      </c>
    </row>
    <row r="85" spans="2:99">
      <c r="C85" s="99" t="s">
        <v>251</v>
      </c>
      <c r="D85" s="100">
        <v>4.2893303792407611</v>
      </c>
      <c r="E85" s="100">
        <v>643.39955688611417</v>
      </c>
      <c r="F85" s="100">
        <v>4.027287163784055</v>
      </c>
      <c r="G85" s="100">
        <v>604.09307456760826</v>
      </c>
      <c r="H85" s="100">
        <v>5.8921012669447581</v>
      </c>
      <c r="I85" s="100">
        <v>883.81519004171366</v>
      </c>
      <c r="J85" s="100">
        <v>5.9385279022298594</v>
      </c>
      <c r="K85" s="100">
        <v>890.77918533447894</v>
      </c>
      <c r="L85" s="100">
        <v>5.7266987889913601</v>
      </c>
      <c r="M85" s="100">
        <v>859.00481834870402</v>
      </c>
      <c r="N85" s="100">
        <v>3.4054570373789397</v>
      </c>
      <c r="O85" s="100">
        <v>510.81855560684096</v>
      </c>
      <c r="P85" s="100">
        <v>6.6988976223844645</v>
      </c>
      <c r="Q85" s="100">
        <v>1004.8346433576696</v>
      </c>
      <c r="R85" s="100">
        <v>8</v>
      </c>
      <c r="S85" s="100">
        <v>1200</v>
      </c>
      <c r="T85" s="100">
        <v>5.8754735159540017</v>
      </c>
      <c r="U85" s="100">
        <v>881.32102739310028</v>
      </c>
      <c r="V85" s="100">
        <v>3.121684864272114</v>
      </c>
      <c r="W85" s="100">
        <v>468.25272964081711</v>
      </c>
      <c r="X85" s="100">
        <v>8.8357441719100809</v>
      </c>
      <c r="Y85" s="100">
        <v>1325.3616257865121</v>
      </c>
      <c r="Z85" s="100">
        <v>6.927937401968034</v>
      </c>
      <c r="AA85" s="100">
        <v>1039.190610295205</v>
      </c>
      <c r="AB85" s="100">
        <v>5.4650764233970444</v>
      </c>
      <c r="AC85" s="100">
        <v>819.76146350955662</v>
      </c>
      <c r="AD85" s="100">
        <v>2.9561918281557946</v>
      </c>
      <c r="AE85" s="100">
        <v>443.4287742233692</v>
      </c>
      <c r="AF85" s="100">
        <v>6.9314924812714116</v>
      </c>
      <c r="AG85" s="100">
        <v>1039.7238721907117</v>
      </c>
      <c r="AH85" s="100">
        <v>6.3636881653740929</v>
      </c>
      <c r="AI85" s="100">
        <v>954.55322480611392</v>
      </c>
      <c r="AJ85" s="100">
        <v>6.9077271835156377</v>
      </c>
      <c r="AK85" s="100">
        <v>1036.1590775273457</v>
      </c>
      <c r="AL85" s="100">
        <v>4.8365354245651133</v>
      </c>
      <c r="AM85" s="100">
        <v>725.480313684767</v>
      </c>
      <c r="AN85" s="100">
        <v>6.6429051147568838</v>
      </c>
      <c r="AO85" s="100">
        <v>996.43576721353259</v>
      </c>
      <c r="AP85" s="100">
        <v>7.2133449457734509</v>
      </c>
      <c r="AQ85" s="100">
        <v>1082.0017418660177</v>
      </c>
      <c r="AR85" s="100">
        <v>6.8058688859060776</v>
      </c>
      <c r="AS85" s="100">
        <v>1020.8803328859117</v>
      </c>
      <c r="AT85" s="100">
        <v>3.8412494967996982</v>
      </c>
      <c r="AU85" s="100">
        <v>576.18742451995467</v>
      </c>
      <c r="AV85" s="100">
        <v>6</v>
      </c>
      <c r="AW85" s="100">
        <v>900</v>
      </c>
      <c r="AX85" s="100">
        <v>5.8461028100673964</v>
      </c>
      <c r="AY85" s="100">
        <v>876.91542151010947</v>
      </c>
      <c r="AZ85" s="100">
        <v>1.7433415689016518</v>
      </c>
      <c r="BA85" s="100">
        <v>261.50123533524777</v>
      </c>
      <c r="BB85" s="100">
        <v>7.6328759081725952</v>
      </c>
      <c r="BC85" s="100">
        <v>1144.9313862258894</v>
      </c>
      <c r="BD85" s="100">
        <v>6.7157214661874045</v>
      </c>
      <c r="BE85" s="100">
        <v>1007.3582199281107</v>
      </c>
      <c r="BF85" s="100">
        <v>6.5287120595200383</v>
      </c>
      <c r="BG85" s="100">
        <v>979.30680892800569</v>
      </c>
      <c r="BH85" s="100">
        <v>6.7080595904409472</v>
      </c>
      <c r="BI85" s="100">
        <v>1006.2089385661421</v>
      </c>
      <c r="BJ85" s="100">
        <v>6.1784944415052134</v>
      </c>
      <c r="BK85" s="100">
        <v>926.77416622578198</v>
      </c>
      <c r="BL85" s="100">
        <v>1.7763793749884467</v>
      </c>
      <c r="BM85" s="100">
        <v>266.45690624826699</v>
      </c>
      <c r="BN85" s="100">
        <v>7.7069226105085971</v>
      </c>
      <c r="BO85" s="100">
        <v>1156.0383915762895</v>
      </c>
      <c r="BP85" s="100">
        <v>6</v>
      </c>
      <c r="BQ85" s="100">
        <v>900</v>
      </c>
      <c r="BR85" s="100">
        <v>8.7077695300089495</v>
      </c>
      <c r="BS85" s="100">
        <v>1306.1654295013425</v>
      </c>
      <c r="BT85" s="100">
        <v>4.8288046128188418</v>
      </c>
      <c r="BU85" s="100">
        <v>724.32069192282631</v>
      </c>
      <c r="BV85" s="100">
        <v>5.3244441106793126</v>
      </c>
      <c r="BW85" s="100">
        <v>798.66661660189686</v>
      </c>
      <c r="BX85" s="100">
        <v>2.5447871845595644</v>
      </c>
      <c r="BY85" s="100">
        <v>381.71807768393467</v>
      </c>
      <c r="BZ85" s="100">
        <v>3.4574259637472697</v>
      </c>
      <c r="CA85" s="100">
        <v>518.61389456209042</v>
      </c>
      <c r="CB85" s="100">
        <v>4.5981464964795506</v>
      </c>
      <c r="CC85" s="100">
        <v>689.72197447193264</v>
      </c>
      <c r="CD85" s="100">
        <v>3.1454929781532419</v>
      </c>
      <c r="CE85" s="100">
        <v>471.82394672298631</v>
      </c>
      <c r="CF85" s="100">
        <v>5.3598364285926472</v>
      </c>
      <c r="CG85" s="100">
        <v>803.97546428889711</v>
      </c>
      <c r="CH85" s="100">
        <v>3.3517495575726843</v>
      </c>
      <c r="CI85" s="100">
        <v>502.76243363590265</v>
      </c>
      <c r="CJ85" s="100">
        <v>5.6384577294702849</v>
      </c>
      <c r="CK85" s="100">
        <v>845.76865942054269</v>
      </c>
      <c r="CL85" s="100">
        <v>6.9927696243030502</v>
      </c>
      <c r="CM85" s="100">
        <v>1048.9154436454576</v>
      </c>
      <c r="CN85" s="100">
        <v>6.4391833993399636</v>
      </c>
      <c r="CO85" s="100">
        <v>965.8775099009946</v>
      </c>
      <c r="CP85" s="100">
        <v>3.683286246098572</v>
      </c>
      <c r="CQ85" s="100">
        <v>552.49293691478579</v>
      </c>
      <c r="CR85" s="100">
        <v>7.6926449111462851</v>
      </c>
      <c r="CS85" s="100">
        <v>1153.8967366719428</v>
      </c>
      <c r="CT85" s="100">
        <v>3.807138602590459</v>
      </c>
      <c r="CU85" s="100">
        <v>571.07079038856887</v>
      </c>
    </row>
    <row r="86" spans="2:99">
      <c r="C86" s="99" t="s">
        <v>252</v>
      </c>
      <c r="D86" s="100">
        <v>4.2893303792407611</v>
      </c>
      <c r="E86" s="100">
        <v>2316.2384047900109</v>
      </c>
      <c r="F86" s="100">
        <v>4.9707138494832641</v>
      </c>
      <c r="G86" s="100">
        <v>2684.1854787209627</v>
      </c>
      <c r="H86" s="100">
        <v>5.0606228593236775</v>
      </c>
      <c r="I86" s="100">
        <v>2732.7363440347858</v>
      </c>
      <c r="J86" s="100">
        <v>5.9385279022298594</v>
      </c>
      <c r="K86" s="100">
        <v>3206.805067204124</v>
      </c>
      <c r="L86" s="100">
        <v>4.9335964869301421</v>
      </c>
      <c r="M86" s="100">
        <v>2664.1421029422768</v>
      </c>
      <c r="N86" s="100">
        <v>3.4054570373789397</v>
      </c>
      <c r="O86" s="100">
        <v>1838.9468001846274</v>
      </c>
      <c r="P86" s="100">
        <v>6.6988976223844645</v>
      </c>
      <c r="Q86" s="100">
        <v>3617.4047160876107</v>
      </c>
      <c r="R86" s="100">
        <v>7</v>
      </c>
      <c r="S86" s="100">
        <v>3780</v>
      </c>
      <c r="T86" s="100">
        <v>5.2226431252924455</v>
      </c>
      <c r="U86" s="100">
        <v>2820.2272876579204</v>
      </c>
      <c r="V86" s="100">
        <v>3.121684864272114</v>
      </c>
      <c r="W86" s="100">
        <v>1685.7098267069416</v>
      </c>
      <c r="X86" s="100">
        <v>7.6685953375280649</v>
      </c>
      <c r="Y86" s="100">
        <v>4141.0414822651546</v>
      </c>
      <c r="Z86" s="100">
        <v>6.927937401968034</v>
      </c>
      <c r="AA86" s="100">
        <v>3741.0861970627384</v>
      </c>
      <c r="AB86" s="100">
        <v>4.6814026408563922</v>
      </c>
      <c r="AC86" s="100">
        <v>2527.9574260624518</v>
      </c>
      <c r="AD86" s="100">
        <v>2.9760513791058925</v>
      </c>
      <c r="AE86" s="100">
        <v>1607.067744717182</v>
      </c>
      <c r="AF86" s="100">
        <v>6.0303601964516522</v>
      </c>
      <c r="AG86" s="100">
        <v>3256.3945060838923</v>
      </c>
      <c r="AH86" s="100">
        <v>5.5943309188928945</v>
      </c>
      <c r="AI86" s="100">
        <v>3020.9386962021631</v>
      </c>
      <c r="AJ86" s="100">
        <v>5.9366947195129791</v>
      </c>
      <c r="AK86" s="100">
        <v>3205.8151485370086</v>
      </c>
      <c r="AL86" s="100">
        <v>4.8365354245651133</v>
      </c>
      <c r="AM86" s="100">
        <v>2611.7291292651612</v>
      </c>
      <c r="AN86" s="100">
        <v>6.5781263077042356</v>
      </c>
      <c r="AO86" s="100">
        <v>3552.1882061602873</v>
      </c>
      <c r="AP86" s="100">
        <v>7.2133449457734509</v>
      </c>
      <c r="AQ86" s="100">
        <v>3895.2062707176633</v>
      </c>
      <c r="AR86" s="100">
        <v>6.1252819973154695</v>
      </c>
      <c r="AS86" s="100">
        <v>3307.6522785503535</v>
      </c>
      <c r="AT86" s="100">
        <v>4.609499396159638</v>
      </c>
      <c r="AU86" s="100">
        <v>2489.1296739262043</v>
      </c>
      <c r="AV86" s="100">
        <v>6</v>
      </c>
      <c r="AW86" s="100">
        <v>3240</v>
      </c>
      <c r="AX86" s="100">
        <v>5.1928170537208889</v>
      </c>
      <c r="AY86" s="100">
        <v>2804.1212090092799</v>
      </c>
      <c r="AZ86" s="100">
        <v>1.7433415689016518</v>
      </c>
      <c r="BA86" s="100">
        <v>941.40444720689197</v>
      </c>
      <c r="BB86" s="100">
        <v>7.6328759081725952</v>
      </c>
      <c r="BC86" s="100">
        <v>4121.7529904132016</v>
      </c>
      <c r="BD86" s="100">
        <v>5.9695301921665811</v>
      </c>
      <c r="BE86" s="100">
        <v>3223.5463037699537</v>
      </c>
      <c r="BF86" s="100">
        <v>5.6007285640171975</v>
      </c>
      <c r="BG86" s="100">
        <v>3024.3934245692867</v>
      </c>
      <c r="BH86" s="100">
        <v>6.7080595904409472</v>
      </c>
      <c r="BI86" s="100">
        <v>3622.3521788381113</v>
      </c>
      <c r="BJ86" s="100">
        <v>5.2958523784330396</v>
      </c>
      <c r="BK86" s="100">
        <v>2859.7602843538416</v>
      </c>
      <c r="BL86" s="100">
        <v>1.5801780642118428</v>
      </c>
      <c r="BM86" s="100">
        <v>853.2961546743951</v>
      </c>
      <c r="BN86" s="100">
        <v>7.7069226105085971</v>
      </c>
      <c r="BO86" s="100">
        <v>4161.7382096746423</v>
      </c>
      <c r="BP86" s="100">
        <v>6</v>
      </c>
      <c r="BQ86" s="100">
        <v>3240</v>
      </c>
      <c r="BR86" s="100">
        <v>7.8369925770080551</v>
      </c>
      <c r="BS86" s="100">
        <v>4231.9759915843497</v>
      </c>
      <c r="BT86" s="100">
        <v>5.4324051894211971</v>
      </c>
      <c r="BU86" s="100">
        <v>2933.4988022874463</v>
      </c>
      <c r="BV86" s="100">
        <v>5.3244441106793126</v>
      </c>
      <c r="BW86" s="100">
        <v>2875.1998197668286</v>
      </c>
      <c r="BX86" s="100">
        <v>2.5302346818840427</v>
      </c>
      <c r="BY86" s="100">
        <v>1366.3267282173831</v>
      </c>
      <c r="BZ86" s="100">
        <v>3.8282146222872964</v>
      </c>
      <c r="CA86" s="100">
        <v>2067.2358960351398</v>
      </c>
      <c r="CB86" s="100">
        <v>3.7934791781202719</v>
      </c>
      <c r="CC86" s="100">
        <v>2048.4787561849466</v>
      </c>
      <c r="CD86" s="100">
        <v>2.786537604760726</v>
      </c>
      <c r="CE86" s="100">
        <v>1504.730306570792</v>
      </c>
      <c r="CF86" s="100">
        <v>5.3598364285926472</v>
      </c>
      <c r="CG86" s="100">
        <v>2894.3116714400294</v>
      </c>
      <c r="CH86" s="100">
        <v>2.8308284237194146</v>
      </c>
      <c r="CI86" s="100">
        <v>1528.6473488084839</v>
      </c>
      <c r="CJ86" s="100">
        <v>6.4578763395183252</v>
      </c>
      <c r="CK86" s="100">
        <v>3487.2532233398956</v>
      </c>
      <c r="CL86" s="100">
        <v>6.9927696243030502</v>
      </c>
      <c r="CM86" s="100">
        <v>3776.0955971236472</v>
      </c>
      <c r="CN86" s="100">
        <v>6.478616633372706</v>
      </c>
      <c r="CO86" s="100">
        <v>3498.4529820212611</v>
      </c>
      <c r="CP86" s="100">
        <v>3.6814027244845224</v>
      </c>
      <c r="CQ86" s="100">
        <v>1987.9574712216422</v>
      </c>
      <c r="CR86" s="100">
        <v>7.6926449111462851</v>
      </c>
      <c r="CS86" s="100">
        <v>4154.028252018994</v>
      </c>
      <c r="CT86" s="100">
        <v>3.0457108820723673</v>
      </c>
      <c r="CU86" s="100">
        <v>1644.6838763190783</v>
      </c>
    </row>
    <row r="87" spans="2:99">
      <c r="B87" s="99" t="s">
        <v>131</v>
      </c>
      <c r="C87" s="99" t="s">
        <v>253</v>
      </c>
      <c r="D87" s="100">
        <v>4.8220121853229116</v>
      </c>
      <c r="E87" s="100">
        <v>5178.841087036807</v>
      </c>
      <c r="F87" s="100">
        <v>5.1222957066545991</v>
      </c>
      <c r="G87" s="100">
        <v>5501.3455889470397</v>
      </c>
      <c r="H87" s="100">
        <v>4.3623072828130853</v>
      </c>
      <c r="I87" s="100">
        <v>4685.1180217412539</v>
      </c>
      <c r="J87" s="100">
        <v>6.2075745545039185</v>
      </c>
      <c r="K87" s="100">
        <v>6666.9350715372084</v>
      </c>
      <c r="L87" s="100">
        <v>5.1057985561559391</v>
      </c>
      <c r="M87" s="100">
        <v>5483.6276493114783</v>
      </c>
      <c r="N87" s="100">
        <v>4.6084782530118922</v>
      </c>
      <c r="O87" s="100">
        <v>4949.5056437347721</v>
      </c>
      <c r="P87" s="100">
        <v>4.7942868653556969</v>
      </c>
      <c r="Q87" s="100">
        <v>5149.0640933920185</v>
      </c>
      <c r="R87" s="100">
        <v>4.8260196853176645</v>
      </c>
      <c r="S87" s="100">
        <v>5183.1451420311714</v>
      </c>
      <c r="T87" s="100">
        <v>4.1816234824156115</v>
      </c>
      <c r="U87" s="100">
        <v>4491.063620114367</v>
      </c>
      <c r="V87" s="100">
        <v>4.391499703715537</v>
      </c>
      <c r="W87" s="100">
        <v>4716.4706817904871</v>
      </c>
      <c r="X87" s="100">
        <v>4.4881947053202396</v>
      </c>
      <c r="Y87" s="100">
        <v>4820.3211135139372</v>
      </c>
      <c r="Z87" s="100">
        <v>2.6197376615876808</v>
      </c>
      <c r="AA87" s="100">
        <v>2813.5982485451691</v>
      </c>
      <c r="AB87" s="100">
        <v>6.6473761903301769</v>
      </c>
      <c r="AC87" s="100">
        <v>7139.2820284146101</v>
      </c>
      <c r="AD87" s="100">
        <v>2.641551733466831</v>
      </c>
      <c r="AE87" s="100">
        <v>2837.0265617433765</v>
      </c>
      <c r="AF87" s="100">
        <v>4.8468216270956557</v>
      </c>
      <c r="AG87" s="100">
        <v>5205.486427500734</v>
      </c>
      <c r="AH87" s="100">
        <v>6.1203052482855487</v>
      </c>
      <c r="AI87" s="100">
        <v>6573.2078366586793</v>
      </c>
      <c r="AJ87" s="100">
        <v>2.9389517017360323</v>
      </c>
      <c r="AK87" s="100">
        <v>3156.4341276644986</v>
      </c>
      <c r="AL87" s="100">
        <v>2.4884491137467548</v>
      </c>
      <c r="AM87" s="100">
        <v>2672.5943481640147</v>
      </c>
      <c r="AN87" s="100">
        <v>3.3432387188346953</v>
      </c>
      <c r="AO87" s="100">
        <v>3590.6383840284625</v>
      </c>
      <c r="AP87" s="100">
        <v>7.6738403577948144</v>
      </c>
      <c r="AQ87" s="100">
        <v>8241.7045442716299</v>
      </c>
      <c r="AR87" s="100">
        <v>2.2646423187005249</v>
      </c>
      <c r="AS87" s="100">
        <v>2432.2258502843638</v>
      </c>
      <c r="AT87" s="100">
        <v>5.5740182502617772</v>
      </c>
      <c r="AU87" s="100">
        <v>5986.4956007811488</v>
      </c>
      <c r="AV87" s="100">
        <v>5.3792198255137098</v>
      </c>
      <c r="AW87" s="100">
        <v>5777.2820926017239</v>
      </c>
      <c r="AX87" s="100">
        <v>4.4093797667539025</v>
      </c>
      <c r="AY87" s="100">
        <v>4735.6738694936912</v>
      </c>
      <c r="AZ87" s="100">
        <v>1.8963823167076572</v>
      </c>
      <c r="BA87" s="100">
        <v>2036.7146081440239</v>
      </c>
      <c r="BB87" s="100">
        <v>4.4076848356933453</v>
      </c>
      <c r="BC87" s="100">
        <v>4733.8535135346528</v>
      </c>
      <c r="BD87" s="100">
        <v>4.9123321463550145</v>
      </c>
      <c r="BE87" s="100">
        <v>5275.8447251852858</v>
      </c>
      <c r="BF87" s="100">
        <v>3.7268881163922947</v>
      </c>
      <c r="BG87" s="100">
        <v>4002.6778370053244</v>
      </c>
      <c r="BH87" s="100">
        <v>1.4725855212675556</v>
      </c>
      <c r="BI87" s="100">
        <v>1581.5568498413547</v>
      </c>
      <c r="BJ87" s="100">
        <v>5.4304485317357738</v>
      </c>
      <c r="BK87" s="100">
        <v>5832.3017230842206</v>
      </c>
      <c r="BL87" s="100">
        <v>5.2635124572161338</v>
      </c>
      <c r="BM87" s="100">
        <v>5653.0123790501275</v>
      </c>
      <c r="BN87" s="100">
        <v>7.016876803323469</v>
      </c>
      <c r="BO87" s="100">
        <v>7536.1256867694055</v>
      </c>
      <c r="BP87" s="100">
        <v>6</v>
      </c>
      <c r="BQ87" s="100">
        <v>6444</v>
      </c>
      <c r="BR87" s="100">
        <v>5.8124475874512003</v>
      </c>
      <c r="BS87" s="100">
        <v>6242.5687089225894</v>
      </c>
      <c r="BT87" s="100">
        <v>4.0592456816690143</v>
      </c>
      <c r="BU87" s="100">
        <v>4359.6298621125216</v>
      </c>
      <c r="BV87" s="100">
        <v>3.6222647975936018</v>
      </c>
      <c r="BW87" s="100">
        <v>3890.3123926155281</v>
      </c>
      <c r="BX87" s="100">
        <v>3.3065914807037671</v>
      </c>
      <c r="BY87" s="100">
        <v>3551.2792502758457</v>
      </c>
      <c r="BZ87" s="100">
        <v>3.910237242264921</v>
      </c>
      <c r="CA87" s="100">
        <v>4199.5947981925256</v>
      </c>
      <c r="CB87" s="100">
        <v>2.6367323263329188</v>
      </c>
      <c r="CC87" s="100">
        <v>2831.8505184815549</v>
      </c>
      <c r="CD87" s="100">
        <v>2.1039400388529974</v>
      </c>
      <c r="CE87" s="100">
        <v>2259.6316017281192</v>
      </c>
      <c r="CF87" s="100">
        <v>4.0324790126996293</v>
      </c>
      <c r="CG87" s="100">
        <v>4330.8824596394015</v>
      </c>
      <c r="CH87" s="100">
        <v>2.5111503990063668</v>
      </c>
      <c r="CI87" s="100">
        <v>2696.9755285328379</v>
      </c>
      <c r="CJ87" s="100">
        <v>3.7026968437522649</v>
      </c>
      <c r="CK87" s="100">
        <v>3976.6964101899325</v>
      </c>
      <c r="CL87" s="100">
        <v>3.5172080828753436</v>
      </c>
      <c r="CM87" s="100">
        <v>3777.4814810081189</v>
      </c>
      <c r="CN87" s="100">
        <v>7.2236629781905339</v>
      </c>
      <c r="CO87" s="100">
        <v>7758.2140385766334</v>
      </c>
      <c r="CP87" s="100">
        <v>6.9848751576348578</v>
      </c>
      <c r="CQ87" s="100">
        <v>7501.7559192998369</v>
      </c>
      <c r="CR87" s="100">
        <v>5.6757618064329396</v>
      </c>
      <c r="CS87" s="100">
        <v>6095.7681801089775</v>
      </c>
      <c r="CT87" s="100">
        <v>4.4952096815898273</v>
      </c>
      <c r="CU87" s="100">
        <v>4827.8551980274742</v>
      </c>
    </row>
    <row r="88" spans="2:99">
      <c r="C88" s="99" t="s">
        <v>254</v>
      </c>
      <c r="D88" s="100">
        <v>4.7003225678032852</v>
      </c>
      <c r="E88" s="100">
        <v>4664.6001162879802</v>
      </c>
      <c r="F88" s="100">
        <v>5.1222957066545991</v>
      </c>
      <c r="G88" s="100">
        <v>5083.3662592840237</v>
      </c>
      <c r="H88" s="100">
        <v>4.3623072828130853</v>
      </c>
      <c r="I88" s="100">
        <v>4329.1537474637062</v>
      </c>
      <c r="J88" s="100">
        <v>6.2075745545039185</v>
      </c>
      <c r="K88" s="100">
        <v>6160.3969878896887</v>
      </c>
      <c r="L88" s="100">
        <v>5.2230325968308264</v>
      </c>
      <c r="M88" s="100">
        <v>5183.337549094912</v>
      </c>
      <c r="N88" s="100">
        <v>4.605577742116111</v>
      </c>
      <c r="O88" s="100">
        <v>4570.5753512760284</v>
      </c>
      <c r="P88" s="100">
        <v>4.7985572972281689</v>
      </c>
      <c r="Q88" s="100">
        <v>4762.088261769235</v>
      </c>
      <c r="R88" s="100">
        <v>5.431940305391338</v>
      </c>
      <c r="S88" s="100">
        <v>5390.6575590703633</v>
      </c>
      <c r="T88" s="100">
        <v>4.7541687993024695</v>
      </c>
      <c r="U88" s="100">
        <v>4718.0371164277703</v>
      </c>
      <c r="V88" s="100">
        <v>5.2711075687848119</v>
      </c>
      <c r="W88" s="100">
        <v>5231.047151262047</v>
      </c>
      <c r="X88" s="100">
        <v>4.4628000414548294</v>
      </c>
      <c r="Y88" s="100">
        <v>4428.8827611397728</v>
      </c>
      <c r="Z88" s="100">
        <v>2.6014341330784254</v>
      </c>
      <c r="AA88" s="100">
        <v>2581.6632336670295</v>
      </c>
      <c r="AB88" s="100">
        <v>6.6473761903301769</v>
      </c>
      <c r="AC88" s="100">
        <v>6596.8561312836673</v>
      </c>
      <c r="AD88" s="100">
        <v>2.6567503816399829</v>
      </c>
      <c r="AE88" s="100">
        <v>2636.559078739519</v>
      </c>
      <c r="AF88" s="100">
        <v>4.8468216270956557</v>
      </c>
      <c r="AG88" s="100">
        <v>4809.9857827297283</v>
      </c>
      <c r="AH88" s="100">
        <v>5.3552670922498553</v>
      </c>
      <c r="AI88" s="100">
        <v>5314.5670623487567</v>
      </c>
      <c r="AJ88" s="100">
        <v>2.9389517017360323</v>
      </c>
      <c r="AK88" s="100">
        <v>2916.6156688028382</v>
      </c>
      <c r="AL88" s="100">
        <v>2.9753393451406072</v>
      </c>
      <c r="AM88" s="100">
        <v>2952.7267661175383</v>
      </c>
      <c r="AN88" s="100">
        <v>3.3394028787333654</v>
      </c>
      <c r="AO88" s="100">
        <v>3314.0234168549919</v>
      </c>
      <c r="AP88" s="100">
        <v>8.6491091593603109</v>
      </c>
      <c r="AQ88" s="100">
        <v>8583.3759297491724</v>
      </c>
      <c r="AR88" s="100">
        <v>2.2814591476975496</v>
      </c>
      <c r="AS88" s="100">
        <v>2264.1200581750481</v>
      </c>
      <c r="AT88" s="100">
        <v>5.5740182502617772</v>
      </c>
      <c r="AU88" s="100">
        <v>5531.655711559788</v>
      </c>
      <c r="AV88" s="100">
        <v>5.3792198255137098</v>
      </c>
      <c r="AW88" s="100">
        <v>5338.3377548398057</v>
      </c>
      <c r="AX88" s="100">
        <v>3.6914851925725647</v>
      </c>
      <c r="AY88" s="100">
        <v>3663.4299051090129</v>
      </c>
      <c r="AZ88" s="100">
        <v>1.8963823167076572</v>
      </c>
      <c r="BA88" s="100">
        <v>1881.969811100679</v>
      </c>
      <c r="BB88" s="100">
        <v>5.562198293162453</v>
      </c>
      <c r="BC88" s="100">
        <v>5519.9255861344182</v>
      </c>
      <c r="BD88" s="100">
        <v>4.8141714395544088</v>
      </c>
      <c r="BE88" s="100">
        <v>4777.5837366137948</v>
      </c>
      <c r="BF88" s="100">
        <v>3.6279809462655699</v>
      </c>
      <c r="BG88" s="100">
        <v>3600.4082910739517</v>
      </c>
      <c r="BH88" s="100">
        <v>1.4725855212675556</v>
      </c>
      <c r="BI88" s="100">
        <v>1461.3938713059222</v>
      </c>
      <c r="BJ88" s="100">
        <v>5.3658627146617768</v>
      </c>
      <c r="BK88" s="100">
        <v>5325.0821580303473</v>
      </c>
      <c r="BL88" s="100">
        <v>5.3734361217831434</v>
      </c>
      <c r="BM88" s="100">
        <v>5332.5980072575912</v>
      </c>
      <c r="BN88" s="100">
        <v>5.8473973361028904</v>
      </c>
      <c r="BO88" s="100">
        <v>5802.957116348508</v>
      </c>
      <c r="BP88" s="100">
        <v>7</v>
      </c>
      <c r="BQ88" s="100">
        <v>6946.8</v>
      </c>
      <c r="BR88" s="100">
        <v>5.2664352694932033</v>
      </c>
      <c r="BS88" s="100">
        <v>5226.4103614450551</v>
      </c>
      <c r="BT88" s="100">
        <v>4.0555101447060959</v>
      </c>
      <c r="BU88" s="100">
        <v>4024.6882676063296</v>
      </c>
      <c r="BV88" s="100">
        <v>4.2509025769034858</v>
      </c>
      <c r="BW88" s="100">
        <v>4218.5957173190191</v>
      </c>
      <c r="BX88" s="100">
        <v>3.3065914807037671</v>
      </c>
      <c r="BY88" s="100">
        <v>3281.4613854504182</v>
      </c>
      <c r="BZ88" s="100">
        <v>3.4663280790721487</v>
      </c>
      <c r="CA88" s="100">
        <v>3439.9839856712001</v>
      </c>
      <c r="CB88" s="100">
        <v>3.0255833986430516</v>
      </c>
      <c r="CC88" s="100">
        <v>3002.5889648133643</v>
      </c>
      <c r="CD88" s="100">
        <v>2.4123670358541198</v>
      </c>
      <c r="CE88" s="100">
        <v>2394.0330463816285</v>
      </c>
      <c r="CF88" s="100">
        <v>3.9275219771991257</v>
      </c>
      <c r="CG88" s="100">
        <v>3897.672810172412</v>
      </c>
      <c r="CH88" s="100">
        <v>3.0836997413042555</v>
      </c>
      <c r="CI88" s="100">
        <v>3060.263623270343</v>
      </c>
      <c r="CJ88" s="100">
        <v>3.7026968437522649</v>
      </c>
      <c r="CK88" s="100">
        <v>3674.5563477397477</v>
      </c>
      <c r="CL88" s="100">
        <v>3.5172080828753436</v>
      </c>
      <c r="CM88" s="100">
        <v>3490.4773014454909</v>
      </c>
      <c r="CN88" s="100">
        <v>8.0488539813061717</v>
      </c>
      <c r="CO88" s="100">
        <v>7987.682691048245</v>
      </c>
      <c r="CP88" s="100">
        <v>7.7609723973720639</v>
      </c>
      <c r="CQ88" s="100">
        <v>7701.9890071520358</v>
      </c>
      <c r="CR88" s="100">
        <v>5.6705756586740579</v>
      </c>
      <c r="CS88" s="100">
        <v>5627.4792836681345</v>
      </c>
      <c r="CT88" s="100">
        <v>4.4952096815898273</v>
      </c>
      <c r="CU88" s="100">
        <v>4461.0460880097444</v>
      </c>
    </row>
    <row r="89" spans="2:99">
      <c r="C89" s="99" t="s">
        <v>255</v>
      </c>
      <c r="D89" s="100">
        <v>4.8220121853229116</v>
      </c>
      <c r="E89" s="100">
        <v>5120.9769408129323</v>
      </c>
      <c r="F89" s="100">
        <v>5.2277860654319852</v>
      </c>
      <c r="G89" s="100">
        <v>5551.9088014887684</v>
      </c>
      <c r="H89" s="100">
        <v>3.7110491832824661</v>
      </c>
      <c r="I89" s="100">
        <v>3941.134232645979</v>
      </c>
      <c r="J89" s="100">
        <v>6.3028299964318286</v>
      </c>
      <c r="K89" s="100">
        <v>6693.6054562106019</v>
      </c>
      <c r="L89" s="100">
        <v>5.1057985561559391</v>
      </c>
      <c r="M89" s="100">
        <v>5422.3580666376074</v>
      </c>
      <c r="N89" s="100">
        <v>4.6084782530118922</v>
      </c>
      <c r="O89" s="100">
        <v>4894.2039046986292</v>
      </c>
      <c r="P89" s="100">
        <v>4.1101073566114099</v>
      </c>
      <c r="Q89" s="100">
        <v>4364.9340127213172</v>
      </c>
      <c r="R89" s="100">
        <v>5.5509899018789</v>
      </c>
      <c r="S89" s="100">
        <v>5895.1512757953915</v>
      </c>
      <c r="T89" s="100">
        <v>4.7731963942400419</v>
      </c>
      <c r="U89" s="100">
        <v>5069.1345706829243</v>
      </c>
      <c r="V89" s="100">
        <v>4.5370110776219432</v>
      </c>
      <c r="W89" s="100">
        <v>4818.3057644345035</v>
      </c>
      <c r="X89" s="100">
        <v>4.4858860995142926</v>
      </c>
      <c r="Y89" s="100">
        <v>4764.0110376841785</v>
      </c>
      <c r="Z89" s="100">
        <v>2.6197376615876808</v>
      </c>
      <c r="AA89" s="100">
        <v>2782.1613966061173</v>
      </c>
      <c r="AB89" s="100">
        <v>6.6473761903301769</v>
      </c>
      <c r="AC89" s="100">
        <v>7059.5135141306482</v>
      </c>
      <c r="AD89" s="100">
        <v>2.2989269673673456</v>
      </c>
      <c r="AE89" s="100">
        <v>2441.4604393441209</v>
      </c>
      <c r="AF89" s="100">
        <v>5.8468216270956557</v>
      </c>
      <c r="AG89" s="100">
        <v>6209.3245679755864</v>
      </c>
      <c r="AH89" s="100">
        <v>6.1203052482855487</v>
      </c>
      <c r="AI89" s="100">
        <v>6499.764173679253</v>
      </c>
      <c r="AJ89" s="100">
        <v>3.3399228338780063</v>
      </c>
      <c r="AK89" s="100">
        <v>3546.9980495784425</v>
      </c>
      <c r="AL89" s="100">
        <v>2.8920523977604975</v>
      </c>
      <c r="AM89" s="100">
        <v>3071.3596464216484</v>
      </c>
      <c r="AN89" s="100">
        <v>3.3394028787333654</v>
      </c>
      <c r="AO89" s="100">
        <v>3546.4458572148342</v>
      </c>
      <c r="AP89" s="100">
        <v>8.6491091593603109</v>
      </c>
      <c r="AQ89" s="100">
        <v>9185.3539272406506</v>
      </c>
      <c r="AR89" s="100">
        <v>1.8352574155562553</v>
      </c>
      <c r="AS89" s="100">
        <v>1949.0433753207431</v>
      </c>
      <c r="AT89" s="100">
        <v>5.5740182502617772</v>
      </c>
      <c r="AU89" s="100">
        <v>5919.607381778007</v>
      </c>
      <c r="AV89" s="100">
        <v>5.2844148691352828</v>
      </c>
      <c r="AW89" s="100">
        <v>5612.0485910216703</v>
      </c>
      <c r="AX89" s="100">
        <v>3.6914851925725647</v>
      </c>
      <c r="AY89" s="100">
        <v>3920.3572745120637</v>
      </c>
      <c r="AZ89" s="100">
        <v>1.6856731704068064</v>
      </c>
      <c r="BA89" s="100">
        <v>1790.1849069720283</v>
      </c>
      <c r="BB89" s="100">
        <v>4.9836471391142876</v>
      </c>
      <c r="BC89" s="100">
        <v>5292.6332617393737</v>
      </c>
      <c r="BD89" s="100">
        <v>4.1825244949326965</v>
      </c>
      <c r="BE89" s="100">
        <v>4441.8410136185239</v>
      </c>
      <c r="BF89" s="100">
        <v>3.7224170771517957</v>
      </c>
      <c r="BG89" s="100">
        <v>3953.2069359352072</v>
      </c>
      <c r="BH89" s="100">
        <v>1.7147344881435704</v>
      </c>
      <c r="BI89" s="100">
        <v>1821.0480264084717</v>
      </c>
      <c r="BJ89" s="100">
        <v>4.8016484609937846</v>
      </c>
      <c r="BK89" s="100">
        <v>5099.350665575399</v>
      </c>
      <c r="BL89" s="100">
        <v>5.2635124572161338</v>
      </c>
      <c r="BM89" s="100">
        <v>5589.8502295635344</v>
      </c>
      <c r="BN89" s="100">
        <v>6.8473973361028904</v>
      </c>
      <c r="BO89" s="100">
        <v>7271.9359709412693</v>
      </c>
      <c r="BP89" s="100">
        <v>7</v>
      </c>
      <c r="BQ89" s="100">
        <v>7434</v>
      </c>
      <c r="BR89" s="100">
        <v>5.8124475874512003</v>
      </c>
      <c r="BS89" s="100">
        <v>6172.8193378731748</v>
      </c>
      <c r="BT89" s="100">
        <v>3.5296709291710671</v>
      </c>
      <c r="BU89" s="100">
        <v>3748.510526779673</v>
      </c>
      <c r="BV89" s="100">
        <v>3.6222647975936018</v>
      </c>
      <c r="BW89" s="100">
        <v>3846.845215044405</v>
      </c>
      <c r="BX89" s="100">
        <v>3.3065914807037671</v>
      </c>
      <c r="BY89" s="100">
        <v>3511.6001525074007</v>
      </c>
      <c r="BZ89" s="100">
        <v>3.910237242264921</v>
      </c>
      <c r="CA89" s="100">
        <v>4152.671951285346</v>
      </c>
      <c r="CB89" s="100">
        <v>3.0227767306871574</v>
      </c>
      <c r="CC89" s="100">
        <v>3210.188887989761</v>
      </c>
      <c r="CD89" s="100">
        <v>2.1039400388529974</v>
      </c>
      <c r="CE89" s="100">
        <v>2234.3843212618831</v>
      </c>
      <c r="CF89" s="100">
        <v>4.0324790126996293</v>
      </c>
      <c r="CG89" s="100">
        <v>4282.4927114870061</v>
      </c>
      <c r="CH89" s="100">
        <v>3.0836997413042555</v>
      </c>
      <c r="CI89" s="100">
        <v>3274.8891252651192</v>
      </c>
      <c r="CJ89" s="100">
        <v>3.592967092652497</v>
      </c>
      <c r="CK89" s="100">
        <v>3815.7310523969518</v>
      </c>
      <c r="CL89" s="100">
        <v>2.923490931404761</v>
      </c>
      <c r="CM89" s="100">
        <v>3104.7473691518562</v>
      </c>
      <c r="CN89" s="100">
        <v>8.2236629781905339</v>
      </c>
      <c r="CO89" s="100">
        <v>8733.5300828383479</v>
      </c>
      <c r="CP89" s="100">
        <v>6.2087779178976508</v>
      </c>
      <c r="CQ89" s="100">
        <v>6593.7221488073055</v>
      </c>
      <c r="CR89" s="100">
        <v>5.6757618064329396</v>
      </c>
      <c r="CS89" s="100">
        <v>6027.6590384317815</v>
      </c>
      <c r="CT89" s="100">
        <v>4.5016062590891215</v>
      </c>
      <c r="CU89" s="100">
        <v>4780.705847152647</v>
      </c>
    </row>
    <row r="90" spans="2:99">
      <c r="C90" s="99" t="s">
        <v>256</v>
      </c>
      <c r="D90" s="100">
        <v>4.7003225678032852</v>
      </c>
      <c r="E90" s="100">
        <v>5211.7176631802822</v>
      </c>
      <c r="F90" s="100">
        <v>5.2277860654319852</v>
      </c>
      <c r="G90" s="100">
        <v>5796.5691893509847</v>
      </c>
      <c r="H90" s="100">
        <v>4.3623072828130853</v>
      </c>
      <c r="I90" s="100">
        <v>4836.9263151831492</v>
      </c>
      <c r="J90" s="100">
        <v>6.3028299964318286</v>
      </c>
      <c r="K90" s="100">
        <v>6988.5779000436114</v>
      </c>
      <c r="L90" s="100">
        <v>5.2230325968308264</v>
      </c>
      <c r="M90" s="100">
        <v>5791.2985433660206</v>
      </c>
      <c r="N90" s="100">
        <v>4.4990508385405263</v>
      </c>
      <c r="O90" s="100">
        <v>4988.5475697737356</v>
      </c>
      <c r="P90" s="100">
        <v>4.8650273714884777</v>
      </c>
      <c r="Q90" s="100">
        <v>5394.3423495064235</v>
      </c>
      <c r="R90" s="100">
        <v>5.431940305391338</v>
      </c>
      <c r="S90" s="100">
        <v>6022.9354106179153</v>
      </c>
      <c r="T90" s="100">
        <v>4.2027652545684706</v>
      </c>
      <c r="U90" s="100">
        <v>4660.0261142655199</v>
      </c>
      <c r="V90" s="100">
        <v>5.4166189426912181</v>
      </c>
      <c r="W90" s="100">
        <v>6005.9470836560222</v>
      </c>
      <c r="X90" s="100">
        <v>4.4296627726613265</v>
      </c>
      <c r="Y90" s="100">
        <v>4911.6100823268789</v>
      </c>
      <c r="Z90" s="100">
        <v>3.0350064885914958</v>
      </c>
      <c r="AA90" s="100">
        <v>3365.2151945502505</v>
      </c>
      <c r="AB90" s="100">
        <v>6.6473761903301769</v>
      </c>
      <c r="AC90" s="100">
        <v>7370.6107198380996</v>
      </c>
      <c r="AD90" s="100">
        <v>2.641551733466831</v>
      </c>
      <c r="AE90" s="100">
        <v>2928.952562068022</v>
      </c>
      <c r="AF90" s="100">
        <v>5.8468216270956557</v>
      </c>
      <c r="AG90" s="100">
        <v>6482.9558201236623</v>
      </c>
      <c r="AH90" s="100">
        <v>5.3552670922498553</v>
      </c>
      <c r="AI90" s="100">
        <v>5937.9201518866394</v>
      </c>
      <c r="AJ90" s="100">
        <v>3.3210437229148324</v>
      </c>
      <c r="AK90" s="100">
        <v>3682.373279967966</v>
      </c>
      <c r="AL90" s="100">
        <v>2.4051621663666451</v>
      </c>
      <c r="AM90" s="100">
        <v>2666.8438100673361</v>
      </c>
      <c r="AN90" s="100">
        <v>2.8506676446870682</v>
      </c>
      <c r="AO90" s="100">
        <v>3160.8202844290213</v>
      </c>
      <c r="AP90" s="100">
        <v>7.6738403577948144</v>
      </c>
      <c r="AQ90" s="100">
        <v>8508.754188722889</v>
      </c>
      <c r="AR90" s="100">
        <v>2.2646423187005249</v>
      </c>
      <c r="AS90" s="100">
        <v>2511.035402975142</v>
      </c>
      <c r="AT90" s="100">
        <v>5.5740182502617772</v>
      </c>
      <c r="AU90" s="100">
        <v>6180.4714358902584</v>
      </c>
      <c r="AV90" s="100">
        <v>5.2844148691352828</v>
      </c>
      <c r="AW90" s="100">
        <v>5859.3592068972011</v>
      </c>
      <c r="AX90" s="100">
        <v>3.5743556360229625</v>
      </c>
      <c r="AY90" s="100">
        <v>3963.2455292222608</v>
      </c>
      <c r="AZ90" s="100">
        <v>1.8963823167076572</v>
      </c>
      <c r="BA90" s="100">
        <v>2102.7087127654504</v>
      </c>
      <c r="BB90" s="100">
        <v>4.9862359897415107</v>
      </c>
      <c r="BC90" s="100">
        <v>5528.7384654253865</v>
      </c>
      <c r="BD90" s="100">
        <v>5.5439790909767277</v>
      </c>
      <c r="BE90" s="100">
        <v>6147.1640160749957</v>
      </c>
      <c r="BF90" s="100">
        <v>3.7268881163922947</v>
      </c>
      <c r="BG90" s="100">
        <v>4132.3735434557766</v>
      </c>
      <c r="BH90" s="100">
        <v>1.7147344881435704</v>
      </c>
      <c r="BI90" s="100">
        <v>1901.2976004535908</v>
      </c>
      <c r="BJ90" s="100">
        <v>4.8016484609937846</v>
      </c>
      <c r="BK90" s="100">
        <v>5324.0678135499084</v>
      </c>
      <c r="BL90" s="100">
        <v>5.2635124572161338</v>
      </c>
      <c r="BM90" s="100">
        <v>5836.1826125612488</v>
      </c>
      <c r="BN90" s="100">
        <v>5.8473973361028904</v>
      </c>
      <c r="BO90" s="100">
        <v>6483.5941662708847</v>
      </c>
      <c r="BP90" s="100">
        <v>6</v>
      </c>
      <c r="BQ90" s="100">
        <v>6652.7999999999993</v>
      </c>
      <c r="BR90" s="100">
        <v>4.514087373851317</v>
      </c>
      <c r="BS90" s="100">
        <v>5005.2200801263398</v>
      </c>
      <c r="BT90" s="100">
        <v>4.0555101447060959</v>
      </c>
      <c r="BU90" s="100">
        <v>4496.7496484501189</v>
      </c>
      <c r="BV90" s="100">
        <v>4.2509025769034858</v>
      </c>
      <c r="BW90" s="100">
        <v>4713.4007772705845</v>
      </c>
      <c r="BX90" s="100">
        <v>3.3065914807037671</v>
      </c>
      <c r="BY90" s="100">
        <v>3666.3486338043367</v>
      </c>
      <c r="BZ90" s="100">
        <v>3.4699995108153519</v>
      </c>
      <c r="CA90" s="100">
        <v>3847.5354575920619</v>
      </c>
      <c r="CB90" s="100">
        <v>2.6395389942888134</v>
      </c>
      <c r="CC90" s="100">
        <v>2926.7208368674364</v>
      </c>
      <c r="CD90" s="100">
        <v>2.0119211336264673</v>
      </c>
      <c r="CE90" s="100">
        <v>2230.8181529650269</v>
      </c>
      <c r="CF90" s="100">
        <v>3.9275219771991257</v>
      </c>
      <c r="CG90" s="100">
        <v>4354.8363683183907</v>
      </c>
      <c r="CH90" s="100">
        <v>3.0792865540988745</v>
      </c>
      <c r="CI90" s="100">
        <v>3414.312931184832</v>
      </c>
      <c r="CJ90" s="100">
        <v>3.6974748274624476</v>
      </c>
      <c r="CK90" s="100">
        <v>4099.760088690362</v>
      </c>
      <c r="CL90" s="100">
        <v>3.5172080828753436</v>
      </c>
      <c r="CM90" s="100">
        <v>3899.8803222921806</v>
      </c>
      <c r="CN90" s="100">
        <v>7.2236629781905339</v>
      </c>
      <c r="CO90" s="100">
        <v>8009.5975102176635</v>
      </c>
      <c r="CP90" s="100">
        <v>6.9848751576348578</v>
      </c>
      <c r="CQ90" s="100">
        <v>7744.82957478553</v>
      </c>
      <c r="CR90" s="100">
        <v>5.0052351157482162</v>
      </c>
      <c r="CS90" s="100">
        <v>5549.8046963416218</v>
      </c>
      <c r="CT90" s="100">
        <v>4.4952096815898273</v>
      </c>
      <c r="CU90" s="100">
        <v>4984.2884949468007</v>
      </c>
    </row>
    <row r="91" spans="2:99">
      <c r="C91" s="99" t="s">
        <v>257</v>
      </c>
      <c r="D91" s="100">
        <v>4.7003225678032852</v>
      </c>
      <c r="E91" s="100">
        <v>5341.4465660516526</v>
      </c>
      <c r="F91" s="100">
        <v>5.8691222874305984</v>
      </c>
      <c r="G91" s="100">
        <v>6669.670567436131</v>
      </c>
      <c r="H91" s="100">
        <v>4.3623072828130853</v>
      </c>
      <c r="I91" s="100">
        <v>4957.3259961887898</v>
      </c>
      <c r="J91" s="100">
        <v>6.2075745545039185</v>
      </c>
      <c r="K91" s="100">
        <v>7054.2877237382518</v>
      </c>
      <c r="L91" s="100">
        <v>5.1057985561559391</v>
      </c>
      <c r="M91" s="100">
        <v>5802.229479215609</v>
      </c>
      <c r="N91" s="100">
        <v>5.2842126721648599</v>
      </c>
      <c r="O91" s="100">
        <v>6004.9792806481464</v>
      </c>
      <c r="P91" s="100">
        <v>3.6664531392806015</v>
      </c>
      <c r="Q91" s="100">
        <v>4166.5573474784751</v>
      </c>
      <c r="R91" s="100">
        <v>5.5509899018789</v>
      </c>
      <c r="S91" s="100">
        <v>6308.1449244951809</v>
      </c>
      <c r="T91" s="100">
        <v>4.7541687993024695</v>
      </c>
      <c r="U91" s="100">
        <v>5402.6374235273261</v>
      </c>
      <c r="V91" s="100">
        <v>5.2711075687848119</v>
      </c>
      <c r="W91" s="100">
        <v>5990.0866411670595</v>
      </c>
      <c r="X91" s="100">
        <v>4.4065767146018633</v>
      </c>
      <c r="Y91" s="100">
        <v>5007.633778473557</v>
      </c>
      <c r="Z91" s="100">
        <v>2.6197376615876808</v>
      </c>
      <c r="AA91" s="100">
        <v>2977.0698786282401</v>
      </c>
      <c r="AB91" s="100">
        <v>6.6473761903301769</v>
      </c>
      <c r="AC91" s="100">
        <v>7554.0783026912122</v>
      </c>
      <c r="AD91" s="100">
        <v>2.6567503816399829</v>
      </c>
      <c r="AE91" s="100">
        <v>3019.131133695676</v>
      </c>
      <c r="AF91" s="100">
        <v>5.8468216270956557</v>
      </c>
      <c r="AG91" s="100">
        <v>6644.3280970315027</v>
      </c>
      <c r="AH91" s="100">
        <v>6.1203052482855487</v>
      </c>
      <c r="AI91" s="100">
        <v>6955.114884151697</v>
      </c>
      <c r="AJ91" s="100">
        <v>3.7408939660199794</v>
      </c>
      <c r="AK91" s="100">
        <v>4251.1519029851042</v>
      </c>
      <c r="AL91" s="100">
        <v>2.8920523977604975</v>
      </c>
      <c r="AM91" s="100">
        <v>3286.528344815029</v>
      </c>
      <c r="AN91" s="100">
        <v>3.3394028787333654</v>
      </c>
      <c r="AO91" s="100">
        <v>3794.897431392596</v>
      </c>
      <c r="AP91" s="100">
        <v>8.6491091593603109</v>
      </c>
      <c r="AQ91" s="100">
        <v>9828.8476486970558</v>
      </c>
      <c r="AR91" s="100">
        <v>2.2646423187005249</v>
      </c>
      <c r="AS91" s="100">
        <v>2573.5395309712762</v>
      </c>
      <c r="AT91" s="100">
        <v>5.5740182502617772</v>
      </c>
      <c r="AU91" s="100">
        <v>6334.314339597483</v>
      </c>
      <c r="AV91" s="100">
        <v>6.3792198255137098</v>
      </c>
      <c r="AW91" s="100">
        <v>7249.3454097137792</v>
      </c>
      <c r="AX91" s="100">
        <v>4.4093797667539025</v>
      </c>
      <c r="AY91" s="100">
        <v>5010.8191669391344</v>
      </c>
      <c r="AZ91" s="100">
        <v>1.6856731704068064</v>
      </c>
      <c r="BA91" s="100">
        <v>1915.5989908502945</v>
      </c>
      <c r="BB91" s="100">
        <v>4.9253037715352015</v>
      </c>
      <c r="BC91" s="100">
        <v>5597.1152059726019</v>
      </c>
      <c r="BD91" s="100">
        <v>4.8141714395544088</v>
      </c>
      <c r="BE91" s="100">
        <v>5470.8244239096293</v>
      </c>
      <c r="BF91" s="100">
        <v>3.6279809462655699</v>
      </c>
      <c r="BG91" s="100">
        <v>4122.837547336193</v>
      </c>
      <c r="BH91" s="100">
        <v>1.4725855212675556</v>
      </c>
      <c r="BI91" s="100">
        <v>1673.4461863684501</v>
      </c>
      <c r="BJ91" s="100">
        <v>4.7370626439197885</v>
      </c>
      <c r="BK91" s="100">
        <v>5383.197988550447</v>
      </c>
      <c r="BL91" s="100">
        <v>5.9042275977552947</v>
      </c>
      <c r="BM91" s="100">
        <v>6709.5642420891163</v>
      </c>
      <c r="BN91" s="100">
        <v>6.016876803323469</v>
      </c>
      <c r="BO91" s="100">
        <v>6837.5787992967889</v>
      </c>
      <c r="BP91" s="100">
        <v>6</v>
      </c>
      <c r="BQ91" s="100">
        <v>6818.4</v>
      </c>
      <c r="BR91" s="100">
        <v>5.060099691809314</v>
      </c>
      <c r="BS91" s="100">
        <v>5750.2972897721038</v>
      </c>
      <c r="BT91" s="100">
        <v>4.0555101447060959</v>
      </c>
      <c r="BU91" s="100">
        <v>4608.6817284440067</v>
      </c>
      <c r="BV91" s="100">
        <v>3.726944498421346</v>
      </c>
      <c r="BW91" s="100">
        <v>4235.2997280060172</v>
      </c>
      <c r="BX91" s="100">
        <v>2.8738322930543538</v>
      </c>
      <c r="BY91" s="100">
        <v>3265.8230178269673</v>
      </c>
      <c r="BZ91" s="100">
        <v>3.0260903476225796</v>
      </c>
      <c r="CA91" s="100">
        <v>3438.8490710382989</v>
      </c>
      <c r="CB91" s="100">
        <v>3.0255833986430516</v>
      </c>
      <c r="CC91" s="100">
        <v>3438.2729742179636</v>
      </c>
      <c r="CD91" s="100">
        <v>1.7204458912444662</v>
      </c>
      <c r="CE91" s="100">
        <v>1955.1147108102111</v>
      </c>
      <c r="CF91" s="100">
        <v>4.5821866025044162</v>
      </c>
      <c r="CG91" s="100">
        <v>5207.1968550860183</v>
      </c>
      <c r="CH91" s="100">
        <v>3.0792865540988745</v>
      </c>
      <c r="CI91" s="100">
        <v>3499.3012400779608</v>
      </c>
      <c r="CJ91" s="100">
        <v>4.283348141415261</v>
      </c>
      <c r="CK91" s="100">
        <v>4867.5968279043018</v>
      </c>
      <c r="CL91" s="100">
        <v>3.5219873693830497</v>
      </c>
      <c r="CM91" s="100">
        <v>4002.3864465668971</v>
      </c>
      <c r="CN91" s="100">
        <v>8.0488539813061717</v>
      </c>
      <c r="CO91" s="100">
        <v>9146.7176643563325</v>
      </c>
      <c r="CP91" s="100">
        <v>6.9848751576348578</v>
      </c>
      <c r="CQ91" s="100">
        <v>7937.6121291362515</v>
      </c>
      <c r="CR91" s="100">
        <v>5.6809479541918222</v>
      </c>
      <c r="CS91" s="100">
        <v>6455.8292551435861</v>
      </c>
      <c r="CT91" s="100">
        <v>4.5016062590891215</v>
      </c>
      <c r="CU91" s="100">
        <v>5115.6253528288771</v>
      </c>
    </row>
    <row r="92" spans="2:99">
      <c r="C92" s="99" t="s">
        <v>258</v>
      </c>
      <c r="D92" s="100">
        <v>4.8220121853229116</v>
      </c>
      <c r="E92" s="100">
        <v>3784.3151630414209</v>
      </c>
      <c r="F92" s="100">
        <v>5.7636319286532123</v>
      </c>
      <c r="G92" s="100">
        <v>4523.2983376070406</v>
      </c>
      <c r="H92" s="100">
        <v>3.7110491832824661</v>
      </c>
      <c r="I92" s="100">
        <v>2912.4313990400792</v>
      </c>
      <c r="J92" s="100">
        <v>6.2075745545039185</v>
      </c>
      <c r="K92" s="100">
        <v>4871.704510374675</v>
      </c>
      <c r="L92" s="100">
        <v>5.1057985561559391</v>
      </c>
      <c r="M92" s="100">
        <v>4007.0307068711809</v>
      </c>
      <c r="N92" s="100">
        <v>5.3936400866362257</v>
      </c>
      <c r="O92" s="100">
        <v>4232.9287399921095</v>
      </c>
      <c r="P92" s="100">
        <v>4.8028277291006418</v>
      </c>
      <c r="Q92" s="100">
        <v>3769.2592017981833</v>
      </c>
      <c r="R92" s="100">
        <v>5.5509899018789</v>
      </c>
      <c r="S92" s="100">
        <v>4356.4168749945602</v>
      </c>
      <c r="T92" s="100">
        <v>4.7753105714553277</v>
      </c>
      <c r="U92" s="100">
        <v>3747.6637364781409</v>
      </c>
      <c r="V92" s="100">
        <v>5.2711075687848119</v>
      </c>
      <c r="W92" s="100">
        <v>4136.7652199823206</v>
      </c>
      <c r="X92" s="100">
        <v>3.5820814258527336</v>
      </c>
      <c r="Y92" s="100">
        <v>2811.2175030092253</v>
      </c>
      <c r="Z92" s="100">
        <v>2.6014341330784254</v>
      </c>
      <c r="AA92" s="100">
        <v>2041.6055076399482</v>
      </c>
      <c r="AB92" s="100">
        <v>6.6473761903301769</v>
      </c>
      <c r="AC92" s="100">
        <v>5216.8608341711224</v>
      </c>
      <c r="AD92" s="100">
        <v>2.6567503816399829</v>
      </c>
      <c r="AE92" s="100">
        <v>2085.0176995110583</v>
      </c>
      <c r="AF92" s="100">
        <v>4.8468216270956557</v>
      </c>
      <c r="AG92" s="100">
        <v>3803.7856129446704</v>
      </c>
      <c r="AH92" s="100">
        <v>5.3552670922498553</v>
      </c>
      <c r="AI92" s="100">
        <v>4202.8136139976859</v>
      </c>
      <c r="AJ92" s="100">
        <v>3.3588019448411801</v>
      </c>
      <c r="AK92" s="100">
        <v>2635.987766311358</v>
      </c>
      <c r="AL92" s="100">
        <v>2.4092788167557142</v>
      </c>
      <c r="AM92" s="100">
        <v>1890.8020153898844</v>
      </c>
      <c r="AN92" s="100">
        <v>3.3432387188346953</v>
      </c>
      <c r="AO92" s="100">
        <v>2623.7737465414689</v>
      </c>
      <c r="AP92" s="100">
        <v>8.6491091593603109</v>
      </c>
      <c r="AQ92" s="100">
        <v>6787.8208682659715</v>
      </c>
      <c r="AR92" s="100">
        <v>2.2814591476975496</v>
      </c>
      <c r="AS92" s="100">
        <v>1790.4891391130368</v>
      </c>
      <c r="AT92" s="100">
        <v>5.7175737353904887</v>
      </c>
      <c r="AU92" s="100">
        <v>4487.1518675344551</v>
      </c>
      <c r="AV92" s="100">
        <v>6.2844148691352828</v>
      </c>
      <c r="AW92" s="100">
        <v>4932.0087892973697</v>
      </c>
      <c r="AX92" s="100">
        <v>3.5743556360229625</v>
      </c>
      <c r="AY92" s="100">
        <v>2805.1543031508209</v>
      </c>
      <c r="AZ92" s="100">
        <v>1.6856731704068064</v>
      </c>
      <c r="BA92" s="100">
        <v>1322.9163041352615</v>
      </c>
      <c r="BB92" s="100">
        <v>5.503854925583366</v>
      </c>
      <c r="BC92" s="100">
        <v>4319.4253455978251</v>
      </c>
      <c r="BD92" s="100">
        <v>4.9123321463550145</v>
      </c>
      <c r="BE92" s="100">
        <v>3855.198268459415</v>
      </c>
      <c r="BF92" s="100">
        <v>3.7313591556327936</v>
      </c>
      <c r="BG92" s="100">
        <v>2928.3706653406161</v>
      </c>
      <c r="BH92" s="100">
        <v>1.7180164414788148</v>
      </c>
      <c r="BI92" s="100">
        <v>1348.2993032725738</v>
      </c>
      <c r="BJ92" s="100">
        <v>5.4304485317357738</v>
      </c>
      <c r="BK92" s="100">
        <v>4261.8160077062348</v>
      </c>
      <c r="BL92" s="100">
        <v>6.0141512623223061</v>
      </c>
      <c r="BM92" s="100">
        <v>4719.9059106705454</v>
      </c>
      <c r="BN92" s="100">
        <v>5.8473973361028904</v>
      </c>
      <c r="BO92" s="100">
        <v>4589.0374293735476</v>
      </c>
      <c r="BP92" s="100">
        <v>7</v>
      </c>
      <c r="BQ92" s="100">
        <v>5493.5999999999995</v>
      </c>
      <c r="BR92" s="100">
        <v>6.5647954830930866</v>
      </c>
      <c r="BS92" s="100">
        <v>5152.0514951314544</v>
      </c>
      <c r="BT92" s="100">
        <v>4.0517746077431775</v>
      </c>
      <c r="BU92" s="100">
        <v>3179.8327121568454</v>
      </c>
      <c r="BV92" s="100">
        <v>3.7219613714721969</v>
      </c>
      <c r="BW92" s="100">
        <v>2920.9952843313799</v>
      </c>
      <c r="BX92" s="100">
        <v>3.3065914807037671</v>
      </c>
      <c r="BY92" s="100">
        <v>2595.0129940563161</v>
      </c>
      <c r="BZ92" s="100">
        <v>3.4663280790721487</v>
      </c>
      <c r="CA92" s="100">
        <v>2720.3742764558219</v>
      </c>
      <c r="CB92" s="100">
        <v>3.0283900665989463</v>
      </c>
      <c r="CC92" s="100">
        <v>2376.6805242668529</v>
      </c>
      <c r="CD92" s="100">
        <v>2.1039400388529974</v>
      </c>
      <c r="CE92" s="100">
        <v>1651.1721424918323</v>
      </c>
      <c r="CF92" s="100">
        <v>4.687143638004919</v>
      </c>
      <c r="CG92" s="100">
        <v>3678.4703271062604</v>
      </c>
      <c r="CH92" s="100">
        <v>3.1676971329793724</v>
      </c>
      <c r="CI92" s="100">
        <v>2486.0087099622115</v>
      </c>
      <c r="CJ92" s="100">
        <v>3.7026968437522649</v>
      </c>
      <c r="CK92" s="100">
        <v>2905.8764829767774</v>
      </c>
      <c r="CL92" s="100">
        <v>3.4141746188816473</v>
      </c>
      <c r="CM92" s="100">
        <v>2679.4442408983168</v>
      </c>
      <c r="CN92" s="100">
        <v>8.0488539813061717</v>
      </c>
      <c r="CO92" s="100">
        <v>6316.7406045290836</v>
      </c>
      <c r="CP92" s="100">
        <v>6.2087779178976508</v>
      </c>
      <c r="CQ92" s="100">
        <v>4872.6489099660757</v>
      </c>
      <c r="CR92" s="100">
        <v>5.6705756586740579</v>
      </c>
      <c r="CS92" s="100">
        <v>4450.2677769274005</v>
      </c>
      <c r="CT92" s="100">
        <v>4.5016062590891215</v>
      </c>
      <c r="CU92" s="100">
        <v>3532.8605921331423</v>
      </c>
    </row>
    <row r="93" spans="2:99">
      <c r="C93" s="99" t="s">
        <v>259</v>
      </c>
      <c r="D93" s="100">
        <v>3.998061884849156</v>
      </c>
      <c r="E93" s="100">
        <v>2773.0557233313748</v>
      </c>
      <c r="F93" s="100">
        <v>5.1222957066545991</v>
      </c>
      <c r="G93" s="100">
        <v>3552.8243021356302</v>
      </c>
      <c r="H93" s="100">
        <v>3.7110491832824661</v>
      </c>
      <c r="I93" s="100">
        <v>2573.9837135247185</v>
      </c>
      <c r="J93" s="100">
        <v>6.9120797923709771</v>
      </c>
      <c r="K93" s="100">
        <v>4794.2185439885097</v>
      </c>
      <c r="L93" s="100">
        <v>5.2230325968308264</v>
      </c>
      <c r="M93" s="100">
        <v>3622.6954091618613</v>
      </c>
      <c r="N93" s="100">
        <v>4.6084782530118922</v>
      </c>
      <c r="O93" s="100">
        <v>3196.4405162890484</v>
      </c>
      <c r="P93" s="100">
        <v>4.8028277291006418</v>
      </c>
      <c r="Q93" s="100">
        <v>3331.2413129042052</v>
      </c>
      <c r="R93" s="100">
        <v>5.5509899018789</v>
      </c>
      <c r="S93" s="100">
        <v>3850.1665959432053</v>
      </c>
      <c r="T93" s="100">
        <v>4.7753105714553277</v>
      </c>
      <c r="U93" s="100">
        <v>3312.1554123614155</v>
      </c>
      <c r="V93" s="100">
        <v>4.391499703715537</v>
      </c>
      <c r="W93" s="100">
        <v>3045.9441944970968</v>
      </c>
      <c r="X93" s="100">
        <v>4.4881947053202396</v>
      </c>
      <c r="Y93" s="100">
        <v>3113.0118476101184</v>
      </c>
      <c r="Z93" s="100">
        <v>3.0350064885914958</v>
      </c>
      <c r="AA93" s="100">
        <v>2105.0805004870617</v>
      </c>
      <c r="AB93" s="100">
        <v>6.8092202379127214</v>
      </c>
      <c r="AC93" s="100">
        <v>4722.875157016264</v>
      </c>
      <c r="AD93" s="100">
        <v>2.641551733466831</v>
      </c>
      <c r="AE93" s="100">
        <v>1832.1802823325941</v>
      </c>
      <c r="AF93" s="100">
        <v>5.8468216270956557</v>
      </c>
      <c r="AG93" s="100">
        <v>4055.3554805535468</v>
      </c>
      <c r="AH93" s="100">
        <v>5.3552670922498553</v>
      </c>
      <c r="AI93" s="100">
        <v>3714.4132551844996</v>
      </c>
      <c r="AJ93" s="100">
        <v>3.3210437229148324</v>
      </c>
      <c r="AK93" s="100">
        <v>2303.4759262137277</v>
      </c>
      <c r="AL93" s="100">
        <v>2.4925657641358234</v>
      </c>
      <c r="AM93" s="100">
        <v>1728.8436140046072</v>
      </c>
      <c r="AN93" s="100">
        <v>3.3432387188346953</v>
      </c>
      <c r="AO93" s="100">
        <v>2318.8703753837449</v>
      </c>
      <c r="AP93" s="100">
        <v>8.6491091593603109</v>
      </c>
      <c r="AQ93" s="100">
        <v>5999.0221129323118</v>
      </c>
      <c r="AR93" s="100">
        <v>2.2646423187005249</v>
      </c>
      <c r="AS93" s="100">
        <v>1570.7559122506841</v>
      </c>
      <c r="AT93" s="100">
        <v>5.5740182502617772</v>
      </c>
      <c r="AU93" s="100">
        <v>3866.1390583815687</v>
      </c>
      <c r="AV93" s="100">
        <v>5.3792198255137098</v>
      </c>
      <c r="AW93" s="100">
        <v>3731.0268709763091</v>
      </c>
      <c r="AX93" s="100">
        <v>4.4093797667539025</v>
      </c>
      <c r="AY93" s="100">
        <v>3058.3458062205068</v>
      </c>
      <c r="AZ93" s="100">
        <v>1.8963823167076572</v>
      </c>
      <c r="BA93" s="100">
        <v>1315.330774868431</v>
      </c>
      <c r="BB93" s="100">
        <v>4.9862359897415107</v>
      </c>
      <c r="BC93" s="100">
        <v>3458.453282484712</v>
      </c>
      <c r="BD93" s="100">
        <v>4.9123321463550145</v>
      </c>
      <c r="BE93" s="100">
        <v>3407.193576711838</v>
      </c>
      <c r="BF93" s="100">
        <v>3.7268881163922947</v>
      </c>
      <c r="BG93" s="100">
        <v>2584.9695975296959</v>
      </c>
      <c r="BH93" s="100">
        <v>1.9601654083548297</v>
      </c>
      <c r="BI93" s="100">
        <v>1359.57072723491</v>
      </c>
      <c r="BJ93" s="100">
        <v>4.7352722062975197</v>
      </c>
      <c r="BK93" s="100">
        <v>3284.3848022879597</v>
      </c>
      <c r="BL93" s="100">
        <v>5.3721445758584405</v>
      </c>
      <c r="BM93" s="100">
        <v>3726.1194778154145</v>
      </c>
      <c r="BN93" s="100">
        <v>6.8473973361028904</v>
      </c>
      <c r="BO93" s="100">
        <v>4749.3547923209653</v>
      </c>
      <c r="BP93" s="100">
        <v>7</v>
      </c>
      <c r="BQ93" s="100">
        <v>4855.2</v>
      </c>
      <c r="BR93" s="100">
        <v>6.6557975360860855</v>
      </c>
      <c r="BS93" s="100">
        <v>4616.4611710293093</v>
      </c>
      <c r="BT93" s="100">
        <v>4.1407640955297529</v>
      </c>
      <c r="BU93" s="100">
        <v>2872.0339766594366</v>
      </c>
      <c r="BV93" s="100">
        <v>4.2608688308017841</v>
      </c>
      <c r="BW93" s="100">
        <v>2955.3386210441176</v>
      </c>
      <c r="BX93" s="100">
        <v>3.3065914807037671</v>
      </c>
      <c r="BY93" s="100">
        <v>2293.4518510161329</v>
      </c>
      <c r="BZ93" s="100">
        <v>3.9139086740081241</v>
      </c>
      <c r="CA93" s="100">
        <v>2714.6870562920349</v>
      </c>
      <c r="CB93" s="100">
        <v>3.41724113890908</v>
      </c>
      <c r="CC93" s="100">
        <v>2370.1984539473378</v>
      </c>
      <c r="CD93" s="100">
        <v>2.1039400388529974</v>
      </c>
      <c r="CE93" s="100">
        <v>1459.292810948439</v>
      </c>
      <c r="CF93" s="100">
        <v>4.687143638004919</v>
      </c>
      <c r="CG93" s="100">
        <v>3251.002827320212</v>
      </c>
      <c r="CH93" s="100">
        <v>3.1721103201847538</v>
      </c>
      <c r="CI93" s="100">
        <v>2200.1757180801451</v>
      </c>
      <c r="CJ93" s="100">
        <v>4.283348141415261</v>
      </c>
      <c r="CK93" s="100">
        <v>2970.9302708856253</v>
      </c>
      <c r="CL93" s="100">
        <v>3.5172080828753436</v>
      </c>
      <c r="CM93" s="100">
        <v>2439.5355262823382</v>
      </c>
      <c r="CN93" s="100">
        <v>8.0488539813061717</v>
      </c>
      <c r="CO93" s="100">
        <v>5582.6851214339613</v>
      </c>
      <c r="CP93" s="100">
        <v>7.7609723973720639</v>
      </c>
      <c r="CQ93" s="100">
        <v>5383.010454817264</v>
      </c>
      <c r="CR93" s="100">
        <v>5.6757618064329396</v>
      </c>
      <c r="CS93" s="100">
        <v>3936.7083889418868</v>
      </c>
      <c r="CT93" s="100">
        <v>4.5016062590891215</v>
      </c>
      <c r="CU93" s="100">
        <v>3122.3141013042145</v>
      </c>
    </row>
    <row r="94" spans="2:99">
      <c r="C94" s="99" t="s">
        <v>260</v>
      </c>
      <c r="D94" s="100">
        <v>3.998061884849156</v>
      </c>
      <c r="E94" s="100">
        <v>4768.8882162480731</v>
      </c>
      <c r="F94" s="100">
        <v>5.1222957066545991</v>
      </c>
      <c r="G94" s="100">
        <v>6109.8743188976059</v>
      </c>
      <c r="H94" s="100">
        <v>4.3623072828130853</v>
      </c>
      <c r="I94" s="100">
        <v>5203.3601269394476</v>
      </c>
      <c r="J94" s="100">
        <v>5.5030693166368607</v>
      </c>
      <c r="K94" s="100">
        <v>6564.0610808844476</v>
      </c>
      <c r="L94" s="100">
        <v>4.2956601181395486</v>
      </c>
      <c r="M94" s="100">
        <v>5123.8633889168532</v>
      </c>
      <c r="N94" s="100">
        <v>4.6084782530118922</v>
      </c>
      <c r="O94" s="100">
        <v>5496.9928601925849</v>
      </c>
      <c r="P94" s="100">
        <v>4.105836924738937</v>
      </c>
      <c r="Q94" s="100">
        <v>4897.4422838286036</v>
      </c>
      <c r="R94" s="100">
        <v>4.8260196853176645</v>
      </c>
      <c r="S94" s="100">
        <v>5756.4762806469098</v>
      </c>
      <c r="T94" s="100">
        <v>4.1816234824156115</v>
      </c>
      <c r="U94" s="100">
        <v>4987.8404898253411</v>
      </c>
      <c r="V94" s="100">
        <v>4.391499703715537</v>
      </c>
      <c r="W94" s="100">
        <v>5238.1808465918921</v>
      </c>
      <c r="X94" s="100">
        <v>4.4858860995142926</v>
      </c>
      <c r="Y94" s="100">
        <v>5350.7649395006483</v>
      </c>
      <c r="Z94" s="100">
        <v>2.6014341330784254</v>
      </c>
      <c r="AA94" s="100">
        <v>3102.9906339359459</v>
      </c>
      <c r="AB94" s="100">
        <v>6.8092202379127214</v>
      </c>
      <c r="AC94" s="100">
        <v>8122.0378997822936</v>
      </c>
      <c r="AD94" s="100">
        <v>2.641551733466831</v>
      </c>
      <c r="AE94" s="100">
        <v>3150.8429076792359</v>
      </c>
      <c r="AF94" s="100">
        <v>4.8468216270956557</v>
      </c>
      <c r="AG94" s="100">
        <v>5781.2888367996975</v>
      </c>
      <c r="AH94" s="100">
        <v>6.1203052482855487</v>
      </c>
      <c r="AI94" s="100">
        <v>7300.3001001550019</v>
      </c>
      <c r="AJ94" s="100">
        <v>2.9389517017360323</v>
      </c>
      <c r="AK94" s="100">
        <v>3505.5815898307392</v>
      </c>
      <c r="AL94" s="100">
        <v>2.4925657641358234</v>
      </c>
      <c r="AM94" s="100">
        <v>2973.1324434612102</v>
      </c>
      <c r="AN94" s="100">
        <v>2.8506676446870682</v>
      </c>
      <c r="AO94" s="100">
        <v>3400.2763665827347</v>
      </c>
      <c r="AP94" s="100">
        <v>7.6738403577948144</v>
      </c>
      <c r="AQ94" s="100">
        <v>9153.3567787776537</v>
      </c>
      <c r="AR94" s="100">
        <v>1.8352574155562553</v>
      </c>
      <c r="AS94" s="100">
        <v>2189.0950452755014</v>
      </c>
      <c r="AT94" s="100">
        <v>5.5740182502617772</v>
      </c>
      <c r="AU94" s="100">
        <v>6648.6889689122472</v>
      </c>
      <c r="AV94" s="100">
        <v>6.2844148691352828</v>
      </c>
      <c r="AW94" s="100">
        <v>7496.0500559045649</v>
      </c>
      <c r="AX94" s="100">
        <v>4.4093797667539025</v>
      </c>
      <c r="AY94" s="100">
        <v>5259.5081857840551</v>
      </c>
      <c r="AZ94" s="100">
        <v>1.6856731704068064</v>
      </c>
      <c r="BA94" s="100">
        <v>2010.6709576612386</v>
      </c>
      <c r="BB94" s="100">
        <v>4.9862359897415107</v>
      </c>
      <c r="BC94" s="100">
        <v>5947.5822885636735</v>
      </c>
      <c r="BD94" s="100">
        <v>4.8141714395544088</v>
      </c>
      <c r="BE94" s="100">
        <v>5742.343693100499</v>
      </c>
      <c r="BF94" s="100">
        <v>3.124451570531749</v>
      </c>
      <c r="BG94" s="100">
        <v>3726.8458333302701</v>
      </c>
      <c r="BH94" s="100">
        <v>1.7147344881435704</v>
      </c>
      <c r="BI94" s="100">
        <v>2045.3352974576508</v>
      </c>
      <c r="BJ94" s="100">
        <v>5.3658627146617768</v>
      </c>
      <c r="BK94" s="100">
        <v>6400.401046048567</v>
      </c>
      <c r="BL94" s="100">
        <v>5.2635124572161338</v>
      </c>
      <c r="BM94" s="100">
        <v>6278.317658967404</v>
      </c>
      <c r="BN94" s="100">
        <v>6.016876803323469</v>
      </c>
      <c r="BO94" s="100">
        <v>7176.9306510042334</v>
      </c>
      <c r="BP94" s="100">
        <v>7</v>
      </c>
      <c r="BQ94" s="100">
        <v>8349.6</v>
      </c>
      <c r="BR94" s="100">
        <v>5.8124475874512003</v>
      </c>
      <c r="BS94" s="100">
        <v>6933.0874823117911</v>
      </c>
      <c r="BT94" s="100">
        <v>4.0555101447060959</v>
      </c>
      <c r="BU94" s="100">
        <v>4837.412500605431</v>
      </c>
      <c r="BV94" s="100">
        <v>4.2509025769034858</v>
      </c>
      <c r="BW94" s="100">
        <v>5070.4765937304774</v>
      </c>
      <c r="BX94" s="100">
        <v>3.3065914807037671</v>
      </c>
      <c r="BY94" s="100">
        <v>3944.102318183453</v>
      </c>
      <c r="BZ94" s="100">
        <v>3.4663280790721487</v>
      </c>
      <c r="CA94" s="100">
        <v>4134.636132717259</v>
      </c>
      <c r="CB94" s="100">
        <v>2.6367323263329188</v>
      </c>
      <c r="CC94" s="100">
        <v>3145.0943188499054</v>
      </c>
      <c r="CD94" s="100">
        <v>2.0119211336264673</v>
      </c>
      <c r="CE94" s="100">
        <v>2399.8195281896501</v>
      </c>
      <c r="CF94" s="100">
        <v>4.5821866025044162</v>
      </c>
      <c r="CG94" s="100">
        <v>5465.6321794672676</v>
      </c>
      <c r="CH94" s="100">
        <v>3.1721103201847538</v>
      </c>
      <c r="CI94" s="100">
        <v>3783.6931899163742</v>
      </c>
      <c r="CJ94" s="100">
        <v>3.5981891089423153</v>
      </c>
      <c r="CK94" s="100">
        <v>4291.9199691463937</v>
      </c>
      <c r="CL94" s="100">
        <v>3.5219873693830497</v>
      </c>
      <c r="CM94" s="100">
        <v>4201.0265342001012</v>
      </c>
      <c r="CN94" s="100">
        <v>7.0488539813061717</v>
      </c>
      <c r="CO94" s="100">
        <v>8407.8730289020004</v>
      </c>
      <c r="CP94" s="100">
        <v>6.9848751576348578</v>
      </c>
      <c r="CQ94" s="100">
        <v>8331.5590880268574</v>
      </c>
      <c r="CR94" s="100">
        <v>5.0052351157482162</v>
      </c>
      <c r="CS94" s="100">
        <v>5970.244446064472</v>
      </c>
      <c r="CT94" s="100">
        <v>4.5016062590891215</v>
      </c>
      <c r="CU94" s="100">
        <v>5369.5159458415037</v>
      </c>
    </row>
    <row r="95" spans="2:99">
      <c r="B95" s="99" t="s">
        <v>132</v>
      </c>
      <c r="C95" s="99" t="s">
        <v>261</v>
      </c>
      <c r="D95" s="100">
        <v>8.3333156000935578</v>
      </c>
      <c r="E95" s="100">
        <v>2739.9941693107617</v>
      </c>
      <c r="F95" s="100">
        <v>4.7974305609881442</v>
      </c>
      <c r="G95" s="100">
        <v>1577.3951684529018</v>
      </c>
      <c r="H95" s="100">
        <v>7.535788037972277</v>
      </c>
      <c r="I95" s="100">
        <v>2477.7671068852846</v>
      </c>
      <c r="J95" s="100">
        <v>6.2075745545039185</v>
      </c>
      <c r="K95" s="100">
        <v>2041.0505135208884</v>
      </c>
      <c r="L95" s="100">
        <v>7.3122456355631575</v>
      </c>
      <c r="M95" s="100">
        <v>2404.2663649731662</v>
      </c>
      <c r="N95" s="100">
        <v>6.9697647756764551</v>
      </c>
      <c r="O95" s="100">
        <v>2291.6586582424184</v>
      </c>
      <c r="P95" s="100">
        <v>6.171186746589215</v>
      </c>
      <c r="Q95" s="100">
        <v>2029.0862022785338</v>
      </c>
      <c r="R95" s="100">
        <v>7.4771287209516233</v>
      </c>
      <c r="S95" s="100">
        <v>2458.4799234488937</v>
      </c>
      <c r="T95" s="100">
        <v>6.5587078820668463</v>
      </c>
      <c r="U95" s="100">
        <v>2156.503151623579</v>
      </c>
      <c r="V95" s="100">
        <v>8.0554425378990437</v>
      </c>
      <c r="W95" s="100">
        <v>2648.6295064612059</v>
      </c>
      <c r="X95" s="100">
        <v>5.4228280419693551</v>
      </c>
      <c r="Y95" s="100">
        <v>1783.025860199524</v>
      </c>
      <c r="Z95" s="100">
        <v>4.3906341406584763</v>
      </c>
      <c r="AA95" s="100">
        <v>1443.6405054485072</v>
      </c>
      <c r="AB95" s="100">
        <v>10.618440475825443</v>
      </c>
      <c r="AC95" s="100">
        <v>3491.3432284514056</v>
      </c>
      <c r="AD95" s="100">
        <v>4.8036908672758081</v>
      </c>
      <c r="AE95" s="100">
        <v>1579.4535571602858</v>
      </c>
      <c r="AF95" s="100">
        <v>11.185550277933917</v>
      </c>
      <c r="AG95" s="100">
        <v>3677.8089313846722</v>
      </c>
      <c r="AH95" s="100">
        <v>7.6503815603569363</v>
      </c>
      <c r="AI95" s="100">
        <v>2515.4454570453609</v>
      </c>
      <c r="AJ95" s="100">
        <v>3.7597730769831532</v>
      </c>
      <c r="AK95" s="100">
        <v>1236.2133877120609</v>
      </c>
      <c r="AL95" s="100">
        <v>6.3753376641194377</v>
      </c>
      <c r="AM95" s="100">
        <v>2096.2110239624712</v>
      </c>
      <c r="AN95" s="100">
        <v>6.7412362650419952</v>
      </c>
      <c r="AO95" s="100">
        <v>2216.5184839458079</v>
      </c>
      <c r="AP95" s="100">
        <v>9.9631614596603431</v>
      </c>
      <c r="AQ95" s="100">
        <v>3275.8874879363211</v>
      </c>
      <c r="AR95" s="100">
        <v>4.5854625133052229</v>
      </c>
      <c r="AS95" s="100">
        <v>1507.7000743747574</v>
      </c>
      <c r="AT95" s="100">
        <v>9.7748329772395213</v>
      </c>
      <c r="AU95" s="100">
        <v>3213.9650829163547</v>
      </c>
      <c r="AV95" s="100">
        <v>8.7584396510274196</v>
      </c>
      <c r="AW95" s="100">
        <v>2879.7749572578155</v>
      </c>
      <c r="AX95" s="100">
        <v>8.1585921653988347</v>
      </c>
      <c r="AY95" s="100">
        <v>2682.5451039831369</v>
      </c>
      <c r="AZ95" s="100">
        <v>1.6856731704068064</v>
      </c>
      <c r="BA95" s="100">
        <v>554.24933842975793</v>
      </c>
      <c r="BB95" s="100">
        <v>6.2263699748421173</v>
      </c>
      <c r="BC95" s="100">
        <v>2047.2304477280882</v>
      </c>
      <c r="BD95" s="100">
        <v>7.8315627520442863</v>
      </c>
      <c r="BE95" s="100">
        <v>2575.0178328721613</v>
      </c>
      <c r="BF95" s="100">
        <v>8.465901776947673</v>
      </c>
      <c r="BG95" s="100">
        <v>2783.588504260395</v>
      </c>
      <c r="BH95" s="100">
        <v>2.4608731087830811</v>
      </c>
      <c r="BI95" s="100">
        <v>809.13507816787705</v>
      </c>
      <c r="BJ95" s="100">
        <v>7.627244765975842</v>
      </c>
      <c r="BK95" s="100">
        <v>2507.8380790528568</v>
      </c>
      <c r="BL95" s="100">
        <v>7.186949424758323</v>
      </c>
      <c r="BM95" s="100">
        <v>2363.0689708605369</v>
      </c>
      <c r="BN95" s="100">
        <v>11.525315204985203</v>
      </c>
      <c r="BO95" s="100">
        <v>3789.5236393991349</v>
      </c>
      <c r="BP95" s="100">
        <v>7</v>
      </c>
      <c r="BQ95" s="100">
        <v>2301.6</v>
      </c>
      <c r="BR95" s="100">
        <v>8.2514953803628579</v>
      </c>
      <c r="BS95" s="100">
        <v>2713.091681063308</v>
      </c>
      <c r="BT95" s="100">
        <v>5.9404237619395444</v>
      </c>
      <c r="BU95" s="100">
        <v>1953.2113329257222</v>
      </c>
      <c r="BV95" s="100">
        <v>6.6856896280610218</v>
      </c>
      <c r="BW95" s="100">
        <v>2198.2547497064643</v>
      </c>
      <c r="BX95" s="100">
        <v>3.8259997830900163</v>
      </c>
      <c r="BY95" s="100">
        <v>1257.9887286799974</v>
      </c>
      <c r="BZ95" s="100">
        <v>3.6726536588048515</v>
      </c>
      <c r="CA95" s="100">
        <v>1207.5685230150352</v>
      </c>
      <c r="CB95" s="100">
        <v>4.0627764884884927</v>
      </c>
      <c r="CC95" s="100">
        <v>1335.8409094150165</v>
      </c>
      <c r="CD95" s="100">
        <v>4.2532740586476407</v>
      </c>
      <c r="CE95" s="100">
        <v>1398.4765104833443</v>
      </c>
      <c r="CF95" s="100">
        <v>5.4502591041920931</v>
      </c>
      <c r="CG95" s="100">
        <v>1792.0451934583602</v>
      </c>
      <c r="CH95" s="100">
        <v>6.2670036200662418</v>
      </c>
      <c r="CI95" s="100">
        <v>2060.5907902777803</v>
      </c>
      <c r="CJ95" s="100">
        <v>5.3133624760569651</v>
      </c>
      <c r="CK95" s="100">
        <v>1747.0335821275303</v>
      </c>
      <c r="CL95" s="100">
        <v>6.5293946187506826</v>
      </c>
      <c r="CM95" s="100">
        <v>2146.8649506452243</v>
      </c>
      <c r="CN95" s="100">
        <v>8.3984719750748962</v>
      </c>
      <c r="CO95" s="100">
        <v>2761.4175854046262</v>
      </c>
      <c r="CP95" s="100">
        <v>6.2087779178976508</v>
      </c>
      <c r="CQ95" s="100">
        <v>2041.4461794047477</v>
      </c>
      <c r="CR95" s="100">
        <v>5.9088418767894995</v>
      </c>
      <c r="CS95" s="100">
        <v>1942.8272090883875</v>
      </c>
      <c r="CT95" s="100">
        <v>6.960597231437573</v>
      </c>
      <c r="CU95" s="100">
        <v>2288.6443696966739</v>
      </c>
    </row>
    <row r="96" spans="2:99">
      <c r="C96" s="99" t="s">
        <v>262</v>
      </c>
      <c r="D96" s="100">
        <v>8.3333156000935578</v>
      </c>
      <c r="E96" s="100">
        <v>5789.9876789450036</v>
      </c>
      <c r="F96" s="100">
        <v>5.4387667829867556</v>
      </c>
      <c r="G96" s="100">
        <v>3778.8551608191974</v>
      </c>
      <c r="H96" s="100">
        <v>7.535788037972277</v>
      </c>
      <c r="I96" s="100">
        <v>5235.865528783138</v>
      </c>
      <c r="J96" s="100">
        <v>6.2075745545039185</v>
      </c>
      <c r="K96" s="100">
        <v>4313.0228004693226</v>
      </c>
      <c r="L96" s="100">
        <v>6.3848731568718788</v>
      </c>
      <c r="M96" s="100">
        <v>4436.2098693945809</v>
      </c>
      <c r="N96" s="100">
        <v>6.854536339413527</v>
      </c>
      <c r="O96" s="100">
        <v>4762.5318486245187</v>
      </c>
      <c r="P96" s="100">
        <v>6.171186746589215</v>
      </c>
      <c r="Q96" s="100">
        <v>4287.7405515301862</v>
      </c>
      <c r="R96" s="100">
        <v>7.596178317439187</v>
      </c>
      <c r="S96" s="100">
        <v>5277.8246949567465</v>
      </c>
      <c r="T96" s="100">
        <v>5.7254531688685786</v>
      </c>
      <c r="U96" s="100">
        <v>3978.044861729888</v>
      </c>
      <c r="V96" s="100">
        <v>8.7895390290619133</v>
      </c>
      <c r="W96" s="100">
        <v>6106.9717173922172</v>
      </c>
      <c r="X96" s="100">
        <v>6.2141860619249814</v>
      </c>
      <c r="Y96" s="100">
        <v>4317.6164758254772</v>
      </c>
      <c r="Z96" s="100">
        <v>3.9387582566361488</v>
      </c>
      <c r="AA96" s="100">
        <v>2736.6492367107958</v>
      </c>
      <c r="AB96" s="100">
        <v>9.4565964282428983</v>
      </c>
      <c r="AC96" s="100">
        <v>6570.443198343165</v>
      </c>
      <c r="AD96" s="100">
        <v>4.1032426869036849</v>
      </c>
      <c r="AE96" s="100">
        <v>2850.93301886068</v>
      </c>
      <c r="AF96" s="100">
        <v>10.016185952514787</v>
      </c>
      <c r="AG96" s="100">
        <v>6959.2459998072736</v>
      </c>
      <c r="AH96" s="100">
        <v>7.6503815603569363</v>
      </c>
      <c r="AI96" s="100">
        <v>5315.4851081359993</v>
      </c>
      <c r="AJ96" s="100">
        <v>3.7597730769831532</v>
      </c>
      <c r="AK96" s="100">
        <v>2612.2903338878946</v>
      </c>
      <c r="AL96" s="100">
        <v>6.4586246114995465</v>
      </c>
      <c r="AM96" s="100">
        <v>4487.4523800698844</v>
      </c>
      <c r="AN96" s="100">
        <v>6.0589908993490385</v>
      </c>
      <c r="AO96" s="100">
        <v>4209.7868768677117</v>
      </c>
      <c r="AP96" s="100">
        <v>9.9631614596603431</v>
      </c>
      <c r="AQ96" s="100">
        <v>6922.4045821720056</v>
      </c>
      <c r="AR96" s="100">
        <v>4.5854625133052229</v>
      </c>
      <c r="AS96" s="100">
        <v>3185.9793542444686</v>
      </c>
      <c r="AT96" s="100">
        <v>8.8322959093416173</v>
      </c>
      <c r="AU96" s="100">
        <v>6136.6791978105557</v>
      </c>
      <c r="AV96" s="100">
        <v>7.7584396510274205</v>
      </c>
      <c r="AW96" s="100">
        <v>5390.5638695338512</v>
      </c>
      <c r="AX96" s="100">
        <v>8.2758184087418591</v>
      </c>
      <c r="AY96" s="100">
        <v>5750.0386303938431</v>
      </c>
      <c r="AZ96" s="100">
        <v>1.6856731704068064</v>
      </c>
      <c r="BA96" s="100">
        <v>1171.2057187986491</v>
      </c>
      <c r="BB96" s="100">
        <v>7.4041830879562296</v>
      </c>
      <c r="BC96" s="100">
        <v>5144.4264095119879</v>
      </c>
      <c r="BD96" s="100">
        <v>7.7334020452436807</v>
      </c>
      <c r="BE96" s="100">
        <v>5373.1677410353086</v>
      </c>
      <c r="BF96" s="100">
        <v>7.1710635935808567</v>
      </c>
      <c r="BG96" s="100">
        <v>4982.4549848199786</v>
      </c>
      <c r="BH96" s="100">
        <v>2.4641550621183259</v>
      </c>
      <c r="BI96" s="100">
        <v>1712.0949371598128</v>
      </c>
      <c r="BJ96" s="100">
        <v>7.0630305123078472</v>
      </c>
      <c r="BK96" s="100">
        <v>4907.3935999514915</v>
      </c>
      <c r="BL96" s="100">
        <v>6.5462342842191612</v>
      </c>
      <c r="BM96" s="100">
        <v>4548.3235806754728</v>
      </c>
      <c r="BN96" s="100">
        <v>11.694794672205781</v>
      </c>
      <c r="BO96" s="100">
        <v>8125.5433382485762</v>
      </c>
      <c r="BP96" s="100">
        <v>6</v>
      </c>
      <c r="BQ96" s="100">
        <v>4168.7999999999993</v>
      </c>
      <c r="BR96" s="100">
        <v>7.4991474847209725</v>
      </c>
      <c r="BS96" s="100">
        <v>5210.4076723841317</v>
      </c>
      <c r="BT96" s="100">
        <v>6.5515169282982306</v>
      </c>
      <c r="BU96" s="100">
        <v>4551.9939617816108</v>
      </c>
      <c r="BV96" s="100">
        <v>5.5281106433198488</v>
      </c>
      <c r="BW96" s="100">
        <v>3840.9312749786309</v>
      </c>
      <c r="BX96" s="100">
        <v>3.3932405954406031</v>
      </c>
      <c r="BY96" s="100">
        <v>2357.623565712131</v>
      </c>
      <c r="BZ96" s="100">
        <v>3.248974554489191</v>
      </c>
      <c r="CA96" s="100">
        <v>2257.38752045909</v>
      </c>
      <c r="CB96" s="100">
        <v>3.658083073870436</v>
      </c>
      <c r="CC96" s="100">
        <v>2541.6361197251786</v>
      </c>
      <c r="CD96" s="100">
        <v>3.8504485993973492</v>
      </c>
      <c r="CE96" s="100">
        <v>2675.2916868612779</v>
      </c>
      <c r="CF96" s="100">
        <v>5.3418082633102095</v>
      </c>
      <c r="CG96" s="100">
        <v>3711.4883813479332</v>
      </c>
      <c r="CH96" s="100">
        <v>6.7467291962782499</v>
      </c>
      <c r="CI96" s="100">
        <v>4687.6274455741277</v>
      </c>
      <c r="CJ96" s="100">
        <v>4.6177594110043838</v>
      </c>
      <c r="CK96" s="100">
        <v>3208.4192387658459</v>
      </c>
      <c r="CL96" s="100">
        <v>6.4215818682492785</v>
      </c>
      <c r="CM96" s="100">
        <v>4461.715082059598</v>
      </c>
      <c r="CN96" s="100">
        <v>8.3984719750748962</v>
      </c>
      <c r="CO96" s="100">
        <v>5835.2583282820378</v>
      </c>
      <c r="CP96" s="100">
        <v>5.4326806781604446</v>
      </c>
      <c r="CQ96" s="100">
        <v>3774.6265351858765</v>
      </c>
      <c r="CR96" s="100">
        <v>6.84875167214296</v>
      </c>
      <c r="CS96" s="100">
        <v>4758.512661804928</v>
      </c>
      <c r="CT96" s="100">
        <v>5.8074787125656684</v>
      </c>
      <c r="CU96" s="100">
        <v>4035.0362094906263</v>
      </c>
    </row>
    <row r="97" spans="2:99">
      <c r="C97" s="99" t="s">
        <v>263</v>
      </c>
      <c r="D97" s="100">
        <v>8.3333156000935578</v>
      </c>
      <c r="E97" s="100">
        <v>3269.9930414767118</v>
      </c>
      <c r="F97" s="100">
        <v>5.9746126462079827</v>
      </c>
      <c r="G97" s="100">
        <v>2344.4380023720123</v>
      </c>
      <c r="H97" s="100">
        <v>8.3007358089102397</v>
      </c>
      <c r="I97" s="100">
        <v>3257.2087314163778</v>
      </c>
      <c r="J97" s="100">
        <v>6.112319112576011</v>
      </c>
      <c r="K97" s="100">
        <v>2398.4740197748265</v>
      </c>
      <c r="L97" s="100">
        <v>7.3122456355631575</v>
      </c>
      <c r="M97" s="100">
        <v>2869.325187394983</v>
      </c>
      <c r="N97" s="100">
        <v>6.9668642647806731</v>
      </c>
      <c r="O97" s="100">
        <v>2733.797537499936</v>
      </c>
      <c r="P97" s="100">
        <v>6.7547327260934145</v>
      </c>
      <c r="Q97" s="100">
        <v>2650.5571217190559</v>
      </c>
      <c r="R97" s="100">
        <v>7.596178317439187</v>
      </c>
      <c r="S97" s="100">
        <v>2980.7403717631369</v>
      </c>
      <c r="T97" s="100">
        <v>6.0094185145481331</v>
      </c>
      <c r="U97" s="100">
        <v>2358.0958251086872</v>
      </c>
      <c r="V97" s="100">
        <v>8.9350504029683204</v>
      </c>
      <c r="W97" s="100">
        <v>3506.1137781247689</v>
      </c>
      <c r="X97" s="100">
        <v>6.2704093887779484</v>
      </c>
      <c r="Y97" s="100">
        <v>2460.5086441564667</v>
      </c>
      <c r="Z97" s="100">
        <v>4.787599439153035</v>
      </c>
      <c r="AA97" s="100">
        <v>1878.6540199236508</v>
      </c>
      <c r="AB97" s="100">
        <v>10.618440475825443</v>
      </c>
      <c r="AC97" s="100">
        <v>4166.6760427139034</v>
      </c>
      <c r="AD97" s="100">
        <v>4.4610661011763222</v>
      </c>
      <c r="AE97" s="100">
        <v>1750.5223381015887</v>
      </c>
      <c r="AF97" s="100">
        <v>10.185550277933917</v>
      </c>
      <c r="AG97" s="100">
        <v>3996.8099290612686</v>
      </c>
      <c r="AH97" s="100">
        <v>7.6503815603569363</v>
      </c>
      <c r="AI97" s="100">
        <v>3002.0097242840616</v>
      </c>
      <c r="AJ97" s="100">
        <v>4.1607442091251272</v>
      </c>
      <c r="AK97" s="100">
        <v>1632.6760276606999</v>
      </c>
      <c r="AL97" s="100">
        <v>6.941398192504332</v>
      </c>
      <c r="AM97" s="100">
        <v>2723.8046507386998</v>
      </c>
      <c r="AN97" s="100">
        <v>6.7412362650419952</v>
      </c>
      <c r="AO97" s="100">
        <v>2645.2611104024786</v>
      </c>
      <c r="AP97" s="100">
        <v>9.9631614596603431</v>
      </c>
      <c r="AQ97" s="100">
        <v>3909.5445567707184</v>
      </c>
      <c r="AR97" s="100">
        <v>4.049449247265704</v>
      </c>
      <c r="AS97" s="100">
        <v>1589.0038846270622</v>
      </c>
      <c r="AT97" s="100">
        <v>8.8322959093416173</v>
      </c>
      <c r="AU97" s="100">
        <v>3465.7929148256503</v>
      </c>
      <c r="AV97" s="100">
        <v>7.8532446074058484</v>
      </c>
      <c r="AW97" s="100">
        <v>3081.613183946055</v>
      </c>
      <c r="AX97" s="100">
        <v>8.3929479652914605</v>
      </c>
      <c r="AY97" s="100">
        <v>3293.392781580369</v>
      </c>
      <c r="AZ97" s="100">
        <v>1.6856731704068064</v>
      </c>
      <c r="BA97" s="100">
        <v>661.45815206763075</v>
      </c>
      <c r="BB97" s="100">
        <v>7.4651153061625397</v>
      </c>
      <c r="BC97" s="100">
        <v>2929.3112461381802</v>
      </c>
      <c r="BD97" s="100">
        <v>7.7334020452436807</v>
      </c>
      <c r="BE97" s="100">
        <v>3034.5869625536202</v>
      </c>
      <c r="BF97" s="100">
        <v>8.465901776947673</v>
      </c>
      <c r="BG97" s="100">
        <v>3322.0198572742665</v>
      </c>
      <c r="BH97" s="100">
        <v>2.9484529958703556</v>
      </c>
      <c r="BI97" s="100">
        <v>1156.9729555795275</v>
      </c>
      <c r="BJ97" s="100">
        <v>7.627244765975842</v>
      </c>
      <c r="BK97" s="100">
        <v>2992.9308461689202</v>
      </c>
      <c r="BL97" s="100">
        <v>7.9272558624668665</v>
      </c>
      <c r="BM97" s="100">
        <v>3110.6552004319983</v>
      </c>
      <c r="BN97" s="100">
        <v>10</v>
      </c>
      <c r="BO97" s="100">
        <v>3924</v>
      </c>
      <c r="BP97" s="100">
        <v>6</v>
      </c>
      <c r="BQ97" s="100">
        <v>2354.3999999999996</v>
      </c>
      <c r="BR97" s="100">
        <v>7.4081454317279718</v>
      </c>
      <c r="BS97" s="100">
        <v>2906.9562674100562</v>
      </c>
      <c r="BT97" s="100">
        <v>6.5515169282982306</v>
      </c>
      <c r="BU97" s="100">
        <v>2570.8152426642255</v>
      </c>
      <c r="BV97" s="100">
        <v>6.5859930541824259</v>
      </c>
      <c r="BW97" s="100">
        <v>2584.3436744611836</v>
      </c>
      <c r="BX97" s="100">
        <v>3.3932405954406031</v>
      </c>
      <c r="BY97" s="100">
        <v>1331.5076096508926</v>
      </c>
      <c r="BZ97" s="100">
        <v>3.6928837176819633</v>
      </c>
      <c r="CA97" s="100">
        <v>1449.0875708184024</v>
      </c>
      <c r="CB97" s="100">
        <v>4.0627764884884927</v>
      </c>
      <c r="CC97" s="100">
        <v>1594.2334940828844</v>
      </c>
      <c r="CD97" s="100">
        <v>4.2508945016250026</v>
      </c>
      <c r="CE97" s="100">
        <v>1668.0510024376508</v>
      </c>
      <c r="CF97" s="100">
        <v>5.446765298810714</v>
      </c>
      <c r="CG97" s="100">
        <v>2137.3107032533239</v>
      </c>
      <c r="CH97" s="100">
        <v>7.151283755225907</v>
      </c>
      <c r="CI97" s="100">
        <v>2806.1637455506457</v>
      </c>
      <c r="CJ97" s="100">
        <v>4.7274891621041517</v>
      </c>
      <c r="CK97" s="100">
        <v>1855.0667472096691</v>
      </c>
      <c r="CL97" s="100">
        <v>6.6276487962366728</v>
      </c>
      <c r="CM97" s="100">
        <v>2600.68938764327</v>
      </c>
      <c r="CN97" s="100">
        <v>8.5732809719592584</v>
      </c>
      <c r="CO97" s="100">
        <v>3364.1554533968128</v>
      </c>
      <c r="CP97" s="100">
        <v>5.4326806781604446</v>
      </c>
      <c r="CQ97" s="100">
        <v>2131.7838981101581</v>
      </c>
      <c r="CR97" s="100">
        <v>6.7140601198085923</v>
      </c>
      <c r="CS97" s="100">
        <v>2634.5971910128915</v>
      </c>
      <c r="CT97" s="100">
        <v>7.8050815856637126</v>
      </c>
      <c r="CU97" s="100">
        <v>3062.7140142144408</v>
      </c>
    </row>
    <row r="98" spans="2:99">
      <c r="C98" s="99" t="s">
        <v>264</v>
      </c>
      <c r="D98" s="100">
        <v>8.3333156000935578</v>
      </c>
      <c r="E98" s="100">
        <v>4379.9906794091739</v>
      </c>
      <c r="F98" s="100">
        <v>5.4387667829867556</v>
      </c>
      <c r="G98" s="100">
        <v>2858.6158211378388</v>
      </c>
      <c r="H98" s="100">
        <v>8.4144254803175826</v>
      </c>
      <c r="I98" s="100">
        <v>4422.6220324549213</v>
      </c>
      <c r="J98" s="100">
        <v>6.2075745545039185</v>
      </c>
      <c r="K98" s="100">
        <v>3262.7011858472597</v>
      </c>
      <c r="L98" s="100">
        <v>6.2676391161969915</v>
      </c>
      <c r="M98" s="100">
        <v>3294.2711194731387</v>
      </c>
      <c r="N98" s="100">
        <v>7.7230209894471962</v>
      </c>
      <c r="O98" s="100">
        <v>4059.2198320534467</v>
      </c>
      <c r="P98" s="100">
        <v>5.3778328448598955</v>
      </c>
      <c r="Q98" s="100">
        <v>2826.5889432583613</v>
      </c>
      <c r="R98" s="100">
        <v>8.2020989375128597</v>
      </c>
      <c r="S98" s="100">
        <v>4311.023201556759</v>
      </c>
      <c r="T98" s="100">
        <v>7.1312531989537042</v>
      </c>
      <c r="U98" s="100">
        <v>3748.1866813700672</v>
      </c>
      <c r="V98" s="100">
        <v>7.9099311639926375</v>
      </c>
      <c r="W98" s="100">
        <v>4157.4598197945306</v>
      </c>
      <c r="X98" s="100">
        <v>6.2704093887779484</v>
      </c>
      <c r="Y98" s="100">
        <v>3295.7271747416899</v>
      </c>
      <c r="Z98" s="100">
        <v>4.3723306121492209</v>
      </c>
      <c r="AA98" s="100">
        <v>2298.0969697456308</v>
      </c>
      <c r="AB98" s="100">
        <v>9.2947523806603538</v>
      </c>
      <c r="AC98" s="100">
        <v>4885.3218512750818</v>
      </c>
      <c r="AD98" s="100">
        <v>4.0880440387305326</v>
      </c>
      <c r="AE98" s="100">
        <v>2148.6759467567681</v>
      </c>
      <c r="AF98" s="100">
        <v>10.185550277933917</v>
      </c>
      <c r="AG98" s="100">
        <v>5353.5252260820671</v>
      </c>
      <c r="AH98" s="100">
        <v>9.1804578724283239</v>
      </c>
      <c r="AI98" s="100">
        <v>4825.2486577483269</v>
      </c>
      <c r="AJ98" s="100">
        <v>3.7597730769831532</v>
      </c>
      <c r="AK98" s="100">
        <v>1976.1367292623454</v>
      </c>
      <c r="AL98" s="100">
        <v>5.9676177297166255</v>
      </c>
      <c r="AM98" s="100">
        <v>3136.5798787390586</v>
      </c>
      <c r="AN98" s="100">
        <v>6.3417824192802721</v>
      </c>
      <c r="AO98" s="100">
        <v>3333.2408395737111</v>
      </c>
      <c r="AP98" s="100">
        <v>10.132553209027613</v>
      </c>
      <c r="AQ98" s="100">
        <v>5325.6699666649138</v>
      </c>
      <c r="AR98" s="100">
        <v>4.5854625133052229</v>
      </c>
      <c r="AS98" s="100">
        <v>2410.1190969932254</v>
      </c>
      <c r="AT98" s="100">
        <v>8.8322959093416173</v>
      </c>
      <c r="AU98" s="100">
        <v>4642.2547299499547</v>
      </c>
      <c r="AV98" s="100">
        <v>8.7584396510274196</v>
      </c>
      <c r="AW98" s="100">
        <v>4603.4358805800121</v>
      </c>
      <c r="AX98" s="100">
        <v>8.3502413073093962</v>
      </c>
      <c r="AY98" s="100">
        <v>4388.8868311218184</v>
      </c>
      <c r="AZ98" s="100">
        <v>1.8963823167076572</v>
      </c>
      <c r="BA98" s="100">
        <v>996.73854566154466</v>
      </c>
      <c r="BB98" s="100">
        <v>7.4067719385834527</v>
      </c>
      <c r="BC98" s="100">
        <v>3892.9993309194629</v>
      </c>
      <c r="BD98" s="100">
        <v>7.199915807422574</v>
      </c>
      <c r="BE98" s="100">
        <v>3784.2757483813052</v>
      </c>
      <c r="BF98" s="100">
        <v>7.8679362703276272</v>
      </c>
      <c r="BG98" s="100">
        <v>4135.3873036842015</v>
      </c>
      <c r="BH98" s="100">
        <v>2.4641550621183259</v>
      </c>
      <c r="BI98" s="100">
        <v>1295.1599006493921</v>
      </c>
      <c r="BJ98" s="100">
        <v>6.9984446952338519</v>
      </c>
      <c r="BK98" s="100">
        <v>3678.3825318149129</v>
      </c>
      <c r="BL98" s="100">
        <v>6.5462342842191612</v>
      </c>
      <c r="BM98" s="100">
        <v>3440.7007397855914</v>
      </c>
      <c r="BN98" s="100">
        <v>10.694794672205781</v>
      </c>
      <c r="BO98" s="100">
        <v>5621.1840797113582</v>
      </c>
      <c r="BP98" s="100">
        <v>6</v>
      </c>
      <c r="BQ98" s="100">
        <v>3153.6000000000004</v>
      </c>
      <c r="BR98" s="100">
        <v>8.2514953803628579</v>
      </c>
      <c r="BS98" s="100">
        <v>4336.985971918718</v>
      </c>
      <c r="BT98" s="100">
        <v>5.7842313708853217</v>
      </c>
      <c r="BU98" s="100">
        <v>3040.1920085373254</v>
      </c>
      <c r="BV98" s="100">
        <v>6.4862964803038299</v>
      </c>
      <c r="BW98" s="100">
        <v>3409.1974300476932</v>
      </c>
      <c r="BX98" s="100">
        <v>3.3759107724932358</v>
      </c>
      <c r="BY98" s="100">
        <v>1774.3787020224447</v>
      </c>
      <c r="BZ98" s="100">
        <v>3.248974554489191</v>
      </c>
      <c r="CA98" s="100">
        <v>1707.661025839519</v>
      </c>
      <c r="CB98" s="100">
        <v>4.0469341461805692</v>
      </c>
      <c r="CC98" s="100">
        <v>2127.0685872325071</v>
      </c>
      <c r="CD98" s="100">
        <v>3.794237081460579</v>
      </c>
      <c r="CE98" s="100">
        <v>1994.2510100156803</v>
      </c>
      <c r="CF98" s="100">
        <v>5.9964728886154992</v>
      </c>
      <c r="CG98" s="100">
        <v>3151.7461502563065</v>
      </c>
      <c r="CH98" s="100">
        <v>6.6671449918085148</v>
      </c>
      <c r="CI98" s="100">
        <v>3504.2514076945554</v>
      </c>
      <c r="CJ98" s="100">
        <v>5.3133624760569651</v>
      </c>
      <c r="CK98" s="100">
        <v>2792.7033174155408</v>
      </c>
      <c r="CL98" s="100">
        <v>5.9308981807723926</v>
      </c>
      <c r="CM98" s="100">
        <v>3117.2800838139697</v>
      </c>
      <c r="CN98" s="100">
        <v>8.5732809719592584</v>
      </c>
      <c r="CO98" s="100">
        <v>4506.1164788617862</v>
      </c>
      <c r="CP98" s="100">
        <v>6.9848751576348578</v>
      </c>
      <c r="CQ98" s="100">
        <v>3671.2503828528816</v>
      </c>
      <c r="CR98" s="100">
        <v>5.9088418767894995</v>
      </c>
      <c r="CS98" s="100">
        <v>3105.6872904405609</v>
      </c>
      <c r="CT98" s="100">
        <v>6.960597231437573</v>
      </c>
      <c r="CU98" s="100">
        <v>3658.4899048435886</v>
      </c>
    </row>
    <row r="99" spans="2:99">
      <c r="C99" s="99" t="s">
        <v>265</v>
      </c>
      <c r="D99" s="100">
        <v>6.8071046166656721</v>
      </c>
      <c r="E99" s="100">
        <v>28647.019068775811</v>
      </c>
      <c r="F99" s="100">
        <v>3.9451136214347606</v>
      </c>
      <c r="G99" s="100">
        <v>16602.616164446044</v>
      </c>
      <c r="H99" s="100">
        <v>5.4683240679730778</v>
      </c>
      <c r="I99" s="100">
        <v>23012.895007657899</v>
      </c>
      <c r="J99" s="100">
        <v>4.6080531949139854</v>
      </c>
      <c r="K99" s="100">
        <v>19392.531065476014</v>
      </c>
      <c r="L99" s="100">
        <v>5.2230325968308264</v>
      </c>
      <c r="M99" s="100">
        <v>21980.610380502847</v>
      </c>
      <c r="N99" s="100">
        <v>5.2813121612690788</v>
      </c>
      <c r="O99" s="100">
        <v>22225.87409948479</v>
      </c>
      <c r="P99" s="100">
        <v>3.9966625317539042</v>
      </c>
      <c r="Q99" s="100">
        <v>16819.554598633127</v>
      </c>
      <c r="R99" s="100">
        <v>5.9081386913415903</v>
      </c>
      <c r="S99" s="100">
        <v>24863.810868641947</v>
      </c>
      <c r="T99" s="100">
        <v>4.797620365354371</v>
      </c>
      <c r="U99" s="100">
        <v>20190.305545557334</v>
      </c>
      <c r="V99" s="100">
        <v>6.0052040599476806</v>
      </c>
      <c r="W99" s="100">
        <v>25272.300765883818</v>
      </c>
      <c r="X99" s="100">
        <v>4.5190233683077965</v>
      </c>
      <c r="Y99" s="100">
        <v>19017.857943186529</v>
      </c>
      <c r="Z99" s="100">
        <v>3.0716135456100075</v>
      </c>
      <c r="AA99" s="100">
        <v>12926.578445345154</v>
      </c>
      <c r="AB99" s="100">
        <v>8.1329083330778094</v>
      </c>
      <c r="AC99" s="100">
        <v>34226.531428924653</v>
      </c>
      <c r="AD99" s="100">
        <v>2.984176499566316</v>
      </c>
      <c r="AE99" s="100">
        <v>12558.608380774884</v>
      </c>
      <c r="AF99" s="100">
        <v>7.0161859525147872</v>
      </c>
      <c r="AG99" s="100">
        <v>29526.916962563228</v>
      </c>
      <c r="AH99" s="100">
        <v>6.8853434043212429</v>
      </c>
      <c r="AI99" s="100">
        <v>28976.279182745515</v>
      </c>
      <c r="AJ99" s="100">
        <v>2.5191014586308853</v>
      </c>
      <c r="AK99" s="100">
        <v>10601.386578502217</v>
      </c>
      <c r="AL99" s="100">
        <v>4.8231467217796329</v>
      </c>
      <c r="AM99" s="100">
        <v>20297.730663937404</v>
      </c>
      <c r="AN99" s="100">
        <v>4.0675440299617422</v>
      </c>
      <c r="AO99" s="100">
        <v>17117.852295690995</v>
      </c>
      <c r="AP99" s="100">
        <v>6.8679633055965867</v>
      </c>
      <c r="AQ99" s="100">
        <v>28903.136775272673</v>
      </c>
      <c r="AR99" s="100">
        <v>3.2244044334067823</v>
      </c>
      <c r="AS99" s="100">
        <v>13569.583617549102</v>
      </c>
      <c r="AT99" s="100">
        <v>6.8036662884171006</v>
      </c>
      <c r="AU99" s="100">
        <v>28632.549208174525</v>
      </c>
      <c r="AV99" s="100">
        <v>5.7584396510274205</v>
      </c>
      <c r="AW99" s="100">
        <v>24233.817427383794</v>
      </c>
      <c r="AX99" s="100">
        <v>6.0007344638500388</v>
      </c>
      <c r="AY99" s="100">
        <v>25253.490917666502</v>
      </c>
      <c r="AZ99" s="100">
        <v>1.2642548778051048</v>
      </c>
      <c r="BA99" s="100">
        <v>5320.4902277550027</v>
      </c>
      <c r="BB99" s="100">
        <v>5.0394016560661514</v>
      </c>
      <c r="BC99" s="100">
        <v>21207.817929388792</v>
      </c>
      <c r="BD99" s="100">
        <v>4.4215286123519864</v>
      </c>
      <c r="BE99" s="100">
        <v>18607.561012222097</v>
      </c>
      <c r="BF99" s="100">
        <v>5.8762254102140403</v>
      </c>
      <c r="BG99" s="100">
        <v>24729.507016344764</v>
      </c>
      <c r="BH99" s="100">
        <v>1.7278623014845482</v>
      </c>
      <c r="BI99" s="100">
        <v>7271.5357095675718</v>
      </c>
      <c r="BJ99" s="100">
        <v>4.9182870317858951</v>
      </c>
      <c r="BK99" s="100">
        <v>20698.119144567758</v>
      </c>
      <c r="BL99" s="100">
        <v>5.7852631117153592</v>
      </c>
      <c r="BM99" s="100">
        <v>24346.701279342917</v>
      </c>
      <c r="BN99" s="100">
        <v>8.1863562705440458</v>
      </c>
      <c r="BO99" s="100">
        <v>34451.461728957562</v>
      </c>
      <c r="BP99" s="100">
        <v>5</v>
      </c>
      <c r="BQ99" s="100">
        <v>21042</v>
      </c>
      <c r="BR99" s="100">
        <v>5.060099691809314</v>
      </c>
      <c r="BS99" s="100">
        <v>21294.923543010314</v>
      </c>
      <c r="BT99" s="100">
        <v>4.8034913800458297</v>
      </c>
      <c r="BU99" s="100">
        <v>20215.013123784869</v>
      </c>
      <c r="BV99" s="100">
        <v>4.7798437823347744</v>
      </c>
      <c r="BW99" s="100">
        <v>20115.494573577664</v>
      </c>
      <c r="BX99" s="100">
        <v>2.4410731054049406</v>
      </c>
      <c r="BY99" s="100">
        <v>10273.01205678615</v>
      </c>
      <c r="BZ99" s="100">
        <v>2.3409261692265346</v>
      </c>
      <c r="CA99" s="100">
        <v>9851.5536905729477</v>
      </c>
      <c r="CB99" s="100">
        <v>2.848696244634322</v>
      </c>
      <c r="CC99" s="100">
        <v>11988.453275919081</v>
      </c>
      <c r="CD99" s="100">
        <v>2.9909657199826349</v>
      </c>
      <c r="CE99" s="100">
        <v>12587.180135974921</v>
      </c>
      <c r="CF99" s="100">
        <v>4.028985207318251</v>
      </c>
      <c r="CG99" s="100">
        <v>16955.581346478128</v>
      </c>
      <c r="CH99" s="100">
        <v>5.2014891399401968</v>
      </c>
      <c r="CI99" s="100">
        <v>21889.946896524321</v>
      </c>
      <c r="CJ99" s="100">
        <v>3.3310610157091696</v>
      </c>
      <c r="CK99" s="100">
        <v>14018.437178510469</v>
      </c>
      <c r="CL99" s="100">
        <v>4.5326176633361275</v>
      </c>
      <c r="CM99" s="100">
        <v>19075.068174383756</v>
      </c>
      <c r="CN99" s="100">
        <v>6.2236629781905339</v>
      </c>
      <c r="CO99" s="100">
        <v>26191.663277417039</v>
      </c>
      <c r="CP99" s="100">
        <v>4.6565834384232385</v>
      </c>
      <c r="CQ99" s="100">
        <v>19596.765742260355</v>
      </c>
      <c r="CR99" s="100">
        <v>4.8342405291016703</v>
      </c>
      <c r="CS99" s="100">
        <v>20344.417842671468</v>
      </c>
      <c r="CT99" s="100">
        <v>5.765999806258149</v>
      </c>
      <c r="CU99" s="100">
        <v>24265.633584656793</v>
      </c>
    </row>
    <row r="100" spans="2:99">
      <c r="C100" s="99" t="s">
        <v>266</v>
      </c>
      <c r="D100" s="100">
        <v>8.455005217613186</v>
      </c>
      <c r="E100" s="100">
        <v>2739.4216905066723</v>
      </c>
      <c r="F100" s="100">
        <v>5.4387667829867556</v>
      </c>
      <c r="G100" s="100">
        <v>1762.1604376877087</v>
      </c>
      <c r="H100" s="100">
        <v>7.6494777093796209</v>
      </c>
      <c r="I100" s="100">
        <v>2478.4307778389971</v>
      </c>
      <c r="J100" s="100">
        <v>6.2075745545039185</v>
      </c>
      <c r="K100" s="100">
        <v>2011.2541556592696</v>
      </c>
      <c r="L100" s="100">
        <v>7.3122456355631575</v>
      </c>
      <c r="M100" s="100">
        <v>2369.1675859224629</v>
      </c>
      <c r="N100" s="100">
        <v>7.6425986839336408</v>
      </c>
      <c r="O100" s="100">
        <v>2476.2019735944996</v>
      </c>
      <c r="P100" s="100">
        <v>6.7547327260934145</v>
      </c>
      <c r="Q100" s="100">
        <v>2188.5334032542664</v>
      </c>
      <c r="R100" s="100">
        <v>8.3211485340004234</v>
      </c>
      <c r="S100" s="100">
        <v>2696.0521250161373</v>
      </c>
      <c r="T100" s="100">
        <v>5.9861625651799883</v>
      </c>
      <c r="U100" s="100">
        <v>1939.5166711183163</v>
      </c>
      <c r="V100" s="100">
        <v>8.0554425378990437</v>
      </c>
      <c r="W100" s="100">
        <v>2609.9633822792903</v>
      </c>
      <c r="X100" s="100">
        <v>6.2704093887779484</v>
      </c>
      <c r="Y100" s="100">
        <v>2031.6126419640552</v>
      </c>
      <c r="Z100" s="100">
        <v>3.9387582566361488</v>
      </c>
      <c r="AA100" s="100">
        <v>1276.1576751501123</v>
      </c>
      <c r="AB100" s="100">
        <v>10.618440475825443</v>
      </c>
      <c r="AC100" s="100">
        <v>3440.3747141674435</v>
      </c>
      <c r="AD100" s="100">
        <v>4.8036908672758081</v>
      </c>
      <c r="AE100" s="100">
        <v>1556.3958409973618</v>
      </c>
      <c r="AF100" s="100">
        <v>10.185550277933917</v>
      </c>
      <c r="AG100" s="100">
        <v>3300.1182900505892</v>
      </c>
      <c r="AH100" s="100">
        <v>9.1804578724283239</v>
      </c>
      <c r="AI100" s="100">
        <v>2974.468350666777</v>
      </c>
      <c r="AJ100" s="100">
        <v>3.7408939660199794</v>
      </c>
      <c r="AK100" s="100">
        <v>1212.0496449904733</v>
      </c>
      <c r="AL100" s="100">
        <v>5.9676177297166255</v>
      </c>
      <c r="AM100" s="100">
        <v>1933.5081444281866</v>
      </c>
      <c r="AN100" s="100">
        <v>5.0738487510537844</v>
      </c>
      <c r="AO100" s="100">
        <v>1643.9269953414262</v>
      </c>
      <c r="AP100" s="100">
        <v>11.107822010593107</v>
      </c>
      <c r="AQ100" s="100">
        <v>3598.9343314321668</v>
      </c>
      <c r="AR100" s="100">
        <v>4.4620173214129482</v>
      </c>
      <c r="AS100" s="100">
        <v>1445.6936121377953</v>
      </c>
      <c r="AT100" s="100">
        <v>8.8322959093416173</v>
      </c>
      <c r="AU100" s="100">
        <v>2861.663874626684</v>
      </c>
      <c r="AV100" s="100">
        <v>8.7584396510274196</v>
      </c>
      <c r="AW100" s="100">
        <v>2837.7344469328841</v>
      </c>
      <c r="AX100" s="100">
        <v>8.9937129829231957</v>
      </c>
      <c r="AY100" s="100">
        <v>2913.9630064671155</v>
      </c>
      <c r="AZ100" s="100">
        <v>1.4749640241059556</v>
      </c>
      <c r="BA100" s="100">
        <v>477.88834381032962</v>
      </c>
      <c r="BB100" s="100">
        <v>6.8359873364169568</v>
      </c>
      <c r="BC100" s="100">
        <v>2214.859896999094</v>
      </c>
      <c r="BD100" s="100">
        <v>7.8315627520442863</v>
      </c>
      <c r="BE100" s="100">
        <v>2537.4263316623487</v>
      </c>
      <c r="BF100" s="100">
        <v>9.0638672835677205</v>
      </c>
      <c r="BG100" s="100">
        <v>2936.6929998759415</v>
      </c>
      <c r="BH100" s="100">
        <v>2.9451710425351112</v>
      </c>
      <c r="BI100" s="100">
        <v>954.23541778137599</v>
      </c>
      <c r="BJ100" s="100">
        <v>7.6918305830498372</v>
      </c>
      <c r="BK100" s="100">
        <v>2492.1531089081473</v>
      </c>
      <c r="BL100" s="100">
        <v>7.186949424758323</v>
      </c>
      <c r="BM100" s="100">
        <v>2328.5716136216965</v>
      </c>
      <c r="BN100" s="100">
        <v>10.525315204985203</v>
      </c>
      <c r="BO100" s="100">
        <v>3410.2021264152058</v>
      </c>
      <c r="BP100" s="100">
        <v>6</v>
      </c>
      <c r="BQ100" s="100">
        <v>1944</v>
      </c>
      <c r="BR100" s="100">
        <v>7.4991474847209725</v>
      </c>
      <c r="BS100" s="100">
        <v>2429.7237850495949</v>
      </c>
      <c r="BT100" s="100">
        <v>6.4662629774745737</v>
      </c>
      <c r="BU100" s="100">
        <v>2095.0692047017619</v>
      </c>
      <c r="BV100" s="100">
        <v>5.9523721479233931</v>
      </c>
      <c r="BW100" s="100">
        <v>1928.5685759271794</v>
      </c>
      <c r="BX100" s="100">
        <v>4.2934186166341632</v>
      </c>
      <c r="BY100" s="100">
        <v>1391.0676317894688</v>
      </c>
      <c r="BZ100" s="100">
        <v>3.6928837176819633</v>
      </c>
      <c r="CA100" s="100">
        <v>1196.4943245289562</v>
      </c>
      <c r="CB100" s="100">
        <v>4.0469341461805692</v>
      </c>
      <c r="CC100" s="100">
        <v>1311.2066633625045</v>
      </c>
      <c r="CD100" s="100">
        <v>4.2508945016250026</v>
      </c>
      <c r="CE100" s="100">
        <v>1377.2898185265008</v>
      </c>
      <c r="CF100" s="100">
        <v>5.4502591041920931</v>
      </c>
      <c r="CG100" s="100">
        <v>1765.8839497582383</v>
      </c>
      <c r="CH100" s="100">
        <v>6.6583186173977529</v>
      </c>
      <c r="CI100" s="100">
        <v>2157.2952320368718</v>
      </c>
      <c r="CJ100" s="100">
        <v>4.6177594110043838</v>
      </c>
      <c r="CK100" s="100">
        <v>1496.1540491654202</v>
      </c>
      <c r="CL100" s="100">
        <v>6.6324280827443793</v>
      </c>
      <c r="CM100" s="100">
        <v>2148.906698809179</v>
      </c>
      <c r="CN100" s="100">
        <v>8.3984719750748962</v>
      </c>
      <c r="CO100" s="100">
        <v>2721.1049199242661</v>
      </c>
      <c r="CP100" s="100">
        <v>6.9848751576348578</v>
      </c>
      <c r="CQ100" s="100">
        <v>2263.0995510736939</v>
      </c>
      <c r="CR100" s="100">
        <v>6.043533429123868</v>
      </c>
      <c r="CS100" s="100">
        <v>1958.1048310361332</v>
      </c>
      <c r="CT100" s="100">
        <v>6.960597231437573</v>
      </c>
      <c r="CU100" s="100">
        <v>2255.2335029857736</v>
      </c>
    </row>
    <row r="101" spans="2:99">
      <c r="C101" s="99" t="s">
        <v>267</v>
      </c>
      <c r="D101" s="100">
        <v>9.1572659005673156</v>
      </c>
      <c r="E101" s="100">
        <v>6626.19760565051</v>
      </c>
      <c r="F101" s="100">
        <v>5.3332764242093704</v>
      </c>
      <c r="G101" s="100">
        <v>3859.1588205579005</v>
      </c>
      <c r="H101" s="100">
        <v>7.535788037972277</v>
      </c>
      <c r="I101" s="100">
        <v>5452.8962242767402</v>
      </c>
      <c r="J101" s="100">
        <v>5.4078138747089524</v>
      </c>
      <c r="K101" s="100">
        <v>3913.0941197393981</v>
      </c>
      <c r="L101" s="100">
        <v>7.1950115948882694</v>
      </c>
      <c r="M101" s="100">
        <v>5206.3103900611522</v>
      </c>
      <c r="N101" s="100">
        <v>7.7520260984050067</v>
      </c>
      <c r="O101" s="100">
        <v>5609.3660848058626</v>
      </c>
      <c r="P101" s="100">
        <v>6.1370232916094363</v>
      </c>
      <c r="Q101" s="100">
        <v>4440.7500538085878</v>
      </c>
      <c r="R101" s="100">
        <v>7.4771287209516233</v>
      </c>
      <c r="S101" s="100">
        <v>5410.4503424805944</v>
      </c>
      <c r="T101" s="100">
        <v>5.9861625651799883</v>
      </c>
      <c r="U101" s="100">
        <v>4331.58723216424</v>
      </c>
      <c r="V101" s="100">
        <v>8.0554425378990437</v>
      </c>
      <c r="W101" s="100">
        <v>5828.9182204237486</v>
      </c>
      <c r="X101" s="100">
        <v>5.4228280419693551</v>
      </c>
      <c r="Y101" s="100">
        <v>3923.9583711690257</v>
      </c>
      <c r="Z101" s="100">
        <v>4.3723306121492209</v>
      </c>
      <c r="AA101" s="100">
        <v>3163.8184309511762</v>
      </c>
      <c r="AB101" s="100">
        <v>9.4565964282428983</v>
      </c>
      <c r="AC101" s="100">
        <v>6842.7931754765614</v>
      </c>
      <c r="AD101" s="100">
        <v>4.1032426869036849</v>
      </c>
      <c r="AE101" s="100">
        <v>2969.1064082435064</v>
      </c>
      <c r="AF101" s="100">
        <v>10.185550277933917</v>
      </c>
      <c r="AG101" s="100">
        <v>7370.2641811129824</v>
      </c>
      <c r="AH101" s="100">
        <v>8.4154197163926288</v>
      </c>
      <c r="AI101" s="100">
        <v>6089.3977067817068</v>
      </c>
      <c r="AJ101" s="100">
        <v>3.7408939660199794</v>
      </c>
      <c r="AK101" s="100">
        <v>2706.9108738120572</v>
      </c>
      <c r="AL101" s="100">
        <v>5.8884474327255845</v>
      </c>
      <c r="AM101" s="100">
        <v>4260.8805623202334</v>
      </c>
      <c r="AN101" s="100">
        <v>6.2486651908943678</v>
      </c>
      <c r="AO101" s="100">
        <v>4521.5341321311644</v>
      </c>
      <c r="AP101" s="100">
        <v>10.132553209027613</v>
      </c>
      <c r="AQ101" s="100">
        <v>7331.9155020523804</v>
      </c>
      <c r="AR101" s="100">
        <v>4.4620173214129482</v>
      </c>
      <c r="AS101" s="100">
        <v>3228.7157337744093</v>
      </c>
      <c r="AT101" s="100">
        <v>8.9758513944703289</v>
      </c>
      <c r="AU101" s="100">
        <v>6494.92606903873</v>
      </c>
      <c r="AV101" s="100">
        <v>8.8532446074058484</v>
      </c>
      <c r="AW101" s="100">
        <v>6406.2077979188725</v>
      </c>
      <c r="AX101" s="100">
        <v>8.2715477429436532</v>
      </c>
      <c r="AY101" s="100">
        <v>5985.2919467940274</v>
      </c>
      <c r="AZ101" s="100">
        <v>1.6856731704068064</v>
      </c>
      <c r="BA101" s="100">
        <v>1219.7531061063651</v>
      </c>
      <c r="BB101" s="100">
        <v>6.2548473317415683</v>
      </c>
      <c r="BC101" s="100">
        <v>4526.0075292481988</v>
      </c>
      <c r="BD101" s="100">
        <v>7.1017551006219684</v>
      </c>
      <c r="BE101" s="100">
        <v>5138.8299908100562</v>
      </c>
      <c r="BF101" s="100">
        <v>7.7690291002009033</v>
      </c>
      <c r="BG101" s="100">
        <v>5621.6694569053734</v>
      </c>
      <c r="BH101" s="100">
        <v>2.9484529958703556</v>
      </c>
      <c r="BI101" s="100">
        <v>2133.5005878117895</v>
      </c>
      <c r="BJ101" s="100">
        <v>6.9338588781598567</v>
      </c>
      <c r="BK101" s="100">
        <v>5017.3402842364721</v>
      </c>
      <c r="BL101" s="100">
        <v>7.1856578788336192</v>
      </c>
      <c r="BM101" s="100">
        <v>5199.5420411240066</v>
      </c>
      <c r="BN101" s="100">
        <v>10.694794672205781</v>
      </c>
      <c r="BO101" s="100">
        <v>7738.7534248081029</v>
      </c>
      <c r="BP101" s="100">
        <v>7</v>
      </c>
      <c r="BQ101" s="100">
        <v>5065.2</v>
      </c>
      <c r="BR101" s="100">
        <v>7.4081454317279718</v>
      </c>
      <c r="BS101" s="100">
        <v>5360.5340343983607</v>
      </c>
      <c r="BT101" s="100">
        <v>5.9404237619395444</v>
      </c>
      <c r="BU101" s="100">
        <v>4298.4906341394544</v>
      </c>
      <c r="BV101" s="100">
        <v>5.4284140694412528</v>
      </c>
      <c r="BW101" s="100">
        <v>3928.0004206476906</v>
      </c>
      <c r="BX101" s="100">
        <v>3.8086699601426486</v>
      </c>
      <c r="BY101" s="100">
        <v>2755.9535831592207</v>
      </c>
      <c r="BZ101" s="100">
        <v>3.248974554489191</v>
      </c>
      <c r="CA101" s="100">
        <v>2350.9579876283788</v>
      </c>
      <c r="CB101" s="100">
        <v>4.4357852184907021</v>
      </c>
      <c r="CC101" s="100">
        <v>3209.734184099872</v>
      </c>
      <c r="CD101" s="100">
        <v>4.1946829836882324</v>
      </c>
      <c r="CE101" s="100">
        <v>3035.2726069968053</v>
      </c>
      <c r="CF101" s="100">
        <v>5.4502591041920931</v>
      </c>
      <c r="CG101" s="100">
        <v>3943.8074877933986</v>
      </c>
      <c r="CH101" s="100">
        <v>6.1741798539803616</v>
      </c>
      <c r="CI101" s="100">
        <v>4467.6365423401894</v>
      </c>
      <c r="CJ101" s="100">
        <v>5.2088547412470154</v>
      </c>
      <c r="CK101" s="100">
        <v>3769.1272907663406</v>
      </c>
      <c r="CL101" s="100">
        <v>5.8278647167786959</v>
      </c>
      <c r="CM101" s="100">
        <v>4217.0429090610642</v>
      </c>
      <c r="CN101" s="100">
        <v>8.5732809719592584</v>
      </c>
      <c r="CO101" s="100">
        <v>6203.6261113097198</v>
      </c>
      <c r="CP101" s="100">
        <v>6.9848751576348578</v>
      </c>
      <c r="CQ101" s="100">
        <v>5054.2556640645835</v>
      </c>
      <c r="CR101" s="100">
        <v>6.7140601198085923</v>
      </c>
      <c r="CS101" s="100">
        <v>4858.2939026934973</v>
      </c>
      <c r="CT101" s="100">
        <v>6.820438756955733</v>
      </c>
      <c r="CU101" s="100">
        <v>4935.2694845331689</v>
      </c>
    </row>
    <row r="102" spans="2:99">
      <c r="C102" s="99" t="s">
        <v>268</v>
      </c>
      <c r="D102" s="100">
        <v>7.6310549171394291</v>
      </c>
      <c r="E102" s="100">
        <v>4056.6687939513208</v>
      </c>
      <c r="F102" s="100">
        <v>5.4387667829867556</v>
      </c>
      <c r="G102" s="100">
        <v>2891.2484218357595</v>
      </c>
      <c r="H102" s="100">
        <v>6.998219609849003</v>
      </c>
      <c r="I102" s="100">
        <v>3720.2535445957301</v>
      </c>
      <c r="J102" s="100">
        <v>6.112319112576011</v>
      </c>
      <c r="K102" s="100">
        <v>3249.3088402454077</v>
      </c>
      <c r="L102" s="100">
        <v>7.1950115948882694</v>
      </c>
      <c r="M102" s="100">
        <v>3824.8681638426042</v>
      </c>
      <c r="N102" s="100">
        <v>7.7520260984050067</v>
      </c>
      <c r="O102" s="100">
        <v>4120.9770739121013</v>
      </c>
      <c r="P102" s="100">
        <v>6.0748236492216003</v>
      </c>
      <c r="Q102" s="100">
        <v>3229.3762519262027</v>
      </c>
      <c r="R102" s="100">
        <v>7.596178317439187</v>
      </c>
      <c r="S102" s="100">
        <v>4038.1283935506722</v>
      </c>
      <c r="T102" s="100">
        <v>7.1312531989537042</v>
      </c>
      <c r="U102" s="100">
        <v>3790.9742005637895</v>
      </c>
      <c r="V102" s="100">
        <v>7.1758346728297688</v>
      </c>
      <c r="W102" s="100">
        <v>3814.6737120763055</v>
      </c>
      <c r="X102" s="100">
        <v>6.2704093887779484</v>
      </c>
      <c r="Y102" s="100">
        <v>3333.3496310743576</v>
      </c>
      <c r="Z102" s="100">
        <v>4.787599439153035</v>
      </c>
      <c r="AA102" s="100">
        <v>2545.0878618537536</v>
      </c>
      <c r="AB102" s="100">
        <v>10.618440475825443</v>
      </c>
      <c r="AC102" s="100">
        <v>5644.7629569488054</v>
      </c>
      <c r="AD102" s="100">
        <v>4.0880440387305326</v>
      </c>
      <c r="AE102" s="100">
        <v>2173.2042109891513</v>
      </c>
      <c r="AF102" s="100">
        <v>10.185550277933917</v>
      </c>
      <c r="AG102" s="100">
        <v>5414.6385277496702</v>
      </c>
      <c r="AH102" s="100">
        <v>7.6503815603569363</v>
      </c>
      <c r="AI102" s="100">
        <v>4066.9428374857475</v>
      </c>
      <c r="AJ102" s="100">
        <v>4.1607442091251272</v>
      </c>
      <c r="AK102" s="100">
        <v>2211.8516215709178</v>
      </c>
      <c r="AL102" s="100">
        <v>6.0550213274858029</v>
      </c>
      <c r="AM102" s="100">
        <v>3218.849337691453</v>
      </c>
      <c r="AN102" s="100">
        <v>5.0526861782569972</v>
      </c>
      <c r="AO102" s="100">
        <v>2686.0079723614199</v>
      </c>
      <c r="AP102" s="100">
        <v>9.9631614596603431</v>
      </c>
      <c r="AQ102" s="100">
        <v>5296.4166319554388</v>
      </c>
      <c r="AR102" s="100">
        <v>4.2938490314426936</v>
      </c>
      <c r="AS102" s="100">
        <v>2282.6101451149361</v>
      </c>
      <c r="AT102" s="100">
        <v>7.8897588414437143</v>
      </c>
      <c r="AU102" s="100">
        <v>4194.195800111479</v>
      </c>
      <c r="AV102" s="100">
        <v>7.7584396510274205</v>
      </c>
      <c r="AW102" s="100">
        <v>4124.386518486177</v>
      </c>
      <c r="AX102" s="100">
        <v>8.3929479652914605</v>
      </c>
      <c r="AY102" s="100">
        <v>4461.6911383489405</v>
      </c>
      <c r="AZ102" s="100">
        <v>1.6856731704068064</v>
      </c>
      <c r="BA102" s="100">
        <v>896.10385738825835</v>
      </c>
      <c r="BB102" s="100">
        <v>7.4093607892106759</v>
      </c>
      <c r="BC102" s="100">
        <v>3938.8161955443957</v>
      </c>
      <c r="BD102" s="100">
        <v>7.7334020452436807</v>
      </c>
      <c r="BE102" s="100">
        <v>4111.0765272515409</v>
      </c>
      <c r="BF102" s="100">
        <v>8.3669946068209491</v>
      </c>
      <c r="BG102" s="100">
        <v>4447.8943329860167</v>
      </c>
      <c r="BH102" s="100">
        <v>2.4641550621183259</v>
      </c>
      <c r="BI102" s="100">
        <v>1309.9448310221021</v>
      </c>
      <c r="BJ102" s="100">
        <v>7.6918305830498372</v>
      </c>
      <c r="BK102" s="100">
        <v>4088.9771379492936</v>
      </c>
      <c r="BL102" s="100">
        <v>7.9272558624668665</v>
      </c>
      <c r="BM102" s="100">
        <v>4214.1292164873867</v>
      </c>
      <c r="BN102" s="100">
        <v>10.694794672205781</v>
      </c>
      <c r="BO102" s="100">
        <v>5685.3528477445934</v>
      </c>
      <c r="BP102" s="100">
        <v>6</v>
      </c>
      <c r="BQ102" s="100">
        <v>3189.6000000000004</v>
      </c>
      <c r="BR102" s="100">
        <v>7.4991474847209725</v>
      </c>
      <c r="BS102" s="100">
        <v>3986.5468028776691</v>
      </c>
      <c r="BT102" s="100">
        <v>7.0773561438332599</v>
      </c>
      <c r="BU102" s="100">
        <v>3762.322526061761</v>
      </c>
      <c r="BV102" s="100">
        <v>6.5810099272332776</v>
      </c>
      <c r="BW102" s="100">
        <v>3498.4648773172107</v>
      </c>
      <c r="BX102" s="100">
        <v>3.3585809495458685</v>
      </c>
      <c r="BY102" s="100">
        <v>1785.4216327785837</v>
      </c>
      <c r="BZ102" s="100">
        <v>3.248974554489191</v>
      </c>
      <c r="CA102" s="100">
        <v>1727.1548731664541</v>
      </c>
      <c r="CB102" s="100">
        <v>3.658083073870436</v>
      </c>
      <c r="CC102" s="100">
        <v>1944.6369620695239</v>
      </c>
      <c r="CD102" s="100">
        <v>4.2485149446023645</v>
      </c>
      <c r="CE102" s="100">
        <v>2258.5105445506169</v>
      </c>
      <c r="CF102" s="100">
        <v>5.446765298810714</v>
      </c>
      <c r="CG102" s="100">
        <v>2895.5004328477758</v>
      </c>
      <c r="CH102" s="100">
        <v>6.8395529623641291</v>
      </c>
      <c r="CI102" s="100">
        <v>3635.9063547927713</v>
      </c>
      <c r="CJ102" s="100">
        <v>5.3133624760569651</v>
      </c>
      <c r="CK102" s="100">
        <v>2824.5834922718827</v>
      </c>
      <c r="CL102" s="100">
        <v>5.9308981807723926</v>
      </c>
      <c r="CM102" s="100">
        <v>3152.8654728986039</v>
      </c>
      <c r="CN102" s="100">
        <v>8.3984719750748962</v>
      </c>
      <c r="CO102" s="100">
        <v>4464.6277019498148</v>
      </c>
      <c r="CP102" s="100">
        <v>6.2087779178976508</v>
      </c>
      <c r="CQ102" s="100">
        <v>3300.5863411543914</v>
      </c>
      <c r="CR102" s="100">
        <v>5.9088418767894995</v>
      </c>
      <c r="CS102" s="100">
        <v>3141.140341701298</v>
      </c>
      <c r="CT102" s="100">
        <v>7.1007557059194122</v>
      </c>
      <c r="CU102" s="100">
        <v>3774.7617332667596</v>
      </c>
    </row>
    <row r="103" spans="2:99">
      <c r="C103" s="99" t="s">
        <v>269</v>
      </c>
      <c r="D103" s="100">
        <v>9.1572659005673156</v>
      </c>
      <c r="E103" s="100">
        <v>5395.4610686142614</v>
      </c>
      <c r="F103" s="100">
        <v>4.7974305609881442</v>
      </c>
      <c r="G103" s="100">
        <v>2826.6460865342142</v>
      </c>
      <c r="H103" s="100">
        <v>8.1870461375028949</v>
      </c>
      <c r="I103" s="100">
        <v>4823.8075842167054</v>
      </c>
      <c r="J103" s="100">
        <v>6.112319112576011</v>
      </c>
      <c r="K103" s="100">
        <v>3601.3784211297852</v>
      </c>
      <c r="L103" s="100">
        <v>6.3848731568718788</v>
      </c>
      <c r="M103" s="100">
        <v>3761.9672640289104</v>
      </c>
      <c r="N103" s="100">
        <v>6.9668642647806731</v>
      </c>
      <c r="O103" s="100">
        <v>4104.8764248087718</v>
      </c>
      <c r="P103" s="100">
        <v>6.171186746589215</v>
      </c>
      <c r="Q103" s="100">
        <v>3636.0632310903652</v>
      </c>
      <c r="R103" s="100">
        <v>8.2020989375128597</v>
      </c>
      <c r="S103" s="100">
        <v>4832.6766939825766</v>
      </c>
      <c r="T103" s="100">
        <v>7.1747047650056057</v>
      </c>
      <c r="U103" s="100">
        <v>4227.3360475413028</v>
      </c>
      <c r="V103" s="100">
        <v>7.9099311639926375</v>
      </c>
      <c r="W103" s="100">
        <v>4660.5314418244616</v>
      </c>
      <c r="X103" s="100">
        <v>6.2704093887779484</v>
      </c>
      <c r="Y103" s="100">
        <v>3694.5252118679668</v>
      </c>
      <c r="Z103" s="100">
        <v>3.9387582566361488</v>
      </c>
      <c r="AA103" s="100">
        <v>2320.7163648100186</v>
      </c>
      <c r="AB103" s="100">
        <v>10.294752380660354</v>
      </c>
      <c r="AC103" s="100">
        <v>6065.6681026850802</v>
      </c>
      <c r="AD103" s="100">
        <v>4.4458674530031708</v>
      </c>
      <c r="AE103" s="100">
        <v>2619.5051033094678</v>
      </c>
      <c r="AF103" s="100">
        <v>10.185550277933917</v>
      </c>
      <c r="AG103" s="100">
        <v>6001.3262237586632</v>
      </c>
      <c r="AH103" s="100">
        <v>7.6503815603569363</v>
      </c>
      <c r="AI103" s="100">
        <v>4507.604815362306</v>
      </c>
      <c r="AJ103" s="100">
        <v>3.7597730769831532</v>
      </c>
      <c r="AK103" s="100">
        <v>2215.2582969584737</v>
      </c>
      <c r="AL103" s="100">
        <v>6.4586246114995465</v>
      </c>
      <c r="AM103" s="100">
        <v>3805.4216210955324</v>
      </c>
      <c r="AN103" s="100">
        <v>6.3417824192802721</v>
      </c>
      <c r="AO103" s="100">
        <v>3736.578201439936</v>
      </c>
      <c r="AP103" s="100">
        <v>9.9631614596603431</v>
      </c>
      <c r="AQ103" s="100">
        <v>5870.2947320318735</v>
      </c>
      <c r="AR103" s="100">
        <v>3.7266927070166842</v>
      </c>
      <c r="AS103" s="100">
        <v>2195.7673429742299</v>
      </c>
      <c r="AT103" s="100">
        <v>8.8322959093416173</v>
      </c>
      <c r="AU103" s="100">
        <v>5203.98874978408</v>
      </c>
      <c r="AV103" s="100">
        <v>7.7584396510274205</v>
      </c>
      <c r="AW103" s="100">
        <v>4571.2726423853555</v>
      </c>
      <c r="AX103" s="100">
        <v>7.5536531687623159</v>
      </c>
      <c r="AY103" s="100">
        <v>4450.6124470347559</v>
      </c>
      <c r="AZ103" s="100">
        <v>1.6856731704068064</v>
      </c>
      <c r="BA103" s="100">
        <v>993.19863200369025</v>
      </c>
      <c r="BB103" s="100">
        <v>6.8891530027415975</v>
      </c>
      <c r="BC103" s="100">
        <v>4059.0889492153487</v>
      </c>
      <c r="BD103" s="100">
        <v>7.7334020452436807</v>
      </c>
      <c r="BE103" s="100">
        <v>4556.5204850575765</v>
      </c>
      <c r="BF103" s="100">
        <v>7.8679362703276272</v>
      </c>
      <c r="BG103" s="100">
        <v>4635.7880504770374</v>
      </c>
      <c r="BH103" s="100">
        <v>2.4641550621183259</v>
      </c>
      <c r="BI103" s="100">
        <v>1451.8801626001175</v>
      </c>
      <c r="BJ103" s="100">
        <v>8.191459019643835</v>
      </c>
      <c r="BK103" s="100">
        <v>4826.4076543741467</v>
      </c>
      <c r="BL103" s="100">
        <v>6.6548664028614688</v>
      </c>
      <c r="BM103" s="100">
        <v>3921.047284565977</v>
      </c>
      <c r="BN103" s="100">
        <v>10.525315204985203</v>
      </c>
      <c r="BO103" s="100">
        <v>6201.5157187772811</v>
      </c>
      <c r="BP103" s="100">
        <v>6</v>
      </c>
      <c r="BQ103" s="100">
        <v>3535.2</v>
      </c>
      <c r="BR103" s="100">
        <v>7.4991474847209725</v>
      </c>
      <c r="BS103" s="100">
        <v>4418.4976979975963</v>
      </c>
      <c r="BT103" s="100">
        <v>6.0256777127632013</v>
      </c>
      <c r="BU103" s="100">
        <v>3550.3293083600779</v>
      </c>
      <c r="BV103" s="100">
        <v>5.9573552748725422</v>
      </c>
      <c r="BW103" s="100">
        <v>3510.0737279549016</v>
      </c>
      <c r="BX103" s="100">
        <v>3.3759107724932358</v>
      </c>
      <c r="BY103" s="100">
        <v>1989.0866271530142</v>
      </c>
      <c r="BZ103" s="100">
        <v>3.2287444956120792</v>
      </c>
      <c r="CA103" s="100">
        <v>1902.3762568146369</v>
      </c>
      <c r="CB103" s="100">
        <v>4.0469341461805692</v>
      </c>
      <c r="CC103" s="100">
        <v>2384.453598929591</v>
      </c>
      <c r="CD103" s="100">
        <v>4.2508945016250026</v>
      </c>
      <c r="CE103" s="100">
        <v>2504.6270403574513</v>
      </c>
      <c r="CF103" s="100">
        <v>5.4502591041920931</v>
      </c>
      <c r="CG103" s="100">
        <v>3211.2926641899808</v>
      </c>
      <c r="CH103" s="100">
        <v>7.1468705680205247</v>
      </c>
      <c r="CI103" s="100">
        <v>4210.9361386776927</v>
      </c>
      <c r="CJ103" s="100">
        <v>4.6282034435840202</v>
      </c>
      <c r="CK103" s="100">
        <v>2726.9374689597043</v>
      </c>
      <c r="CL103" s="100">
        <v>6.6276487962366728</v>
      </c>
      <c r="CM103" s="100">
        <v>3905.0106707426471</v>
      </c>
      <c r="CN103" s="100">
        <v>8.5732809719592584</v>
      </c>
      <c r="CO103" s="100">
        <v>5051.3771486783944</v>
      </c>
      <c r="CP103" s="100">
        <v>5.4326806781604446</v>
      </c>
      <c r="CQ103" s="100">
        <v>3200.9354555721338</v>
      </c>
      <c r="CR103" s="100">
        <v>5.9088418767894995</v>
      </c>
      <c r="CS103" s="100">
        <v>3481.4896338043727</v>
      </c>
      <c r="CT103" s="100">
        <v>7.7347192331714787</v>
      </c>
      <c r="CU103" s="100">
        <v>4557.2965721846349</v>
      </c>
    </row>
    <row r="104" spans="2:99">
      <c r="C104" s="99" t="s">
        <v>270</v>
      </c>
      <c r="D104" s="100">
        <v>8.3333156000935578</v>
      </c>
      <c r="E104" s="100">
        <v>5269.9887854991657</v>
      </c>
      <c r="F104" s="100">
        <v>5.4387667829867556</v>
      </c>
      <c r="G104" s="100">
        <v>3439.4761135608242</v>
      </c>
      <c r="H104" s="100">
        <v>7.6494777093796209</v>
      </c>
      <c r="I104" s="100">
        <v>4837.529703411672</v>
      </c>
      <c r="J104" s="100">
        <v>6.2075745545039185</v>
      </c>
      <c r="K104" s="100">
        <v>3925.6701482682779</v>
      </c>
      <c r="L104" s="100">
        <v>6.2676391161969915</v>
      </c>
      <c r="M104" s="100">
        <v>3963.6549770829774</v>
      </c>
      <c r="N104" s="100">
        <v>6.9378591558228626</v>
      </c>
      <c r="O104" s="100">
        <v>4387.5021301423785</v>
      </c>
      <c r="P104" s="100">
        <v>5.4870072378449279</v>
      </c>
      <c r="Q104" s="100">
        <v>3469.9833772131324</v>
      </c>
      <c r="R104" s="100">
        <v>7.4771287209516233</v>
      </c>
      <c r="S104" s="100">
        <v>4728.5362031298064</v>
      </c>
      <c r="T104" s="100">
        <v>5.9861625651799883</v>
      </c>
      <c r="U104" s="100">
        <v>3785.6492062198245</v>
      </c>
      <c r="V104" s="100">
        <v>7.9099311639926375</v>
      </c>
      <c r="W104" s="100">
        <v>5002.2404681089438</v>
      </c>
      <c r="X104" s="100">
        <v>5.4228280419693551</v>
      </c>
      <c r="Y104" s="100">
        <v>3429.3964537414199</v>
      </c>
      <c r="Z104" s="100">
        <v>3.9570617851454055</v>
      </c>
      <c r="AA104" s="100">
        <v>2502.4458729259545</v>
      </c>
      <c r="AB104" s="100">
        <v>10.456596428242898</v>
      </c>
      <c r="AC104" s="100">
        <v>6612.7515812208085</v>
      </c>
      <c r="AD104" s="100">
        <v>4.0880440387305326</v>
      </c>
      <c r="AE104" s="100">
        <v>2585.2790500931887</v>
      </c>
      <c r="AF104" s="100">
        <v>11.185550277933917</v>
      </c>
      <c r="AG104" s="100">
        <v>7073.7419957654092</v>
      </c>
      <c r="AH104" s="100">
        <v>8.4154197163926288</v>
      </c>
      <c r="AI104" s="100">
        <v>5321.9114286466984</v>
      </c>
      <c r="AJ104" s="100">
        <v>3.7597730769831532</v>
      </c>
      <c r="AK104" s="100">
        <v>2377.680493884146</v>
      </c>
      <c r="AL104" s="100">
        <v>6.5419115588796561</v>
      </c>
      <c r="AM104" s="100">
        <v>4137.1048698354944</v>
      </c>
      <c r="AN104" s="100">
        <v>6.0589908993490385</v>
      </c>
      <c r="AO104" s="100">
        <v>3831.7058447483319</v>
      </c>
      <c r="AP104" s="100">
        <v>9.9631614596603431</v>
      </c>
      <c r="AQ104" s="100">
        <v>6300.7033070892003</v>
      </c>
      <c r="AR104" s="100">
        <v>4.2938490314426936</v>
      </c>
      <c r="AS104" s="100">
        <v>2715.4301274843592</v>
      </c>
      <c r="AT104" s="100">
        <v>8.0333143265724249</v>
      </c>
      <c r="AU104" s="100">
        <v>5080.2679801244012</v>
      </c>
      <c r="AV104" s="100">
        <v>8.8532446074058484</v>
      </c>
      <c r="AW104" s="100">
        <v>5598.7918897234586</v>
      </c>
      <c r="AX104" s="100">
        <v>8.2715477429436532</v>
      </c>
      <c r="AY104" s="100">
        <v>5230.926792637566</v>
      </c>
      <c r="AZ104" s="100">
        <v>1.4749640241059556</v>
      </c>
      <c r="BA104" s="100">
        <v>932.76724884460634</v>
      </c>
      <c r="BB104" s="100">
        <v>6.2548473317415683</v>
      </c>
      <c r="BC104" s="100">
        <v>3955.5654525933678</v>
      </c>
      <c r="BD104" s="100">
        <v>7.1017551006219684</v>
      </c>
      <c r="BE104" s="100">
        <v>4491.1499256333327</v>
      </c>
      <c r="BF104" s="100">
        <v>7.2699707637075814</v>
      </c>
      <c r="BG104" s="100">
        <v>4597.529510968674</v>
      </c>
      <c r="BH104" s="100">
        <v>2.7030220756590961</v>
      </c>
      <c r="BI104" s="100">
        <v>1709.3911606468123</v>
      </c>
      <c r="BJ104" s="100">
        <v>7.627244765975842</v>
      </c>
      <c r="BK104" s="100">
        <v>4823.469590003122</v>
      </c>
      <c r="BL104" s="100">
        <v>7.2955815434006306</v>
      </c>
      <c r="BM104" s="100">
        <v>4613.7257680465582</v>
      </c>
      <c r="BN104" s="100">
        <v>11.525315204985203</v>
      </c>
      <c r="BO104" s="100">
        <v>7288.6093356326419</v>
      </c>
      <c r="BP104" s="100">
        <v>7</v>
      </c>
      <c r="BQ104" s="100">
        <v>4426.8</v>
      </c>
      <c r="BR104" s="100">
        <v>7.4991474847209725</v>
      </c>
      <c r="BS104" s="100">
        <v>4742.460869337543</v>
      </c>
      <c r="BT104" s="100">
        <v>6.0256777127632013</v>
      </c>
      <c r="BU104" s="100">
        <v>3810.6385855514482</v>
      </c>
      <c r="BV104" s="100">
        <v>6.0470855948528399</v>
      </c>
      <c r="BW104" s="100">
        <v>3824.1769301849358</v>
      </c>
      <c r="BX104" s="100">
        <v>3.3932405954406031</v>
      </c>
      <c r="BY104" s="100">
        <v>2145.8853525566374</v>
      </c>
      <c r="BZ104" s="100">
        <v>3.2287444956120792</v>
      </c>
      <c r="CA104" s="100">
        <v>2041.8580190250789</v>
      </c>
      <c r="CB104" s="100">
        <v>4.0627764884884927</v>
      </c>
      <c r="CC104" s="100">
        <v>2569.2998513201228</v>
      </c>
      <c r="CD104" s="100">
        <v>4.2532740586476407</v>
      </c>
      <c r="CE104" s="100">
        <v>2689.7705146887679</v>
      </c>
      <c r="CF104" s="100">
        <v>6.1014299241160037</v>
      </c>
      <c r="CG104" s="100">
        <v>3858.5442840109604</v>
      </c>
      <c r="CH104" s="100">
        <v>6.6627318046031334</v>
      </c>
      <c r="CI104" s="100">
        <v>4213.5115932310218</v>
      </c>
      <c r="CJ104" s="100">
        <v>5.3133624760569651</v>
      </c>
      <c r="CK104" s="100">
        <v>3360.1704298584245</v>
      </c>
      <c r="CL104" s="100">
        <v>6.426361154756985</v>
      </c>
      <c r="CM104" s="100">
        <v>4064.0307942683171</v>
      </c>
      <c r="CN104" s="100">
        <v>9.3984719750748962</v>
      </c>
      <c r="CO104" s="100">
        <v>5943.5936770373637</v>
      </c>
      <c r="CP104" s="100">
        <v>5.4326806781604446</v>
      </c>
      <c r="CQ104" s="100">
        <v>3435.627260868665</v>
      </c>
      <c r="CR104" s="100">
        <v>5.7741503244551309</v>
      </c>
      <c r="CS104" s="100">
        <v>3651.5726651854247</v>
      </c>
      <c r="CT104" s="100">
        <v>7.1007557059194122</v>
      </c>
      <c r="CU104" s="100">
        <v>4490.517908423436</v>
      </c>
    </row>
    <row r="105" spans="2:99">
      <c r="C105" s="99" t="s">
        <v>271</v>
      </c>
      <c r="D105" s="100">
        <v>9.0355762830476873</v>
      </c>
      <c r="E105" s="100">
        <v>5031.0088744009518</v>
      </c>
      <c r="F105" s="100">
        <v>4.6919402022107581</v>
      </c>
      <c r="G105" s="100">
        <v>2612.47230459095</v>
      </c>
      <c r="H105" s="100">
        <v>8.3007358089102397</v>
      </c>
      <c r="I105" s="100">
        <v>4621.8496984012208</v>
      </c>
      <c r="J105" s="100">
        <v>6.2075745545039185</v>
      </c>
      <c r="K105" s="100">
        <v>3456.3775119477814</v>
      </c>
      <c r="L105" s="100">
        <v>7.1950115948882694</v>
      </c>
      <c r="M105" s="100">
        <v>4006.1824560337882</v>
      </c>
      <c r="N105" s="100">
        <v>6.9668642647806731</v>
      </c>
      <c r="O105" s="100">
        <v>3879.1500226298785</v>
      </c>
      <c r="P105" s="100">
        <v>6.1370232916094363</v>
      </c>
      <c r="Q105" s="100">
        <v>3417.0945687681337</v>
      </c>
      <c r="R105" s="100">
        <v>8.3211485340004234</v>
      </c>
      <c r="S105" s="100">
        <v>4633.2155037314351</v>
      </c>
      <c r="T105" s="100">
        <v>6.5587078820668463</v>
      </c>
      <c r="U105" s="100">
        <v>3651.8885487348198</v>
      </c>
      <c r="V105" s="100">
        <v>8.0554425378990437</v>
      </c>
      <c r="W105" s="100">
        <v>4485.2704051021874</v>
      </c>
      <c r="X105" s="100">
        <v>6.2704093887779484</v>
      </c>
      <c r="Y105" s="100">
        <v>3491.3639476715612</v>
      </c>
      <c r="Z105" s="100">
        <v>4.3723306121492209</v>
      </c>
      <c r="AA105" s="100">
        <v>2434.5136848446859</v>
      </c>
      <c r="AB105" s="100">
        <v>10.456596428242898</v>
      </c>
      <c r="AC105" s="100">
        <v>5822.2328912456451</v>
      </c>
      <c r="AD105" s="100">
        <v>4.1032426869036849</v>
      </c>
      <c r="AE105" s="100">
        <v>2284.6855280679715</v>
      </c>
      <c r="AF105" s="100">
        <v>9.1855502779339169</v>
      </c>
      <c r="AG105" s="100">
        <v>5114.5143947536044</v>
      </c>
      <c r="AH105" s="100">
        <v>7.6503815603569363</v>
      </c>
      <c r="AI105" s="100">
        <v>4259.732452806742</v>
      </c>
      <c r="AJ105" s="100">
        <v>4.1607442091251272</v>
      </c>
      <c r="AK105" s="100">
        <v>2316.7023756408707</v>
      </c>
      <c r="AL105" s="100">
        <v>5.8843307823365167</v>
      </c>
      <c r="AM105" s="100">
        <v>3276.3953796049723</v>
      </c>
      <c r="AN105" s="100">
        <v>6.2486651908943678</v>
      </c>
      <c r="AO105" s="100">
        <v>3479.2567782899837</v>
      </c>
      <c r="AP105" s="100">
        <v>8.9878926580948466</v>
      </c>
      <c r="AQ105" s="100">
        <v>5004.4586320272101</v>
      </c>
      <c r="AR105" s="100">
        <v>4.1925292953937694</v>
      </c>
      <c r="AS105" s="100">
        <v>2334.4003116752506</v>
      </c>
      <c r="AT105" s="100">
        <v>8.6887404242129076</v>
      </c>
      <c r="AU105" s="100">
        <v>4837.8906682017468</v>
      </c>
      <c r="AV105" s="100">
        <v>7.8532446074058484</v>
      </c>
      <c r="AW105" s="100">
        <v>4372.6865974035763</v>
      </c>
      <c r="AX105" s="100">
        <v>9.1108425394727988</v>
      </c>
      <c r="AY105" s="100">
        <v>5072.9171259784544</v>
      </c>
      <c r="AZ105" s="100">
        <v>1.6856731704068064</v>
      </c>
      <c r="BA105" s="100">
        <v>938.58282128250971</v>
      </c>
      <c r="BB105" s="100">
        <v>6.7724662675834244</v>
      </c>
      <c r="BC105" s="100">
        <v>3770.9092177904504</v>
      </c>
      <c r="BD105" s="100">
        <v>7.1017551006219684</v>
      </c>
      <c r="BE105" s="100">
        <v>3954.2572400263116</v>
      </c>
      <c r="BF105" s="100">
        <v>7.8679362703276272</v>
      </c>
      <c r="BG105" s="100">
        <v>4380.8669153184228</v>
      </c>
      <c r="BH105" s="100">
        <v>2.9484529958703556</v>
      </c>
      <c r="BI105" s="100">
        <v>1641.6986281006139</v>
      </c>
      <c r="BJ105" s="100">
        <v>7.6918305830498372</v>
      </c>
      <c r="BK105" s="100">
        <v>4282.8112686421491</v>
      </c>
      <c r="BL105" s="100">
        <v>7.2968730893253344</v>
      </c>
      <c r="BM105" s="100">
        <v>4062.898936136346</v>
      </c>
      <c r="BN105" s="100">
        <v>10.525315204985203</v>
      </c>
      <c r="BO105" s="100">
        <v>5860.4955061357605</v>
      </c>
      <c r="BP105" s="100">
        <v>7</v>
      </c>
      <c r="BQ105" s="100">
        <v>3897.5999999999995</v>
      </c>
      <c r="BR105" s="100">
        <v>7.4991474847209725</v>
      </c>
      <c r="BS105" s="100">
        <v>4175.5253194926372</v>
      </c>
      <c r="BT105" s="100">
        <v>6.1109316635868582</v>
      </c>
      <c r="BU105" s="100">
        <v>3402.5667502851625</v>
      </c>
      <c r="BV105" s="100">
        <v>6.5909761811315741</v>
      </c>
      <c r="BW105" s="100">
        <v>3669.8555376540603</v>
      </c>
      <c r="BX105" s="100">
        <v>3.8259997830900163</v>
      </c>
      <c r="BY105" s="100">
        <v>2130.3166792245211</v>
      </c>
      <c r="BZ105" s="100">
        <v>3.248974554489191</v>
      </c>
      <c r="CA105" s="100">
        <v>1809.0290319395815</v>
      </c>
      <c r="CB105" s="100">
        <v>4.0627764884884927</v>
      </c>
      <c r="CC105" s="100">
        <v>2262.1539487903924</v>
      </c>
      <c r="CD105" s="100">
        <v>4.6537199608752937</v>
      </c>
      <c r="CE105" s="100">
        <v>2591.1912742153631</v>
      </c>
      <c r="CF105" s="100">
        <v>5.3418082633102095</v>
      </c>
      <c r="CG105" s="100">
        <v>2974.3188410111243</v>
      </c>
      <c r="CH105" s="100">
        <v>7.2352811469010243</v>
      </c>
      <c r="CI105" s="100">
        <v>4028.6045425944899</v>
      </c>
      <c r="CJ105" s="100">
        <v>4.7327111783939699</v>
      </c>
      <c r="CK105" s="100">
        <v>2635.1735841297623</v>
      </c>
      <c r="CL105" s="100">
        <v>5.9356774672801</v>
      </c>
      <c r="CM105" s="100">
        <v>3304.9852137815597</v>
      </c>
      <c r="CN105" s="100">
        <v>8.3984719750748962</v>
      </c>
      <c r="CO105" s="100">
        <v>4676.2691957217021</v>
      </c>
      <c r="CP105" s="100">
        <v>6.2087779178976508</v>
      </c>
      <c r="CQ105" s="100">
        <v>3457.0475446854116</v>
      </c>
      <c r="CR105" s="100">
        <v>5.9088418767894995</v>
      </c>
      <c r="CS105" s="100">
        <v>3290.043156996393</v>
      </c>
      <c r="CT105" s="100">
        <v>7.6649231111818752</v>
      </c>
      <c r="CU105" s="100">
        <v>4267.8291883060674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255.34893757772522</v>
      </c>
      <c r="E109" s="100">
        <f>SUM(L$6:L$19)+SUM(N$6:N$19)+SUM(P$6:P$19)+SUM(R$6:R$19)</f>
        <v>295.93951519688437</v>
      </c>
      <c r="F109" s="100">
        <f>SUM(T$6:T$19)+SUM(V$6:V$19)+SUM(X$6:X$19)+SUM(Z$6:Z$19)</f>
        <v>353.40044636805925</v>
      </c>
      <c r="G109" s="100">
        <f>SUM(AB$6:AB$19)+SUM(AD$6:AD$19)+SUM(AF$6:AF$19)+SUM(AH$6:AH$19)</f>
        <v>327.16010097466841</v>
      </c>
      <c r="H109" s="100">
        <f>SUM(AJ$6:AJ$19)+SUM(AL$6:AL$19)+SUM(AN$6:AN$19)+SUM(AP$6:AP$19)</f>
        <v>339.66660963577397</v>
      </c>
      <c r="I109" s="100">
        <f>SUM(AR$6:AR$19)+SUM(AT$6:AT$19)+SUM(AV$6:AV$19)+SUM(AX$6:AX$19)</f>
        <v>271.32834020411894</v>
      </c>
      <c r="J109" s="100">
        <f>SUM(AZ$6:AZ$19)+SUM(BB$6:BB$19)+SUM(BD$6:BD$19)+SUM(BF$6:BF$19)</f>
        <v>239.20497498914492</v>
      </c>
      <c r="K109" s="100">
        <f>SUM(BH$6:BH$19)+SUM(BJ$6:BJ$19)+SUM(BL$6:BL$19)+SUM(BN$6:BN$19)</f>
        <v>397.39927022125113</v>
      </c>
      <c r="L109" s="100">
        <f>SUM(BP$6:BP$19)+SUM(BR$6:BR$19)+SUM(BT$6:BT$19)+SUM(BV$6:BV$19)</f>
        <v>439.9965348627511</v>
      </c>
      <c r="M109" s="100">
        <f>SUM(BX$6:BX$19)+SUM(BZ$6:BZ$19)+SUM(CB$6:CB$19)+SUM(CD$6:CD$19)</f>
        <v>228.9745450839691</v>
      </c>
      <c r="N109" s="100">
        <f>SUM(CF$6:CF$19)+SUM(CH$6:CH$19)+SUM(CJ$6:CJ$19)+SUM(CL$6:CL$19)</f>
        <v>387.55214953755524</v>
      </c>
      <c r="O109" s="100">
        <f>SUM(CN$6:CN$19)+SUM(CP$6:CP$19)+SUM(CR$6:CR$19)+SUM(CT$6:CT$19)</f>
        <v>335.39418827715099</v>
      </c>
    </row>
    <row r="110" spans="2:99">
      <c r="C110" s="99" t="s">
        <v>127</v>
      </c>
      <c r="D110" s="100">
        <f>SUM(D$20:D$36)+SUM(F$20:F$36)+SUM(H$20:H$36)+SUM(J$20:J$36)</f>
        <v>395.33147853004232</v>
      </c>
      <c r="E110" s="100">
        <f>SUM(L$20:L$36)+SUM(N$20:N$36)+SUM(P$20:P$36)+SUM(R$20:R$36)</f>
        <v>444.24705577196607</v>
      </c>
      <c r="F110" s="100">
        <f>SUM(T$20:T$36)+SUM(V$20:V$36)+SUM(X$20:X$36)+SUM(Z$20:Z$36)</f>
        <v>516.5831610489131</v>
      </c>
      <c r="G110" s="100">
        <f>SUM(AB$20:AB$36)+SUM(AD$20:AD$36)+SUM(AF$20:AF$36)+SUM(AH$20:AH$36)</f>
        <v>430.21512042199652</v>
      </c>
      <c r="H110" s="100">
        <f>SUM(AJ$20:AJ$36)+SUM(AL$20:AL$36)+SUM(AN$20:AN$36)+SUM(AP$20:AP$36)</f>
        <v>439.78334740625894</v>
      </c>
      <c r="I110" s="100">
        <f>SUM(AR$20:AR$36)+SUM(AT$20:AT$36)+SUM(AV$20:AV$36)+SUM(AX$20:AX$36)</f>
        <v>459.79274803716442</v>
      </c>
      <c r="J110" s="100">
        <f>SUM(AZ$20:AZ$36)+SUM(BB$20:BB$36)+SUM(BD$20:BD$36)+SUM(BF$20:BF$36)</f>
        <v>399.83140065960384</v>
      </c>
      <c r="K110" s="100">
        <f>SUM(BH$20:BH$36)+SUM(BJ$20:BJ$36)+SUM(BL$20:BL$36)+SUM(BN$20:BN$36)</f>
        <v>563.64979369532705</v>
      </c>
      <c r="L110" s="100">
        <f>SUM(BP$20:BP$36)+SUM(BR$20:BR$36)+SUM(BT$20:BT$36)+SUM(BV$20:BV$36)</f>
        <v>462.45304575104473</v>
      </c>
      <c r="M110" s="100">
        <f>SUM(BX$20:BX$36)+SUM(BZ$20:BZ$36)+SUM(CB$20:CB$36)+SUM(CD$20:CD$36)</f>
        <v>315.61866734497232</v>
      </c>
      <c r="N110" s="100">
        <f>SUM(CF$20:CF$36)+SUM(CH$20:CH$36)+SUM(CJ$20:CJ$36)+SUM(CL$20:CL$36)</f>
        <v>519.60421319225259</v>
      </c>
      <c r="O110" s="100">
        <f>SUM(CN$20:CN$36)+SUM(CP$20:CP$36)+SUM(CR$20:CR$36)+SUM(CT$20:CT$36)</f>
        <v>439.56859196385983</v>
      </c>
    </row>
    <row r="111" spans="2:99">
      <c r="C111" s="99" t="s">
        <v>128</v>
      </c>
      <c r="D111" s="100">
        <f>SUM(D$37:D$48)+SUM(F$37:F$48)+SUM(H$37:H$48)+SUM(J$37:J$48)</f>
        <v>635.57625431035603</v>
      </c>
      <c r="E111" s="100">
        <f>SUM(L$37:L$48)+SUM(N$37:N$48)+SUM(P$37:P$48)+SUM(R$37:R$48)</f>
        <v>626.2125956412815</v>
      </c>
      <c r="F111" s="100">
        <f>SUM(T$37:T$48)+SUM(V$37:V$48)+SUM(X$37:X$48)+SUM(Z$37:Z$48)</f>
        <v>577.11679824651208</v>
      </c>
      <c r="G111" s="100">
        <f>SUM(AB$37:AB$48)+SUM(AD$37:AD$48)+SUM(AF$37:AF$48)+SUM(AH$37:AH$48)</f>
        <v>590.07654574844855</v>
      </c>
      <c r="H111" s="100">
        <f>SUM(AJ$37:AJ$48)+SUM(AL$37:AL$48)+SUM(AN$37:AN$48)+SUM(AP$37:AP$48)</f>
        <v>556.57848431372008</v>
      </c>
      <c r="I111" s="100">
        <f>SUM(AR$37:AR$48)+SUM(AT$37:AT$48)+SUM(AV$37:AV$48)+SUM(AX$37:AX$48)</f>
        <v>518.91487080496677</v>
      </c>
      <c r="J111" s="100">
        <f>SUM(AZ$37:AZ$48)+SUM(BB$37:BB$48)+SUM(BD$37:BD$48)+SUM(BF$37:BF$48)</f>
        <v>359.17746818489638</v>
      </c>
      <c r="K111" s="100">
        <f>SUM(BH$37:BH$48)+SUM(BJ$37:BJ$48)+SUM(BL$37:BL$48)+SUM(BN$37:BN$48)</f>
        <v>541.84401807331471</v>
      </c>
      <c r="L111" s="100">
        <f>SUM(BP$37:BP$48)+SUM(BR$37:BR$48)+SUM(BT$37:BT$48)+SUM(BV$37:BV$48)</f>
        <v>644.06299121718484</v>
      </c>
      <c r="M111" s="100">
        <f>SUM(BX$37:BX$48)+SUM(BZ$37:BZ$48)+SUM(CB$37:CB$48)+SUM(CD$37:CD$48)</f>
        <v>366.1962438747471</v>
      </c>
      <c r="N111" s="100">
        <f>SUM(CF$37:CF$48)+SUM(CH$37:CH$48)+SUM(CJ$37:CJ$48)+SUM(CL$37:CL$48)</f>
        <v>669.44901357964318</v>
      </c>
      <c r="O111" s="100">
        <f>SUM(CN$37:CN$48)+SUM(CP$37:CP$48)+SUM(CR$37:CR$48)+SUM(CT$37:CT$48)</f>
        <v>478.94202210761955</v>
      </c>
    </row>
    <row r="112" spans="2:99">
      <c r="C112" s="99" t="s">
        <v>129</v>
      </c>
      <c r="D112" s="100">
        <f>SUM(D$49:D$70)+SUM(F$49:F$70)+SUM(H$49:H$70)+SUM(J$49:J$70)</f>
        <v>636.00596279008607</v>
      </c>
      <c r="E112" s="100">
        <f>SUM(L$49:L$70)+SUM(N$49:N$70)+SUM(P$49:P$70)+SUM(R$49:R$70)</f>
        <v>615.43447137764281</v>
      </c>
      <c r="F112" s="100">
        <f>SUM(T$49:T$70)+SUM(V$49:V$70)+SUM(X$49:X$70)+SUM(Z$49:Z$70)</f>
        <v>693.19323542173117</v>
      </c>
      <c r="G112" s="100">
        <f>SUM(AB$49:AB$70)+SUM(AD$49:AD$70)+SUM(AF$49:AF$70)+SUM(AH$49:AH$70)</f>
        <v>630.55331902903265</v>
      </c>
      <c r="H112" s="100">
        <f>SUM(AJ$49:AJ$70)+SUM(AL$49:AL$70)+SUM(AN$49:AN$70)+SUM(AP$49:AP$70)</f>
        <v>505.4869813719921</v>
      </c>
      <c r="I112" s="100">
        <f>SUM(AR$49:AR$70)+SUM(AT$49:AT$70)+SUM(AV$49:AV$70)+SUM(AX$49:AX$70)</f>
        <v>571.51704947737187</v>
      </c>
      <c r="J112" s="100">
        <f>SUM(AZ$49:AZ$70)+SUM(BB$49:BB$70)+SUM(BD$49:BD$70)+SUM(BF$49:BF$70)</f>
        <v>474.57309307329024</v>
      </c>
      <c r="K112" s="100">
        <f>SUM(BH$49:BH$70)+SUM(BJ$49:BJ$70)+SUM(BL$49:BL$70)+SUM(BN$49:BN$70)</f>
        <v>580.34986353642637</v>
      </c>
      <c r="L112" s="100">
        <f>SUM(BP$49:BP$70)+SUM(BR$49:BR$70)+SUM(BT$49:BT$70)+SUM(BV$49:BV$70)</f>
        <v>531.16622899430524</v>
      </c>
      <c r="M112" s="100">
        <f>SUM(BX$49:BX$70)+SUM(BZ$49:BZ$70)+SUM(CB$49:CB$70)+SUM(CD$49:CD$70)</f>
        <v>379.93521863693275</v>
      </c>
      <c r="N112" s="100">
        <f>SUM(CF$49:CF$70)+SUM(CH$49:CH$70)+SUM(CJ$49:CJ$70)+SUM(CL$49:CL$70)</f>
        <v>655.46191799567487</v>
      </c>
      <c r="O112" s="100">
        <f>SUM(CN$49:CN$70)+SUM(CP$49:CP$70)+SUM(CR$49:CR$70)+SUM(CT$49:CT$70)</f>
        <v>565.21636664725997</v>
      </c>
    </row>
    <row r="113" spans="2:15">
      <c r="C113" s="99" t="s">
        <v>130</v>
      </c>
      <c r="D113" s="100">
        <f>SUM(D$71:D$86)+SUM(F$71:F$86)+SUM(H$71:H$86)+SUM(J$71:J$86)</f>
        <v>325.94335711171107</v>
      </c>
      <c r="E113" s="100">
        <f>SUM(L$71:L$86)+SUM(N$71:N$86)+SUM(P$71:P$86)+SUM(R$71:R$86)</f>
        <v>349.3333438613289</v>
      </c>
      <c r="F113" s="100">
        <f>SUM(T$71:T$86)+SUM(V$71:V$86)+SUM(X$71:X$86)+SUM(Z$71:Z$86)</f>
        <v>371.3036799994274</v>
      </c>
      <c r="G113" s="100">
        <f>SUM(AB$71:AB$86)+SUM(AD$71:AD$86)+SUM(AF$71:AF$86)+SUM(AH$71:AH$86)</f>
        <v>323.13919642255661</v>
      </c>
      <c r="H113" s="100">
        <f>SUM(AJ$71:AJ$86)+SUM(AL$71:AL$86)+SUM(AN$71:AN$86)+SUM(AP$71:AP$86)</f>
        <v>402.38301652816841</v>
      </c>
      <c r="I113" s="100">
        <f>SUM(AR$71:AR$86)+SUM(AT$71:AT$86)+SUM(AV$71:AV$86)+SUM(AX$71:AX$86)</f>
        <v>348.99056774519579</v>
      </c>
      <c r="J113" s="100">
        <f>SUM(AZ$71:AZ$86)+SUM(BB$71:BB$86)+SUM(BD$71:BD$86)+SUM(BF$71:BF$86)</f>
        <v>328.56386294216406</v>
      </c>
      <c r="K113" s="100">
        <f>SUM(BH$71:BH$86)+SUM(BJ$71:BJ$86)+SUM(BL$71:BL$86)+SUM(BN$71:BN$86)</f>
        <v>334.68331171591046</v>
      </c>
      <c r="L113" s="100">
        <f>SUM(BP$71:BP$86)+SUM(BR$71:BR$86)+SUM(BT$71:BT$86)+SUM(BV$71:BV$86)</f>
        <v>375.15139567500984</v>
      </c>
      <c r="M113" s="100">
        <f>SUM(BX$71:BX$86)+SUM(BZ$71:BZ$86)+SUM(CB$71:CB$86)+SUM(CD$71:CD$86)</f>
        <v>210.33940702398283</v>
      </c>
      <c r="N113" s="100">
        <f>SUM(CF$71:CF$86)+SUM(CH$71:CH$86)+SUM(CJ$71:CJ$86)+SUM(CL$71:CL$86)</f>
        <v>328.47444183631603</v>
      </c>
      <c r="O113" s="100">
        <f>SUM(CN$71:CN$86)+SUM(CP$71:CP$86)+SUM(CR$71:CR$86)+SUM(CT$71:CT$86)</f>
        <v>335.8055188013459</v>
      </c>
    </row>
    <row r="114" spans="2:15">
      <c r="C114" s="99" t="s">
        <v>131</v>
      </c>
      <c r="D114" s="100">
        <f>SUM(D$87:D$94)+SUM(F$87:F$94)+SUM(H$87:H$94)+SUM(J$87:J$94)</f>
        <v>161.93642848644308</v>
      </c>
      <c r="E114" s="100">
        <f>SUM(L$87:L$94)+SUM(N$87:N$94)+SUM(P$87:P$94)+SUM(R$87:R$94)</f>
        <v>157.27015048659925</v>
      </c>
      <c r="F114" s="100">
        <f>SUM(T$87:T$94)+SUM(V$87:V$94)+SUM(X$87:X$94)+SUM(Z$87:Z$94)</f>
        <v>131.90243011839067</v>
      </c>
      <c r="G114" s="100">
        <f>SUM(AB$87:AB$94)+SUM(AD$87:AD$94)+SUM(AF$87:AF$94)+SUM(AH$87:AH$94)</f>
        <v>163.01494504286796</v>
      </c>
      <c r="H114" s="100">
        <f>SUM(AJ$87:AJ$94)+SUM(AL$87:AL$94)+SUM(AN$87:AN$94)+SUM(AP$87:AP$94)</f>
        <v>138.96235401384359</v>
      </c>
      <c r="I114" s="100">
        <f>SUM(AR$87:AR$94)+SUM(AT$87:AT$94)+SUM(AV$87:AV$94)+SUM(AX$87:AX$94)</f>
        <v>139.85144339133527</v>
      </c>
      <c r="J114" s="100">
        <f>SUM(AZ$87:AZ$94)+SUM(BB$87:BB$94)+SUM(BD$87:BD$94)+SUM(BF$87:BF$94)</f>
        <v>122.59048727143308</v>
      </c>
      <c r="K114" s="100">
        <f>SUM(BH$87:BH$94)+SUM(BJ$87:BJ$94)+SUM(BL$87:BL$94)+SUM(BN$87:BN$94)</f>
        <v>147.91402262013557</v>
      </c>
      <c r="L114" s="100">
        <f>SUM(BP$87:BP$94)+SUM(BR$87:BR$94)+SUM(BT$87:BT$94)+SUM(BV$87:BV$94)</f>
        <v>162.209066036217</v>
      </c>
      <c r="M114" s="100">
        <f>SUM(BX$87:BX$94)+SUM(BZ$87:BZ$94)+SUM(CB$87:CB$94)+SUM(CD$87:CD$94)</f>
        <v>94.654423642372507</v>
      </c>
      <c r="N114" s="100">
        <f>SUM(CF$87:CF$94)+SUM(CH$87:CH$94)+SUM(CJ$87:CJ$94)+SUM(CL$87:CL$94)</f>
        <v>116.82159368767614</v>
      </c>
      <c r="O114" s="100">
        <f>SUM(CN$87:CN$94)+SUM(CP$87:CP$94)+SUM(CR$87:CR$94)+SUM(CT$87:CT$94)</f>
        <v>197.8477753647316</v>
      </c>
    </row>
    <row r="115" spans="2:15">
      <c r="C115" s="99" t="s">
        <v>132</v>
      </c>
      <c r="D115" s="100">
        <f>SUM(D$95:D$105)+SUM(F$95:F$105)+SUM(H$95:H$105)+SUM(J$95:J$105)</f>
        <v>297.81756694755495</v>
      </c>
      <c r="E115" s="100">
        <f>SUM(L$95:L$105)+SUM(N$95:N$105)+SUM(P$95:P$105)+SUM(R$95:R$105)</f>
        <v>301.27151921943192</v>
      </c>
      <c r="F115" s="100">
        <f>SUM(T$95:T$105)+SUM(V$95:V$105)+SUM(X$95:X$105)+SUM(Z$95:Z$105)</f>
        <v>266.45472332462407</v>
      </c>
      <c r="G115" s="100">
        <f>SUM(AB$95:AB$105)+SUM(AD$95:AD$105)+SUM(AF$95:AF$105)+SUM(AH$95:AH$105)</f>
        <v>353.77662502641152</v>
      </c>
      <c r="H115" s="100">
        <f>SUM(AJ$95:AJ$105)+SUM(AL$95:AL$105)+SUM(AN$95:AN$105)+SUM(AP$95:AP$105)</f>
        <v>280.62724742393101</v>
      </c>
      <c r="I115" s="100">
        <f>SUM(AR$95:AR$105)+SUM(AT$95:AT$105)+SUM(AV$95:AV$105)+SUM(AX$95:AX$105)</f>
        <v>319.28348216751795</v>
      </c>
      <c r="J115" s="100">
        <f>SUM(AZ$95:AZ$105)+SUM(BB$95:BB$105)+SUM(BD$95:BD$105)+SUM(BF$95:BF$105)</f>
        <v>257.44498798829261</v>
      </c>
      <c r="K115" s="100">
        <f>SUM(BH$95:BH$105)+SUM(BJ$95:BJ$105)+SUM(BL$95:BL$105)+SUM(BN$95:BN$105)</f>
        <v>302.7324461020728</v>
      </c>
      <c r="L115" s="100">
        <f>SUM(BP$95:BP$105)+SUM(BR$95:BR$105)+SUM(BT$95:BT$105)+SUM(BV$95:BV$105)</f>
        <v>284.27492334980138</v>
      </c>
      <c r="M115" s="100">
        <f>SUM(BX$95:BX$105)+SUM(BZ$95:BZ$105)+SUM(CB$95:CB$105)+SUM(CD$95:CD$105)</f>
        <v>162.5713514718197</v>
      </c>
      <c r="N115" s="100">
        <f>SUM(CF$95:CF$105)+SUM(CH$95:CH$105)+SUM(CJ$95:CJ$105)+SUM(CL$95:CL$105)</f>
        <v>252.79596501083535</v>
      </c>
      <c r="O115" s="100">
        <f>SUM(CN$95:CN$105)+SUM(CP$95:CP$105)+SUM(CR$95:CR$105)+SUM(CT$95:CT$105)</f>
        <v>301.03083398447598</v>
      </c>
    </row>
    <row r="116" spans="2:15">
      <c r="C116" s="99" t="s">
        <v>278</v>
      </c>
      <c r="D116" s="100">
        <f t="shared" ref="D116:O116" si="0">SUM(D$109:D$115)</f>
        <v>2707.9599857539188</v>
      </c>
      <c r="E116" s="100">
        <f t="shared" si="0"/>
        <v>2789.7086515551346</v>
      </c>
      <c r="F116" s="100">
        <f t="shared" si="0"/>
        <v>2909.9544745276576</v>
      </c>
      <c r="G116" s="100">
        <f t="shared" si="0"/>
        <v>2817.9358526659826</v>
      </c>
      <c r="H116" s="100">
        <f t="shared" si="0"/>
        <v>2663.4880406936877</v>
      </c>
      <c r="I116" s="100">
        <f t="shared" si="0"/>
        <v>2629.6785018276705</v>
      </c>
      <c r="J116" s="100">
        <f t="shared" si="0"/>
        <v>2181.3862751088254</v>
      </c>
      <c r="K116" s="100">
        <f t="shared" si="0"/>
        <v>2868.5727259644382</v>
      </c>
      <c r="L116" s="100">
        <f t="shared" si="0"/>
        <v>2899.3141858863146</v>
      </c>
      <c r="M116" s="100">
        <f t="shared" si="0"/>
        <v>1758.2898570787963</v>
      </c>
      <c r="N116" s="100">
        <f t="shared" si="0"/>
        <v>2930.1592948399539</v>
      </c>
      <c r="O116" s="100">
        <f t="shared" si="0"/>
        <v>2653.8052971464435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1378884.2629197163</v>
      </c>
      <c r="E120" s="100">
        <f>E109*pricing!E33*2000</f>
        <v>1598073.3820631758</v>
      </c>
      <c r="F120" s="100">
        <f>F109*pricing!F33*2000</f>
        <v>1908362.4103875202</v>
      </c>
      <c r="G120" s="100">
        <f>G109*pricing!G33*2000</f>
        <v>1766664.5452632094</v>
      </c>
      <c r="H120" s="100">
        <f>H109*pricing!H33*2000</f>
        <v>1834199.6920331796</v>
      </c>
      <c r="I120" s="100">
        <f>I109*pricing!I33*2000</f>
        <v>1465173.0371022425</v>
      </c>
      <c r="J120" s="100">
        <f>J109*pricing!J33*2000</f>
        <v>1291706.8649413828</v>
      </c>
      <c r="K120" s="100">
        <f>K109*pricing!K33*2000</f>
        <v>2145956.0591947562</v>
      </c>
      <c r="L120" s="100">
        <f>L109*pricing!L33*2000</f>
        <v>2375981.2882588562</v>
      </c>
      <c r="M120" s="100">
        <f>M109*pricing!M33*2000</f>
        <v>1236462.5434534333</v>
      </c>
      <c r="N120" s="100">
        <f>N109*pricing!N33*2000</f>
        <v>2092781.6075027985</v>
      </c>
      <c r="O120" s="100">
        <f>O109*pricing!O33*2000</f>
        <v>1811128.6166966155</v>
      </c>
    </row>
    <row r="121" spans="2:15">
      <c r="C121" s="99" t="s">
        <v>127</v>
      </c>
      <c r="D121" s="100">
        <f>D110*pricing!D34*2000</f>
        <v>1897591.0969442029</v>
      </c>
      <c r="E121" s="100">
        <f>E110*pricing!E34*2000</f>
        <v>2132385.8677054374</v>
      </c>
      <c r="F121" s="100">
        <f>F110*pricing!F34*2000</f>
        <v>2479599.173034783</v>
      </c>
      <c r="G121" s="100">
        <f>G110*pricing!G34*2000</f>
        <v>2065032.5780255829</v>
      </c>
      <c r="H121" s="100">
        <f>H110*pricing!H34*2000</f>
        <v>2110960.0675500426</v>
      </c>
      <c r="I121" s="100">
        <f>I110*pricing!I34*2000</f>
        <v>2207005.190578389</v>
      </c>
      <c r="J121" s="100">
        <f>J110*pricing!J34*2000</f>
        <v>1919190.7231660984</v>
      </c>
      <c r="K121" s="100">
        <f>K110*pricing!K34*2000</f>
        <v>2705519.0097375698</v>
      </c>
      <c r="L121" s="100">
        <f>L110*pricing!L34*2000</f>
        <v>2219774.6196050146</v>
      </c>
      <c r="M121" s="100">
        <f>M110*pricing!M34*2000</f>
        <v>1514969.603255867</v>
      </c>
      <c r="N121" s="100">
        <f>N110*pricing!N34*2000</f>
        <v>2494100.2233228125</v>
      </c>
      <c r="O121" s="100">
        <f>O110*pricing!O34*2000</f>
        <v>2109929.241426527</v>
      </c>
    </row>
    <row r="122" spans="2:15">
      <c r="C122" s="99" t="s">
        <v>128</v>
      </c>
      <c r="D122" s="100">
        <f>D111*pricing!D35*2000</f>
        <v>2923650.7698276378</v>
      </c>
      <c r="E122" s="100">
        <f>E111*pricing!E35*2000</f>
        <v>2880577.9399498948</v>
      </c>
      <c r="F122" s="100">
        <f>F111*pricing!F35*2000</f>
        <v>2654737.2719339556</v>
      </c>
      <c r="G122" s="100">
        <f>G111*pricing!G35*2000</f>
        <v>2714352.1104428633</v>
      </c>
      <c r="H122" s="100">
        <f>H111*pricing!H35*2000</f>
        <v>2560261.0278431121</v>
      </c>
      <c r="I122" s="100">
        <f>I111*pricing!I35*2000</f>
        <v>2387008.4057028471</v>
      </c>
      <c r="J122" s="100">
        <f>J111*pricing!J35*2000</f>
        <v>1652216.3536505231</v>
      </c>
      <c r="K122" s="100">
        <f>K111*pricing!K35*2000</f>
        <v>2492482.4831372476</v>
      </c>
      <c r="L122" s="100">
        <f>L111*pricing!L35*2000</f>
        <v>2962689.75959905</v>
      </c>
      <c r="M122" s="100">
        <f>M111*pricing!M35*2000</f>
        <v>1684502.7218238364</v>
      </c>
      <c r="N122" s="100">
        <f>N111*pricing!N35*2000</f>
        <v>3079465.4624663587</v>
      </c>
      <c r="O122" s="100">
        <f>O111*pricing!O35*2000</f>
        <v>2203133.3016950497</v>
      </c>
    </row>
    <row r="123" spans="2:15">
      <c r="C123" s="99" t="s">
        <v>129</v>
      </c>
      <c r="D123" s="100">
        <f>D112*pricing!D36*2000</f>
        <v>3180029.8139504301</v>
      </c>
      <c r="E123" s="100">
        <f>E112*pricing!E36*2000</f>
        <v>3077172.3568882141</v>
      </c>
      <c r="F123" s="100">
        <f>F112*pricing!F36*2000</f>
        <v>3465966.1771086557</v>
      </c>
      <c r="G123" s="100">
        <f>G112*pricing!G36*2000</f>
        <v>3152766.5951451631</v>
      </c>
      <c r="H123" s="100">
        <f>H112*pricing!H36*2000</f>
        <v>2527434.9068599604</v>
      </c>
      <c r="I123" s="100">
        <f>I112*pricing!I36*2000</f>
        <v>2857585.2473868593</v>
      </c>
      <c r="J123" s="100">
        <f>J112*pricing!J36*2000</f>
        <v>2372865.4653664511</v>
      </c>
      <c r="K123" s="100">
        <f>K112*pricing!K36*2000</f>
        <v>2901749.3176821317</v>
      </c>
      <c r="L123" s="100">
        <f>L112*pricing!L36*2000</f>
        <v>2655831.1449715262</v>
      </c>
      <c r="M123" s="100">
        <f>M112*pricing!M36*2000</f>
        <v>1899676.0931846639</v>
      </c>
      <c r="N123" s="100">
        <f>N112*pricing!N36*2000</f>
        <v>3277309.5899783745</v>
      </c>
      <c r="O123" s="100">
        <f>O112*pricing!O36*2000</f>
        <v>2826081.8332362995</v>
      </c>
    </row>
    <row r="124" spans="2:15">
      <c r="C124" s="99" t="s">
        <v>130</v>
      </c>
      <c r="D124" s="100">
        <f>D113*pricing!D37*2000</f>
        <v>1694905.4569808976</v>
      </c>
      <c r="E124" s="100">
        <f>E113*pricing!E37*2000</f>
        <v>1816533.3880789103</v>
      </c>
      <c r="F124" s="100">
        <f>F113*pricing!F37*2000</f>
        <v>1930779.1359970227</v>
      </c>
      <c r="G124" s="100">
        <f>G113*pricing!G37*2000</f>
        <v>1680323.8213972945</v>
      </c>
      <c r="H124" s="100">
        <f>H113*pricing!H37*2000</f>
        <v>2092391.6859464757</v>
      </c>
      <c r="I124" s="100">
        <f>I113*pricing!I37*2000</f>
        <v>1814750.9522750182</v>
      </c>
      <c r="J124" s="100">
        <f>J113*pricing!J37*2000</f>
        <v>1708532.0872992531</v>
      </c>
      <c r="K124" s="100">
        <f>K113*pricing!K37*2000</f>
        <v>1740353.2209227344</v>
      </c>
      <c r="L124" s="100">
        <f>L113*pricing!L37*2000</f>
        <v>1950787.2575100511</v>
      </c>
      <c r="M124" s="100">
        <f>M113*pricing!M37*2000</f>
        <v>1093764.9165247108</v>
      </c>
      <c r="N124" s="100">
        <f>N113*pricing!N37*2000</f>
        <v>1708067.0975488434</v>
      </c>
      <c r="O124" s="100">
        <f>O113*pricing!O37*2000</f>
        <v>1746188.6977669988</v>
      </c>
    </row>
    <row r="125" spans="2:15">
      <c r="C125" s="99" t="s">
        <v>131</v>
      </c>
      <c r="D125" s="100">
        <f>D114*pricing!D38*2000</f>
        <v>906843.99952408113</v>
      </c>
      <c r="E125" s="100">
        <f>E114*pricing!E38*2000</f>
        <v>880712.84272495576</v>
      </c>
      <c r="F125" s="100">
        <f>F114*pricing!F38*2000</f>
        <v>738653.60866298771</v>
      </c>
      <c r="G125" s="100">
        <f>G114*pricing!G38*2000</f>
        <v>912883.69224006054</v>
      </c>
      <c r="H125" s="100">
        <f>H114*pricing!H38*2000</f>
        <v>778189.18247752415</v>
      </c>
      <c r="I125" s="100">
        <f>I114*pricing!I38*2000</f>
        <v>783168.08299147745</v>
      </c>
      <c r="J125" s="100">
        <f>J114*pricing!J38*2000</f>
        <v>686506.72872002516</v>
      </c>
      <c r="K125" s="100">
        <f>K114*pricing!K38*2000</f>
        <v>828318.52667275921</v>
      </c>
      <c r="L125" s="100">
        <f>L114*pricing!L38*2000</f>
        <v>908370.76980281505</v>
      </c>
      <c r="M125" s="100">
        <f>M114*pricing!M38*2000</f>
        <v>530064.77239728603</v>
      </c>
      <c r="N125" s="100">
        <f>N114*pricing!N38*2000</f>
        <v>654200.92465098645</v>
      </c>
      <c r="O125" s="100">
        <f>O114*pricing!O38*2000</f>
        <v>1107947.5420424968</v>
      </c>
    </row>
    <row r="126" spans="2:15">
      <c r="C126" s="99" t="s">
        <v>132</v>
      </c>
      <c r="D126" s="100">
        <f>D115*pricing!D39*2000</f>
        <v>1548651.3481272857</v>
      </c>
      <c r="E126" s="100">
        <f>E115*pricing!E39*2000</f>
        <v>1566611.899941046</v>
      </c>
      <c r="F126" s="100">
        <f>F115*pricing!F39*2000</f>
        <v>1385564.5612880453</v>
      </c>
      <c r="G126" s="100">
        <f>G115*pricing!G39*2000</f>
        <v>1839638.45013734</v>
      </c>
      <c r="H126" s="100">
        <f>H115*pricing!H39*2000</f>
        <v>1459261.6866044414</v>
      </c>
      <c r="I126" s="100">
        <f>I115*pricing!I39*2000</f>
        <v>1660274.1072710932</v>
      </c>
      <c r="J126" s="100">
        <f>J115*pricing!J39*2000</f>
        <v>1338713.9375391216</v>
      </c>
      <c r="K126" s="100">
        <f>K115*pricing!K39*2000</f>
        <v>1574208.7197307786</v>
      </c>
      <c r="L126" s="100">
        <f>L115*pricing!L39*2000</f>
        <v>1478229.6014189671</v>
      </c>
      <c r="M126" s="100">
        <f>M115*pricing!M39*2000</f>
        <v>845371.02765346237</v>
      </c>
      <c r="N126" s="100">
        <f>N115*pricing!N39*2000</f>
        <v>1314539.0180563438</v>
      </c>
      <c r="O126" s="100">
        <f>O115*pricing!O39*2000</f>
        <v>1565360.3367192752</v>
      </c>
    </row>
    <row r="127" spans="2:15">
      <c r="C127" s="99" t="s">
        <v>278</v>
      </c>
      <c r="D127" s="100">
        <f>SUM(D$120:D$126)</f>
        <v>13530556.74827425</v>
      </c>
      <c r="E127" s="100">
        <f t="shared" ref="E127:O127" si="1">SUM(E$120:E$126)</f>
        <v>13952067.677351635</v>
      </c>
      <c r="F127" s="100">
        <f t="shared" si="1"/>
        <v>14563662.33841297</v>
      </c>
      <c r="G127" s="100">
        <f t="shared" si="1"/>
        <v>14131661.792651515</v>
      </c>
      <c r="H127" s="100">
        <f t="shared" si="1"/>
        <v>13362698.249314737</v>
      </c>
      <c r="I127" s="100">
        <f t="shared" si="1"/>
        <v>13174965.023307927</v>
      </c>
      <c r="J127" s="100">
        <f t="shared" si="1"/>
        <v>10969732.160682855</v>
      </c>
      <c r="K127" s="100">
        <f t="shared" si="1"/>
        <v>14388587.337077979</v>
      </c>
      <c r="L127" s="100">
        <f t="shared" si="1"/>
        <v>14551664.441166278</v>
      </c>
      <c r="M127" s="100">
        <f t="shared" si="1"/>
        <v>8804811.6782932617</v>
      </c>
      <c r="N127" s="100">
        <f t="shared" si="1"/>
        <v>14620463.923526518</v>
      </c>
      <c r="O127" s="100">
        <f t="shared" si="1"/>
        <v>13369769.569583261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128351.67481409341</v>
      </c>
      <c r="E131" s="106">
        <f>SUM(M$6:M$19)+SUM(O$6:O$19)+SUM(Q$6:Q$19)+SUM(S$6:S$19)</f>
        <v>149491.31999969191</v>
      </c>
      <c r="F131" s="106">
        <f>SUM(U$6:U$19)+SUM(W$6:W$19)+SUM(Y$6:Y$19)+SUM(AA$6:AA$19)</f>
        <v>178247.70216696386</v>
      </c>
      <c r="G131" s="106">
        <f>SUM(AC$6:AC$19)+SUM(AE$6:AE$19)+SUM(AG$6:AG$19)+SUM(AI$6:AI$19)</f>
        <v>165071.79732799414</v>
      </c>
      <c r="H131" s="106">
        <f>SUM(AK$6:AK$19)+SUM(AM$6:AM$19)+SUM(AO$6:AO$19)+SUM(AQ$6:AQ$19)</f>
        <v>170952.00511070702</v>
      </c>
      <c r="I131" s="106">
        <f>SUM(AS$6:AS$19)+SUM(AU$6:AU$19)+SUM(AW$6:AW$19)+SUM(AY$6:AY$19)</f>
        <v>137156.46738293674</v>
      </c>
      <c r="J131" s="106">
        <f>SUM(BA$6:BA$19)+SUM(BC$6:BC$19)+SUM(BE$6:BE$19)+SUM(BG$6:BG$19)</f>
        <v>120417.59666791841</v>
      </c>
      <c r="K131" s="106">
        <f>SUM(BI$6:BI$19)+SUM(BK$6:BK$19)+SUM(BM$6:BM$19)+SUM(BO$6:BO$19)</f>
        <v>199850.07112508273</v>
      </c>
      <c r="L131" s="106">
        <f>SUM(BQ$6:BQ$19)+SUM(BS$6:BS$19)+SUM(BU$6:BU$19)+SUM(BW$6:BW$19)</f>
        <v>221223.69360771219</v>
      </c>
      <c r="M131" s="106">
        <f>SUM(BY$6:BY$19)+SUM(CA$6:CA$19)+SUM(CC$6:CC$19)+SUM(CE$6:CE$19)</f>
        <v>115690.74998204608</v>
      </c>
      <c r="N131" s="106">
        <f>SUM(CG$6:CG$19)+SUM(CI$6:CI$19)+SUM(CK$6:CK$19)+SUM(CM$6:CM$19)</f>
        <v>194655.90860687982</v>
      </c>
      <c r="O131" s="106">
        <f>SUM(CO$6:CO$19)+SUM(CQ$6:CQ$19)+SUM(CS$6:CS$19)+SUM(CU$6:CU$19)</f>
        <v>169538.98575658427</v>
      </c>
    </row>
    <row r="132" spans="2:15">
      <c r="C132" s="105" t="s">
        <v>127</v>
      </c>
      <c r="D132" s="106">
        <f>SUM(E$20:E$36)+SUM(G$20:G$36)+SUM(I$20:I$36)+SUM(K$20:K$36)</f>
        <v>168277.94821998585</v>
      </c>
      <c r="E132" s="106">
        <f>SUM(M$20:M$36)+SUM(O$20:O$36)+SUM(Q$20:Q$36)+SUM(S$20:S$36)</f>
        <v>189336.73686039893</v>
      </c>
      <c r="F132" s="106">
        <f>SUM(U$20:U$36)+SUM(W$20:W$36)+SUM(Y$20:Y$36)+SUM(AA$20:AA$36)</f>
        <v>219861.93189385819</v>
      </c>
      <c r="G132" s="106">
        <f>SUM(AC$20:AC$36)+SUM(AE$20:AE$36)+SUM(AG$20:AG$36)+SUM(AI$20:AI$36)</f>
        <v>184663.58442001819</v>
      </c>
      <c r="H132" s="106">
        <f>SUM(AK$20:AK$36)+SUM(AM$20:AM$36)+SUM(AO$20:AO$36)+SUM(AQ$20:AQ$36)</f>
        <v>187120.0382508878</v>
      </c>
      <c r="I132" s="106">
        <f>SUM(AS$20:AS$36)+SUM(AU$20:AU$36)+SUM(AW$20:AW$36)+SUM(AY$20:AY$36)</f>
        <v>196280.1500717095</v>
      </c>
      <c r="J132" s="106">
        <f>SUM(BA$20:BA$36)+SUM(BC$20:BC$36)+SUM(BE$20:BE$36)+SUM(BG$20:BG$36)</f>
        <v>170517.04968960813</v>
      </c>
      <c r="K132" s="106">
        <f>SUM(BI$20:BI$36)+SUM(BK$20:BK$36)+SUM(BM$20:BM$36)+SUM(BO$20:BO$36)</f>
        <v>239544.85178951686</v>
      </c>
      <c r="L132" s="106">
        <f>SUM(BQ$20:BQ$36)+SUM(BS$20:BS$36)+SUM(BU$20:BU$36)+SUM(BW$20:BW$36)</f>
        <v>196689.62040982666</v>
      </c>
      <c r="M132" s="106">
        <f>SUM(BY$20:BY$36)+SUM(CA$20:CA$36)+SUM(CC$20:CC$36)+SUM(CE$20:CE$36)</f>
        <v>134159.96702333604</v>
      </c>
      <c r="N132" s="106">
        <f>SUM(CG$20:CG$36)+SUM(CI$20:CI$36)+SUM(CK$20:CK$36)+SUM(CM$20:CM$36)</f>
        <v>221283.21206335438</v>
      </c>
      <c r="O132" s="106">
        <f>SUM(CO$20:CO$36)+SUM(CQ$20:CQ$36)+SUM(CS$20:CS$36)+SUM(CU$20:CU$36)</f>
        <v>187752.26584708731</v>
      </c>
    </row>
    <row r="133" spans="2:15">
      <c r="C133" s="105" t="s">
        <v>128</v>
      </c>
      <c r="D133" s="106">
        <f>SUM(E$37:E$48)+SUM(G$37:G$48)+SUM(I$37:I$48)+SUM(K$37:K$48)</f>
        <v>663635.1853984897</v>
      </c>
      <c r="E133" s="106">
        <f>SUM(M$37:M$48)+SUM(O$37:O$48)+SUM(Q$37:Q$48)+SUM(S$37:S$48)</f>
        <v>658225.86843553546</v>
      </c>
      <c r="F133" s="106">
        <f>SUM(U$37:U$48)+SUM(W$37:W$48)+SUM(Y$37:Y$48)+SUM(AA$37:AA$48)</f>
        <v>603458.15937728074</v>
      </c>
      <c r="G133" s="106">
        <f>SUM(AC$37:AC$48)+SUM(AE$37:AE$48)+SUM(AG$37:AG$48)+SUM(AI$37:AI$48)</f>
        <v>619950.53317216213</v>
      </c>
      <c r="H133" s="106">
        <f>SUM(AK$37:AK$48)+SUM(AM$37:AM$48)+SUM(AO$37:AO$48)+SUM(AQ$37:AQ$48)</f>
        <v>582349.72572609328</v>
      </c>
      <c r="I133" s="106">
        <f>SUM(AS$37:AS$48)+SUM(AU$37:AU$48)+SUM(AW$37:AW$48)+SUM(AY$37:AY$48)</f>
        <v>541819.56982108823</v>
      </c>
      <c r="J133" s="106">
        <f>SUM(BA$37:BA$48)+SUM(BC$37:BC$48)+SUM(BE$37:BE$48)+SUM(BG$37:BG$48)</f>
        <v>376217.69238412392</v>
      </c>
      <c r="K133" s="106">
        <f>SUM(BI$37:BI$48)+SUM(BK$37:BK$48)+SUM(BM$37:BM$48)+SUM(BO$37:BO$48)</f>
        <v>567118.87729036121</v>
      </c>
      <c r="L133" s="106">
        <f>SUM(BQ$37:BQ$48)+SUM(BS$37:BS$48)+SUM(BU$37:BU$48)+SUM(BW$37:BW$48)</f>
        <v>677663.71110349207</v>
      </c>
      <c r="M133" s="106">
        <f>SUM(BY$37:BY$48)+SUM(CA$37:CA$48)+SUM(CC$37:CC$48)+SUM(CE$37:CE$48)</f>
        <v>382758.49420258938</v>
      </c>
      <c r="N133" s="106">
        <f>SUM(CG$37:CG$48)+SUM(CI$37:CI$48)+SUM(CK$37:CK$48)+SUM(CM$37:CM$48)</f>
        <v>702436.44196748873</v>
      </c>
      <c r="O133" s="106">
        <f>SUM(CO$37:CO$48)+SUM(CQ$37:CQ$48)+SUM(CS$37:CS$48)+SUM(CU$37:CU$48)</f>
        <v>501782.55310016026</v>
      </c>
    </row>
    <row r="134" spans="2:15">
      <c r="C134" s="105" t="s">
        <v>129</v>
      </c>
      <c r="D134" s="106">
        <f>SUM(E$49:E$70)+SUM(G$49:G$70)+SUM(I$49:I$70)+SUM(K$49:K$70)</f>
        <v>534970.95281819417</v>
      </c>
      <c r="E134" s="106">
        <f>SUM(M$49:M$70)+SUM(O$49:O$70)+SUM(Q$49:Q$70)+SUM(S$49:S$70)</f>
        <v>516103.00223490689</v>
      </c>
      <c r="F134" s="106">
        <f>SUM(U$49:U$70)+SUM(W$49:W$70)+SUM(Y$49:Y$70)+SUM(AA$49:AA$70)</f>
        <v>577881.36179154774</v>
      </c>
      <c r="G134" s="106">
        <f>SUM(AC$49:AC$70)+SUM(AE$49:AE$70)+SUM(AG$49:AG$70)+SUM(AI$49:AI$70)</f>
        <v>526663.34134479181</v>
      </c>
      <c r="H134" s="106">
        <f>SUM(AK$49:AK$70)+SUM(AM$49:AM$70)+SUM(AO$49:AO$70)+SUM(AQ$49:AQ$70)</f>
        <v>420252.78069187317</v>
      </c>
      <c r="I134" s="106">
        <f>SUM(AS$49:AS$70)+SUM(AU$49:AU$70)+SUM(AW$49:AW$70)+SUM(AY$49:AY$70)</f>
        <v>481411.05331998371</v>
      </c>
      <c r="J134" s="106">
        <f>SUM(BA$49:BA$70)+SUM(BC$49:BC$70)+SUM(BE$49:BE$70)+SUM(BG$49:BG$70)</f>
        <v>401086.35823228583</v>
      </c>
      <c r="K134" s="106">
        <f>SUM(BI$49:BI$70)+SUM(BK$49:BK$70)+SUM(BM$49:BM$70)+SUM(BO$49:BO$70)</f>
        <v>479146.07276134042</v>
      </c>
      <c r="L134" s="106">
        <f>SUM(BQ$49:BQ$70)+SUM(BS$49:BS$70)+SUM(BU$49:BU$70)+SUM(BW$49:BW$70)</f>
        <v>444235.1653713237</v>
      </c>
      <c r="M134" s="106">
        <f>SUM(BY$49:BY$70)+SUM(CA$49:CA$70)+SUM(CC$49:CC$70)+SUM(CE$49:CE$70)</f>
        <v>317353.11625805154</v>
      </c>
      <c r="N134" s="106">
        <f>SUM(CG$49:CG$70)+SUM(CI$49:CI$70)+SUM(CK$49:CK$70)+SUM(CM$49:CM$70)</f>
        <v>543948.61752967618</v>
      </c>
      <c r="O134" s="106">
        <f>SUM(CO$49:CO$70)+SUM(CQ$49:CQ$70)+SUM(CS$49:CS$70)+SUM(CU$49:CU$70)</f>
        <v>484428.81201982673</v>
      </c>
    </row>
    <row r="135" spans="2:15">
      <c r="C135" s="105" t="s">
        <v>130</v>
      </c>
      <c r="D135" s="106">
        <f>SUM(E$71:E$86)+SUM(G$71:G$86)+SUM(I$71:I$86)+SUM(K$71:K$86)</f>
        <v>182781.19152393626</v>
      </c>
      <c r="E135" s="106">
        <f>SUM(M$71:M$86)+SUM(O$71:O$86)+SUM(Q$71:Q$86)+SUM(S$71:S$86)</f>
        <v>194576.70318492016</v>
      </c>
      <c r="F135" s="106">
        <f>SUM(U$71:U$86)+SUM(W$71:W$86)+SUM(Y$71:Y$86)+SUM(AA$71:AA$86)</f>
        <v>206586.5108284849</v>
      </c>
      <c r="G135" s="106">
        <f>SUM(AC$71:AC$86)+SUM(AE$71:AE$86)+SUM(AG$71:AG$86)+SUM(AI$71:AI$86)</f>
        <v>180388.3458229478</v>
      </c>
      <c r="H135" s="106">
        <f>SUM(AK$71:AK$86)+SUM(AM$71:AM$86)+SUM(AO$71:AO$86)+SUM(AQ$71:AQ$86)</f>
        <v>224042.63233549157</v>
      </c>
      <c r="I135" s="106">
        <f>SUM(AS$71:AS$86)+SUM(AU$71:AU$86)+SUM(AW$71:AW$86)+SUM(AY$71:AY$86)</f>
        <v>194173.22319775561</v>
      </c>
      <c r="J135" s="106">
        <f>SUM(BA$71:BA$86)+SUM(BC$71:BC$86)+SUM(BE$71:BE$86)+SUM(BG$71:BG$86)</f>
        <v>183330.82385381794</v>
      </c>
      <c r="K135" s="106">
        <f>SUM(BI$71:BI$86)+SUM(BK$71:BK$86)+SUM(BM$71:BM$86)+SUM(BO$71:BO$86)</f>
        <v>186618.7109375771</v>
      </c>
      <c r="L135" s="106">
        <f>SUM(BQ$71:BQ$86)+SUM(BS$71:BS$86)+SUM(BU$71:BU$86)+SUM(BW$71:BW$86)</f>
        <v>209088.56205831465</v>
      </c>
      <c r="M135" s="106">
        <f>SUM(BY$71:BY$86)+SUM(CA$71:CA$86)+SUM(CC$71:CC$86)+SUM(CE$71:CE$86)</f>
        <v>117565.98911272753</v>
      </c>
      <c r="N135" s="106">
        <f>SUM(CG$71:CG$86)+SUM(CI$71:CI$86)+SUM(CK$71:CK$86)+SUM(CM$71:CM$86)</f>
        <v>183009.84024540355</v>
      </c>
      <c r="O135" s="106">
        <f>SUM(CO$71:CO$86)+SUM(CQ$71:CQ$86)+SUM(CS$71:CS$86)+SUM(CU$71:CU$86)</f>
        <v>186848.64062108079</v>
      </c>
    </row>
    <row r="136" spans="2:15">
      <c r="C136" s="105" t="s">
        <v>131</v>
      </c>
      <c r="D136" s="106">
        <f>SUM(E$87:E$94)+SUM(G$87:G$94)+SUM(I$87:I$94)+SUM(K$87:K$94)</f>
        <v>162865.91966853186</v>
      </c>
      <c r="E136" s="106">
        <f>SUM(M$87:M$94)+SUM(O$87:O$94)+SUM(Q$87:Q$94)+SUM(S$87:S$94)</f>
        <v>157368.63758617375</v>
      </c>
      <c r="F136" s="106">
        <f>SUM(U$87:U$94)+SUM(W$87:W$94)+SUM(Y$87:Y$94)+SUM(AA$87:AA$94)</f>
        <v>132548.1437243823</v>
      </c>
      <c r="G136" s="106">
        <f>SUM(AC$87:AC$94)+SUM(AE$87:AE$94)+SUM(AG$87:AG$94)+SUM(AI$87:AI$94)</f>
        <v>164203.89695616288</v>
      </c>
      <c r="H136" s="106">
        <f>SUM(AK$87:AK$94)+SUM(AM$87:AM$94)+SUM(AO$87:AO$94)+SUM(AQ$87:AQ$94)</f>
        <v>139279.43116088113</v>
      </c>
      <c r="I136" s="106">
        <f>SUM(AS$87:AS$94)+SUM(AU$87:AU$94)+SUM(AW$87:AW$94)+SUM(AY$87:AY$94)</f>
        <v>140646.82149048473</v>
      </c>
      <c r="J136" s="106">
        <f>SUM(BA$87:BA$94)+SUM(BC$87:BC$94)+SUM(BE$87:BE$94)+SUM(BG$87:BG$94)</f>
        <v>122943.50572063107</v>
      </c>
      <c r="K136" s="106">
        <f>SUM(BI$87:BI$94)+SUM(BK$87:BK$94)+SUM(BM$87:BM$94)+SUM(BO$87:BO$94)</f>
        <v>148395.61519747658</v>
      </c>
      <c r="L136" s="106">
        <f>SUM(BQ$87:BQ$94)+SUM(BS$87:BS$94)+SUM(BU$87:BU$94)+SUM(BW$87:BW$94)</f>
        <v>162072.1194787877</v>
      </c>
      <c r="M136" s="106">
        <f>SUM(BY$87:BY$94)+SUM(CA$87:CA$94)+SUM(CC$87:CC$94)+SUM(CE$87:CE$94)</f>
        <v>94643.274126576376</v>
      </c>
      <c r="N136" s="106">
        <f>SUM(CG$87:CG$94)+SUM(CI$87:CI$94)+SUM(CK$87:CK$94)+SUM(CM$87:CM$94)</f>
        <v>117081.85327666221</v>
      </c>
      <c r="O136" s="106">
        <f>SUM(CO$87:CO$94)+SUM(CQ$87:CQ$94)+SUM(CS$87:CS$94)+SUM(CU$87:CU$94)</f>
        <v>198318.14065976569</v>
      </c>
    </row>
    <row r="137" spans="2:15">
      <c r="C137" s="105" t="s">
        <v>132</v>
      </c>
      <c r="D137" s="106">
        <f>SUM(E$95:E$105)+SUM(G$95:G$105)+SUM(I$95:I$105)+SUM(K$95:K$105)</f>
        <v>234404.80268055259</v>
      </c>
      <c r="E137" s="106">
        <f>SUM(M$95:M$105)+SUM(O$95:O$105)+SUM(Q$95:Q$105)+SUM(S$95:S$105)</f>
        <v>233994.25607024791</v>
      </c>
      <c r="F137" s="106">
        <f>SUM(U$95:U$105)+SUM(W$95:W$105)+SUM(Y$95:Y$105)+SUM(AA$95:AA$105)</f>
        <v>208556.46261251086</v>
      </c>
      <c r="G137" s="106">
        <f>SUM(AC$95:AC$105)+SUM(AE$95:AE$105)+SUM(AG$95:AG$105)+SUM(AI$95:AI$105)</f>
        <v>278488.70493860607</v>
      </c>
      <c r="H137" s="106">
        <f>SUM(AK$95:AK$105)+SUM(AM$95:AM$105)+SUM(AO$95:AO$105)+SUM(AQ$95:AQ$105)</f>
        <v>215634.13091250343</v>
      </c>
      <c r="I137" s="106">
        <f>SUM(AS$95:AS$105)+SUM(AU$95:AU$105)+SUM(AW$95:AW$105)+SUM(AY$95:AY$105)</f>
        <v>248813.21951007214</v>
      </c>
      <c r="J137" s="106">
        <f>SUM(BA$95:BA$105)+SUM(BC$95:BC$105)+SUM(BE$95:BE$105)+SUM(BG$95:BG$105)</f>
        <v>196586.73732764644</v>
      </c>
      <c r="K137" s="106">
        <f>SUM(BI$95:BI$105)+SUM(BK$95:BK$105)+SUM(BM$95:BM$105)+SUM(BO$95:BO$105)</f>
        <v>236007.37899166497</v>
      </c>
      <c r="L137" s="106">
        <f>SUM(BQ$95:BQ$105)+SUM(BS$95:BS$105)+SUM(BU$95:BU$105)+SUM(BW$95:BW$105)</f>
        <v>222412.45809619097</v>
      </c>
      <c r="M137" s="106">
        <f>SUM(BY$95:BY$105)+SUM(CA$95:CA$105)+SUM(CC$95:CC$105)+SUM(CE$95:CE$105)</f>
        <v>124742.0007333762</v>
      </c>
      <c r="N137" s="106">
        <f>SUM(CG$95:CG$105)+SUM(CI$95:CI$105)+SUM(CK$95:CK$105)+SUM(CM$95:CM$105)</f>
        <v>196688.25594098776</v>
      </c>
      <c r="O137" s="106">
        <f>SUM(CO$95:CO$105)+SUM(CQ$95:CQ$105)+SUM(CS$95:CS$105)+SUM(CU$95:CU$105)</f>
        <v>238404.7476322538</v>
      </c>
    </row>
    <row r="138" spans="2:15">
      <c r="C138" s="105" t="s">
        <v>278</v>
      </c>
      <c r="D138" s="100">
        <f t="shared" ref="D138:O138" si="2">SUM(D$131:D$137)</f>
        <v>2075287.6751237838</v>
      </c>
      <c r="E138" s="100">
        <f t="shared" si="2"/>
        <v>2099096.524371875</v>
      </c>
      <c r="F138" s="100">
        <f t="shared" si="2"/>
        <v>2127140.2723950283</v>
      </c>
      <c r="G138" s="100">
        <f t="shared" si="2"/>
        <v>2119430.2039826829</v>
      </c>
      <c r="H138" s="100">
        <f t="shared" si="2"/>
        <v>1939630.7441884375</v>
      </c>
      <c r="I138" s="100">
        <f t="shared" si="2"/>
        <v>1940300.5047940307</v>
      </c>
      <c r="J138" s="100">
        <f t="shared" si="2"/>
        <v>1571099.7638760316</v>
      </c>
      <c r="K138" s="100">
        <f t="shared" si="2"/>
        <v>2056681.5780930198</v>
      </c>
      <c r="L138" s="100">
        <f t="shared" si="2"/>
        <v>2133385.3301256481</v>
      </c>
      <c r="M138" s="100">
        <f t="shared" si="2"/>
        <v>1286913.591438703</v>
      </c>
      <c r="N138" s="100">
        <f t="shared" si="2"/>
        <v>2159104.129630453</v>
      </c>
      <c r="O138" s="100">
        <f t="shared" si="2"/>
        <v>1967074.1456367588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2015-01-12T19:05:39Z</dcterms:modified>
</cp:coreProperties>
</file>