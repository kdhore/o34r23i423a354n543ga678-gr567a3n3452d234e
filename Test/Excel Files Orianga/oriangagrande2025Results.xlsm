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177" i="14"/>
  <c r="AX175" i="14"/>
  <c r="AX260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260" i="14"/>
  <c r="AV177" i="14"/>
  <c r="AV175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260" i="14"/>
  <c r="AT177" i="14"/>
  <c r="AT175" i="14"/>
  <c r="AS259" i="14"/>
  <c r="AT14" i="14"/>
  <c r="AS181" i="14"/>
  <c r="AS179" i="14"/>
  <c r="AS177" i="14"/>
  <c r="AS175" i="14"/>
  <c r="AS14" i="14"/>
  <c r="AR259" i="14"/>
  <c r="AR181" i="14"/>
  <c r="AR179" i="14"/>
  <c r="AR260" i="14"/>
  <c r="AR177" i="14"/>
  <c r="AR175" i="14"/>
  <c r="AR14" i="14"/>
  <c r="AQ259" i="14"/>
  <c r="AQ181" i="14"/>
  <c r="AQ179" i="14"/>
  <c r="AQ177" i="14"/>
  <c r="AQ175" i="14"/>
  <c r="AQ260" i="14"/>
  <c r="AQ14" i="14"/>
  <c r="AP259" i="14"/>
  <c r="AP181" i="14"/>
  <c r="AP179" i="14"/>
  <c r="AP177" i="14"/>
  <c r="AP175" i="14"/>
  <c r="AP260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260" i="14"/>
  <c r="AN177" i="14"/>
  <c r="AN175" i="14"/>
  <c r="AN14" i="14"/>
  <c r="AM259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175" i="14"/>
  <c r="AJ260" i="14"/>
  <c r="AK14" i="14"/>
  <c r="AJ259" i="14"/>
  <c r="AJ181" i="14"/>
  <c r="AJ179" i="14"/>
  <c r="AJ177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260" i="14"/>
  <c r="AF175" i="14"/>
  <c r="AF14" i="14"/>
  <c r="AE259" i="14"/>
  <c r="AE181" i="14"/>
  <c r="AE179" i="14"/>
  <c r="AE177" i="14"/>
  <c r="AE175" i="14"/>
  <c r="AE14" i="14"/>
  <c r="AD259" i="14"/>
  <c r="AD181" i="14"/>
  <c r="AD179" i="14"/>
  <c r="AD177" i="14"/>
  <c r="AD175" i="14"/>
  <c r="AD260" i="14"/>
  <c r="AC259" i="14"/>
  <c r="AD14" i="14"/>
  <c r="AC181" i="14"/>
  <c r="AC179" i="14"/>
  <c r="AC177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Y259" i="14"/>
  <c r="Z14" i="14"/>
  <c r="Y181" i="14"/>
  <c r="Y179" i="14"/>
  <c r="Y260" i="14"/>
  <c r="Y177" i="14"/>
  <c r="Y175" i="14"/>
  <c r="X259" i="14"/>
  <c r="Y14" i="14"/>
  <c r="X181" i="14"/>
  <c r="X179" i="14"/>
  <c r="X177" i="14"/>
  <c r="X260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59" i="14"/>
  <c r="V14" i="14"/>
  <c r="U181" i="14"/>
  <c r="U179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R260" i="14"/>
  <c r="Q259" i="14"/>
  <c r="R14" i="14"/>
  <c r="Q181" i="14"/>
  <c r="Q179" i="14"/>
  <c r="Q177" i="14"/>
  <c r="Q175" i="14"/>
  <c r="P259" i="14"/>
  <c r="Q14" i="14"/>
  <c r="P181" i="14"/>
  <c r="P179" i="14"/>
  <c r="P260" i="14"/>
  <c r="P177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260" i="14"/>
  <c r="N177" i="14"/>
  <c r="N175" i="14"/>
  <c r="M259" i="14"/>
  <c r="N14" i="14"/>
  <c r="M181" i="14"/>
  <c r="M179" i="14"/>
  <c r="M177" i="14"/>
  <c r="M175" i="14"/>
  <c r="M14" i="14"/>
  <c r="L259" i="14"/>
  <c r="L181" i="14"/>
  <c r="L179" i="14"/>
  <c r="L260" i="14"/>
  <c r="L177" i="14"/>
  <c r="L175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J260" i="14"/>
  <c r="I260" i="14"/>
  <c r="I259" i="14"/>
  <c r="J14" i="14"/>
  <c r="I181" i="14"/>
  <c r="I179" i="14"/>
  <c r="I177" i="14"/>
  <c r="I175" i="14"/>
  <c r="H259" i="14"/>
  <c r="I14" i="14"/>
  <c r="H181" i="14"/>
  <c r="H179" i="14"/>
  <c r="H177" i="14"/>
  <c r="H260" i="14"/>
  <c r="H175" i="14"/>
  <c r="H14" i="14"/>
  <c r="G259" i="14"/>
  <c r="G181" i="14"/>
  <c r="G179" i="14"/>
  <c r="G177" i="14"/>
  <c r="G175" i="14"/>
  <c r="G14" i="14"/>
  <c r="F259" i="14"/>
  <c r="F181" i="14"/>
  <c r="F179" i="14"/>
  <c r="F177" i="14"/>
  <c r="F175" i="14"/>
  <c r="F260" i="14"/>
  <c r="E259" i="14"/>
  <c r="F14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260" i="15"/>
  <c r="AV175" i="15"/>
  <c r="AV14" i="15"/>
  <c r="AU259" i="15"/>
  <c r="AU181" i="15"/>
  <c r="AU179" i="15"/>
  <c r="AU177" i="15"/>
  <c r="AU175" i="15"/>
  <c r="AU14" i="15"/>
  <c r="AT259" i="15"/>
  <c r="AT181" i="15"/>
  <c r="AT179" i="15"/>
  <c r="AT177" i="15"/>
  <c r="AT175" i="15"/>
  <c r="AT260" i="15"/>
  <c r="AS259" i="15"/>
  <c r="AT14" i="15"/>
  <c r="AS181" i="15"/>
  <c r="AS179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177" i="15"/>
  <c r="AN260" i="15"/>
  <c r="AN175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L260" i="15"/>
  <c r="AK259" i="15"/>
  <c r="AL14" i="15"/>
  <c r="AK181" i="15"/>
  <c r="AK179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H260" i="15"/>
  <c r="AG259" i="15"/>
  <c r="AH14" i="15"/>
  <c r="AG181" i="15"/>
  <c r="AG179" i="15"/>
  <c r="AG177" i="15"/>
  <c r="AG175" i="15"/>
  <c r="AF259" i="15"/>
  <c r="AG14" i="15"/>
  <c r="AF181" i="15"/>
  <c r="AF179" i="15"/>
  <c r="AF260" i="15"/>
  <c r="AF177" i="15"/>
  <c r="AF175" i="15"/>
  <c r="AF14" i="15"/>
  <c r="AE259" i="15"/>
  <c r="AE181" i="15"/>
  <c r="AE179" i="15"/>
  <c r="AE177" i="15"/>
  <c r="AE175" i="15"/>
  <c r="AD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175" i="15"/>
  <c r="AB260" i="15"/>
  <c r="AC14" i="15"/>
  <c r="AB259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59" i="15"/>
  <c r="Z14" i="15"/>
  <c r="Y181" i="15"/>
  <c r="Y179" i="15"/>
  <c r="Y260" i="15"/>
  <c r="Y177" i="15"/>
  <c r="Y175" i="15"/>
  <c r="X259" i="15"/>
  <c r="Y14" i="15"/>
  <c r="X181" i="15"/>
  <c r="X179" i="15"/>
  <c r="X177" i="15"/>
  <c r="X260" i="15"/>
  <c r="X175" i="15"/>
  <c r="X14" i="15"/>
  <c r="W259" i="15"/>
  <c r="W181" i="15"/>
  <c r="W179" i="15"/>
  <c r="W177" i="15"/>
  <c r="W175" i="15"/>
  <c r="W14" i="15"/>
  <c r="V259" i="15"/>
  <c r="V181" i="15"/>
  <c r="V179" i="15"/>
  <c r="V177" i="15"/>
  <c r="V175" i="15"/>
  <c r="V260" i="15"/>
  <c r="U259" i="15"/>
  <c r="V14" i="15"/>
  <c r="U181" i="15"/>
  <c r="U179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260" i="15"/>
  <c r="P175" i="15"/>
  <c r="P14" i="15"/>
  <c r="O259" i="15"/>
  <c r="O181" i="15"/>
  <c r="O179" i="15"/>
  <c r="O177" i="15"/>
  <c r="O175" i="15"/>
  <c r="O14" i="15"/>
  <c r="N259" i="15"/>
  <c r="N181" i="15"/>
  <c r="N179" i="15"/>
  <c r="N177" i="15"/>
  <c r="N175" i="15"/>
  <c r="N260" i="15"/>
  <c r="M259" i="15"/>
  <c r="N14" i="15"/>
  <c r="M181" i="15"/>
  <c r="M179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I259" i="15"/>
  <c r="J14" i="15"/>
  <c r="I181" i="15"/>
  <c r="I179" i="15"/>
  <c r="I260" i="15"/>
  <c r="I177" i="15"/>
  <c r="I175" i="15"/>
  <c r="H259" i="15"/>
  <c r="I14" i="15"/>
  <c r="H181" i="15"/>
  <c r="H179" i="15"/>
  <c r="H177" i="15"/>
  <c r="H260" i="15"/>
  <c r="H175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F260" i="15"/>
  <c r="E259" i="15"/>
  <c r="F14" i="15"/>
  <c r="E181" i="15"/>
  <c r="E179" i="15"/>
  <c r="E177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X260" i="16"/>
  <c r="AW259" i="16"/>
  <c r="AX14" i="16"/>
  <c r="AW181" i="16"/>
  <c r="AW179" i="16"/>
  <c r="AW177" i="16"/>
  <c r="AW175" i="16"/>
  <c r="AV259" i="16"/>
  <c r="AW14" i="16"/>
  <c r="AV181" i="16"/>
  <c r="AV179" i="16"/>
  <c r="AV260" i="16"/>
  <c r="AV177" i="16"/>
  <c r="AV175" i="16"/>
  <c r="AV14" i="16"/>
  <c r="AU259" i="16"/>
  <c r="AU181" i="16"/>
  <c r="AU179" i="16"/>
  <c r="AU177" i="16"/>
  <c r="AU175" i="16"/>
  <c r="AT260" i="16"/>
  <c r="AU14" i="16"/>
  <c r="AT259" i="16"/>
  <c r="AT181" i="16"/>
  <c r="AT179" i="16"/>
  <c r="AT177" i="16"/>
  <c r="AT175" i="16"/>
  <c r="AS259" i="16"/>
  <c r="AT14" i="16"/>
  <c r="AS181" i="16"/>
  <c r="AS179" i="16"/>
  <c r="AS177" i="16"/>
  <c r="AS175" i="16"/>
  <c r="AR260" i="16"/>
  <c r="AS14" i="16"/>
  <c r="AR259" i="16"/>
  <c r="AR181" i="16"/>
  <c r="AR179" i="16"/>
  <c r="AR177" i="16"/>
  <c r="AR175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O259" i="16"/>
  <c r="AP14" i="16"/>
  <c r="AO181" i="16"/>
  <c r="AO179" i="16"/>
  <c r="AO260" i="16"/>
  <c r="AO177" i="16"/>
  <c r="AO175" i="16"/>
  <c r="AN259" i="16"/>
  <c r="AO14" i="16"/>
  <c r="AN181" i="16"/>
  <c r="AN179" i="16"/>
  <c r="AN177" i="16"/>
  <c r="AN260" i="16"/>
  <c r="AN175" i="16"/>
  <c r="AN14" i="16"/>
  <c r="AM259" i="16"/>
  <c r="AM181" i="16"/>
  <c r="AM179" i="16"/>
  <c r="AM177" i="16"/>
  <c r="AM175" i="16"/>
  <c r="AM14" i="16"/>
  <c r="AL259" i="16"/>
  <c r="AL181" i="16"/>
  <c r="AL179" i="16"/>
  <c r="AL177" i="16"/>
  <c r="AL175" i="16"/>
  <c r="AL260" i="16"/>
  <c r="AK259" i="16"/>
  <c r="AL14" i="16"/>
  <c r="AK181" i="16"/>
  <c r="AK179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G259" i="16"/>
  <c r="AH14" i="16"/>
  <c r="AG181" i="16"/>
  <c r="AG179" i="16"/>
  <c r="AG260" i="16"/>
  <c r="AG177" i="16"/>
  <c r="AG175" i="16"/>
  <c r="AF259" i="16"/>
  <c r="AG14" i="16"/>
  <c r="AF181" i="16"/>
  <c r="AF179" i="16"/>
  <c r="AF177" i="16"/>
  <c r="AF260" i="16"/>
  <c r="AF175" i="16"/>
  <c r="AF14" i="16"/>
  <c r="AE259" i="16"/>
  <c r="AE181" i="16"/>
  <c r="AE179" i="16"/>
  <c r="AE177" i="16"/>
  <c r="AE175" i="16"/>
  <c r="AE14" i="16"/>
  <c r="AD259" i="16"/>
  <c r="AD181" i="16"/>
  <c r="AD179" i="16"/>
  <c r="AD177" i="16"/>
  <c r="AD175" i="16"/>
  <c r="AD260" i="16"/>
  <c r="AC259" i="16"/>
  <c r="AD14" i="16"/>
  <c r="AC181" i="16"/>
  <c r="AC179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Y259" i="16"/>
  <c r="Z14" i="16"/>
  <c r="Y181" i="16"/>
  <c r="Y179" i="16"/>
  <c r="Y260" i="16"/>
  <c r="Y177" i="16"/>
  <c r="Y175" i="16"/>
  <c r="X259" i="16"/>
  <c r="Y14" i="16"/>
  <c r="X181" i="16"/>
  <c r="X179" i="16"/>
  <c r="X177" i="16"/>
  <c r="X260" i="16"/>
  <c r="X175" i="16"/>
  <c r="X14" i="16"/>
  <c r="W259" i="16"/>
  <c r="W181" i="16"/>
  <c r="W179" i="16"/>
  <c r="W177" i="16"/>
  <c r="W175" i="16"/>
  <c r="W260" i="16"/>
  <c r="W14" i="16"/>
  <c r="V259" i="16"/>
  <c r="V181" i="16"/>
  <c r="V179" i="16"/>
  <c r="V177" i="16"/>
  <c r="V175" i="16"/>
  <c r="V260" i="16"/>
  <c r="U259" i="16"/>
  <c r="V14" i="16"/>
  <c r="U181" i="16"/>
  <c r="U179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R260" i="16"/>
  <c r="Q259" i="16"/>
  <c r="R14" i="16"/>
  <c r="Q181" i="16"/>
  <c r="Q179" i="16"/>
  <c r="Q177" i="16"/>
  <c r="Q175" i="16"/>
  <c r="P259" i="16"/>
  <c r="Q14" i="16"/>
  <c r="P181" i="16"/>
  <c r="P179" i="16"/>
  <c r="P260" i="16"/>
  <c r="P177" i="16"/>
  <c r="P175" i="16"/>
  <c r="P14" i="16"/>
  <c r="O259" i="16"/>
  <c r="O181" i="16"/>
  <c r="O179" i="16"/>
  <c r="O177" i="16"/>
  <c r="O175" i="16"/>
  <c r="N260" i="16"/>
  <c r="O14" i="16"/>
  <c r="N259" i="16"/>
  <c r="N181" i="16"/>
  <c r="N179" i="16"/>
  <c r="N177" i="16"/>
  <c r="N175" i="16"/>
  <c r="M259" i="16"/>
  <c r="N14" i="16"/>
  <c r="M181" i="16"/>
  <c r="M179" i="16"/>
  <c r="M177" i="16"/>
  <c r="M175" i="16"/>
  <c r="L260" i="16"/>
  <c r="M14" i="16"/>
  <c r="L259" i="16"/>
  <c r="L181" i="16"/>
  <c r="L179" i="16"/>
  <c r="L177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I259" i="16"/>
  <c r="J14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14" i="16"/>
  <c r="F259" i="16"/>
  <c r="F181" i="16"/>
  <c r="F179" i="16"/>
  <c r="F177" i="16"/>
  <c r="F175" i="16"/>
  <c r="F260" i="16"/>
  <c r="E259" i="16"/>
  <c r="F14" i="16"/>
  <c r="E181" i="16"/>
  <c r="E179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0" i="17"/>
  <c r="AX13" i="17"/>
  <c r="AX16" i="17"/>
  <c r="AX17" i="17"/>
  <c r="AX29" i="17"/>
  <c r="AW14" i="17"/>
  <c r="AW15" i="17"/>
  <c r="AW16" i="17"/>
  <c r="AW10" i="17"/>
  <c r="AW13" i="17"/>
  <c r="AX21" i="17"/>
  <c r="AW17" i="17"/>
  <c r="AW29" i="17"/>
  <c r="AV14" i="17"/>
  <c r="AV15" i="17"/>
  <c r="AV16" i="17"/>
  <c r="AV17" i="17"/>
  <c r="AV22" i="17"/>
  <c r="AV29" i="17"/>
  <c r="AU14" i="17"/>
  <c r="AU15" i="17"/>
  <c r="AU16" i="17"/>
  <c r="AU10" i="17"/>
  <c r="AU13" i="17"/>
  <c r="AU17" i="17"/>
  <c r="AU29" i="17"/>
  <c r="AT14" i="17"/>
  <c r="AT15" i="17"/>
  <c r="AT16" i="17"/>
  <c r="AT17" i="17"/>
  <c r="AT29" i="17"/>
  <c r="AS14" i="17"/>
  <c r="AS15" i="17"/>
  <c r="AS16" i="17"/>
  <c r="AS10" i="17"/>
  <c r="AS13" i="17"/>
  <c r="AS17" i="17"/>
  <c r="AS29" i="17"/>
  <c r="AR15" i="17"/>
  <c r="AR21" i="17"/>
  <c r="AR22" i="17"/>
  <c r="AR29" i="17"/>
  <c r="AR45" i="17"/>
  <c r="AR51" i="17"/>
  <c r="AQ14" i="17"/>
  <c r="AQ15" i="17"/>
  <c r="AR16" i="17"/>
  <c r="AQ16" i="17"/>
  <c r="AR17" i="17"/>
  <c r="AQ10" i="17"/>
  <c r="AQ13" i="17"/>
  <c r="AR14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/>
  <c r="AP21" i="17"/>
  <c r="AO17" i="17"/>
  <c r="AO29" i="17"/>
  <c r="AN14" i="17"/>
  <c r="AN15" i="17"/>
  <c r="AN16" i="17"/>
  <c r="AN17" i="17"/>
  <c r="AN21" i="17"/>
  <c r="AN29" i="17"/>
  <c r="AM14" i="17"/>
  <c r="AM15" i="17"/>
  <c r="AM16" i="17"/>
  <c r="AM10" i="17"/>
  <c r="AM13" i="17"/>
  <c r="AN22" i="17"/>
  <c r="AM17" i="17"/>
  <c r="AM29" i="17"/>
  <c r="AL14" i="17"/>
  <c r="AL15" i="17"/>
  <c r="AL10" i="17"/>
  <c r="AL13" i="17"/>
  <c r="AL16" i="17"/>
  <c r="AL17" i="17"/>
  <c r="AL22" i="17"/>
  <c r="AL29" i="17"/>
  <c r="AL45" i="17"/>
  <c r="AL51" i="17"/>
  <c r="AK14" i="17"/>
  <c r="AK15" i="17"/>
  <c r="AK16" i="17"/>
  <c r="AK10" i="17"/>
  <c r="AK13" i="17"/>
  <c r="AK17" i="17"/>
  <c r="AK29" i="17"/>
  <c r="AJ14" i="17"/>
  <c r="AJ15" i="17"/>
  <c r="AJ16" i="17"/>
  <c r="AJ17" i="17"/>
  <c r="AJ29" i="17"/>
  <c r="AI14" i="17"/>
  <c r="AI15" i="17"/>
  <c r="AI10" i="17"/>
  <c r="AI13" i="17"/>
  <c r="AJ21" i="17"/>
  <c r="AI16" i="17"/>
  <c r="AI17" i="17"/>
  <c r="AI29" i="17"/>
  <c r="AH15" i="17"/>
  <c r="AH21" i="17"/>
  <c r="AH22" i="17"/>
  <c r="AH56" i="17"/>
  <c r="AH24" i="17"/>
  <c r="AH29" i="17"/>
  <c r="AH34" i="17"/>
  <c r="AH40" i="17"/>
  <c r="AH45" i="17"/>
  <c r="AH51" i="17"/>
  <c r="AH62" i="17"/>
  <c r="AG14" i="17"/>
  <c r="AG15" i="17"/>
  <c r="AH16" i="17"/>
  <c r="AG16" i="17"/>
  <c r="AH17" i="17"/>
  <c r="AG10" i="17"/>
  <c r="AG13" i="17"/>
  <c r="AH14" i="17"/>
  <c r="AG17" i="17"/>
  <c r="AG22" i="17"/>
  <c r="AG56" i="17"/>
  <c r="AG62" i="17"/>
  <c r="AG29" i="17"/>
  <c r="AG34" i="17"/>
  <c r="AG40" i="17"/>
  <c r="AF14" i="17"/>
  <c r="AF15" i="17"/>
  <c r="AF10" i="17"/>
  <c r="AF13" i="17"/>
  <c r="AF16" i="17"/>
  <c r="AF17" i="17"/>
  <c r="AF29" i="17"/>
  <c r="AE14" i="17"/>
  <c r="AE15" i="17"/>
  <c r="AE16" i="17"/>
  <c r="AE10" i="17"/>
  <c r="AE13" i="17"/>
  <c r="AE17" i="17"/>
  <c r="AE29" i="17"/>
  <c r="AD14" i="17"/>
  <c r="AD15" i="17"/>
  <c r="AD10" i="17"/>
  <c r="AD13" i="17"/>
  <c r="AD16" i="17"/>
  <c r="AD17" i="17"/>
  <c r="AD29" i="17"/>
  <c r="AC14" i="17"/>
  <c r="AC15" i="17"/>
  <c r="AC16" i="17"/>
  <c r="AC10" i="17"/>
  <c r="AC13" i="17"/>
  <c r="AD22" i="17"/>
  <c r="AC17" i="17"/>
  <c r="AC29" i="17"/>
  <c r="AB14" i="17"/>
  <c r="AB15" i="17"/>
  <c r="AB10" i="17"/>
  <c r="AB13" i="17"/>
  <c r="AC21" i="17"/>
  <c r="AC23" i="17"/>
  <c r="AB16" i="17"/>
  <c r="AB17" i="17"/>
  <c r="AB29" i="17"/>
  <c r="AA14" i="17"/>
  <c r="AA15" i="17"/>
  <c r="AA16" i="17"/>
  <c r="AA10" i="17"/>
  <c r="AA13" i="17"/>
  <c r="AA17" i="17"/>
  <c r="AA29" i="17"/>
  <c r="Z14" i="17"/>
  <c r="Z15" i="17"/>
  <c r="Z10" i="17"/>
  <c r="Z13" i="17"/>
  <c r="Z16" i="17"/>
  <c r="Z17" i="17"/>
  <c r="Z29" i="17"/>
  <c r="Y14" i="17"/>
  <c r="Y15" i="17"/>
  <c r="Y16" i="17"/>
  <c r="Y10" i="17"/>
  <c r="Y13" i="17"/>
  <c r="Y17" i="17"/>
  <c r="Y22" i="17"/>
  <c r="Y56" i="17"/>
  <c r="Y62" i="17"/>
  <c r="Y29" i="17"/>
  <c r="Y34" i="17"/>
  <c r="Y40" i="17"/>
  <c r="X14" i="17"/>
  <c r="X15" i="17"/>
  <c r="X10" i="17"/>
  <c r="X13" i="17"/>
  <c r="X16" i="17"/>
  <c r="X17" i="17"/>
  <c r="X29" i="17"/>
  <c r="W14" i="17"/>
  <c r="W15" i="17"/>
  <c r="W16" i="17"/>
  <c r="W10" i="17"/>
  <c r="W13" i="17"/>
  <c r="W17" i="17"/>
  <c r="W29" i="17"/>
  <c r="V14" i="17"/>
  <c r="V15" i="17"/>
  <c r="V10" i="17"/>
  <c r="V13" i="17"/>
  <c r="V16" i="17"/>
  <c r="V17" i="17"/>
  <c r="V29" i="17"/>
  <c r="U14" i="17"/>
  <c r="U15" i="17"/>
  <c r="U16" i="17"/>
  <c r="U10" i="17"/>
  <c r="U13" i="17"/>
  <c r="V22" i="17"/>
  <c r="U17" i="17"/>
  <c r="U29" i="17"/>
  <c r="T14" i="17"/>
  <c r="T15" i="17"/>
  <c r="T10" i="17"/>
  <c r="T13" i="17"/>
  <c r="U21" i="17"/>
  <c r="U23" i="17"/>
  <c r="T16" i="17"/>
  <c r="T17" i="17"/>
  <c r="T29" i="17"/>
  <c r="S14" i="17"/>
  <c r="S15" i="17"/>
  <c r="S16" i="17"/>
  <c r="S10" i="17"/>
  <c r="S13" i="17"/>
  <c r="S17" i="17"/>
  <c r="S29" i="17"/>
  <c r="R14" i="17"/>
  <c r="R15" i="17"/>
  <c r="R10" i="17"/>
  <c r="R13" i="17"/>
  <c r="R16" i="17"/>
  <c r="R17" i="17"/>
  <c r="R29" i="17"/>
  <c r="Q14" i="17"/>
  <c r="Q15" i="17"/>
  <c r="Q16" i="17"/>
  <c r="Q10" i="17"/>
  <c r="Q13" i="17"/>
  <c r="Q17" i="17"/>
  <c r="Q22" i="17"/>
  <c r="Q56" i="17"/>
  <c r="Q62" i="17"/>
  <c r="Q29" i="17"/>
  <c r="Q34" i="17"/>
  <c r="Q40" i="17"/>
  <c r="P14" i="17"/>
  <c r="P15" i="17"/>
  <c r="P10" i="17"/>
  <c r="P13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0" i="17"/>
  <c r="N13" i="17"/>
  <c r="N16" i="17"/>
  <c r="N17" i="17"/>
  <c r="N29" i="17"/>
  <c r="M14" i="17"/>
  <c r="M15" i="17"/>
  <c r="M16" i="17"/>
  <c r="M10" i="17"/>
  <c r="M13" i="17"/>
  <c r="N22" i="17"/>
  <c r="M17" i="17"/>
  <c r="M29" i="17"/>
  <c r="L14" i="17"/>
  <c r="L15" i="17"/>
  <c r="L10" i="17"/>
  <c r="L13" i="17"/>
  <c r="M21" i="17"/>
  <c r="M23" i="17"/>
  <c r="L16" i="17"/>
  <c r="L17" i="17"/>
  <c r="L29" i="17"/>
  <c r="K14" i="17"/>
  <c r="K15" i="17"/>
  <c r="K16" i="17"/>
  <c r="K10" i="17"/>
  <c r="K13" i="17"/>
  <c r="K17" i="17"/>
  <c r="K29" i="17"/>
  <c r="J14" i="17"/>
  <c r="J15" i="17"/>
  <c r="J10" i="17"/>
  <c r="J13" i="17"/>
  <c r="J16" i="17"/>
  <c r="J17" i="17"/>
  <c r="J29" i="17"/>
  <c r="I14" i="17"/>
  <c r="I15" i="17"/>
  <c r="I16" i="17"/>
  <c r="I10" i="17"/>
  <c r="I13" i="17"/>
  <c r="I17" i="17"/>
  <c r="I22" i="17"/>
  <c r="I56" i="17"/>
  <c r="I62" i="17"/>
  <c r="I29" i="17"/>
  <c r="I34" i="17"/>
  <c r="I40" i="17"/>
  <c r="H14" i="17"/>
  <c r="H15" i="17"/>
  <c r="H10" i="17"/>
  <c r="H13" i="17"/>
  <c r="H16" i="17"/>
  <c r="H17" i="17"/>
  <c r="H29" i="17"/>
  <c r="G14" i="17"/>
  <c r="G15" i="17"/>
  <c r="G10" i="17"/>
  <c r="G13" i="17"/>
  <c r="G16" i="17"/>
  <c r="G17" i="17"/>
  <c r="G29" i="17"/>
  <c r="F14" i="17"/>
  <c r="F15" i="17"/>
  <c r="F16" i="17"/>
  <c r="F10" i="17"/>
  <c r="F13" i="17"/>
  <c r="G22" i="17"/>
  <c r="F17" i="17"/>
  <c r="F29" i="17"/>
  <c r="E14" i="17"/>
  <c r="E15" i="17"/>
  <c r="E10" i="17"/>
  <c r="E13" i="17"/>
  <c r="E16" i="17"/>
  <c r="E17" i="17"/>
  <c r="E29" i="17"/>
  <c r="D14" i="17"/>
  <c r="D15" i="17"/>
  <c r="D16" i="17"/>
  <c r="D10" i="17"/>
  <c r="D17" i="17"/>
  <c r="D27" i="17"/>
  <c r="D29" i="17"/>
  <c r="AY14" i="18"/>
  <c r="AY15" i="18"/>
  <c r="AY10" i="18"/>
  <c r="AY13" i="18"/>
  <c r="AY16" i="18"/>
  <c r="AY17" i="18"/>
  <c r="AY29" i="18"/>
  <c r="AX14" i="18"/>
  <c r="AX15" i="18"/>
  <c r="AX16" i="18"/>
  <c r="AX10" i="18"/>
  <c r="AX13" i="18"/>
  <c r="AX17" i="18"/>
  <c r="AX29" i="18"/>
  <c r="AW14" i="18"/>
  <c r="AW15" i="18"/>
  <c r="AW10" i="18"/>
  <c r="AW13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0" i="18"/>
  <c r="AU13" i="18"/>
  <c r="AU16" i="18"/>
  <c r="AU17" i="18"/>
  <c r="AU29" i="18"/>
  <c r="AT14" i="18"/>
  <c r="AT15" i="18"/>
  <c r="AT16" i="18"/>
  <c r="AT10" i="18"/>
  <c r="AT13" i="18"/>
  <c r="AT17" i="18"/>
  <c r="AT29" i="18"/>
  <c r="AS14" i="18"/>
  <c r="AS15" i="18"/>
  <c r="AS10" i="18"/>
  <c r="AS13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5" i="18"/>
  <c r="AJ17" i="18"/>
  <c r="AJ21" i="18"/>
  <c r="AJ55" i="18"/>
  <c r="AJ57" i="18"/>
  <c r="AJ22" i="18"/>
  <c r="AJ24" i="18"/>
  <c r="AJ29" i="18"/>
  <c r="AJ34" i="18"/>
  <c r="AJ40" i="18"/>
  <c r="AJ45" i="18"/>
  <c r="AJ51" i="18"/>
  <c r="AJ56" i="18"/>
  <c r="AJ62" i="18"/>
  <c r="AI14" i="18"/>
  <c r="AI15" i="18"/>
  <c r="AJ16" i="18"/>
  <c r="AI16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5" i="18"/>
  <c r="R16" i="18"/>
  <c r="R21" i="18"/>
  <c r="R55" i="18"/>
  <c r="R22" i="18"/>
  <c r="R23" i="18"/>
  <c r="R24" i="18"/>
  <c r="R29" i="18"/>
  <c r="R34" i="18"/>
  <c r="R40" i="18"/>
  <c r="R45" i="18"/>
  <c r="R51" i="18"/>
  <c r="R56" i="18"/>
  <c r="R62" i="18"/>
  <c r="R57" i="18"/>
  <c r="R61" i="18"/>
  <c r="Q14" i="18"/>
  <c r="Q15" i="18"/>
  <c r="Q16" i="18"/>
  <c r="R17" i="18"/>
  <c r="Q17" i="18"/>
  <c r="Q29" i="18"/>
  <c r="P14" i="18"/>
  <c r="P15" i="18"/>
  <c r="P16" i="18"/>
  <c r="P17" i="18"/>
  <c r="P29" i="18"/>
  <c r="O14" i="18"/>
  <c r="O15" i="18"/>
  <c r="O16" i="18"/>
  <c r="O17" i="18"/>
  <c r="O29" i="18"/>
  <c r="N14" i="18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5" i="18"/>
  <c r="K16" i="18"/>
  <c r="K17" i="18"/>
  <c r="K29" i="18"/>
  <c r="J14" i="18"/>
  <c r="J15" i="18"/>
  <c r="J16" i="18"/>
  <c r="J17" i="18"/>
  <c r="J29" i="18"/>
  <c r="I14" i="18"/>
  <c r="I15" i="18"/>
  <c r="I16" i="18"/>
  <c r="I17" i="18"/>
  <c r="I29" i="18"/>
  <c r="H14" i="18"/>
  <c r="H15" i="18"/>
  <c r="H16" i="18"/>
  <c r="H17" i="18"/>
  <c r="H29" i="18"/>
  <c r="G15" i="18"/>
  <c r="G16" i="18"/>
  <c r="G21" i="18"/>
  <c r="G55" i="18"/>
  <c r="G22" i="18"/>
  <c r="G23" i="18"/>
  <c r="G24" i="18"/>
  <c r="G29" i="18"/>
  <c r="G34" i="18"/>
  <c r="G40" i="18"/>
  <c r="G45" i="18"/>
  <c r="G51" i="18"/>
  <c r="G56" i="18"/>
  <c r="G62" i="18"/>
  <c r="G57" i="18"/>
  <c r="G61" i="18"/>
  <c r="F14" i="18"/>
  <c r="F15" i="18"/>
  <c r="F16" i="18"/>
  <c r="G17" i="18"/>
  <c r="F17" i="18"/>
  <c r="F29" i="18"/>
  <c r="E14" i="18"/>
  <c r="E15" i="18"/>
  <c r="E16" i="18"/>
  <c r="E17" i="18"/>
  <c r="E27" i="18"/>
  <c r="F27" i="18"/>
  <c r="E29" i="18"/>
  <c r="D14" i="18"/>
  <c r="D15" i="18"/>
  <c r="D16" i="18"/>
  <c r="D17" i="18"/>
  <c r="D27" i="18"/>
  <c r="D29" i="18"/>
  <c r="D30" i="18"/>
  <c r="B21" i="17"/>
  <c r="B22" i="17"/>
  <c r="D22" i="17"/>
  <c r="B21" i="18"/>
  <c r="B22" i="18"/>
  <c r="D22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AV22" i="18"/>
  <c r="AV21" i="18"/>
  <c r="AW22" i="18"/>
  <c r="AJ23" i="17"/>
  <c r="AJ44" i="17"/>
  <c r="AJ55" i="17"/>
  <c r="AJ33" i="17"/>
  <c r="D45" i="18"/>
  <c r="D51" i="18"/>
  <c r="D34" i="18"/>
  <c r="D40" i="18"/>
  <c r="D24" i="18"/>
  <c r="D56" i="18"/>
  <c r="D62" i="18"/>
  <c r="AT22" i="18"/>
  <c r="AT21" i="18"/>
  <c r="AU22" i="18"/>
  <c r="H22" i="17"/>
  <c r="H21" i="17"/>
  <c r="P22" i="17"/>
  <c r="P21" i="17"/>
  <c r="F22" i="17"/>
  <c r="F21" i="17"/>
  <c r="G56" i="17"/>
  <c r="G62" i="17"/>
  <c r="G34" i="17"/>
  <c r="G40" i="17"/>
  <c r="G24" i="17"/>
  <c r="G45" i="17"/>
  <c r="G51" i="17"/>
  <c r="X22" i="17"/>
  <c r="X21" i="17"/>
  <c r="AN56" i="17"/>
  <c r="AN62" i="17"/>
  <c r="AN24" i="17"/>
  <c r="AN45" i="17"/>
  <c r="AN51" i="17"/>
  <c r="AN34" i="17"/>
  <c r="AN40" i="17"/>
  <c r="AP23" i="17"/>
  <c r="AP55" i="17"/>
  <c r="AP44" i="17"/>
  <c r="AP33" i="17"/>
  <c r="G27" i="18"/>
  <c r="F30" i="18"/>
  <c r="AX22" i="18"/>
  <c r="AX21" i="18"/>
  <c r="AY22" i="18"/>
  <c r="AF22" i="17"/>
  <c r="AF21" i="17"/>
  <c r="AX23" i="17"/>
  <c r="AX55" i="17"/>
  <c r="AX44" i="17"/>
  <c r="AX33" i="17"/>
  <c r="V260" i="14"/>
  <c r="AU21" i="18"/>
  <c r="AW21" i="18"/>
  <c r="AY21" i="18"/>
  <c r="D30" i="17"/>
  <c r="E27" i="17"/>
  <c r="D13" i="17"/>
  <c r="G21" i="17"/>
  <c r="N56" i="17"/>
  <c r="N62" i="17"/>
  <c r="N24" i="17"/>
  <c r="N34" i="17"/>
  <c r="N40" i="17"/>
  <c r="N45" i="17"/>
  <c r="N51" i="17"/>
  <c r="N21" i="17"/>
  <c r="V56" i="17"/>
  <c r="V62" i="17"/>
  <c r="V24" i="17"/>
  <c r="V34" i="17"/>
  <c r="V40" i="17"/>
  <c r="V45" i="17"/>
  <c r="V51" i="17"/>
  <c r="V21" i="17"/>
  <c r="AD56" i="17"/>
  <c r="AD62" i="17"/>
  <c r="AD24" i="17"/>
  <c r="AD34" i="17"/>
  <c r="AD40" i="17"/>
  <c r="AD45" i="17"/>
  <c r="AD51" i="17"/>
  <c r="AD21" i="17"/>
  <c r="AL56" i="17"/>
  <c r="AL62" i="17"/>
  <c r="AL24" i="17"/>
  <c r="AM22" i="17"/>
  <c r="AM21" i="17"/>
  <c r="AN23" i="17"/>
  <c r="AN55" i="17"/>
  <c r="AN44" i="17"/>
  <c r="AV56" i="17"/>
  <c r="AV62" i="17"/>
  <c r="AV24" i="17"/>
  <c r="AV34" i="17"/>
  <c r="AV40" i="17"/>
  <c r="AV45" i="17"/>
  <c r="AV51" i="17"/>
  <c r="BA14" i="16"/>
  <c r="D259" i="16"/>
  <c r="AZ259" i="16"/>
  <c r="BA14" i="14"/>
  <c r="D259" i="14"/>
  <c r="AZ259" i="14"/>
  <c r="D56" i="17"/>
  <c r="D62" i="17"/>
  <c r="E10" i="18"/>
  <c r="E13" i="18"/>
  <c r="H10" i="18"/>
  <c r="H13" i="18"/>
  <c r="J10" i="18"/>
  <c r="J13" i="18"/>
  <c r="L10" i="18"/>
  <c r="L13" i="18"/>
  <c r="N10" i="18"/>
  <c r="N13" i="18"/>
  <c r="P10" i="18"/>
  <c r="P13" i="18"/>
  <c r="S10" i="18"/>
  <c r="S13" i="18"/>
  <c r="U10" i="18"/>
  <c r="U13" i="18"/>
  <c r="W10" i="18"/>
  <c r="W13" i="18"/>
  <c r="Y10" i="18"/>
  <c r="Y13" i="18"/>
  <c r="AA10" i="18"/>
  <c r="AA13" i="18"/>
  <c r="AC10" i="18"/>
  <c r="AC13" i="18"/>
  <c r="AE10" i="18"/>
  <c r="AE13" i="18"/>
  <c r="AG10" i="18"/>
  <c r="AG13" i="18"/>
  <c r="AI10" i="18"/>
  <c r="AI13" i="18"/>
  <c r="AJ14" i="18"/>
  <c r="AJ10" i="18"/>
  <c r="AJ13" i="18"/>
  <c r="AJ44" i="18"/>
  <c r="AJ33" i="18"/>
  <c r="AL10" i="18"/>
  <c r="AL13" i="18"/>
  <c r="AN10" i="18"/>
  <c r="AN13" i="18"/>
  <c r="AP10" i="18"/>
  <c r="AP13" i="18"/>
  <c r="AR10" i="18"/>
  <c r="AR13" i="18"/>
  <c r="D24" i="17"/>
  <c r="K21" i="17"/>
  <c r="L22" i="17"/>
  <c r="L21" i="17"/>
  <c r="M44" i="17"/>
  <c r="O22" i="17"/>
  <c r="S21" i="17"/>
  <c r="T22" i="17"/>
  <c r="T21" i="17"/>
  <c r="U44" i="17"/>
  <c r="W22" i="17"/>
  <c r="AA21" i="17"/>
  <c r="AB22" i="17"/>
  <c r="AB21" i="17"/>
  <c r="AC44" i="17"/>
  <c r="AE22" i="17"/>
  <c r="AJ22" i="17"/>
  <c r="AJ10" i="17"/>
  <c r="AJ13" i="17"/>
  <c r="AL34" i="17"/>
  <c r="AL40" i="17"/>
  <c r="AL21" i="17"/>
  <c r="AN33" i="17"/>
  <c r="AR56" i="17"/>
  <c r="AR62" i="17"/>
  <c r="AR24" i="17"/>
  <c r="AT21" i="17"/>
  <c r="AT22" i="17"/>
  <c r="J260" i="16"/>
  <c r="O260" i="16"/>
  <c r="AP260" i="16"/>
  <c r="AU260" i="16"/>
  <c r="Z260" i="15"/>
  <c r="AE260" i="15"/>
  <c r="D21" i="18"/>
  <c r="AJ61" i="18"/>
  <c r="AJ23" i="18"/>
  <c r="D34" i="17"/>
  <c r="D40" i="17"/>
  <c r="D21" i="17"/>
  <c r="I21" i="17"/>
  <c r="I45" i="17"/>
  <c r="I51" i="17"/>
  <c r="J22" i="17"/>
  <c r="J21" i="17"/>
  <c r="M22" i="17"/>
  <c r="Q21" i="17"/>
  <c r="Q45" i="17"/>
  <c r="Q51" i="17"/>
  <c r="R22" i="17"/>
  <c r="R21" i="17"/>
  <c r="U22" i="17"/>
  <c r="Y21" i="17"/>
  <c r="Y45" i="17"/>
  <c r="Y51" i="17"/>
  <c r="Z22" i="17"/>
  <c r="Z21" i="17"/>
  <c r="AC22" i="17"/>
  <c r="AG21" i="17"/>
  <c r="AG45" i="17"/>
  <c r="AG51" i="17"/>
  <c r="AH10" i="17"/>
  <c r="AH13" i="17"/>
  <c r="AH23" i="17"/>
  <c r="AH33" i="17"/>
  <c r="AH44" i="17"/>
  <c r="AH55" i="17"/>
  <c r="AP22" i="17"/>
  <c r="AP10" i="17"/>
  <c r="AP13" i="17"/>
  <c r="AR34" i="17"/>
  <c r="AR40" i="17"/>
  <c r="AR23" i="17"/>
  <c r="AR55" i="17"/>
  <c r="AR44" i="17"/>
  <c r="AV21" i="17"/>
  <c r="AX22" i="17"/>
  <c r="AY22" i="17"/>
  <c r="AY21" i="17"/>
  <c r="AZ17" i="18"/>
  <c r="D10" i="18"/>
  <c r="E30" i="18"/>
  <c r="F10" i="18"/>
  <c r="F13" i="18"/>
  <c r="G14" i="18"/>
  <c r="G10" i="18"/>
  <c r="G13" i="18"/>
  <c r="G44" i="18"/>
  <c r="G33" i="18"/>
  <c r="I10" i="18"/>
  <c r="I13" i="18"/>
  <c r="K10" i="18"/>
  <c r="K13" i="18"/>
  <c r="M10" i="18"/>
  <c r="M13" i="18"/>
  <c r="O10" i="18"/>
  <c r="O13" i="18"/>
  <c r="Q10" i="18"/>
  <c r="Q13" i="18"/>
  <c r="R14" i="18"/>
  <c r="R10" i="18"/>
  <c r="R13" i="18"/>
  <c r="R44" i="18"/>
  <c r="R33" i="18"/>
  <c r="T10" i="18"/>
  <c r="T13" i="18"/>
  <c r="V10" i="18"/>
  <c r="V13" i="18"/>
  <c r="X10" i="18"/>
  <c r="X13" i="18"/>
  <c r="Z10" i="18"/>
  <c r="Z13" i="18"/>
  <c r="AB10" i="18"/>
  <c r="AB13" i="18"/>
  <c r="AD10" i="18"/>
  <c r="AD13" i="18"/>
  <c r="AF10" i="18"/>
  <c r="AF13" i="18"/>
  <c r="AH10" i="18"/>
  <c r="AH13" i="18"/>
  <c r="AK10" i="18"/>
  <c r="AK13" i="18"/>
  <c r="AM10" i="18"/>
  <c r="AM13" i="18"/>
  <c r="AO10" i="18"/>
  <c r="AO13" i="18"/>
  <c r="AQ10" i="18"/>
  <c r="AQ13" i="18"/>
  <c r="D45" i="17"/>
  <c r="D51" i="17"/>
  <c r="AZ17" i="17"/>
  <c r="I24" i="17"/>
  <c r="K22" i="17"/>
  <c r="M55" i="17"/>
  <c r="M33" i="17"/>
  <c r="O21" i="17"/>
  <c r="Q24" i="17"/>
  <c r="S22" i="17"/>
  <c r="U55" i="17"/>
  <c r="U33" i="17"/>
  <c r="W21" i="17"/>
  <c r="Y24" i="17"/>
  <c r="AA22" i="17"/>
  <c r="AC55" i="17"/>
  <c r="AC33" i="17"/>
  <c r="AE21" i="17"/>
  <c r="AG24" i="17"/>
  <c r="AN10" i="17"/>
  <c r="AN13" i="17"/>
  <c r="AR10" i="17"/>
  <c r="AR13" i="17"/>
  <c r="AR33" i="17"/>
  <c r="AV10" i="17"/>
  <c r="AV13" i="17"/>
  <c r="Q260" i="16"/>
  <c r="AW260" i="16"/>
  <c r="AG260" i="15"/>
  <c r="Q260" i="14"/>
  <c r="S31" i="20"/>
  <c r="T32" i="20"/>
  <c r="H8" i="20"/>
  <c r="S9" i="20"/>
  <c r="H9" i="20"/>
  <c r="S10" i="20"/>
  <c r="T43" i="20"/>
  <c r="AT10" i="17"/>
  <c r="AT13" i="17"/>
  <c r="G260" i="16"/>
  <c r="AH260" i="16"/>
  <c r="AM260" i="16"/>
  <c r="BA14" i="15"/>
  <c r="D259" i="15"/>
  <c r="AZ259" i="15"/>
  <c r="R260" i="15"/>
  <c r="W260" i="15"/>
  <c r="AX260" i="15"/>
  <c r="G260" i="14"/>
  <c r="AH260" i="14"/>
  <c r="AM260" i="14"/>
  <c r="Z260" i="16"/>
  <c r="AE260" i="16"/>
  <c r="J260" i="15"/>
  <c r="O260" i="15"/>
  <c r="AP260" i="15"/>
  <c r="AU260" i="15"/>
  <c r="Z260" i="14"/>
  <c r="AE260" i="14"/>
  <c r="E260" i="16"/>
  <c r="AZ260" i="16"/>
  <c r="M260" i="16"/>
  <c r="U260" i="16"/>
  <c r="AC260" i="16"/>
  <c r="AK260" i="16"/>
  <c r="AS260" i="16"/>
  <c r="E260" i="15"/>
  <c r="AZ260" i="15"/>
  <c r="M260" i="15"/>
  <c r="U260" i="15"/>
  <c r="AC260" i="15"/>
  <c r="AK260" i="15"/>
  <c r="AS260" i="15"/>
  <c r="E260" i="14"/>
  <c r="M260" i="14"/>
  <c r="U260" i="14"/>
  <c r="AZ260" i="14"/>
  <c r="AC260" i="14"/>
  <c r="AK260" i="14"/>
  <c r="AS260" i="14"/>
  <c r="S7" i="20"/>
  <c r="T11" i="20"/>
  <c r="T45" i="20"/>
  <c r="H7" i="20"/>
  <c r="S8" i="20"/>
  <c r="H10" i="20"/>
  <c r="AO22" i="17"/>
  <c r="AO21" i="17"/>
  <c r="AC61" i="17"/>
  <c r="U39" i="17"/>
  <c r="U35" i="17"/>
  <c r="O23" i="17"/>
  <c r="O33" i="17"/>
  <c r="O55" i="17"/>
  <c r="O44" i="17"/>
  <c r="AP22" i="18"/>
  <c r="AP21" i="18"/>
  <c r="AG22" i="18"/>
  <c r="AG21" i="18"/>
  <c r="Y22" i="18"/>
  <c r="Y21" i="18"/>
  <c r="R46" i="18"/>
  <c r="R50" i="18"/>
  <c r="L22" i="18"/>
  <c r="L21" i="18"/>
  <c r="H22" i="18"/>
  <c r="H21" i="18"/>
  <c r="AY23" i="17"/>
  <c r="AY44" i="17"/>
  <c r="AY33" i="17"/>
  <c r="AY55" i="17"/>
  <c r="AR46" i="17"/>
  <c r="AR50" i="17"/>
  <c r="AQ22" i="17"/>
  <c r="AQ21" i="17"/>
  <c r="AH39" i="17"/>
  <c r="AH35" i="17"/>
  <c r="AG23" i="17"/>
  <c r="AG44" i="17"/>
  <c r="AG33" i="17"/>
  <c r="AG55" i="17"/>
  <c r="R56" i="17"/>
  <c r="R62" i="17"/>
  <c r="R24" i="17"/>
  <c r="R34" i="17"/>
  <c r="R40" i="17"/>
  <c r="R45" i="17"/>
  <c r="R51" i="17"/>
  <c r="J23" i="17"/>
  <c r="J33" i="17"/>
  <c r="J44" i="17"/>
  <c r="J55" i="17"/>
  <c r="D23" i="17"/>
  <c r="D33" i="17"/>
  <c r="D44" i="17"/>
  <c r="D55" i="17"/>
  <c r="D55" i="18"/>
  <c r="D23" i="18"/>
  <c r="D33" i="18"/>
  <c r="D44" i="18"/>
  <c r="AT56" i="17"/>
  <c r="AT62" i="17"/>
  <c r="AT24" i="17"/>
  <c r="AT34" i="17"/>
  <c r="AT40" i="17"/>
  <c r="AT45" i="17"/>
  <c r="AT51" i="17"/>
  <c r="AN39" i="17"/>
  <c r="AN35" i="17"/>
  <c r="AJ56" i="17"/>
  <c r="AJ62" i="17"/>
  <c r="AJ24" i="17"/>
  <c r="AJ34" i="17"/>
  <c r="AJ40" i="17"/>
  <c r="AJ45" i="17"/>
  <c r="AJ51" i="17"/>
  <c r="AB56" i="17"/>
  <c r="AB62" i="17"/>
  <c r="AB24" i="17"/>
  <c r="AB34" i="17"/>
  <c r="AB40" i="17"/>
  <c r="AB45" i="17"/>
  <c r="AB51" i="17"/>
  <c r="T23" i="17"/>
  <c r="T33" i="17"/>
  <c r="T44" i="17"/>
  <c r="T55" i="17"/>
  <c r="M50" i="17"/>
  <c r="AM22" i="18"/>
  <c r="AM21" i="18"/>
  <c r="AH22" i="18"/>
  <c r="AH21" i="18"/>
  <c r="Z22" i="18"/>
  <c r="Z21" i="18"/>
  <c r="Q22" i="18"/>
  <c r="Q21" i="18"/>
  <c r="I22" i="18"/>
  <c r="I21" i="18"/>
  <c r="AM23" i="17"/>
  <c r="AM33" i="17"/>
  <c r="AM44" i="17"/>
  <c r="AM55" i="17"/>
  <c r="AD23" i="17"/>
  <c r="AD33" i="17"/>
  <c r="AD44" i="17"/>
  <c r="AD55" i="17"/>
  <c r="E22" i="17"/>
  <c r="E21" i="17"/>
  <c r="AY23" i="18"/>
  <c r="AY55" i="18"/>
  <c r="AY44" i="18"/>
  <c r="AY33" i="18"/>
  <c r="AX39" i="17"/>
  <c r="AF23" i="17"/>
  <c r="AF33" i="17"/>
  <c r="AF44" i="17"/>
  <c r="AF55" i="17"/>
  <c r="AX56" i="18"/>
  <c r="AX62" i="18"/>
  <c r="AX45" i="18"/>
  <c r="AX51" i="18"/>
  <c r="AX34" i="18"/>
  <c r="AX40" i="18"/>
  <c r="AX24" i="18"/>
  <c r="AP39" i="17"/>
  <c r="X23" i="17"/>
  <c r="X33" i="17"/>
  <c r="X44" i="17"/>
  <c r="X55" i="17"/>
  <c r="P23" i="17"/>
  <c r="P33" i="17"/>
  <c r="P44" i="17"/>
  <c r="P55" i="17"/>
  <c r="AU56" i="18"/>
  <c r="AU62" i="18"/>
  <c r="AU34" i="18"/>
  <c r="AU40" i="18"/>
  <c r="AU24" i="18"/>
  <c r="AU45" i="18"/>
  <c r="AU51" i="18"/>
  <c r="AW21" i="17"/>
  <c r="AW22" i="17"/>
  <c r="AA56" i="17"/>
  <c r="AA62" i="17"/>
  <c r="AA34" i="17"/>
  <c r="AA40" i="17"/>
  <c r="AA24" i="17"/>
  <c r="AA45" i="17"/>
  <c r="AA51" i="17"/>
  <c r="U61" i="17"/>
  <c r="M39" i="17"/>
  <c r="M35" i="17"/>
  <c r="AN22" i="18"/>
  <c r="AN21" i="18"/>
  <c r="AE22" i="18"/>
  <c r="AE21" i="18"/>
  <c r="W22" i="18"/>
  <c r="W21" i="18"/>
  <c r="S22" i="18"/>
  <c r="S21" i="18"/>
  <c r="J22" i="18"/>
  <c r="J21" i="18"/>
  <c r="AY56" i="17"/>
  <c r="AY62" i="17"/>
  <c r="AY45" i="17"/>
  <c r="AY51" i="17"/>
  <c r="AY34" i="17"/>
  <c r="AY40" i="17"/>
  <c r="AY24" i="17"/>
  <c r="AR61" i="17"/>
  <c r="AR57" i="17"/>
  <c r="AP56" i="17"/>
  <c r="AP62" i="17"/>
  <c r="AP24" i="17"/>
  <c r="AP34" i="17"/>
  <c r="AP40" i="17"/>
  <c r="AP45" i="17"/>
  <c r="AP51" i="17"/>
  <c r="AC56" i="17"/>
  <c r="AC62" i="17"/>
  <c r="AC34" i="17"/>
  <c r="AC40" i="17"/>
  <c r="AC24" i="17"/>
  <c r="AC45" i="17"/>
  <c r="AC51" i="17"/>
  <c r="Y23" i="17"/>
  <c r="Y44" i="17"/>
  <c r="Y33" i="17"/>
  <c r="Y55" i="17"/>
  <c r="J56" i="17"/>
  <c r="J62" i="17"/>
  <c r="J24" i="17"/>
  <c r="J34" i="17"/>
  <c r="J40" i="17"/>
  <c r="J45" i="17"/>
  <c r="J51" i="17"/>
  <c r="AT23" i="17"/>
  <c r="AT33" i="17"/>
  <c r="AT44" i="17"/>
  <c r="AT55" i="17"/>
  <c r="AL23" i="17"/>
  <c r="AL55" i="17"/>
  <c r="AL44" i="17"/>
  <c r="AL33" i="17"/>
  <c r="AE56" i="17"/>
  <c r="AE62" i="17"/>
  <c r="AE45" i="17"/>
  <c r="AE51" i="17"/>
  <c r="AE34" i="17"/>
  <c r="AE40" i="17"/>
  <c r="AE24" i="17"/>
  <c r="AA23" i="17"/>
  <c r="AA44" i="17"/>
  <c r="AA33" i="17"/>
  <c r="AA55" i="17"/>
  <c r="T56" i="17"/>
  <c r="T62" i="17"/>
  <c r="T24" i="17"/>
  <c r="T34" i="17"/>
  <c r="T40" i="17"/>
  <c r="T45" i="17"/>
  <c r="T51" i="17"/>
  <c r="L23" i="17"/>
  <c r="L33" i="17"/>
  <c r="L44" i="17"/>
  <c r="L55" i="17"/>
  <c r="AS22" i="18"/>
  <c r="AS21" i="18"/>
  <c r="AJ35" i="18"/>
  <c r="AJ39" i="18"/>
  <c r="AF22" i="18"/>
  <c r="AF21" i="18"/>
  <c r="X22" i="18"/>
  <c r="X21" i="18"/>
  <c r="O22" i="18"/>
  <c r="O21" i="18"/>
  <c r="F22" i="18"/>
  <c r="F21" i="18"/>
  <c r="AN46" i="17"/>
  <c r="AN50" i="17"/>
  <c r="AM56" i="17"/>
  <c r="AM62" i="17"/>
  <c r="AM34" i="17"/>
  <c r="AM40" i="17"/>
  <c r="AM24" i="17"/>
  <c r="AM45" i="17"/>
  <c r="AM51" i="17"/>
  <c r="V23" i="17"/>
  <c r="V33" i="17"/>
  <c r="V44" i="17"/>
  <c r="V55" i="17"/>
  <c r="AZ10" i="17"/>
  <c r="AW23" i="18"/>
  <c r="AW55" i="18"/>
  <c r="AW44" i="18"/>
  <c r="AW33" i="18"/>
  <c r="AX46" i="17"/>
  <c r="AX50" i="17"/>
  <c r="AF56" i="17"/>
  <c r="AF62" i="17"/>
  <c r="AF24" i="17"/>
  <c r="AF34" i="17"/>
  <c r="AF40" i="17"/>
  <c r="AF45" i="17"/>
  <c r="AF51" i="17"/>
  <c r="AP50" i="17"/>
  <c r="X56" i="17"/>
  <c r="X62" i="17"/>
  <c r="X24" i="17"/>
  <c r="X34" i="17"/>
  <c r="X40" i="17"/>
  <c r="X45" i="17"/>
  <c r="X51" i="17"/>
  <c r="P56" i="17"/>
  <c r="P62" i="17"/>
  <c r="P24" i="17"/>
  <c r="P34" i="17"/>
  <c r="P40" i="17"/>
  <c r="P45" i="17"/>
  <c r="P51" i="17"/>
  <c r="AT23" i="18"/>
  <c r="AT33" i="18"/>
  <c r="AT44" i="18"/>
  <c r="AT55" i="18"/>
  <c r="AJ39" i="17"/>
  <c r="AJ35" i="17"/>
  <c r="AW56" i="18"/>
  <c r="AW62" i="18"/>
  <c r="AW34" i="18"/>
  <c r="AW40" i="18"/>
  <c r="AW24" i="18"/>
  <c r="AW45" i="18"/>
  <c r="AW51" i="18"/>
  <c r="AU21" i="17"/>
  <c r="AU22" i="17"/>
  <c r="AR39" i="17"/>
  <c r="AR35" i="17"/>
  <c r="AE23" i="17"/>
  <c r="AE33" i="17"/>
  <c r="AE55" i="17"/>
  <c r="AE44" i="17"/>
  <c r="S56" i="17"/>
  <c r="S62" i="17"/>
  <c r="S34" i="17"/>
  <c r="S40" i="17"/>
  <c r="S24" i="17"/>
  <c r="S45" i="17"/>
  <c r="S51" i="17"/>
  <c r="M61" i="17"/>
  <c r="AL22" i="18"/>
  <c r="AL21" i="18"/>
  <c r="AC22" i="18"/>
  <c r="AC21" i="18"/>
  <c r="U22" i="18"/>
  <c r="U21" i="18"/>
  <c r="P22" i="18"/>
  <c r="P21" i="18"/>
  <c r="G35" i="18"/>
  <c r="G39" i="18"/>
  <c r="AZ10" i="18"/>
  <c r="D13" i="18"/>
  <c r="AX56" i="17"/>
  <c r="AX62" i="17"/>
  <c r="AX24" i="17"/>
  <c r="AX34" i="17"/>
  <c r="AX40" i="17"/>
  <c r="AX45" i="17"/>
  <c r="AX51" i="17"/>
  <c r="AH57" i="17"/>
  <c r="AH61" i="17"/>
  <c r="AI21" i="17"/>
  <c r="AI22" i="17"/>
  <c r="Z23" i="17"/>
  <c r="Z33" i="17"/>
  <c r="Z44" i="17"/>
  <c r="Z55" i="17"/>
  <c r="U56" i="17"/>
  <c r="U62" i="17"/>
  <c r="U34" i="17"/>
  <c r="U40" i="17"/>
  <c r="U24" i="17"/>
  <c r="U45" i="17"/>
  <c r="U51" i="17"/>
  <c r="Q23" i="17"/>
  <c r="Q44" i="17"/>
  <c r="Q33" i="17"/>
  <c r="Q55" i="17"/>
  <c r="AC46" i="17"/>
  <c r="AC50" i="17"/>
  <c r="W56" i="17"/>
  <c r="W62" i="17"/>
  <c r="W45" i="17"/>
  <c r="W51" i="17"/>
  <c r="W34" i="17"/>
  <c r="W40" i="17"/>
  <c r="W24" i="17"/>
  <c r="S23" i="17"/>
  <c r="S44" i="17"/>
  <c r="S33" i="17"/>
  <c r="S55" i="17"/>
  <c r="L56" i="17"/>
  <c r="L62" i="17"/>
  <c r="L24" i="17"/>
  <c r="L34" i="17"/>
  <c r="L40" i="17"/>
  <c r="L45" i="17"/>
  <c r="L51" i="17"/>
  <c r="AQ22" i="18"/>
  <c r="AQ21" i="18"/>
  <c r="AJ46" i="18"/>
  <c r="AJ50" i="18"/>
  <c r="AD22" i="18"/>
  <c r="AD21" i="18"/>
  <c r="V22" i="18"/>
  <c r="V21" i="18"/>
  <c r="M22" i="18"/>
  <c r="M21" i="18"/>
  <c r="AN61" i="17"/>
  <c r="AN57" i="17"/>
  <c r="N23" i="17"/>
  <c r="N33" i="17"/>
  <c r="N44" i="17"/>
  <c r="N55" i="17"/>
  <c r="E30" i="17"/>
  <c r="F27" i="17"/>
  <c r="AU23" i="18"/>
  <c r="AU55" i="18"/>
  <c r="AU44" i="18"/>
  <c r="AU33" i="18"/>
  <c r="AX57" i="17"/>
  <c r="AX61" i="17"/>
  <c r="AY56" i="18"/>
  <c r="AY62" i="18"/>
  <c r="AY34" i="18"/>
  <c r="AY40" i="18"/>
  <c r="AY24" i="18"/>
  <c r="AY45" i="18"/>
  <c r="AY51" i="18"/>
  <c r="H27" i="18"/>
  <c r="G30" i="18"/>
  <c r="AP61" i="17"/>
  <c r="AP57" i="17"/>
  <c r="F23" i="17"/>
  <c r="F33" i="17"/>
  <c r="F44" i="17"/>
  <c r="F55" i="17"/>
  <c r="H23" i="17"/>
  <c r="H33" i="17"/>
  <c r="H44" i="17"/>
  <c r="H55" i="17"/>
  <c r="AT56" i="18"/>
  <c r="AT62" i="18"/>
  <c r="AT45" i="18"/>
  <c r="AT51" i="18"/>
  <c r="AT34" i="18"/>
  <c r="AT40" i="18"/>
  <c r="AT24" i="18"/>
  <c r="AJ57" i="17"/>
  <c r="AJ61" i="17"/>
  <c r="AV23" i="18"/>
  <c r="AV33" i="18"/>
  <c r="AV44" i="18"/>
  <c r="AV55" i="18"/>
  <c r="AS21" i="17"/>
  <c r="AS22" i="17"/>
  <c r="AC39" i="17"/>
  <c r="AC35" i="17"/>
  <c r="W23" i="17"/>
  <c r="W33" i="17"/>
  <c r="W55" i="17"/>
  <c r="W44" i="17"/>
  <c r="K56" i="17"/>
  <c r="K62" i="17"/>
  <c r="K34" i="17"/>
  <c r="K40" i="17"/>
  <c r="K24" i="17"/>
  <c r="K45" i="17"/>
  <c r="K51" i="17"/>
  <c r="AR22" i="18"/>
  <c r="AR21" i="18"/>
  <c r="AI22" i="18"/>
  <c r="AI21" i="18"/>
  <c r="AA22" i="18"/>
  <c r="AA21" i="18"/>
  <c r="R35" i="18"/>
  <c r="R39" i="18"/>
  <c r="N22" i="18"/>
  <c r="N21" i="18"/>
  <c r="G46" i="18"/>
  <c r="G50" i="18"/>
  <c r="AV23" i="17"/>
  <c r="AV44" i="17"/>
  <c r="AV33" i="17"/>
  <c r="AV55" i="17"/>
  <c r="AH46" i="17"/>
  <c r="AH50" i="17"/>
  <c r="Z56" i="17"/>
  <c r="Z62" i="17"/>
  <c r="Z24" i="17"/>
  <c r="Z34" i="17"/>
  <c r="Z40" i="17"/>
  <c r="Z45" i="17"/>
  <c r="Z51" i="17"/>
  <c r="R23" i="17"/>
  <c r="R33" i="17"/>
  <c r="R44" i="17"/>
  <c r="R55" i="17"/>
  <c r="M56" i="17"/>
  <c r="M62" i="17"/>
  <c r="M34" i="17"/>
  <c r="M40" i="17"/>
  <c r="M24" i="17"/>
  <c r="M45" i="17"/>
  <c r="M51" i="17"/>
  <c r="I23" i="17"/>
  <c r="I44" i="17"/>
  <c r="I33" i="17"/>
  <c r="I55" i="17"/>
  <c r="AK22" i="17"/>
  <c r="AK21" i="17"/>
  <c r="AB23" i="17"/>
  <c r="AB33" i="17"/>
  <c r="AB44" i="17"/>
  <c r="AB55" i="17"/>
  <c r="U46" i="17"/>
  <c r="U50" i="17"/>
  <c r="O56" i="17"/>
  <c r="O62" i="17"/>
  <c r="O45" i="17"/>
  <c r="O51" i="17"/>
  <c r="O34" i="17"/>
  <c r="O40" i="17"/>
  <c r="O24" i="17"/>
  <c r="K23" i="17"/>
  <c r="K44" i="17"/>
  <c r="K33" i="17"/>
  <c r="K55" i="17"/>
  <c r="AO22" i="18"/>
  <c r="AO21" i="18"/>
  <c r="AK22" i="18"/>
  <c r="AK21" i="18"/>
  <c r="AB22" i="18"/>
  <c r="AB21" i="18"/>
  <c r="T22" i="18"/>
  <c r="T21" i="18"/>
  <c r="K22" i="18"/>
  <c r="K21" i="18"/>
  <c r="G23" i="17"/>
  <c r="G55" i="17"/>
  <c r="G44" i="17"/>
  <c r="G33" i="17"/>
  <c r="AX23" i="18"/>
  <c r="AX33" i="18"/>
  <c r="AX44" i="18"/>
  <c r="AX55" i="18"/>
  <c r="F56" i="17"/>
  <c r="F62" i="17"/>
  <c r="F45" i="17"/>
  <c r="F51" i="17"/>
  <c r="F34" i="17"/>
  <c r="F40" i="17"/>
  <c r="F24" i="17"/>
  <c r="H56" i="17"/>
  <c r="H62" i="17"/>
  <c r="H24" i="17"/>
  <c r="H34" i="17"/>
  <c r="H40" i="17"/>
  <c r="H45" i="17"/>
  <c r="H51" i="17"/>
  <c r="AJ50" i="17"/>
  <c r="AV56" i="18"/>
  <c r="AV62" i="18"/>
  <c r="AV45" i="18"/>
  <c r="AV51" i="18"/>
  <c r="AV34" i="18"/>
  <c r="AV40" i="18"/>
  <c r="AV24" i="18"/>
  <c r="AX61" i="18"/>
  <c r="AX57" i="18"/>
  <c r="AK45" i="18"/>
  <c r="AK51" i="18"/>
  <c r="AK34" i="18"/>
  <c r="AK40" i="18"/>
  <c r="AK24" i="18"/>
  <c r="AK56" i="18"/>
  <c r="AK62" i="18"/>
  <c r="K39" i="17"/>
  <c r="K35" i="17"/>
  <c r="I39" i="17"/>
  <c r="I35" i="17"/>
  <c r="N45" i="18"/>
  <c r="N51" i="18"/>
  <c r="N24" i="18"/>
  <c r="N56" i="18"/>
  <c r="N62" i="18"/>
  <c r="N34" i="18"/>
  <c r="N40" i="18"/>
  <c r="AA45" i="18"/>
  <c r="AA51" i="18"/>
  <c r="AA24" i="18"/>
  <c r="AA56" i="18"/>
  <c r="AA62" i="18"/>
  <c r="AA34" i="18"/>
  <c r="AA40" i="18"/>
  <c r="AR45" i="18"/>
  <c r="AR51" i="18"/>
  <c r="AR24" i="18"/>
  <c r="AR56" i="18"/>
  <c r="AR62" i="18"/>
  <c r="AR34" i="18"/>
  <c r="AR40" i="18"/>
  <c r="AS23" i="17"/>
  <c r="AS55" i="17"/>
  <c r="AS44" i="17"/>
  <c r="AS33" i="17"/>
  <c r="H46" i="17"/>
  <c r="H50" i="17"/>
  <c r="F46" i="17"/>
  <c r="F50" i="17"/>
  <c r="V45" i="18"/>
  <c r="V51" i="18"/>
  <c r="V34" i="18"/>
  <c r="V40" i="18"/>
  <c r="V24" i="18"/>
  <c r="V56" i="18"/>
  <c r="V62" i="18"/>
  <c r="S39" i="17"/>
  <c r="S35" i="17"/>
  <c r="AL45" i="18"/>
  <c r="AL51" i="18"/>
  <c r="AL24" i="18"/>
  <c r="AL56" i="18"/>
  <c r="AL62" i="18"/>
  <c r="AL34" i="18"/>
  <c r="AL40" i="18"/>
  <c r="AE61" i="17"/>
  <c r="AE57" i="17"/>
  <c r="V39" i="17"/>
  <c r="V35" i="17"/>
  <c r="X55" i="18"/>
  <c r="X23" i="18"/>
  <c r="X33" i="18"/>
  <c r="X44" i="18"/>
  <c r="L57" i="17"/>
  <c r="L61" i="17"/>
  <c r="AA61" i="17"/>
  <c r="AA57" i="17"/>
  <c r="AT57" i="17"/>
  <c r="AT61" i="17"/>
  <c r="AE55" i="18"/>
  <c r="AE23" i="18"/>
  <c r="AE33" i="18"/>
  <c r="AE44" i="18"/>
  <c r="AW56" i="17"/>
  <c r="AW62" i="17"/>
  <c r="AW45" i="17"/>
  <c r="AW51" i="17"/>
  <c r="AW24" i="17"/>
  <c r="AW34" i="17"/>
  <c r="AW40" i="17"/>
  <c r="X46" i="17"/>
  <c r="X50" i="17"/>
  <c r="AY46" i="18"/>
  <c r="AY50" i="18"/>
  <c r="Q45" i="18"/>
  <c r="Q51" i="18"/>
  <c r="Q34" i="18"/>
  <c r="Q40" i="18"/>
  <c r="Q24" i="18"/>
  <c r="Q56" i="18"/>
  <c r="Q62" i="18"/>
  <c r="AH45" i="18"/>
  <c r="AH51" i="18"/>
  <c r="AH34" i="18"/>
  <c r="AH40" i="18"/>
  <c r="AH24" i="18"/>
  <c r="AH56" i="18"/>
  <c r="AH62" i="18"/>
  <c r="T39" i="17"/>
  <c r="T35" i="17"/>
  <c r="D46" i="18"/>
  <c r="D50" i="18"/>
  <c r="J39" i="17"/>
  <c r="J35" i="17"/>
  <c r="AG46" i="17"/>
  <c r="AG50" i="17"/>
  <c r="AQ23" i="17"/>
  <c r="AQ33" i="17"/>
  <c r="AQ44" i="17"/>
  <c r="AQ55" i="17"/>
  <c r="AY57" i="17"/>
  <c r="AY61" i="17"/>
  <c r="H55" i="18"/>
  <c r="H23" i="18"/>
  <c r="H33" i="18"/>
  <c r="H44" i="18"/>
  <c r="AG55" i="18"/>
  <c r="AG23" i="18"/>
  <c r="AG33" i="18"/>
  <c r="AG44" i="18"/>
  <c r="O46" i="17"/>
  <c r="O50" i="17"/>
  <c r="AX39" i="18"/>
  <c r="AX35" i="18"/>
  <c r="G46" i="17"/>
  <c r="G50" i="17"/>
  <c r="K45" i="18"/>
  <c r="K51" i="18"/>
  <c r="K34" i="18"/>
  <c r="K40" i="18"/>
  <c r="K24" i="18"/>
  <c r="K56" i="18"/>
  <c r="K62" i="18"/>
  <c r="AB45" i="18"/>
  <c r="AB51" i="18"/>
  <c r="AB34" i="18"/>
  <c r="AB40" i="18"/>
  <c r="AB24" i="18"/>
  <c r="AB56" i="18"/>
  <c r="AB62" i="18"/>
  <c r="AO45" i="18"/>
  <c r="AO51" i="18"/>
  <c r="AO34" i="18"/>
  <c r="AO40" i="18"/>
  <c r="AO24" i="18"/>
  <c r="AO56" i="18"/>
  <c r="AO62" i="18"/>
  <c r="AB46" i="17"/>
  <c r="AB50" i="17"/>
  <c r="AK56" i="17"/>
  <c r="AK62" i="17"/>
  <c r="AK34" i="17"/>
  <c r="AK40" i="17"/>
  <c r="AK24" i="17"/>
  <c r="AK45" i="17"/>
  <c r="AK51" i="17"/>
  <c r="AV39" i="17"/>
  <c r="AV35" i="17"/>
  <c r="AI45" i="18"/>
  <c r="AI51" i="18"/>
  <c r="AI24" i="18"/>
  <c r="AI56" i="18"/>
  <c r="AI62" i="18"/>
  <c r="AI34" i="18"/>
  <c r="AI40" i="18"/>
  <c r="W61" i="17"/>
  <c r="W57" i="17"/>
  <c r="AV46" i="18"/>
  <c r="AV50" i="18"/>
  <c r="I27" i="18"/>
  <c r="H30" i="18"/>
  <c r="AU46" i="18"/>
  <c r="AU50" i="18"/>
  <c r="M45" i="18"/>
  <c r="M51" i="18"/>
  <c r="M34" i="18"/>
  <c r="M40" i="18"/>
  <c r="M24" i="18"/>
  <c r="M56" i="18"/>
  <c r="M62" i="18"/>
  <c r="AD45" i="18"/>
  <c r="AD51" i="18"/>
  <c r="AD34" i="18"/>
  <c r="AD40" i="18"/>
  <c r="AD24" i="18"/>
  <c r="AD56" i="18"/>
  <c r="AD62" i="18"/>
  <c r="AQ45" i="18"/>
  <c r="AQ51" i="18"/>
  <c r="AQ34" i="18"/>
  <c r="AQ40" i="18"/>
  <c r="AQ24" i="18"/>
  <c r="AQ56" i="18"/>
  <c r="AQ62" i="18"/>
  <c r="Q39" i="17"/>
  <c r="Q35" i="17"/>
  <c r="Z46" i="17"/>
  <c r="Z50" i="17"/>
  <c r="AI23" i="17"/>
  <c r="AI33" i="17"/>
  <c r="AI55" i="17"/>
  <c r="AI44" i="17"/>
  <c r="P45" i="18"/>
  <c r="P51" i="18"/>
  <c r="P24" i="18"/>
  <c r="P56" i="18"/>
  <c r="P62" i="18"/>
  <c r="P34" i="18"/>
  <c r="P40" i="18"/>
  <c r="AC45" i="18"/>
  <c r="AC51" i="18"/>
  <c r="AC24" i="18"/>
  <c r="AC56" i="18"/>
  <c r="AC62" i="18"/>
  <c r="AC34" i="18"/>
  <c r="AC40" i="18"/>
  <c r="AU23" i="17"/>
  <c r="AU55" i="17"/>
  <c r="AU33" i="17"/>
  <c r="AU44" i="17"/>
  <c r="AT46" i="18"/>
  <c r="AT50" i="18"/>
  <c r="AP46" i="17"/>
  <c r="AW46" i="18"/>
  <c r="AW50" i="18"/>
  <c r="V57" i="17"/>
  <c r="V61" i="17"/>
  <c r="O55" i="18"/>
  <c r="O23" i="18"/>
  <c r="O33" i="18"/>
  <c r="O44" i="18"/>
  <c r="AF55" i="18"/>
  <c r="AF23" i="18"/>
  <c r="AF33" i="18"/>
  <c r="AF44" i="18"/>
  <c r="AS23" i="18"/>
  <c r="AS55" i="18"/>
  <c r="AS33" i="18"/>
  <c r="AS44" i="18"/>
  <c r="L39" i="17"/>
  <c r="L35" i="17"/>
  <c r="AA46" i="17"/>
  <c r="AA50" i="17"/>
  <c r="AL61" i="17"/>
  <c r="AL57" i="17"/>
  <c r="AT39" i="17"/>
  <c r="AT35" i="17"/>
  <c r="Y46" i="17"/>
  <c r="Y50" i="17"/>
  <c r="J55" i="18"/>
  <c r="J23" i="18"/>
  <c r="J33" i="18"/>
  <c r="J44" i="18"/>
  <c r="W55" i="18"/>
  <c r="W23" i="18"/>
  <c r="W33" i="18"/>
  <c r="W44" i="18"/>
  <c r="AN55" i="18"/>
  <c r="AN23" i="18"/>
  <c r="AN33" i="18"/>
  <c r="AN44" i="18"/>
  <c r="U57" i="17"/>
  <c r="AF46" i="17"/>
  <c r="AF50" i="17"/>
  <c r="AD46" i="17"/>
  <c r="AD50" i="17"/>
  <c r="AM46" i="17"/>
  <c r="AM50" i="17"/>
  <c r="I45" i="18"/>
  <c r="I51" i="18"/>
  <c r="I34" i="18"/>
  <c r="I40" i="18"/>
  <c r="I24" i="18"/>
  <c r="I56" i="18"/>
  <c r="I62" i="18"/>
  <c r="Z45" i="18"/>
  <c r="Z51" i="18"/>
  <c r="Z34" i="18"/>
  <c r="Z40" i="18"/>
  <c r="Z24" i="18"/>
  <c r="Z56" i="18"/>
  <c r="Z62" i="18"/>
  <c r="AM45" i="18"/>
  <c r="AM51" i="18"/>
  <c r="AM34" i="18"/>
  <c r="AM40" i="18"/>
  <c r="AM24" i="18"/>
  <c r="AM56" i="18"/>
  <c r="AM62" i="18"/>
  <c r="T57" i="17"/>
  <c r="T61" i="17"/>
  <c r="D46" i="17"/>
  <c r="D50" i="17"/>
  <c r="J57" i="17"/>
  <c r="J61" i="17"/>
  <c r="AJ46" i="17"/>
  <c r="G61" i="17"/>
  <c r="G57" i="17"/>
  <c r="T55" i="18"/>
  <c r="T23" i="18"/>
  <c r="T33" i="18"/>
  <c r="T44" i="18"/>
  <c r="AK55" i="18"/>
  <c r="AK23" i="18"/>
  <c r="AK33" i="18"/>
  <c r="AK44" i="18"/>
  <c r="K61" i="17"/>
  <c r="K57" i="17"/>
  <c r="AB39" i="17"/>
  <c r="AB35" i="17"/>
  <c r="I61" i="17"/>
  <c r="I57" i="17"/>
  <c r="R57" i="17"/>
  <c r="R61" i="17"/>
  <c r="AV46" i="17"/>
  <c r="AV50" i="17"/>
  <c r="N55" i="18"/>
  <c r="N23" i="18"/>
  <c r="N33" i="18"/>
  <c r="N44" i="18"/>
  <c r="AA55" i="18"/>
  <c r="AA23" i="18"/>
  <c r="AA33" i="18"/>
  <c r="AA44" i="18"/>
  <c r="AR55" i="18"/>
  <c r="AR23" i="18"/>
  <c r="AR33" i="18"/>
  <c r="AR44" i="18"/>
  <c r="W39" i="17"/>
  <c r="W35" i="17"/>
  <c r="AS56" i="17"/>
  <c r="AS62" i="17"/>
  <c r="AS34" i="17"/>
  <c r="AS40" i="17"/>
  <c r="AS24" i="17"/>
  <c r="AS45" i="17"/>
  <c r="AS51" i="17"/>
  <c r="AV39" i="18"/>
  <c r="AV35" i="18"/>
  <c r="H61" i="17"/>
  <c r="H57" i="17"/>
  <c r="F61" i="17"/>
  <c r="F57" i="17"/>
  <c r="AU61" i="18"/>
  <c r="AU57" i="18"/>
  <c r="N57" i="17"/>
  <c r="N61" i="17"/>
  <c r="V55" i="18"/>
  <c r="V23" i="18"/>
  <c r="V33" i="18"/>
  <c r="V44" i="18"/>
  <c r="S61" i="17"/>
  <c r="S57" i="17"/>
  <c r="Q46" i="17"/>
  <c r="Q50" i="17"/>
  <c r="Z39" i="17"/>
  <c r="Z35" i="17"/>
  <c r="U55" i="18"/>
  <c r="U23" i="18"/>
  <c r="U33" i="18"/>
  <c r="U44" i="18"/>
  <c r="AL55" i="18"/>
  <c r="AL23" i="18"/>
  <c r="AL33" i="18"/>
  <c r="AL44" i="18"/>
  <c r="AE46" i="17"/>
  <c r="AE50" i="17"/>
  <c r="AT39" i="18"/>
  <c r="AT35" i="18"/>
  <c r="AW61" i="18"/>
  <c r="AW57" i="18"/>
  <c r="V46" i="17"/>
  <c r="V50" i="17"/>
  <c r="O45" i="18"/>
  <c r="O51" i="18"/>
  <c r="O34" i="18"/>
  <c r="O40" i="18"/>
  <c r="O24" i="18"/>
  <c r="O56" i="18"/>
  <c r="O62" i="18"/>
  <c r="AF45" i="18"/>
  <c r="AF51" i="18"/>
  <c r="AF34" i="18"/>
  <c r="AF40" i="18"/>
  <c r="AF24" i="18"/>
  <c r="AF56" i="18"/>
  <c r="AF62" i="18"/>
  <c r="AS45" i="18"/>
  <c r="AS51" i="18"/>
  <c r="AS34" i="18"/>
  <c r="AS40" i="18"/>
  <c r="AS24" i="18"/>
  <c r="AS56" i="18"/>
  <c r="AS62" i="18"/>
  <c r="J45" i="18"/>
  <c r="J51" i="18"/>
  <c r="J24" i="18"/>
  <c r="J56" i="18"/>
  <c r="J62" i="18"/>
  <c r="J34" i="18"/>
  <c r="J40" i="18"/>
  <c r="W45" i="18"/>
  <c r="W51" i="18"/>
  <c r="W24" i="18"/>
  <c r="W56" i="18"/>
  <c r="W62" i="18"/>
  <c r="W34" i="18"/>
  <c r="W40" i="18"/>
  <c r="AN45" i="18"/>
  <c r="AN51" i="18"/>
  <c r="AN24" i="18"/>
  <c r="AN56" i="18"/>
  <c r="AN62" i="18"/>
  <c r="AN34" i="18"/>
  <c r="AN40" i="18"/>
  <c r="P57" i="17"/>
  <c r="P61" i="17"/>
  <c r="X57" i="17"/>
  <c r="X61" i="17"/>
  <c r="AP35" i="17"/>
  <c r="AF39" i="17"/>
  <c r="AF35" i="17"/>
  <c r="AY39" i="18"/>
  <c r="AY35" i="18"/>
  <c r="E23" i="17"/>
  <c r="AZ23" i="17"/>
  <c r="E55" i="17"/>
  <c r="E44" i="17"/>
  <c r="E33" i="17"/>
  <c r="AD39" i="17"/>
  <c r="AD35" i="17"/>
  <c r="AM39" i="17"/>
  <c r="AM35" i="17"/>
  <c r="Q55" i="18"/>
  <c r="Q23" i="18"/>
  <c r="Q33" i="18"/>
  <c r="Q44" i="18"/>
  <c r="AH55" i="18"/>
  <c r="AH23" i="18"/>
  <c r="AH33" i="18"/>
  <c r="AH44" i="18"/>
  <c r="T46" i="17"/>
  <c r="T50" i="17"/>
  <c r="D57" i="18"/>
  <c r="D61" i="18"/>
  <c r="D39" i="17"/>
  <c r="D35" i="17"/>
  <c r="J46" i="17"/>
  <c r="J50" i="17"/>
  <c r="AG39" i="17"/>
  <c r="AG35" i="17"/>
  <c r="L45" i="18"/>
  <c r="L51" i="18"/>
  <c r="L24" i="18"/>
  <c r="L56" i="18"/>
  <c r="L62" i="18"/>
  <c r="L34" i="18"/>
  <c r="L40" i="18"/>
  <c r="Y45" i="18"/>
  <c r="Y51" i="18"/>
  <c r="Y24" i="18"/>
  <c r="Y56" i="18"/>
  <c r="Y62" i="18"/>
  <c r="Y34" i="18"/>
  <c r="Y40" i="18"/>
  <c r="AP45" i="18"/>
  <c r="AP51" i="18"/>
  <c r="AP24" i="18"/>
  <c r="AP56" i="18"/>
  <c r="AP62" i="18"/>
  <c r="AP34" i="18"/>
  <c r="AP40" i="18"/>
  <c r="T45" i="18"/>
  <c r="T51" i="18"/>
  <c r="T34" i="18"/>
  <c r="T40" i="18"/>
  <c r="T24" i="18"/>
  <c r="T56" i="18"/>
  <c r="T62" i="18"/>
  <c r="R46" i="17"/>
  <c r="R50" i="17"/>
  <c r="N46" i="17"/>
  <c r="N50" i="17"/>
  <c r="U45" i="18"/>
  <c r="U51" i="18"/>
  <c r="U24" i="18"/>
  <c r="U56" i="18"/>
  <c r="U62" i="18"/>
  <c r="U34" i="18"/>
  <c r="U40" i="18"/>
  <c r="F55" i="18"/>
  <c r="F23" i="18"/>
  <c r="F33" i="18"/>
  <c r="F44" i="18"/>
  <c r="AL39" i="17"/>
  <c r="AL35" i="17"/>
  <c r="Y61" i="17"/>
  <c r="Y57" i="17"/>
  <c r="S55" i="18"/>
  <c r="S23" i="18"/>
  <c r="S33" i="18"/>
  <c r="S44" i="18"/>
  <c r="P46" i="17"/>
  <c r="P50" i="17"/>
  <c r="E56" i="17"/>
  <c r="E62" i="17"/>
  <c r="E34" i="17"/>
  <c r="E40" i="17"/>
  <c r="E24" i="17"/>
  <c r="E45" i="17"/>
  <c r="E51" i="17"/>
  <c r="AZ22" i="17"/>
  <c r="AO23" i="17"/>
  <c r="AO33" i="17"/>
  <c r="AO44" i="17"/>
  <c r="AO55" i="17"/>
  <c r="AX46" i="18"/>
  <c r="AX50" i="18"/>
  <c r="G39" i="17"/>
  <c r="G35" i="17"/>
  <c r="K55" i="18"/>
  <c r="K23" i="18"/>
  <c r="K33" i="18"/>
  <c r="K44" i="18"/>
  <c r="AB55" i="18"/>
  <c r="AB23" i="18"/>
  <c r="AB33" i="18"/>
  <c r="AB44" i="18"/>
  <c r="AO55" i="18"/>
  <c r="AO23" i="18"/>
  <c r="AO33" i="18"/>
  <c r="AO44" i="18"/>
  <c r="K46" i="17"/>
  <c r="K50" i="17"/>
  <c r="AB57" i="17"/>
  <c r="AB61" i="17"/>
  <c r="AK23" i="17"/>
  <c r="AK33" i="17"/>
  <c r="AK44" i="17"/>
  <c r="AK55" i="17"/>
  <c r="I46" i="17"/>
  <c r="I50" i="17"/>
  <c r="R39" i="17"/>
  <c r="R35" i="17"/>
  <c r="AV57" i="17"/>
  <c r="AV61" i="17"/>
  <c r="AI55" i="18"/>
  <c r="AI23" i="18"/>
  <c r="AI33" i="18"/>
  <c r="AI44" i="18"/>
  <c r="W46" i="17"/>
  <c r="W50" i="17"/>
  <c r="AV61" i="18"/>
  <c r="AV57" i="18"/>
  <c r="H39" i="17"/>
  <c r="H35" i="17"/>
  <c r="F39" i="17"/>
  <c r="F35" i="17"/>
  <c r="AU39" i="18"/>
  <c r="AU35" i="18"/>
  <c r="F30" i="17"/>
  <c r="G27" i="17"/>
  <c r="N39" i="17"/>
  <c r="N35" i="17"/>
  <c r="M55" i="18"/>
  <c r="M23" i="18"/>
  <c r="M33" i="18"/>
  <c r="M44" i="18"/>
  <c r="AD55" i="18"/>
  <c r="AD23" i="18"/>
  <c r="AD33" i="18"/>
  <c r="AD44" i="18"/>
  <c r="AQ55" i="18"/>
  <c r="AQ23" i="18"/>
  <c r="AQ33" i="18"/>
  <c r="AQ44" i="18"/>
  <c r="S46" i="17"/>
  <c r="S50" i="17"/>
  <c r="Q61" i="17"/>
  <c r="Q57" i="17"/>
  <c r="Z57" i="17"/>
  <c r="Z61" i="17"/>
  <c r="AI56" i="17"/>
  <c r="AI62" i="17"/>
  <c r="AI24" i="17"/>
  <c r="AI34" i="17"/>
  <c r="AI40" i="17"/>
  <c r="AI45" i="17"/>
  <c r="AI51" i="17"/>
  <c r="E22" i="18"/>
  <c r="E21" i="18"/>
  <c r="P55" i="18"/>
  <c r="P23" i="18"/>
  <c r="P33" i="18"/>
  <c r="P44" i="18"/>
  <c r="AC55" i="18"/>
  <c r="AC23" i="18"/>
  <c r="AC33" i="18"/>
  <c r="AC44" i="18"/>
  <c r="M57" i="17"/>
  <c r="AE39" i="17"/>
  <c r="AE35" i="17"/>
  <c r="AU56" i="17"/>
  <c r="AU62" i="17"/>
  <c r="AU24" i="17"/>
  <c r="AU34" i="17"/>
  <c r="AU40" i="17"/>
  <c r="AU45" i="17"/>
  <c r="AU51" i="17"/>
  <c r="AT61" i="18"/>
  <c r="AT57" i="18"/>
  <c r="AW39" i="18"/>
  <c r="AW35" i="18"/>
  <c r="F45" i="18"/>
  <c r="F51" i="18"/>
  <c r="F34" i="18"/>
  <c r="F40" i="18"/>
  <c r="F24" i="18"/>
  <c r="F56" i="18"/>
  <c r="F62" i="18"/>
  <c r="X45" i="18"/>
  <c r="X51" i="18"/>
  <c r="X34" i="18"/>
  <c r="X40" i="18"/>
  <c r="X24" i="18"/>
  <c r="X56" i="18"/>
  <c r="X62" i="18"/>
  <c r="L46" i="17"/>
  <c r="L50" i="17"/>
  <c r="AA39" i="17"/>
  <c r="AA35" i="17"/>
  <c r="AL46" i="17"/>
  <c r="AL50" i="17"/>
  <c r="AT46" i="17"/>
  <c r="AT50" i="17"/>
  <c r="Y39" i="17"/>
  <c r="Y35" i="17"/>
  <c r="S45" i="18"/>
  <c r="S51" i="18"/>
  <c r="S24" i="18"/>
  <c r="S56" i="18"/>
  <c r="S62" i="18"/>
  <c r="S34" i="18"/>
  <c r="S40" i="18"/>
  <c r="AE45" i="18"/>
  <c r="AE51" i="18"/>
  <c r="AE24" i="18"/>
  <c r="AE56" i="18"/>
  <c r="AE62" i="18"/>
  <c r="AE34" i="18"/>
  <c r="AE40" i="18"/>
  <c r="AW23" i="17"/>
  <c r="AW33" i="17"/>
  <c r="AW44" i="17"/>
  <c r="AW55" i="17"/>
  <c r="P39" i="17"/>
  <c r="P35" i="17"/>
  <c r="X39" i="17"/>
  <c r="X35" i="17"/>
  <c r="AF57" i="17"/>
  <c r="AF61" i="17"/>
  <c r="AX35" i="17"/>
  <c r="AY61" i="18"/>
  <c r="AY57" i="18"/>
  <c r="AD57" i="17"/>
  <c r="AD61" i="17"/>
  <c r="AM57" i="17"/>
  <c r="AM61" i="17"/>
  <c r="I55" i="18"/>
  <c r="I23" i="18"/>
  <c r="I33" i="18"/>
  <c r="I44" i="18"/>
  <c r="Z55" i="18"/>
  <c r="Z23" i="18"/>
  <c r="Z33" i="18"/>
  <c r="Z44" i="18"/>
  <c r="AM55" i="18"/>
  <c r="AM23" i="18"/>
  <c r="AM33" i="18"/>
  <c r="AM44" i="18"/>
  <c r="M46" i="17"/>
  <c r="D35" i="18"/>
  <c r="D39" i="18"/>
  <c r="D61" i="17"/>
  <c r="D57" i="17"/>
  <c r="AZ21" i="17"/>
  <c r="AQ56" i="17"/>
  <c r="AQ62" i="17"/>
  <c r="AQ34" i="17"/>
  <c r="AQ40" i="17"/>
  <c r="AQ24" i="17"/>
  <c r="AQ45" i="17"/>
  <c r="AQ51" i="17"/>
  <c r="AY39" i="17"/>
  <c r="AY35" i="17"/>
  <c r="H45" i="18"/>
  <c r="H51" i="18"/>
  <c r="H24" i="18"/>
  <c r="H56" i="18"/>
  <c r="H62" i="18"/>
  <c r="H34" i="18"/>
  <c r="H40" i="18"/>
  <c r="AG45" i="18"/>
  <c r="AG51" i="18"/>
  <c r="AG24" i="18"/>
  <c r="AG56" i="18"/>
  <c r="AG62" i="18"/>
  <c r="AG34" i="18"/>
  <c r="AG40" i="18"/>
  <c r="O61" i="17"/>
  <c r="O57" i="17"/>
  <c r="AO56" i="17"/>
  <c r="AO62" i="17"/>
  <c r="AO34" i="17"/>
  <c r="AO40" i="17"/>
  <c r="AO24" i="17"/>
  <c r="AO45" i="17"/>
  <c r="AO51" i="17"/>
  <c r="AG61" i="17"/>
  <c r="AG57" i="17"/>
  <c r="AY46" i="17"/>
  <c r="AY50" i="17"/>
  <c r="L55" i="18"/>
  <c r="L23" i="18"/>
  <c r="L33" i="18"/>
  <c r="L44" i="18"/>
  <c r="Y55" i="18"/>
  <c r="Y23" i="18"/>
  <c r="Y33" i="18"/>
  <c r="Y44" i="18"/>
  <c r="AP55" i="18"/>
  <c r="AP23" i="18"/>
  <c r="AP33" i="18"/>
  <c r="AP44" i="18"/>
  <c r="O39" i="17"/>
  <c r="O35" i="17"/>
  <c r="AC57" i="17"/>
  <c r="Y35" i="18"/>
  <c r="Y39" i="18"/>
  <c r="L35" i="18"/>
  <c r="L39" i="18"/>
  <c r="AM57" i="18"/>
  <c r="AM61" i="18"/>
  <c r="I57" i="18"/>
  <c r="I61" i="18"/>
  <c r="AW39" i="17"/>
  <c r="AW35" i="17"/>
  <c r="AC35" i="18"/>
  <c r="AC39" i="18"/>
  <c r="P35" i="18"/>
  <c r="P39" i="18"/>
  <c r="AQ35" i="18"/>
  <c r="AQ39" i="18"/>
  <c r="AD35" i="18"/>
  <c r="AD39" i="18"/>
  <c r="AI57" i="18"/>
  <c r="AI61" i="18"/>
  <c r="AB35" i="18"/>
  <c r="AB39" i="18"/>
  <c r="Q46" i="18"/>
  <c r="Q50" i="18"/>
  <c r="E39" i="17"/>
  <c r="E35" i="17"/>
  <c r="U57" i="18"/>
  <c r="U61" i="18"/>
  <c r="V35" i="18"/>
  <c r="V39" i="18"/>
  <c r="AR35" i="18"/>
  <c r="AR39" i="18"/>
  <c r="N35" i="18"/>
  <c r="N39" i="18"/>
  <c r="T57" i="18"/>
  <c r="T61" i="18"/>
  <c r="AF46" i="18"/>
  <c r="AF50" i="18"/>
  <c r="O46" i="18"/>
  <c r="O50" i="18"/>
  <c r="AU39" i="17"/>
  <c r="AU35" i="17"/>
  <c r="AI57" i="17"/>
  <c r="AI61" i="17"/>
  <c r="H57" i="18"/>
  <c r="H61" i="18"/>
  <c r="AQ46" i="17"/>
  <c r="AQ50" i="17"/>
  <c r="AE46" i="18"/>
  <c r="AE50" i="18"/>
  <c r="AS39" i="17"/>
  <c r="AS35" i="17"/>
  <c r="AM46" i="18"/>
  <c r="AM50" i="18"/>
  <c r="I46" i="18"/>
  <c r="I50" i="18"/>
  <c r="AK39" i="17"/>
  <c r="AK35" i="17"/>
  <c r="AZ24" i="17"/>
  <c r="AH35" i="18"/>
  <c r="AH39" i="18"/>
  <c r="U46" i="18"/>
  <c r="U50" i="18"/>
  <c r="T46" i="18"/>
  <c r="T50" i="18"/>
  <c r="AN57" i="18"/>
  <c r="AN61" i="18"/>
  <c r="J57" i="18"/>
  <c r="J61" i="18"/>
  <c r="AS35" i="18"/>
  <c r="AS39" i="18"/>
  <c r="AF35" i="18"/>
  <c r="AF39" i="18"/>
  <c r="AU57" i="17"/>
  <c r="AU61" i="17"/>
  <c r="AI39" i="17"/>
  <c r="AI35" i="17"/>
  <c r="AG46" i="18"/>
  <c r="AG50" i="18"/>
  <c r="H46" i="18"/>
  <c r="H50" i="18"/>
  <c r="AQ39" i="17"/>
  <c r="AQ35" i="17"/>
  <c r="X57" i="18"/>
  <c r="X61" i="18"/>
  <c r="AS46" i="17"/>
  <c r="AS50" i="17"/>
  <c r="Y57" i="18"/>
  <c r="Y61" i="18"/>
  <c r="L57" i="18"/>
  <c r="L61" i="18"/>
  <c r="AM35" i="18"/>
  <c r="AM39" i="18"/>
  <c r="I35" i="18"/>
  <c r="I39" i="18"/>
  <c r="AP46" i="18"/>
  <c r="AP50" i="18"/>
  <c r="Y46" i="18"/>
  <c r="Y50" i="18"/>
  <c r="L46" i="18"/>
  <c r="L50" i="18"/>
  <c r="AW46" i="17"/>
  <c r="AW50" i="17"/>
  <c r="AC46" i="18"/>
  <c r="AC50" i="18"/>
  <c r="P46" i="18"/>
  <c r="P50" i="18"/>
  <c r="E55" i="18"/>
  <c r="E23" i="18"/>
  <c r="AZ23" i="18"/>
  <c r="E33" i="18"/>
  <c r="E44" i="18"/>
  <c r="AZ21" i="18"/>
  <c r="AQ46" i="18"/>
  <c r="AQ50" i="18"/>
  <c r="AD46" i="18"/>
  <c r="AD50" i="18"/>
  <c r="M46" i="18"/>
  <c r="M50" i="18"/>
  <c r="AK61" i="17"/>
  <c r="AK57" i="17"/>
  <c r="AO46" i="18"/>
  <c r="AO50" i="18"/>
  <c r="AB46" i="18"/>
  <c r="AB50" i="18"/>
  <c r="K46" i="18"/>
  <c r="K50" i="18"/>
  <c r="AO57" i="17"/>
  <c r="AO61" i="17"/>
  <c r="S35" i="18"/>
  <c r="S39" i="18"/>
  <c r="F35" i="18"/>
  <c r="F39" i="18"/>
  <c r="AH57" i="18"/>
  <c r="AH61" i="18"/>
  <c r="Q57" i="18"/>
  <c r="Q61" i="18"/>
  <c r="V46" i="18"/>
  <c r="V50" i="18"/>
  <c r="AR46" i="18"/>
  <c r="AR50" i="18"/>
  <c r="AA46" i="18"/>
  <c r="AA50" i="18"/>
  <c r="N46" i="18"/>
  <c r="N50" i="18"/>
  <c r="AN35" i="18"/>
  <c r="AN39" i="18"/>
  <c r="W35" i="18"/>
  <c r="W39" i="18"/>
  <c r="J35" i="18"/>
  <c r="J39" i="18"/>
  <c r="AF57" i="18"/>
  <c r="AF61" i="18"/>
  <c r="O57" i="18"/>
  <c r="O61" i="18"/>
  <c r="AU46" i="17"/>
  <c r="AU50" i="17"/>
  <c r="AI46" i="17"/>
  <c r="AI50" i="17"/>
  <c r="AQ57" i="17"/>
  <c r="AQ61" i="17"/>
  <c r="AE57" i="18"/>
  <c r="AE61" i="18"/>
  <c r="X35" i="18"/>
  <c r="X39" i="18"/>
  <c r="AP35" i="18"/>
  <c r="AP39" i="18"/>
  <c r="Z57" i="18"/>
  <c r="Z61" i="18"/>
  <c r="E45" i="18"/>
  <c r="E51" i="18"/>
  <c r="E24" i="18"/>
  <c r="AZ24" i="18"/>
  <c r="E56" i="18"/>
  <c r="E62" i="18"/>
  <c r="E34" i="18"/>
  <c r="E40" i="18"/>
  <c r="AZ22" i="18"/>
  <c r="M35" i="18"/>
  <c r="M39" i="18"/>
  <c r="AO35" i="18"/>
  <c r="AO39" i="18"/>
  <c r="AO46" i="17"/>
  <c r="AO50" i="17"/>
  <c r="AK46" i="17"/>
  <c r="AK50" i="17"/>
  <c r="K35" i="18"/>
  <c r="K39" i="18"/>
  <c r="AH46" i="18"/>
  <c r="AH50" i="18"/>
  <c r="AL57" i="18"/>
  <c r="AL61" i="18"/>
  <c r="AA35" i="18"/>
  <c r="AA39" i="18"/>
  <c r="AK57" i="18"/>
  <c r="AK61" i="18"/>
  <c r="AS46" i="18"/>
  <c r="AS50" i="18"/>
  <c r="AG57" i="18"/>
  <c r="AG61" i="18"/>
  <c r="Z46" i="18"/>
  <c r="Z50" i="18"/>
  <c r="G30" i="17"/>
  <c r="H27" i="17"/>
  <c r="AI46" i="18"/>
  <c r="AI50" i="18"/>
  <c r="AO39" i="17"/>
  <c r="AO35" i="17"/>
  <c r="S57" i="18"/>
  <c r="S61" i="18"/>
  <c r="F57" i="18"/>
  <c r="F61" i="18"/>
  <c r="Q35" i="18"/>
  <c r="Q39" i="18"/>
  <c r="E46" i="17"/>
  <c r="E50" i="17"/>
  <c r="AL46" i="18"/>
  <c r="AL50" i="18"/>
  <c r="AK46" i="18"/>
  <c r="AK50" i="18"/>
  <c r="W57" i="18"/>
  <c r="W61" i="18"/>
  <c r="O35" i="18"/>
  <c r="O39" i="18"/>
  <c r="AE35" i="18"/>
  <c r="AE39" i="18"/>
  <c r="AP57" i="18"/>
  <c r="AP61" i="18"/>
  <c r="Z35" i="18"/>
  <c r="Z39" i="18"/>
  <c r="AW61" i="17"/>
  <c r="AW57" i="17"/>
  <c r="AC57" i="18"/>
  <c r="AC61" i="18"/>
  <c r="P57" i="18"/>
  <c r="P61" i="18"/>
  <c r="AQ57" i="18"/>
  <c r="AQ61" i="18"/>
  <c r="AD57" i="18"/>
  <c r="AD61" i="18"/>
  <c r="M57" i="18"/>
  <c r="M61" i="18"/>
  <c r="AI35" i="18"/>
  <c r="AI39" i="18"/>
  <c r="AO57" i="18"/>
  <c r="AO61" i="18"/>
  <c r="AB57" i="18"/>
  <c r="AB61" i="18"/>
  <c r="K57" i="18"/>
  <c r="K61" i="18"/>
  <c r="S46" i="18"/>
  <c r="S50" i="18"/>
  <c r="F46" i="18"/>
  <c r="F50" i="18"/>
  <c r="E61" i="17"/>
  <c r="E57" i="17"/>
  <c r="AL35" i="18"/>
  <c r="AL39" i="18"/>
  <c r="U35" i="18"/>
  <c r="U39" i="18"/>
  <c r="V57" i="18"/>
  <c r="V61" i="18"/>
  <c r="AR57" i="18"/>
  <c r="AR61" i="18"/>
  <c r="AA57" i="18"/>
  <c r="AA61" i="18"/>
  <c r="N57" i="18"/>
  <c r="N61" i="18"/>
  <c r="AK35" i="18"/>
  <c r="AK39" i="18"/>
  <c r="T35" i="18"/>
  <c r="T39" i="18"/>
  <c r="AN46" i="18"/>
  <c r="AN50" i="18"/>
  <c r="W46" i="18"/>
  <c r="W50" i="18"/>
  <c r="J46" i="18"/>
  <c r="J50" i="18"/>
  <c r="AS57" i="18"/>
  <c r="AS61" i="18"/>
  <c r="J27" i="18"/>
  <c r="I30" i="18"/>
  <c r="AG35" i="18"/>
  <c r="AG39" i="18"/>
  <c r="H35" i="18"/>
  <c r="H39" i="18"/>
  <c r="X46" i="18"/>
  <c r="X50" i="18"/>
  <c r="AS57" i="17"/>
  <c r="AS61" i="17"/>
  <c r="E46" i="18"/>
  <c r="E50" i="18"/>
  <c r="E57" i="18"/>
  <c r="E61" i="18"/>
  <c r="H30" i="17"/>
  <c r="I27" i="17"/>
  <c r="E35" i="18"/>
  <c r="E39" i="18"/>
  <c r="K27" i="18"/>
  <c r="J30" i="18"/>
  <c r="I30" i="17"/>
  <c r="J27" i="17"/>
  <c r="L27" i="18"/>
  <c r="K30" i="18"/>
  <c r="M27" i="18"/>
  <c r="L30" i="18"/>
  <c r="J30" i="17"/>
  <c r="K27" i="17"/>
  <c r="K30" i="17"/>
  <c r="L27" i="17"/>
  <c r="N27" i="18"/>
  <c r="M30" i="18"/>
  <c r="L30" i="17"/>
  <c r="M27" i="17"/>
  <c r="O27" i="18"/>
  <c r="N30" i="18"/>
  <c r="P27" i="18"/>
  <c r="O30" i="18"/>
  <c r="M30" i="17"/>
  <c r="N27" i="17"/>
  <c r="Q27" i="18"/>
  <c r="P30" i="18"/>
  <c r="N30" i="17"/>
  <c r="O27" i="17"/>
  <c r="O30" i="17"/>
  <c r="P27" i="17"/>
  <c r="R27" i="18"/>
  <c r="Q30" i="18"/>
  <c r="S27" i="18"/>
  <c r="R30" i="18"/>
  <c r="P30" i="17"/>
  <c r="Q27" i="17"/>
  <c r="T27" i="18"/>
  <c r="S30" i="18"/>
  <c r="Q30" i="17"/>
  <c r="R27" i="17"/>
  <c r="U27" i="18"/>
  <c r="T30" i="18"/>
  <c r="R30" i="17"/>
  <c r="S27" i="17"/>
  <c r="S30" i="17"/>
  <c r="T27" i="17"/>
  <c r="V27" i="18"/>
  <c r="U30" i="18"/>
  <c r="W27" i="18"/>
  <c r="V30" i="18"/>
  <c r="T30" i="17"/>
  <c r="U27" i="17"/>
  <c r="U30" i="17"/>
  <c r="V27" i="17"/>
  <c r="X27" i="18"/>
  <c r="W30" i="18"/>
  <c r="Y27" i="18"/>
  <c r="X30" i="18"/>
  <c r="V30" i="17"/>
  <c r="W27" i="17"/>
  <c r="W30" i="17"/>
  <c r="X27" i="17"/>
  <c r="Z27" i="18"/>
  <c r="Y30" i="18"/>
  <c r="X30" i="17"/>
  <c r="Y27" i="17"/>
  <c r="AA27" i="18"/>
  <c r="Z30" i="18"/>
  <c r="AB27" i="18"/>
  <c r="AA30" i="18"/>
  <c r="Y30" i="17"/>
  <c r="Z27" i="17"/>
  <c r="Z30" i="17"/>
  <c r="AA27" i="17"/>
  <c r="AC27" i="18"/>
  <c r="AB30" i="18"/>
  <c r="AD27" i="18"/>
  <c r="AC30" i="18"/>
  <c r="AA30" i="17"/>
  <c r="AB27" i="17"/>
  <c r="AB30" i="17"/>
  <c r="AC27" i="17"/>
  <c r="AE27" i="18"/>
  <c r="AD30" i="18"/>
  <c r="AF27" i="18"/>
  <c r="AE30" i="18"/>
  <c r="AC30" i="17"/>
  <c r="AD27" i="17"/>
  <c r="AD30" i="17"/>
  <c r="AE27" i="17"/>
  <c r="AG27" i="18"/>
  <c r="AF30" i="18"/>
  <c r="AH27" i="18"/>
  <c r="AG30" i="18"/>
  <c r="AE30" i="17"/>
  <c r="AF27" i="17"/>
  <c r="AF30" i="17"/>
  <c r="AG27" i="17"/>
  <c r="AI27" i="18"/>
  <c r="AH30" i="18"/>
  <c r="AI30" i="18"/>
  <c r="AJ27" i="18"/>
  <c r="AG30" i="17"/>
  <c r="AH27" i="17"/>
  <c r="AK27" i="18"/>
  <c r="AJ30" i="18"/>
  <c r="AH30" i="17"/>
  <c r="AI27" i="17"/>
  <c r="AJ27" i="17"/>
  <c r="AI30" i="17"/>
  <c r="AL27" i="18"/>
  <c r="AK30" i="18"/>
  <c r="AM27" i="18"/>
  <c r="AL30" i="18"/>
  <c r="AJ30" i="17"/>
  <c r="AK27" i="17"/>
  <c r="AK30" i="17"/>
  <c r="AL27" i="17"/>
  <c r="AN27" i="18"/>
  <c r="AM30" i="18"/>
  <c r="AL30" i="17"/>
  <c r="AM27" i="17"/>
  <c r="AO27" i="18"/>
  <c r="AN30" i="18"/>
  <c r="AM30" i="17"/>
  <c r="AN27" i="17"/>
  <c r="AP27" i="18"/>
  <c r="AO30" i="18"/>
  <c r="AQ27" i="18"/>
  <c r="AP30" i="18"/>
  <c r="AN30" i="17"/>
  <c r="AO27" i="17"/>
  <c r="AO30" i="17"/>
  <c r="AP27" i="17"/>
  <c r="AR27" i="18"/>
  <c r="AQ30" i="18"/>
  <c r="AP30" i="17"/>
  <c r="AQ27" i="17"/>
  <c r="AS27" i="18"/>
  <c r="AR30" i="18"/>
  <c r="AQ30" i="17"/>
  <c r="AR27" i="17"/>
  <c r="AS30" i="18"/>
  <c r="AT27" i="18"/>
  <c r="AR30" i="17"/>
  <c r="AS27" i="17"/>
  <c r="AT30" i="18"/>
  <c r="AU27" i="18"/>
  <c r="AS30" i="17"/>
  <c r="AT27" i="17"/>
  <c r="AU30" i="18"/>
  <c r="AV27" i="18"/>
  <c r="AT30" i="17"/>
  <c r="AU27" i="17"/>
  <c r="AV30" i="18"/>
  <c r="AW27" i="18"/>
  <c r="AW30" i="18"/>
  <c r="AX27" i="18"/>
  <c r="AU30" i="17"/>
  <c r="AV27" i="17"/>
  <c r="AX30" i="18"/>
  <c r="AY27" i="18"/>
  <c r="AY30" i="18"/>
  <c r="AZ30" i="18"/>
  <c r="AV30" i="17"/>
  <c r="AW27" i="17"/>
  <c r="AW30" i="17"/>
  <c r="AX27" i="17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H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G16" i="5"/>
  <c r="G107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<sst xmlns="http://schemas.openxmlformats.org/spreadsheetml/2006/main" count="2632" uniqueCount="414">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</sst>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2025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2604.946534186322</v>
      </c>
      <c r="D6" s="87">
        <v>2604.946534186322</v>
      </c>
      <c r="E6" s="87">
        <v>2604.946534186322</v>
      </c>
      <c r="F6" s="87">
        <v>2604.946534186322</v>
      </c>
      <c r="G6" s="87">
        <v>2604.946534186322</v>
      </c>
      <c r="H6" s="87">
        <v>2604.946534186322</v>
      </c>
      <c r="I6" s="87">
        <v>2604.946534186322</v>
      </c>
      <c r="J6" s="87">
        <v>2604.946534186322</v>
      </c>
      <c r="K6" s="87">
        <v>2604.946534186322</v>
      </c>
      <c r="L6" s="87">
        <v>2604.946534186322</v>
      </c>
      <c r="M6" s="87">
        <v>2604.946534186322</v>
      </c>
      <c r="N6" s="87">
        <v>2604.946534186322</v>
      </c>
    </row>
    <row r="7" spans="2:14">
      <c r="B7" s="36" t="s">
        <v>105</v>
      </c>
      <c r="C7" s="88">
        <v>1.0501494974201215E-18</v>
      </c>
      <c r="D7" s="89">
        <v>1.0501494974201215E-18</v>
      </c>
      <c r="E7" s="89">
        <v>1.0501494974201215E-18</v>
      </c>
      <c r="F7" s="89">
        <v>1.0501494974201215E-18</v>
      </c>
      <c r="G7" s="89">
        <v>1.0501494974201215E-18</v>
      </c>
      <c r="H7" s="89">
        <v>1.0501494974201215E-18</v>
      </c>
      <c r="I7" s="89">
        <v>1.0501494974201215E-18</v>
      </c>
      <c r="J7" s="89">
        <v>1.0501494974201215E-18</v>
      </c>
      <c r="K7" s="89">
        <v>1.0501494974201215E-18</v>
      </c>
      <c r="L7" s="89">
        <v>1.0501494974201215E-18</v>
      </c>
      <c r="M7" s="89">
        <v>1.0501494974201215E-18</v>
      </c>
      <c r="N7" s="89">
        <v>1.0501494974201215E-18</v>
      </c>
    </row>
    <row r="8" spans="2:14">
      <c r="B8" s="36" t="s">
        <v>106</v>
      </c>
      <c r="C8" s="88">
        <v>197.02015937187835</v>
      </c>
      <c r="D8" s="89">
        <v>197.02015937187835</v>
      </c>
      <c r="E8" s="89">
        <v>197.02015937187835</v>
      </c>
      <c r="F8" s="89">
        <v>197.02015937187835</v>
      </c>
      <c r="G8" s="89">
        <v>197.02015937187835</v>
      </c>
      <c r="H8" s="89">
        <v>197.02015937187835</v>
      </c>
      <c r="I8" s="89">
        <v>197.02015937187835</v>
      </c>
      <c r="J8" s="89">
        <v>197.02015937187835</v>
      </c>
      <c r="K8" s="89">
        <v>197.02015937187835</v>
      </c>
      <c r="L8" s="89">
        <v>197.02015937187835</v>
      </c>
      <c r="M8" s="89">
        <v>197.02015937187835</v>
      </c>
      <c r="N8" s="89">
        <v>197.02015937187835</v>
      </c>
    </row>
    <row r="9" spans="2:14">
      <c r="B9" s="36" t="s">
        <v>107</v>
      </c>
      <c r="C9" s="88">
        <v>789.99999999999989</v>
      </c>
      <c r="D9" s="89">
        <v>789.99999999999989</v>
      </c>
      <c r="E9" s="89">
        <v>789.99999999999989</v>
      </c>
      <c r="F9" s="89">
        <v>789.99999999999989</v>
      </c>
      <c r="G9" s="89">
        <v>789.99999999999989</v>
      </c>
      <c r="H9" s="89">
        <v>789.99999999999989</v>
      </c>
      <c r="I9" s="89">
        <v>789.99999999999989</v>
      </c>
      <c r="J9" s="89">
        <v>789.99999999999989</v>
      </c>
      <c r="K9" s="89">
        <v>789.99999999999989</v>
      </c>
      <c r="L9" s="89">
        <v>789.99999999999989</v>
      </c>
      <c r="M9" s="89">
        <v>789.99999999999989</v>
      </c>
      <c r="N9" s="89">
        <v>789.99999999999989</v>
      </c>
    </row>
    <row r="10" spans="2:14">
      <c r="B10" s="36" t="s">
        <v>108</v>
      </c>
      <c r="C10" s="88">
        <v>1.5868229555512878E-18</v>
      </c>
      <c r="D10" s="89">
        <v>1.5868229555512878E-18</v>
      </c>
      <c r="E10" s="89">
        <v>1.5868229555512878E-18</v>
      </c>
      <c r="F10" s="89">
        <v>1.5868229555512878E-18</v>
      </c>
      <c r="G10" s="89">
        <v>1.5868229555512878E-18</v>
      </c>
      <c r="H10" s="89">
        <v>1.5868229555512878E-18</v>
      </c>
      <c r="I10" s="89">
        <v>1.5868229555512878E-18</v>
      </c>
      <c r="J10" s="89">
        <v>1.5868229555512878E-18</v>
      </c>
      <c r="K10" s="89">
        <v>1.5868229555512878E-18</v>
      </c>
      <c r="L10" s="89">
        <v>1.5868229555512878E-18</v>
      </c>
      <c r="M10" s="89">
        <v>1.5868229555512878E-18</v>
      </c>
      <c r="N10" s="89">
        <v>1.5868229555512878E-18</v>
      </c>
    </row>
    <row r="11" spans="2:14">
      <c r="B11" s="37" t="s">
        <v>109</v>
      </c>
      <c r="C11" s="88">
        <v>1.1715574041958729E-18</v>
      </c>
      <c r="D11" s="89">
        <v>1.1715574041958729E-18</v>
      </c>
      <c r="E11" s="89">
        <v>1.1715574041958729E-18</v>
      </c>
      <c r="F11" s="89">
        <v>1.1715574041958729E-18</v>
      </c>
      <c r="G11" s="89">
        <v>1.1715574041958729E-18</v>
      </c>
      <c r="H11" s="89">
        <v>1.1715574041958729E-18</v>
      </c>
      <c r="I11" s="89">
        <v>1.1715574041958729E-18</v>
      </c>
      <c r="J11" s="89">
        <v>1.1715574041958729E-18</v>
      </c>
      <c r="K11" s="89">
        <v>1.1715574041958729E-18</v>
      </c>
      <c r="L11" s="89">
        <v>1.1715574041958729E-18</v>
      </c>
      <c r="M11" s="89">
        <v>1.1715574041958729E-18</v>
      </c>
      <c r="N11" s="89">
        <v>1.1715574041958729E-18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0.55792981777808448</v>
      </c>
      <c r="E17" s="90">
        <v>1</v>
      </c>
      <c r="F17" s="90">
        <v>0.7786735019103419</v>
      </c>
      <c r="G17" s="90">
        <v>0.8</v>
      </c>
      <c r="H17" s="90">
        <v>0.99941718604259955</v>
      </c>
      <c r="I17" s="29" t="s">
        <v>110</v>
      </c>
    </row>
    <row r="18" spans="2:33">
      <c r="B18" s="36" t="s">
        <v>105</v>
      </c>
      <c r="C18" s="91">
        <v>1.2</v>
      </c>
      <c r="D18" s="91">
        <v>0.63925340537437025</v>
      </c>
      <c r="E18" s="91">
        <v>1</v>
      </c>
      <c r="F18" s="91">
        <v>0.77058115072156175</v>
      </c>
      <c r="G18" s="91">
        <v>0.8</v>
      </c>
      <c r="H18" s="91">
        <v>0.90190889606875335</v>
      </c>
      <c r="I18" s="29" t="s">
        <v>110</v>
      </c>
    </row>
    <row r="19" spans="2:33">
      <c r="B19" s="36" t="s">
        <v>106</v>
      </c>
      <c r="C19" s="91">
        <v>1.2</v>
      </c>
      <c r="D19" s="91">
        <v>0.67902535395947983</v>
      </c>
      <c r="E19" s="91">
        <v>1</v>
      </c>
      <c r="F19" s="91">
        <v>0.84227875496165339</v>
      </c>
      <c r="G19" s="91">
        <v>0.8</v>
      </c>
      <c r="H19" s="91">
        <v>1.0055321559638268</v>
      </c>
      <c r="I19" s="29" t="s">
        <v>110</v>
      </c>
    </row>
    <row r="20" spans="2:33">
      <c r="B20" s="36" t="s">
        <v>107</v>
      </c>
      <c r="C20" s="91">
        <v>1.2</v>
      </c>
      <c r="D20" s="91">
        <v>0.64499415934898208</v>
      </c>
      <c r="E20" s="91">
        <v>1</v>
      </c>
      <c r="F20" s="91">
        <v>0.81410134975743986</v>
      </c>
      <c r="G20" s="91">
        <v>0.8</v>
      </c>
      <c r="H20" s="91">
        <v>0.98320854016589765</v>
      </c>
    </row>
    <row r="21" spans="2:33">
      <c r="B21" s="36" t="s">
        <v>108</v>
      </c>
      <c r="C21" s="91">
        <v>1.2</v>
      </c>
      <c r="D21" s="91">
        <v>0.69613707884863207</v>
      </c>
      <c r="E21" s="91">
        <v>1</v>
      </c>
      <c r="F21" s="91">
        <v>0.72301913622964409</v>
      </c>
      <c r="G21" s="91">
        <v>0.8</v>
      </c>
      <c r="H21" s="91">
        <v>0.74990119361065621</v>
      </c>
    </row>
    <row r="22" spans="2:33">
      <c r="B22" s="37" t="s">
        <v>109</v>
      </c>
      <c r="C22" s="91">
        <v>1.2</v>
      </c>
      <c r="D22" s="91">
        <v>0.6937669551850798</v>
      </c>
      <c r="E22" s="91">
        <v>1</v>
      </c>
      <c r="F22" s="91">
        <v>0.75777010998545546</v>
      </c>
      <c r="G22" s="91">
        <v>0.8</v>
      </c>
      <c r="H22" s="91">
        <v>0.82177326478583124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2020</v>
      </c>
      <c r="E28" s="49"/>
      <c r="F28" s="45">
        <f>basic_info!$D$5-4</f>
        <v>2021</v>
      </c>
      <c r="G28" s="49"/>
      <c r="H28" s="45">
        <f>basic_info!$D$5-3</f>
        <v>2022</v>
      </c>
      <c r="I28" s="49"/>
      <c r="J28" s="45">
        <f>basic_info!$D$5-2</f>
        <v>2023</v>
      </c>
      <c r="K28" s="49"/>
      <c r="L28" s="45">
        <f>basic_info!$D$5-1</f>
        <v>2024</v>
      </c>
      <c r="N28" s="45">
        <f>basic_info!$D$5</f>
        <v>2025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2025</v>
      </c>
      <c r="D30" s="44">
        <v>0.64994232899248594</v>
      </c>
      <c r="E30" s="35">
        <v>0.64994232899248594</v>
      </c>
      <c r="F30" s="47">
        <v>0.79960135907517904</v>
      </c>
      <c r="G30" s="46">
        <v>0.79960135907517904</v>
      </c>
      <c r="H30" s="47">
        <v>0.80975882421710899</v>
      </c>
      <c r="I30" s="46">
        <v>0.80975882421710899</v>
      </c>
      <c r="J30" s="47">
        <v>0.72057475068865573</v>
      </c>
      <c r="K30" s="46">
        <v>0.72057475068865573</v>
      </c>
      <c r="L30" s="47">
        <v>0.85838837956517655</v>
      </c>
      <c r="M30" s="46">
        <v>0.85838837956517655</v>
      </c>
      <c r="N30" s="60"/>
      <c r="O30" s="71" t="s">
        <v>162</v>
      </c>
      <c r="P30" s="41">
        <f>M30+K30+I30+E30+G30</f>
        <v>3.8382656425386061</v>
      </c>
      <c r="Q30" s="70"/>
    </row>
    <row r="31" spans="2:33">
      <c r="B31" s="36"/>
      <c r="C31" s="47">
        <f>basic_info!$D$5+1</f>
        <v>2026</v>
      </c>
      <c r="D31" s="76"/>
      <c r="E31" s="75"/>
      <c r="F31" s="69">
        <v>0.73880555482804788</v>
      </c>
      <c r="G31" s="79">
        <v>0.73880555482804788</v>
      </c>
      <c r="H31" s="61">
        <v>0.80660806339327296</v>
      </c>
      <c r="I31" s="62">
        <v>0.80660806339327296</v>
      </c>
      <c r="J31" s="61">
        <v>0.66770912421851791</v>
      </c>
      <c r="K31" s="62">
        <v>0.66770912421851791</v>
      </c>
      <c r="L31" s="61">
        <v>0.80424226781322339</v>
      </c>
      <c r="M31" s="62">
        <v>0.80424226781322339</v>
      </c>
      <c r="N31" s="63">
        <v>0.90763329631080369</v>
      </c>
      <c r="O31" s="89">
        <v>0.90763329631080369</v>
      </c>
      <c r="P31" s="63">
        <f>O31+M31+K31+I31+G31</f>
        <v>3.9249983065638663</v>
      </c>
    </row>
    <row r="32" spans="2:33">
      <c r="B32" s="36"/>
      <c r="C32" s="47">
        <f>basic_info!$D$5+2</f>
        <v>2027</v>
      </c>
      <c r="D32" s="76"/>
      <c r="E32" s="75"/>
      <c r="F32" s="75"/>
      <c r="G32" s="75"/>
      <c r="H32" s="69">
        <v>0.76512732076942924</v>
      </c>
      <c r="I32" s="79">
        <v>0.76512732076942924</v>
      </c>
      <c r="J32" s="61">
        <v>0.65019748550057865</v>
      </c>
      <c r="K32" s="62">
        <v>0.65019748550057865</v>
      </c>
      <c r="L32" s="61">
        <v>0.78825317361714797</v>
      </c>
      <c r="M32" s="62">
        <v>0.78825317361714797</v>
      </c>
      <c r="N32" s="63">
        <v>0.83418333387532106</v>
      </c>
      <c r="O32" s="89">
        <v>0.83418333387532106</v>
      </c>
      <c r="P32" s="63">
        <f>O32+M32+K32+I32</f>
        <v>3.037761313762477</v>
      </c>
    </row>
    <row r="33" spans="2:17">
      <c r="B33" s="36"/>
      <c r="C33" s="47">
        <f>basic_info!$D$5+3</f>
        <v>2028</v>
      </c>
      <c r="D33" s="76"/>
      <c r="E33" s="75"/>
      <c r="F33" s="75"/>
      <c r="G33" s="75"/>
      <c r="H33" s="75"/>
      <c r="I33" s="75"/>
      <c r="J33" s="69">
        <v>0.66023955697715286</v>
      </c>
      <c r="K33" s="79">
        <v>0.66023955697715286</v>
      </c>
      <c r="L33" s="61">
        <v>0.76028061435442029</v>
      </c>
      <c r="M33" s="62">
        <v>0.76028061435442029</v>
      </c>
      <c r="N33" s="63">
        <v>0.78705796464934707</v>
      </c>
      <c r="O33" s="89">
        <v>0.78705796464934707</v>
      </c>
      <c r="P33" s="63">
        <f>O33+M33+K33</f>
        <v>2.2075781359809206</v>
      </c>
    </row>
    <row r="34" spans="2:17">
      <c r="B34" s="36"/>
      <c r="C34" s="47">
        <f>basic_info!$D$5+4</f>
        <v>2029</v>
      </c>
      <c r="D34" s="76"/>
      <c r="E34" s="75"/>
      <c r="F34" s="75"/>
      <c r="G34" s="75"/>
      <c r="H34" s="75"/>
      <c r="I34" s="75"/>
      <c r="J34" s="75"/>
      <c r="K34" s="75"/>
      <c r="L34" s="69">
        <v>0.77380428089201447</v>
      </c>
      <c r="M34" s="79">
        <v>0.77380428089201447</v>
      </c>
      <c r="N34" s="63">
        <v>0.74605181189556535</v>
      </c>
      <c r="O34" s="89">
        <v>0.74605181189556535</v>
      </c>
      <c r="P34" s="63">
        <f>O34+M34</f>
        <v>1.5198560927875797</v>
      </c>
    </row>
    <row r="35" spans="2:17">
      <c r="B35" s="37"/>
      <c r="C35" s="72">
        <f>basic_info!$D$5+5</f>
        <v>2030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0.69642607282102109</v>
      </c>
      <c r="O35" s="89">
        <v>0.69642607282102109</v>
      </c>
      <c r="P35" s="65">
        <f>O35</f>
        <v>0.69642607282102109</v>
      </c>
    </row>
    <row r="36" spans="2:17">
      <c r="B36" s="41" t="s">
        <v>113</v>
      </c>
      <c r="C36" s="36">
        <f>basic_info!$D$5</f>
        <v>2025</v>
      </c>
      <c r="D36" s="44">
        <v>1.0247439911663534</v>
      </c>
      <c r="E36" s="35">
        <v>1.0247439911663534</v>
      </c>
      <c r="F36" s="73">
        <v>0.93453935364490526</v>
      </c>
      <c r="G36" s="74">
        <v>0.93453935364490526</v>
      </c>
      <c r="H36" s="73">
        <v>1.047211124819112</v>
      </c>
      <c r="I36" s="74">
        <v>1.047211124819112</v>
      </c>
      <c r="J36" s="73">
        <v>0.92187316482345938</v>
      </c>
      <c r="K36" s="74">
        <v>0.92187316482345938</v>
      </c>
      <c r="L36" s="66">
        <v>0.97206752932198937</v>
      </c>
      <c r="M36" s="67">
        <v>0.97206752932198937</v>
      </c>
      <c r="N36" s="68"/>
      <c r="O36" s="71" t="s">
        <v>162</v>
      </c>
      <c r="P36" s="41">
        <f>M36+K36+I36+E36+G36</f>
        <v>4.9004351637758194</v>
      </c>
      <c r="Q36" s="70"/>
    </row>
    <row r="37" spans="2:17">
      <c r="B37" s="36"/>
      <c r="C37" s="47">
        <f>basic_info!$D$5+1</f>
        <v>2026</v>
      </c>
      <c r="D37" s="76"/>
      <c r="E37" s="75"/>
      <c r="F37" s="69">
        <v>0.93520843183994296</v>
      </c>
      <c r="G37" s="79">
        <v>0.93520843183994296</v>
      </c>
      <c r="H37" s="61">
        <v>1.0352907467437555</v>
      </c>
      <c r="I37" s="62">
        <v>1.0352907467437555</v>
      </c>
      <c r="J37" s="61">
        <v>0.88683645767326402</v>
      </c>
      <c r="K37" s="62">
        <v>0.88683645767326402</v>
      </c>
      <c r="L37" s="61">
        <v>0.95481203910000689</v>
      </c>
      <c r="M37" s="62">
        <v>0.95481203910000689</v>
      </c>
      <c r="N37" s="61">
        <v>1.087525706124693</v>
      </c>
      <c r="O37" s="89">
        <v>1.087525706124693</v>
      </c>
      <c r="P37" s="63">
        <f>O37+M37+K37+I37+G37</f>
        <v>4.8996733814816622</v>
      </c>
    </row>
    <row r="38" spans="2:17">
      <c r="B38" s="36"/>
      <c r="C38" s="47">
        <f>basic_info!$D$5+2</f>
        <v>2027</v>
      </c>
      <c r="D38" s="76"/>
      <c r="E38" s="75"/>
      <c r="F38" s="75"/>
      <c r="G38" s="75"/>
      <c r="H38" s="69">
        <v>1.0053375317752362</v>
      </c>
      <c r="I38" s="79">
        <v>1.0053375317752362</v>
      </c>
      <c r="J38" s="61">
        <v>0.87530734595100446</v>
      </c>
      <c r="K38" s="62">
        <v>0.87530734595100446</v>
      </c>
      <c r="L38" s="61">
        <v>0.97417948833143708</v>
      </c>
      <c r="M38" s="62">
        <v>0.97417948833143708</v>
      </c>
      <c r="N38" s="61">
        <v>1.0855802099290006</v>
      </c>
      <c r="O38" s="89">
        <v>1.0855802099290006</v>
      </c>
      <c r="P38" s="63">
        <f>O38+M38+K38+I38</f>
        <v>3.9404045759866784</v>
      </c>
    </row>
    <row r="39" spans="2:17">
      <c r="B39" s="36"/>
      <c r="C39" s="47">
        <f>basic_info!$D$5+3</f>
        <v>2028</v>
      </c>
      <c r="D39" s="76"/>
      <c r="E39" s="75"/>
      <c r="F39" s="75"/>
      <c r="G39" s="75"/>
      <c r="H39" s="75"/>
      <c r="I39" s="75"/>
      <c r="J39" s="69">
        <v>0.87304416900873183</v>
      </c>
      <c r="K39" s="79">
        <v>0.87304416900873183</v>
      </c>
      <c r="L39" s="61">
        <v>0.95442559833887075</v>
      </c>
      <c r="M39" s="62">
        <v>0.95442559833887075</v>
      </c>
      <c r="N39" s="61">
        <v>1.0750677373803734</v>
      </c>
      <c r="O39" s="89">
        <v>1.0750677373803734</v>
      </c>
      <c r="P39" s="63">
        <f>O39+M39+K39</f>
        <v>2.9025375047279756</v>
      </c>
    </row>
    <row r="40" spans="2:17">
      <c r="B40" s="36"/>
      <c r="C40" s="47">
        <f>basic_info!$D$5+4</f>
        <v>2029</v>
      </c>
      <c r="D40" s="76"/>
      <c r="E40" s="75"/>
      <c r="F40" s="75"/>
      <c r="G40" s="75"/>
      <c r="H40" s="75"/>
      <c r="I40" s="75"/>
      <c r="J40" s="75"/>
      <c r="K40" s="75"/>
      <c r="L40" s="69">
        <v>0.88631273952126499</v>
      </c>
      <c r="M40" s="79">
        <v>0.88631273952126499</v>
      </c>
      <c r="N40" s="61">
        <v>1.0546694543357544</v>
      </c>
      <c r="O40" s="89">
        <v>1.0546694543357544</v>
      </c>
      <c r="P40" s="63">
        <f>O40+M40</f>
        <v>1.9409821938570193</v>
      </c>
    </row>
    <row r="41" spans="2:17">
      <c r="B41" s="37"/>
      <c r="C41" s="72">
        <f>basic_info!$D$5+5</f>
        <v>2030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1.0409094843864442</v>
      </c>
      <c r="O41" s="89">
        <v>1.0409094843864442</v>
      </c>
      <c r="P41" s="64">
        <f>O41</f>
        <v>1.0409094843864442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5.624060517545577E-21</v>
      </c>
      <c r="D6" s="93">
        <v>59.758858257047059</v>
      </c>
      <c r="E6" s="93">
        <v>2.2496242215415511E-20</v>
      </c>
      <c r="F6" s="93">
        <v>0</v>
      </c>
      <c r="G6" s="93">
        <v>40.241141742952934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72.856171830235951</v>
      </c>
      <c r="D7" s="93">
        <v>27.143828169764056</v>
      </c>
      <c r="E7" s="93">
        <v>0</v>
      </c>
      <c r="F7" s="93">
        <v>-2.8655591851425445E-16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1.0467353716320301E-20</v>
      </c>
      <c r="D8" s="93">
        <v>2.4174015247532982E-19</v>
      </c>
      <c r="E8" s="93">
        <v>100</v>
      </c>
      <c r="F8" s="93">
        <v>0</v>
      </c>
      <c r="G8" s="93">
        <v>6.6099615551166807E-20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75.949367088607588</v>
      </c>
      <c r="D9" s="93">
        <v>1.0601745495567613E-19</v>
      </c>
      <c r="E9" s="93">
        <v>8.242378258402465E-21</v>
      </c>
      <c r="F9" s="93">
        <v>24.050632911392409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2.6226366781559842</v>
      </c>
      <c r="D10" s="93">
        <v>83.015222490184854</v>
      </c>
      <c r="E10" s="93">
        <v>12.310406612164376</v>
      </c>
      <c r="F10" s="93">
        <v>-1.8964091284270518E-16</v>
      </c>
      <c r="G10" s="93">
        <v>2.0517342194947941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14.589666037920543</v>
      </c>
      <c r="D11" s="94">
        <v>56.231002715301265</v>
      </c>
      <c r="E11" s="94">
        <v>16.673903415536103</v>
      </c>
      <c r="F11" s="94">
        <v>12.505427831242098</v>
      </c>
      <c r="G11" s="94">
        <v>0</v>
      </c>
      <c r="H11" s="96">
        <f>SUM($C$11:$G$11)</f>
        <v>100.00000000000001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44.583150905235577</v>
      </c>
      <c r="D19" s="44">
        <f>100-$C$19</f>
        <v>55.416849094764423</v>
      </c>
      <c r="E19" s="94">
        <v>42.708495090982673</v>
      </c>
      <c r="F19" s="33">
        <f>100-$E$19</f>
        <v>57.291504909017327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14.530075100726886</v>
      </c>
      <c r="D27" s="93">
        <v>42.729086856405225</v>
      </c>
      <c r="E27" s="93">
        <v>35.374071726463121</v>
      </c>
      <c r="F27" s="93">
        <v>8.565191040822155</v>
      </c>
      <c r="G27" s="95">
        <v>6.7592093413114922</v>
      </c>
      <c r="N27" s="50"/>
      <c r="O27" s="50"/>
      <c r="P27" s="50"/>
    </row>
    <row r="28" spans="2:16">
      <c r="B28" s="45" t="s">
        <v>46</v>
      </c>
      <c r="C28" s="93">
        <v>17.550299785885276</v>
      </c>
      <c r="D28" s="93">
        <v>57.270913143594782</v>
      </c>
      <c r="E28" s="93">
        <v>64.625928273536886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67.919625113387838</v>
      </c>
      <c r="D29" s="93">
        <v>0</v>
      </c>
      <c r="E29" s="93">
        <v>0</v>
      </c>
      <c r="F29" s="93">
        <v>91.434808959177843</v>
      </c>
      <c r="G29" s="95">
        <v>93.24079065868851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40.505876401852163</v>
      </c>
      <c r="D37" s="93">
        <v>40.505876401852163</v>
      </c>
      <c r="E37" s="93">
        <v>40.505876401852163</v>
      </c>
      <c r="F37" s="93">
        <v>40.505876401852163</v>
      </c>
      <c r="G37" s="93">
        <v>40.505876401852163</v>
      </c>
      <c r="H37" s="93">
        <v>40.505876401852163</v>
      </c>
      <c r="I37" s="93">
        <v>40.505876401852163</v>
      </c>
      <c r="J37" s="93">
        <v>40.505876401852163</v>
      </c>
      <c r="K37" s="93">
        <v>40.505876401852163</v>
      </c>
      <c r="L37" s="93">
        <v>40.505876401852163</v>
      </c>
      <c r="M37" s="93">
        <v>40.505876401852163</v>
      </c>
      <c r="N37" s="95">
        <v>40.505876401852163</v>
      </c>
    </row>
    <row r="38" spans="2:14">
      <c r="B38" s="45" t="s">
        <v>46</v>
      </c>
      <c r="C38" s="93">
        <v>40.685413932111523</v>
      </c>
      <c r="D38" s="93">
        <v>40.685413932111523</v>
      </c>
      <c r="E38" s="93">
        <v>40.685413932111523</v>
      </c>
      <c r="F38" s="93">
        <v>40.685413932111523</v>
      </c>
      <c r="G38" s="93">
        <v>40.685413932111523</v>
      </c>
      <c r="H38" s="93">
        <v>40.685413932111523</v>
      </c>
      <c r="I38" s="93">
        <v>40.685413932111523</v>
      </c>
      <c r="J38" s="93">
        <v>40.685413932111523</v>
      </c>
      <c r="K38" s="93">
        <v>40.685413932111523</v>
      </c>
      <c r="L38" s="93">
        <v>40.685413932111523</v>
      </c>
      <c r="M38" s="93">
        <v>40.685413932111523</v>
      </c>
      <c r="N38" s="95">
        <v>40.685413932111523</v>
      </c>
    </row>
    <row r="39" spans="2:14">
      <c r="B39" s="45" t="s">
        <v>59</v>
      </c>
      <c r="C39" s="94">
        <v>44.024780333288852</v>
      </c>
      <c r="D39" s="94">
        <v>44.024780333288852</v>
      </c>
      <c r="E39" s="94">
        <v>44.024780333288852</v>
      </c>
      <c r="F39" s="94">
        <v>44.024780333288852</v>
      </c>
      <c r="G39" s="94">
        <v>44.024780333288852</v>
      </c>
      <c r="H39" s="94">
        <v>44.024780333288852</v>
      </c>
      <c r="I39" s="94">
        <v>44.024780333288852</v>
      </c>
      <c r="J39" s="94">
        <v>44.024780333288852</v>
      </c>
      <c r="K39" s="94">
        <v>44.024780333288852</v>
      </c>
      <c r="L39" s="94">
        <v>44.024780333288852</v>
      </c>
      <c r="M39" s="94">
        <v>44.024780333288852</v>
      </c>
      <c r="N39" s="89">
        <v>44.024780333288852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62992.813137759782</v>
      </c>
      <c r="L7" s="182"/>
      <c r="M7" s="182" t="s">
        <v>356</v>
      </c>
      <c r="S7" s="187">
        <f>SUM(ORA!$D$127:$O$127)</f>
        <v>270365804.5420208</v>
      </c>
    </row>
    <row r="8" spans="1:20">
      <c r="A8" s="182"/>
      <c r="B8" s="182" t="s">
        <v>357</v>
      </c>
      <c r="G8" s="185"/>
      <c r="H8" s="188">
        <f>SUM(POJ!$D$116:$O$116)</f>
        <v>44110.745988807364</v>
      </c>
      <c r="L8" s="182"/>
      <c r="M8" s="182" t="s">
        <v>357</v>
      </c>
      <c r="S8" s="189">
        <f>SUM(POJ!$D$127:$O$127)</f>
        <v>308775221.92165148</v>
      </c>
    </row>
    <row r="9" spans="1:20">
      <c r="A9" s="182"/>
      <c r="B9" s="182" t="s">
        <v>358</v>
      </c>
      <c r="G9" s="185"/>
      <c r="H9" s="188">
        <f>SUM(ROJ!$D$116:$O$116)</f>
        <v>27132.340725594757</v>
      </c>
      <c r="L9" s="182"/>
      <c r="M9" s="182" t="s">
        <v>358</v>
      </c>
      <c r="S9" s="189">
        <f>SUM(ROJ!$D$127:$O$127)</f>
        <v>206205789.51452011</v>
      </c>
    </row>
    <row r="10" spans="1:20">
      <c r="A10" s="182"/>
      <c r="B10" s="182" t="s">
        <v>359</v>
      </c>
      <c r="G10" s="185"/>
      <c r="H10" s="190">
        <f>SUM(FCOJ!$D$116:$O$116)</f>
        <v>30207.980247668198</v>
      </c>
      <c r="L10" s="182"/>
      <c r="M10" s="182" t="s">
        <v>359</v>
      </c>
      <c r="S10" s="191">
        <f>SUM(FCOJ!$D$127:$O$127)</f>
        <v>151458767.8179087</v>
      </c>
    </row>
    <row r="11" spans="1:20">
      <c r="A11" s="182"/>
      <c r="B11" s="182"/>
      <c r="G11" s="185"/>
      <c r="M11" s="182" t="s">
        <v>360</v>
      </c>
      <c r="T11" s="192">
        <f>SUM($S$7:$S$10)</f>
        <v>936805583.79610109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170015.21180844965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3.8382656425386061</v>
      </c>
      <c r="L14" s="182"/>
      <c r="M14" s="182" t="s">
        <v>365</v>
      </c>
      <c r="S14" s="187">
        <f>SUM(grove!$C$58:$AX$63)</f>
        <v>222292757.12536159</v>
      </c>
    </row>
    <row r="15" spans="1:20">
      <c r="A15" s="182"/>
      <c r="B15" s="182" t="s">
        <v>366</v>
      </c>
      <c r="G15" s="185"/>
      <c r="H15" s="190">
        <f>raw_materials!$P$36</f>
        <v>4.9004351637758194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5947.1105987021465</v>
      </c>
    </row>
    <row r="16" spans="1:20">
      <c r="A16" s="182"/>
      <c r="B16" s="182" t="s">
        <v>368</v>
      </c>
      <c r="G16" s="185"/>
      <c r="H16" s="194">
        <v>43417.950596303381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9629.7612089425438</v>
      </c>
    </row>
    <row r="17" spans="1:21">
      <c r="A17" s="182"/>
      <c r="B17" s="182" t="s">
        <v>370</v>
      </c>
      <c r="G17" s="185"/>
      <c r="H17" s="195">
        <v>57058.063449706249</v>
      </c>
      <c r="L17" s="182"/>
      <c r="M17" s="182" t="s">
        <v>371</v>
      </c>
      <c r="S17" s="189">
        <v>31986543.434867769</v>
      </c>
    </row>
    <row r="18" spans="1:21">
      <c r="A18" s="182"/>
      <c r="B18" s="182" t="s">
        <v>372</v>
      </c>
      <c r="G18" s="185"/>
      <c r="H18" s="196">
        <v>27779.62841234669</v>
      </c>
      <c r="L18" s="182"/>
      <c r="M18" s="182" t="s">
        <v>373</v>
      </c>
      <c r="S18" s="191">
        <v>1557.3053941650733</v>
      </c>
    </row>
    <row r="19" spans="1:21">
      <c r="A19" s="182"/>
      <c r="B19" s="182" t="s">
        <v>374</v>
      </c>
      <c r="G19" s="185"/>
      <c r="H19" s="195">
        <v>4787.3883631513154</v>
      </c>
      <c r="L19" s="182"/>
      <c r="M19" s="182" t="s">
        <v>375</v>
      </c>
      <c r="S19" s="197" t="s">
        <v>376</v>
      </c>
      <c r="T19" s="198">
        <f>SUM($S$14:$S$18)</f>
        <v>254296434.7374312</v>
      </c>
      <c r="U19" s="100" t="s">
        <v>377</v>
      </c>
    </row>
    <row r="20" spans="1:21">
      <c r="A20" s="182"/>
      <c r="B20" s="182" t="s">
        <v>378</v>
      </c>
      <c r="G20" s="185"/>
      <c r="H20" s="190">
        <v>1799.657891706122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86835901.192606777</v>
      </c>
    </row>
    <row r="23" spans="1:21">
      <c r="A23" s="182"/>
      <c r="B23" s="182" t="s">
        <v>382</v>
      </c>
      <c r="G23" s="185"/>
      <c r="H23" s="186">
        <f>SUM(raw_materials!$O$31:$O$35)</f>
        <v>3.9713524795520581</v>
      </c>
      <c r="L23" s="182"/>
      <c r="M23" s="182" t="s">
        <v>383</v>
      </c>
      <c r="S23" s="189">
        <v>57058063.449706256</v>
      </c>
    </row>
    <row r="24" spans="1:21">
      <c r="A24" s="182"/>
      <c r="B24" s="182" t="s">
        <v>384</v>
      </c>
      <c r="G24" s="185"/>
      <c r="H24" s="190">
        <f>SUM(raw_materials!$O$37:$O$41)</f>
        <v>5.3437525921562656</v>
      </c>
      <c r="L24" s="182"/>
      <c r="M24" s="182" t="s">
        <v>385</v>
      </c>
      <c r="S24" s="191">
        <v>18056758.468025349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161950723.11033839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15443064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27520363.450380601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6782734.2809967119</v>
      </c>
    </row>
    <row r="31" spans="1:21">
      <c r="L31" s="182"/>
      <c r="M31" s="182" t="s">
        <v>396</v>
      </c>
      <c r="S31" s="191">
        <f>SUM(ORA!D138:O138)+SUM(POJ!D138:O138)+SUM(ROJ!D138:O138)+SUM(FCOJ!D138:O138)</f>
        <v>111738082.7428351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161484244.47421241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9370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54896870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304177311.47411913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0.54649843530739439</v>
      </c>
      <c r="D5" s="100">
        <v>0.73604860854321463</v>
      </c>
      <c r="E5" s="100">
        <v>0.72286761931067656</v>
      </c>
      <c r="F5" s="100">
        <v>0.55581872709721358</v>
      </c>
      <c r="G5" s="100">
        <v>1.1452003713987864</v>
      </c>
      <c r="H5" s="100">
        <v>0.55461452396443012</v>
      </c>
      <c r="I5" s="100">
        <v>0.70997232911172325</v>
      </c>
      <c r="J5" s="100">
        <v>0.62091790620216625</v>
      </c>
      <c r="K5" s="100">
        <v>0.54061365109572423</v>
      </c>
      <c r="L5" s="100">
        <v>0.67543584775015453</v>
      </c>
      <c r="M5" s="100">
        <v>0.69200905084625497</v>
      </c>
      <c r="N5" s="100">
        <v>0.58318301311456178</v>
      </c>
    </row>
    <row r="6" spans="2:14">
      <c r="B6" s="171" t="s">
        <v>105</v>
      </c>
      <c r="C6" s="100">
        <v>0.66173437434876481</v>
      </c>
      <c r="D6" s="100">
        <v>0.73622261024096169</v>
      </c>
      <c r="E6" s="100">
        <v>0.7498990147390957</v>
      </c>
      <c r="F6" s="100">
        <v>0.72227368051304797</v>
      </c>
      <c r="G6" s="100">
        <v>0.81572624967125873</v>
      </c>
      <c r="H6" s="100">
        <v>0.67895724648592104</v>
      </c>
      <c r="I6" s="100">
        <v>0.71044976736526355</v>
      </c>
      <c r="J6" s="100">
        <v>0.72205641707550128</v>
      </c>
      <c r="K6" s="100">
        <v>0.70324120334713391</v>
      </c>
      <c r="L6" s="100">
        <v>0.6999814401838701</v>
      </c>
      <c r="M6" s="100">
        <v>0.68973900711479563</v>
      </c>
      <c r="N6" s="100">
        <v>0.62474169728684537</v>
      </c>
    </row>
    <row r="7" spans="2:14">
      <c r="B7" s="171" t="s">
        <v>106</v>
      </c>
      <c r="C7" s="100">
        <v>0.83908024264888659</v>
      </c>
      <c r="D7" s="100">
        <v>0.74085375598774039</v>
      </c>
      <c r="E7" s="100">
        <v>0.68287903456461208</v>
      </c>
      <c r="F7" s="100">
        <v>0.72703644915503118</v>
      </c>
      <c r="G7" s="100">
        <v>0.77123488000255036</v>
      </c>
      <c r="H7" s="100">
        <v>0.85164664736016904</v>
      </c>
      <c r="I7" s="100">
        <v>0.70229368763094013</v>
      </c>
      <c r="J7" s="100">
        <v>0.72398860514054997</v>
      </c>
      <c r="K7" s="100">
        <v>0.72362275513069463</v>
      </c>
      <c r="L7" s="100">
        <v>0.87745854431331927</v>
      </c>
      <c r="M7" s="100">
        <v>0.78508863121532624</v>
      </c>
      <c r="N7" s="100">
        <v>0.79727886724169283</v>
      </c>
    </row>
    <row r="8" spans="2:14">
      <c r="B8" s="171" t="s">
        <v>107</v>
      </c>
      <c r="C8" s="100">
        <v>0.73071216938971528</v>
      </c>
      <c r="D8" s="100">
        <v>0.73911985632289567</v>
      </c>
      <c r="E8" s="100">
        <v>0.74570520276275198</v>
      </c>
      <c r="F8" s="100">
        <v>0.69708875422642624</v>
      </c>
      <c r="G8" s="100">
        <v>0.71212347754073779</v>
      </c>
      <c r="H8" s="100">
        <v>0.6781975742743227</v>
      </c>
      <c r="I8" s="100">
        <v>0.68138861440798149</v>
      </c>
      <c r="J8" s="100">
        <v>0.67881371633322218</v>
      </c>
      <c r="K8" s="100">
        <v>0.72073016198429307</v>
      </c>
      <c r="L8" s="100">
        <v>0.77186073601000471</v>
      </c>
      <c r="M8" s="100">
        <v>0.77743044237373748</v>
      </c>
      <c r="N8" s="100">
        <v>0.69942875754272793</v>
      </c>
    </row>
    <row r="9" spans="2:14">
      <c r="B9" s="171" t="s">
        <v>108</v>
      </c>
      <c r="C9" s="100">
        <v>2.0605028307437898</v>
      </c>
      <c r="D9" s="100">
        <v>2.0276363468170167</v>
      </c>
      <c r="E9" s="100">
        <v>2.100155476331711</v>
      </c>
      <c r="F9" s="100">
        <v>2.0545890545845031</v>
      </c>
      <c r="G9" s="100">
        <v>2.0940654194355011</v>
      </c>
      <c r="H9" s="100">
        <v>2.0110550260543825</v>
      </c>
      <c r="I9" s="100">
        <v>2.0225801026821135</v>
      </c>
      <c r="J9" s="100">
        <v>2.0942731833457948</v>
      </c>
      <c r="K9" s="100">
        <v>2.0791390097141265</v>
      </c>
      <c r="L9" s="100">
        <v>2.068456325531006</v>
      </c>
      <c r="M9" s="100">
        <v>2.0375099933147429</v>
      </c>
      <c r="N9" s="100">
        <v>2.0130821442604065</v>
      </c>
    </row>
    <row r="10" spans="2:14">
      <c r="B10" s="171" t="s">
        <v>109</v>
      </c>
      <c r="C10" s="100">
        <v>0.64691622853279118</v>
      </c>
      <c r="D10" s="100">
        <v>0.64751236438751225</v>
      </c>
      <c r="E10" s="100">
        <v>0.61817879080772398</v>
      </c>
      <c r="F10" s="100">
        <v>0.6825650095939636</v>
      </c>
      <c r="G10" s="100">
        <v>0.6789998590946198</v>
      </c>
      <c r="H10" s="100">
        <v>0.66466479301452641</v>
      </c>
      <c r="I10" s="100">
        <v>0.65151154398918154</v>
      </c>
      <c r="J10" s="100">
        <v>0.65319663286209106</v>
      </c>
      <c r="K10" s="100">
        <v>0.68021534085273749</v>
      </c>
      <c r="L10" s="100">
        <v>0.64668729305267336</v>
      </c>
      <c r="M10" s="100">
        <v>0.6734372079372406</v>
      </c>
      <c r="N10" s="100">
        <v>0.60844014883041386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0.33723677534806323</v>
      </c>
      <c r="D14" s="101">
        <v>0.33848855563240693</v>
      </c>
      <c r="E14" s="101">
        <v>0.33973681363575775</v>
      </c>
      <c r="F14" s="101">
        <v>0.34097803698817791</v>
      </c>
      <c r="G14" s="101">
        <v>0.34220873311395195</v>
      </c>
      <c r="H14" s="100">
        <v>0.34342543905905659</v>
      </c>
      <c r="I14" s="100">
        <v>0.34462473123528081</v>
      </c>
      <c r="J14" s="100">
        <v>0.34580323505357724</v>
      </c>
      <c r="K14" s="100">
        <v>0.34695763441953931</v>
      </c>
      <c r="L14" s="100">
        <v>0.3480846810642847</v>
      </c>
      <c r="M14" s="100">
        <v>0.3491812036844909</v>
      </c>
      <c r="N14" s="100">
        <v>0.35024411686586299</v>
      </c>
    </row>
    <row r="15" spans="2:14">
      <c r="B15" s="170" t="s">
        <v>318</v>
      </c>
      <c r="C15" s="100">
        <v>1.0053637082519939</v>
      </c>
      <c r="D15" s="100">
        <v>1.0080292675448372</v>
      </c>
      <c r="E15" s="100">
        <v>1.0106873264408855</v>
      </c>
      <c r="F15" s="100">
        <v>1.0133304056480901</v>
      </c>
      <c r="G15" s="100">
        <v>1.0159510680245096</v>
      </c>
      <c r="H15" s="100">
        <v>1.0185419395050679</v>
      </c>
      <c r="I15" s="100">
        <v>1.0210957298508274</v>
      </c>
      <c r="J15" s="100">
        <v>1.0236052531623869</v>
      </c>
      <c r="K15" s="100">
        <v>1.0260634480996922</v>
      </c>
      <c r="L15" s="100">
        <v>1.0284633977513551</v>
      </c>
      <c r="M15" s="100">
        <v>1.0307983490975776</v>
      </c>
      <c r="N15" s="100">
        <v>1.0330617320119182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0.54649843530739439</v>
      </c>
      <c r="D19" s="100">
        <f t="shared" ref="D19:N20" si="0">D5</f>
        <v>0.73604860854321463</v>
      </c>
      <c r="E19" s="100">
        <f t="shared" si="0"/>
        <v>0.72286761931067656</v>
      </c>
      <c r="F19" s="100">
        <f t="shared" si="0"/>
        <v>0.55581872709721358</v>
      </c>
      <c r="G19" s="100">
        <f t="shared" si="0"/>
        <v>1.1452003713987864</v>
      </c>
      <c r="H19" s="100">
        <f t="shared" si="0"/>
        <v>0.55461452396443012</v>
      </c>
      <c r="I19" s="100">
        <f t="shared" si="0"/>
        <v>0.70997232911172325</v>
      </c>
      <c r="J19" s="100">
        <f t="shared" si="0"/>
        <v>0.62091790620216625</v>
      </c>
      <c r="K19" s="100">
        <f t="shared" si="0"/>
        <v>0.54061365109572423</v>
      </c>
      <c r="L19" s="100">
        <f t="shared" si="0"/>
        <v>0.67543584775015453</v>
      </c>
      <c r="M19" s="100">
        <f t="shared" si="0"/>
        <v>0.69200905084625497</v>
      </c>
      <c r="N19" s="100">
        <f t="shared" si="0"/>
        <v>0.58318301311456178</v>
      </c>
    </row>
    <row r="20" spans="2:14">
      <c r="B20" s="173" t="s">
        <v>105</v>
      </c>
      <c r="C20" s="100">
        <f>C6</f>
        <v>0.66173437434876481</v>
      </c>
      <c r="D20" s="100">
        <f t="shared" si="0"/>
        <v>0.73622261024096169</v>
      </c>
      <c r="E20" s="100">
        <f t="shared" si="0"/>
        <v>0.7498990147390957</v>
      </c>
      <c r="F20" s="100">
        <f t="shared" si="0"/>
        <v>0.72227368051304797</v>
      </c>
      <c r="G20" s="100">
        <f t="shared" si="0"/>
        <v>0.81572624967125873</v>
      </c>
      <c r="H20" s="100">
        <f t="shared" si="0"/>
        <v>0.67895724648592104</v>
      </c>
      <c r="I20" s="100">
        <f t="shared" si="0"/>
        <v>0.71044976736526355</v>
      </c>
      <c r="J20" s="100">
        <f t="shared" si="0"/>
        <v>0.72205641707550128</v>
      </c>
      <c r="K20" s="100">
        <f t="shared" si="0"/>
        <v>0.70324120334713391</v>
      </c>
      <c r="L20" s="100">
        <f t="shared" si="0"/>
        <v>0.6999814401838701</v>
      </c>
      <c r="M20" s="100">
        <f t="shared" si="0"/>
        <v>0.68973900711479563</v>
      </c>
      <c r="N20" s="100">
        <f t="shared" si="0"/>
        <v>0.62474169728684537</v>
      </c>
    </row>
    <row r="21" spans="2:14">
      <c r="B21" s="173" t="s">
        <v>106</v>
      </c>
      <c r="C21" s="100">
        <f t="shared" ref="C21:N22" si="1">C7</f>
        <v>0.83908024264888659</v>
      </c>
      <c r="D21" s="100">
        <f t="shared" si="1"/>
        <v>0.74085375598774039</v>
      </c>
      <c r="E21" s="100">
        <f t="shared" si="1"/>
        <v>0.68287903456461208</v>
      </c>
      <c r="F21" s="100">
        <f t="shared" si="1"/>
        <v>0.72703644915503118</v>
      </c>
      <c r="G21" s="100">
        <f t="shared" si="1"/>
        <v>0.77123488000255036</v>
      </c>
      <c r="H21" s="100">
        <f t="shared" si="1"/>
        <v>0.85164664736016904</v>
      </c>
      <c r="I21" s="100">
        <f t="shared" si="1"/>
        <v>0.70229368763094013</v>
      </c>
      <c r="J21" s="100">
        <f t="shared" si="1"/>
        <v>0.72398860514054997</v>
      </c>
      <c r="K21" s="100">
        <f t="shared" si="1"/>
        <v>0.72362275513069463</v>
      </c>
      <c r="L21" s="100">
        <f t="shared" si="1"/>
        <v>0.87745854431331927</v>
      </c>
      <c r="M21" s="100">
        <f t="shared" si="1"/>
        <v>0.78508863121532624</v>
      </c>
      <c r="N21" s="100">
        <f t="shared" si="1"/>
        <v>0.79727886724169283</v>
      </c>
    </row>
    <row r="22" spans="2:14">
      <c r="B22" s="173" t="s">
        <v>107</v>
      </c>
      <c r="C22" s="100">
        <f t="shared" si="1"/>
        <v>0.73071216938971528</v>
      </c>
      <c r="D22" s="100">
        <f t="shared" si="1"/>
        <v>0.73911985632289567</v>
      </c>
      <c r="E22" s="100">
        <f t="shared" si="1"/>
        <v>0.74570520276275198</v>
      </c>
      <c r="F22" s="100">
        <f t="shared" si="1"/>
        <v>0.69708875422642624</v>
      </c>
      <c r="G22" s="100">
        <f t="shared" si="1"/>
        <v>0.71212347754073779</v>
      </c>
      <c r="H22" s="100">
        <f t="shared" si="1"/>
        <v>0.6781975742743227</v>
      </c>
      <c r="I22" s="100">
        <f t="shared" si="1"/>
        <v>0.68138861440798149</v>
      </c>
      <c r="J22" s="100">
        <f t="shared" si="1"/>
        <v>0.67881371633322218</v>
      </c>
      <c r="K22" s="100">
        <f t="shared" si="1"/>
        <v>0.72073016198429307</v>
      </c>
      <c r="L22" s="100">
        <f t="shared" si="1"/>
        <v>0.77186073601000471</v>
      </c>
      <c r="M22" s="100">
        <f t="shared" si="1"/>
        <v>0.77743044237373748</v>
      </c>
      <c r="N22" s="100">
        <f t="shared" si="1"/>
        <v>0.69942875754272793</v>
      </c>
    </row>
    <row r="23" spans="2:14">
      <c r="B23" s="173" t="s">
        <v>108</v>
      </c>
      <c r="C23" s="100">
        <f>C9*C14</f>
        <v>0.69487733023559184</v>
      </c>
      <c r="D23" s="100">
        <f t="shared" ref="D23:N24" si="2">D9*D14</f>
        <v>0.68633169838186214</v>
      </c>
      <c r="E23" s="100">
        <f t="shared" si="2"/>
        <v>0.71350012966862253</v>
      </c>
      <c r="F23" s="100">
        <f t="shared" si="2"/>
        <v>0.70056974264962024</v>
      </c>
      <c r="G23" s="100">
        <f t="shared" si="2"/>
        <v>0.71660747424275928</v>
      </c>
      <c r="H23" s="100">
        <f t="shared" si="2"/>
        <v>0.69064745529464877</v>
      </c>
      <c r="I23" s="100">
        <f t="shared" si="2"/>
        <v>0.69703112428864999</v>
      </c>
      <c r="J23" s="100">
        <f t="shared" si="2"/>
        <v>0.7242064418869294</v>
      </c>
      <c r="K23" s="100">
        <f t="shared" si="2"/>
        <v>0.72137315243979683</v>
      </c>
      <c r="L23" s="100">
        <f t="shared" si="2"/>
        <v>0.71999796036786246</v>
      </c>
      <c r="M23" s="100">
        <f t="shared" si="2"/>
        <v>0.71146019198482091</v>
      </c>
      <c r="N23" s="100">
        <f t="shared" si="2"/>
        <v>0.70507017779492387</v>
      </c>
    </row>
    <row r="24" spans="2:14">
      <c r="B24" s="173" t="s">
        <v>109</v>
      </c>
      <c r="C24" s="100">
        <f>C10*C15</f>
        <v>0.65038609844612127</v>
      </c>
      <c r="D24" s="100">
        <f t="shared" si="2"/>
        <v>0.65271141439976976</v>
      </c>
      <c r="E24" s="100">
        <f t="shared" si="2"/>
        <v>0.62478546934391799</v>
      </c>
      <c r="F24" s="100">
        <f t="shared" si="2"/>
        <v>0.69166387805304363</v>
      </c>
      <c r="G24" s="100">
        <f t="shared" si="2"/>
        <v>0.68983063203567052</v>
      </c>
      <c r="H24" s="100">
        <f t="shared" si="2"/>
        <v>0.67698896739775027</v>
      </c>
      <c r="I24" s="100">
        <f t="shared" si="2"/>
        <v>0.66525565551587273</v>
      </c>
      <c r="J24" s="100">
        <f t="shared" si="2"/>
        <v>0.66861550474561948</v>
      </c>
      <c r="K24" s="100">
        <f t="shared" si="2"/>
        <v>0.69794409808566726</v>
      </c>
      <c r="L24" s="100">
        <f t="shared" si="2"/>
        <v>0.66509421069557872</v>
      </c>
      <c r="M24" s="100">
        <f t="shared" si="2"/>
        <v>0.69417796216258976</v>
      </c>
      <c r="N24" s="100">
        <f t="shared" si="2"/>
        <v>0.62855623397633664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1.2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1.2</v>
      </c>
      <c r="G28" s="100">
        <f>IF(G19&lt;=raw_materials!$D17,raw_materials!$C17,IF(G19&lt;=raw_materials!$F17,raw_materials!$E17,IF(G19&lt;=raw_materials!$H17,raw_materials!$G17,0)))</f>
        <v>0</v>
      </c>
      <c r="H28" s="100">
        <f>IF(H19&lt;=raw_materials!$D17,raw_materials!$C17,IF(H19&lt;=raw_materials!$F17,raw_materials!$E17,IF(H19&lt;=raw_materials!$H17,raw_materials!$G17,0)))</f>
        <v>1.2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1.2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0.8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1.2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0.8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0.8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</v>
      </c>
      <c r="F32" s="100">
        <f>IF(F23&lt;=raw_materials!$D21,raw_materials!$C21,IF(F23&lt;=raw_materials!$F21,raw_materials!$E21,IF(F23&lt;=raw_materials!$H21,raw_materials!$G21,0)))</f>
        <v>1</v>
      </c>
      <c r="G32" s="100">
        <f>IF(G23&lt;=raw_materials!$D21,raw_materials!$C21,IF(G23&lt;=raw_materials!$F21,raw_materials!$E21,IF(G23&lt;=raw_materials!$H21,raw_materials!$G21,0)))</f>
        <v>1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</v>
      </c>
      <c r="J32" s="100">
        <f>IF(J23&lt;=raw_materials!$D21,raw_materials!$C21,IF(J23&lt;=raw_materials!$F21,raw_materials!$E21,IF(J23&lt;=raw_materials!$H21,raw_materials!$G21,0)))</f>
        <v>0.8</v>
      </c>
      <c r="K32" s="100">
        <f>IF(K23&lt;=raw_materials!$D21,raw_materials!$C21,IF(K23&lt;=raw_materials!$F21,raw_materials!$E21,IF(K23&lt;=raw_materials!$H21,raw_materials!$G21,0)))</f>
        <v>1</v>
      </c>
      <c r="L32" s="100">
        <f>IF(L23&lt;=raw_materials!$D21,raw_materials!$C21,IF(L23&lt;=raw_materials!$F21,raw_materials!$E21,IF(L23&lt;=raw_materials!$H21,raw_materials!$G21,0)))</f>
        <v>1</v>
      </c>
      <c r="M32" s="100">
        <f>IF(M23&lt;=raw_materials!$D21,raw_materials!$C21,IF(M23&lt;=raw_materials!$F21,raw_materials!$E21,IF(M23&lt;=raw_materials!$H21,raw_materials!$G21,0)))</f>
        <v>1</v>
      </c>
      <c r="N32" s="100">
        <f>IF(N23&lt;=raw_materials!$D21,raw_materials!$C21,IF(N23&lt;=raw_materials!$F21,raw_materials!$E21,IF(N23&lt;=raw_materials!$H21,raw_materials!$G21,0)))</f>
        <v>1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17807.338642222287</v>
      </c>
      <c r="K38" s="100">
        <v>17845.663419952994</v>
      </c>
      <c r="L38" s="100">
        <v>17883.947080441183</v>
      </c>
      <c r="M38" s="100">
        <v>17922.183466705839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10789.632108416052</v>
      </c>
      <c r="T38" s="100">
        <v>9634.2279664338748</v>
      </c>
      <c r="U38" s="100">
        <v>11867.784794102816</v>
      </c>
      <c r="V38" s="100">
        <v>10179.114222134578</v>
      </c>
      <c r="W38" s="100">
        <v>26143.711499307632</v>
      </c>
      <c r="X38" s="100">
        <v>26197.014871775551</v>
      </c>
      <c r="Y38" s="100">
        <v>26250.146217950878</v>
      </c>
      <c r="Z38" s="100">
        <v>18412.167875441355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19183.781626262014</v>
      </c>
      <c r="AW38" s="100">
        <v>19216.341302764056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10661.387345198575</v>
      </c>
      <c r="J39" s="100">
        <v>10684.403185333371</v>
      </c>
      <c r="K39" s="100">
        <v>10707.398051971797</v>
      </c>
      <c r="L39" s="100">
        <v>10730.368248264709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6235.8852814339853</v>
      </c>
      <c r="U39" s="100">
        <v>6248.7895433641797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11285.910170105573</v>
      </c>
      <c r="AL39" s="100">
        <v>11306.963308033497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3515.3743453676734</v>
      </c>
      <c r="E40" s="100">
        <v>5032.946782562517</v>
      </c>
      <c r="F40" s="100">
        <v>3530.7503261863726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2078.6284271446616</v>
      </c>
      <c r="U40" s="100">
        <v>5207.3246194701496</v>
      </c>
      <c r="V40" s="100">
        <v>5218.0489399613498</v>
      </c>
      <c r="W40" s="100">
        <v>5228.7422998615266</v>
      </c>
      <c r="X40" s="100">
        <v>2095.7611897420443</v>
      </c>
      <c r="Y40" s="100">
        <v>2100.0116974360703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2165.5963871792605</v>
      </c>
      <c r="AP40" s="100">
        <v>542.37754830536301</v>
      </c>
      <c r="AQ40" s="100">
        <v>543.34958272928066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548.10804646462907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2261.3926616066992</v>
      </c>
      <c r="AM41" s="100">
        <v>1294.6165806617096</v>
      </c>
      <c r="AN41" s="100">
        <v>2269.7404217496323</v>
      </c>
      <c r="AO41" s="100">
        <v>3248.3945807688906</v>
      </c>
      <c r="AP41" s="100">
        <v>3254.2652898321776</v>
      </c>
      <c r="AQ41" s="100">
        <v>2282.0682474629784</v>
      </c>
      <c r="AR41" s="100">
        <v>2286.1231814005346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3125.9358410235864</v>
      </c>
      <c r="D48" s="100">
        <v>3125.9358410235864</v>
      </c>
      <c r="E48" s="100">
        <v>3125.9358410235864</v>
      </c>
      <c r="F48" s="100">
        <v>3125.9358410235864</v>
      </c>
      <c r="G48" s="100">
        <v>2604.946534186322</v>
      </c>
      <c r="H48" s="100">
        <v>2604.946534186322</v>
      </c>
      <c r="I48" s="100">
        <v>2604.946534186322</v>
      </c>
      <c r="J48" s="100">
        <v>2604.946534186322</v>
      </c>
      <c r="K48" s="100">
        <v>2604.946534186322</v>
      </c>
      <c r="L48" s="100">
        <v>2604.946534186322</v>
      </c>
      <c r="M48" s="100">
        <v>2604.946534186322</v>
      </c>
      <c r="N48" s="100">
        <v>2604.946534186322</v>
      </c>
      <c r="O48" s="100">
        <v>3125.9358410235864</v>
      </c>
      <c r="P48" s="100">
        <v>3125.9358410235864</v>
      </c>
      <c r="Q48" s="100">
        <v>3125.9358410235864</v>
      </c>
      <c r="R48" s="100">
        <v>3125.9358410235864</v>
      </c>
      <c r="S48" s="100">
        <v>0</v>
      </c>
      <c r="T48" s="100">
        <v>0</v>
      </c>
      <c r="U48" s="100">
        <v>0</v>
      </c>
      <c r="V48" s="100">
        <v>0</v>
      </c>
      <c r="W48" s="100">
        <v>3125.9358410235864</v>
      </c>
      <c r="X48" s="100">
        <v>3125.9358410235864</v>
      </c>
      <c r="Y48" s="100">
        <v>3125.9358410235864</v>
      </c>
      <c r="Z48" s="100">
        <v>3125.9358410235864</v>
      </c>
      <c r="AA48" s="100">
        <v>2604.946534186322</v>
      </c>
      <c r="AB48" s="100">
        <v>2604.946534186322</v>
      </c>
      <c r="AC48" s="100">
        <v>2604.946534186322</v>
      </c>
      <c r="AD48" s="100">
        <v>2604.946534186322</v>
      </c>
      <c r="AE48" s="100">
        <v>2604.946534186322</v>
      </c>
      <c r="AF48" s="100">
        <v>2604.946534186322</v>
      </c>
      <c r="AG48" s="100">
        <v>2604.946534186322</v>
      </c>
      <c r="AH48" s="100">
        <v>2604.946534186322</v>
      </c>
      <c r="AI48" s="100">
        <v>3125.9358410235864</v>
      </c>
      <c r="AJ48" s="100">
        <v>3125.9358410235864</v>
      </c>
      <c r="AK48" s="100">
        <v>3125.9358410235864</v>
      </c>
      <c r="AL48" s="100">
        <v>3125.9358410235864</v>
      </c>
      <c r="AM48" s="100">
        <v>2604.946534186322</v>
      </c>
      <c r="AN48" s="100">
        <v>2604.946534186322</v>
      </c>
      <c r="AO48" s="100">
        <v>2604.946534186322</v>
      </c>
      <c r="AP48" s="100">
        <v>2604.946534186322</v>
      </c>
      <c r="AQ48" s="100">
        <v>2604.946534186322</v>
      </c>
      <c r="AR48" s="100">
        <v>2604.946534186322</v>
      </c>
      <c r="AS48" s="100">
        <v>2604.946534186322</v>
      </c>
      <c r="AT48" s="100">
        <v>2604.946534186322</v>
      </c>
      <c r="AU48" s="100">
        <v>2604.946534186322</v>
      </c>
      <c r="AV48" s="100">
        <v>2604.946534186322</v>
      </c>
      <c r="AW48" s="100">
        <v>2604.946534186322</v>
      </c>
      <c r="AX48" s="100">
        <v>2604.946534186322</v>
      </c>
    </row>
    <row r="49" spans="2:51">
      <c r="B49" s="99" t="s">
        <v>105</v>
      </c>
      <c r="C49" s="100">
        <v>1.0501494974201215E-18</v>
      </c>
      <c r="D49" s="100">
        <v>1.0501494974201215E-18</v>
      </c>
      <c r="E49" s="100">
        <v>1.0501494974201215E-18</v>
      </c>
      <c r="F49" s="100">
        <v>1.0501494974201215E-18</v>
      </c>
      <c r="G49" s="100">
        <v>1.0501494974201215E-18</v>
      </c>
      <c r="H49" s="100">
        <v>1.0501494974201215E-18</v>
      </c>
      <c r="I49" s="100">
        <v>1.0501494974201215E-18</v>
      </c>
      <c r="J49" s="100">
        <v>1.0501494974201215E-18</v>
      </c>
      <c r="K49" s="100">
        <v>1.0501494974201215E-18</v>
      </c>
      <c r="L49" s="100">
        <v>1.0501494974201215E-18</v>
      </c>
      <c r="M49" s="100">
        <v>1.0501494974201215E-18</v>
      </c>
      <c r="N49" s="100">
        <v>1.0501494974201215E-18</v>
      </c>
      <c r="O49" s="100">
        <v>1.0501494974201215E-18</v>
      </c>
      <c r="P49" s="100">
        <v>1.0501494974201215E-18</v>
      </c>
      <c r="Q49" s="100">
        <v>1.0501494974201215E-18</v>
      </c>
      <c r="R49" s="100">
        <v>1.0501494974201215E-18</v>
      </c>
      <c r="S49" s="100">
        <v>8.4011959793609721E-19</v>
      </c>
      <c r="T49" s="100">
        <v>8.4011959793609721E-19</v>
      </c>
      <c r="U49" s="100">
        <v>8.4011959793609721E-19</v>
      </c>
      <c r="V49" s="100">
        <v>8.4011959793609721E-19</v>
      </c>
      <c r="W49" s="100">
        <v>1.0501494974201215E-18</v>
      </c>
      <c r="X49" s="100">
        <v>1.0501494974201215E-18</v>
      </c>
      <c r="Y49" s="100">
        <v>1.0501494974201215E-18</v>
      </c>
      <c r="Z49" s="100">
        <v>1.0501494974201215E-18</v>
      </c>
      <c r="AA49" s="100">
        <v>1.0501494974201215E-18</v>
      </c>
      <c r="AB49" s="100">
        <v>1.0501494974201215E-18</v>
      </c>
      <c r="AC49" s="100">
        <v>1.0501494974201215E-18</v>
      </c>
      <c r="AD49" s="100">
        <v>1.0501494974201215E-18</v>
      </c>
      <c r="AE49" s="100">
        <v>1.0501494974201215E-18</v>
      </c>
      <c r="AF49" s="100">
        <v>1.0501494974201215E-18</v>
      </c>
      <c r="AG49" s="100">
        <v>1.0501494974201215E-18</v>
      </c>
      <c r="AH49" s="100">
        <v>1.0501494974201215E-18</v>
      </c>
      <c r="AI49" s="100">
        <v>1.0501494974201215E-18</v>
      </c>
      <c r="AJ49" s="100">
        <v>1.0501494974201215E-18</v>
      </c>
      <c r="AK49" s="100">
        <v>1.0501494974201215E-18</v>
      </c>
      <c r="AL49" s="100">
        <v>1.0501494974201215E-18</v>
      </c>
      <c r="AM49" s="100">
        <v>1.0501494974201215E-18</v>
      </c>
      <c r="AN49" s="100">
        <v>1.0501494974201215E-18</v>
      </c>
      <c r="AO49" s="100">
        <v>1.0501494974201215E-18</v>
      </c>
      <c r="AP49" s="100">
        <v>1.0501494974201215E-18</v>
      </c>
      <c r="AQ49" s="100">
        <v>1.0501494974201215E-18</v>
      </c>
      <c r="AR49" s="100">
        <v>1.0501494974201215E-18</v>
      </c>
      <c r="AS49" s="100">
        <v>1.0501494974201215E-18</v>
      </c>
      <c r="AT49" s="100">
        <v>1.0501494974201215E-18</v>
      </c>
      <c r="AU49" s="100">
        <v>1.2601793969041458E-18</v>
      </c>
      <c r="AV49" s="100">
        <v>1.2601793969041458E-18</v>
      </c>
      <c r="AW49" s="100">
        <v>1.2601793969041458E-18</v>
      </c>
      <c r="AX49" s="100">
        <v>1.2601793969041458E-18</v>
      </c>
    </row>
    <row r="50" spans="2:51">
      <c r="B50" s="99" t="s">
        <v>106</v>
      </c>
      <c r="C50" s="100">
        <v>197.02015937187835</v>
      </c>
      <c r="D50" s="100">
        <v>197.02015937187835</v>
      </c>
      <c r="E50" s="100">
        <v>197.02015937187835</v>
      </c>
      <c r="F50" s="100">
        <v>197.02015937187835</v>
      </c>
      <c r="G50" s="100">
        <v>197.02015937187835</v>
      </c>
      <c r="H50" s="100">
        <v>197.02015937187835</v>
      </c>
      <c r="I50" s="100">
        <v>197.02015937187835</v>
      </c>
      <c r="J50" s="100">
        <v>197.02015937187835</v>
      </c>
      <c r="K50" s="100">
        <v>197.02015937187835</v>
      </c>
      <c r="L50" s="100">
        <v>197.02015937187835</v>
      </c>
      <c r="M50" s="100">
        <v>197.02015937187835</v>
      </c>
      <c r="N50" s="100">
        <v>197.02015937187835</v>
      </c>
      <c r="O50" s="100">
        <v>197.02015937187835</v>
      </c>
      <c r="P50" s="100">
        <v>197.02015937187835</v>
      </c>
      <c r="Q50" s="100">
        <v>197.02015937187835</v>
      </c>
      <c r="R50" s="100">
        <v>197.02015937187835</v>
      </c>
      <c r="S50" s="100">
        <v>197.02015937187835</v>
      </c>
      <c r="T50" s="100">
        <v>197.02015937187835</v>
      </c>
      <c r="U50" s="100">
        <v>197.02015937187835</v>
      </c>
      <c r="V50" s="100">
        <v>197.02015937187835</v>
      </c>
      <c r="W50" s="100">
        <v>157.6161274975027</v>
      </c>
      <c r="X50" s="100">
        <v>157.6161274975027</v>
      </c>
      <c r="Y50" s="100">
        <v>157.6161274975027</v>
      </c>
      <c r="Z50" s="100">
        <v>157.6161274975027</v>
      </c>
      <c r="AA50" s="100">
        <v>197.02015937187835</v>
      </c>
      <c r="AB50" s="100">
        <v>197.02015937187835</v>
      </c>
      <c r="AC50" s="100">
        <v>197.02015937187835</v>
      </c>
      <c r="AD50" s="100">
        <v>197.02015937187835</v>
      </c>
      <c r="AE50" s="100">
        <v>197.02015937187835</v>
      </c>
      <c r="AF50" s="100">
        <v>197.02015937187835</v>
      </c>
      <c r="AG50" s="100">
        <v>197.02015937187835</v>
      </c>
      <c r="AH50" s="100">
        <v>197.02015937187835</v>
      </c>
      <c r="AI50" s="100">
        <v>197.02015937187835</v>
      </c>
      <c r="AJ50" s="100">
        <v>197.02015937187835</v>
      </c>
      <c r="AK50" s="100">
        <v>197.02015937187835</v>
      </c>
      <c r="AL50" s="100">
        <v>197.02015937187835</v>
      </c>
      <c r="AM50" s="100">
        <v>157.6161274975027</v>
      </c>
      <c r="AN50" s="100">
        <v>157.6161274975027</v>
      </c>
      <c r="AO50" s="100">
        <v>157.6161274975027</v>
      </c>
      <c r="AP50" s="100">
        <v>157.6161274975027</v>
      </c>
      <c r="AQ50" s="100">
        <v>197.02015937187835</v>
      </c>
      <c r="AR50" s="100">
        <v>197.02015937187835</v>
      </c>
      <c r="AS50" s="100">
        <v>197.02015937187835</v>
      </c>
      <c r="AT50" s="100">
        <v>197.02015937187835</v>
      </c>
      <c r="AU50" s="100">
        <v>197.02015937187835</v>
      </c>
      <c r="AV50" s="100">
        <v>197.02015937187835</v>
      </c>
      <c r="AW50" s="100">
        <v>197.02015937187835</v>
      </c>
      <c r="AX50" s="100">
        <v>197.02015937187835</v>
      </c>
      <c r="AY50" s="112"/>
    </row>
    <row r="51" spans="2:51">
      <c r="B51" s="99" t="s">
        <v>107</v>
      </c>
      <c r="C51" s="100">
        <v>789.99999999999989</v>
      </c>
      <c r="D51" s="100">
        <v>789.99999999999989</v>
      </c>
      <c r="E51" s="100">
        <v>789.99999999999989</v>
      </c>
      <c r="F51" s="100">
        <v>789.99999999999989</v>
      </c>
      <c r="G51" s="100">
        <v>789.99999999999989</v>
      </c>
      <c r="H51" s="100">
        <v>789.99999999999989</v>
      </c>
      <c r="I51" s="100">
        <v>789.99999999999989</v>
      </c>
      <c r="J51" s="100">
        <v>789.99999999999989</v>
      </c>
      <c r="K51" s="100">
        <v>789.99999999999989</v>
      </c>
      <c r="L51" s="100">
        <v>789.99999999999989</v>
      </c>
      <c r="M51" s="100">
        <v>789.99999999999989</v>
      </c>
      <c r="N51" s="100">
        <v>789.99999999999989</v>
      </c>
      <c r="O51" s="100">
        <v>789.99999999999989</v>
      </c>
      <c r="P51" s="100">
        <v>789.99999999999989</v>
      </c>
      <c r="Q51" s="100">
        <v>789.99999999999989</v>
      </c>
      <c r="R51" s="100">
        <v>789.99999999999989</v>
      </c>
      <c r="S51" s="100">
        <v>789.99999999999989</v>
      </c>
      <c r="T51" s="100">
        <v>789.99999999999989</v>
      </c>
      <c r="U51" s="100">
        <v>789.99999999999989</v>
      </c>
      <c r="V51" s="100">
        <v>789.99999999999989</v>
      </c>
      <c r="W51" s="100">
        <v>789.99999999999989</v>
      </c>
      <c r="X51" s="100">
        <v>789.99999999999989</v>
      </c>
      <c r="Y51" s="100">
        <v>789.99999999999989</v>
      </c>
      <c r="Z51" s="100">
        <v>789.99999999999989</v>
      </c>
      <c r="AA51" s="100">
        <v>789.99999999999989</v>
      </c>
      <c r="AB51" s="100">
        <v>789.99999999999989</v>
      </c>
      <c r="AC51" s="100">
        <v>789.99999999999989</v>
      </c>
      <c r="AD51" s="100">
        <v>789.99999999999989</v>
      </c>
      <c r="AE51" s="100">
        <v>789.99999999999989</v>
      </c>
      <c r="AF51" s="100">
        <v>789.99999999999989</v>
      </c>
      <c r="AG51" s="100">
        <v>789.99999999999989</v>
      </c>
      <c r="AH51" s="100">
        <v>789.99999999999989</v>
      </c>
      <c r="AI51" s="100">
        <v>789.99999999999989</v>
      </c>
      <c r="AJ51" s="100">
        <v>789.99999999999989</v>
      </c>
      <c r="AK51" s="100">
        <v>789.99999999999989</v>
      </c>
      <c r="AL51" s="100">
        <v>789.99999999999989</v>
      </c>
      <c r="AM51" s="100">
        <v>789.99999999999989</v>
      </c>
      <c r="AN51" s="100">
        <v>789.99999999999989</v>
      </c>
      <c r="AO51" s="100">
        <v>789.99999999999989</v>
      </c>
      <c r="AP51" s="100">
        <v>789.99999999999989</v>
      </c>
      <c r="AQ51" s="100">
        <v>789.99999999999989</v>
      </c>
      <c r="AR51" s="100">
        <v>789.99999999999989</v>
      </c>
      <c r="AS51" s="100">
        <v>789.99999999999989</v>
      </c>
      <c r="AT51" s="100">
        <v>789.99999999999989</v>
      </c>
      <c r="AU51" s="100">
        <v>789.99999999999989</v>
      </c>
      <c r="AV51" s="100">
        <v>789.99999999999989</v>
      </c>
      <c r="AW51" s="100">
        <v>789.99999999999989</v>
      </c>
      <c r="AX51" s="100">
        <v>789.99999999999989</v>
      </c>
      <c r="AY51" s="111"/>
    </row>
    <row r="52" spans="2:51">
      <c r="B52" s="99" t="s">
        <v>108</v>
      </c>
      <c r="C52" s="100">
        <v>1.9041875466615453E-18</v>
      </c>
      <c r="D52" s="100">
        <v>1.9041875466615453E-18</v>
      </c>
      <c r="E52" s="100">
        <v>1.9041875466615453E-18</v>
      </c>
      <c r="F52" s="100">
        <v>1.9041875466615453E-18</v>
      </c>
      <c r="G52" s="100">
        <v>1.9041875466615453E-18</v>
      </c>
      <c r="H52" s="100">
        <v>1.9041875466615453E-18</v>
      </c>
      <c r="I52" s="100">
        <v>1.9041875466615453E-18</v>
      </c>
      <c r="J52" s="100">
        <v>1.9041875466615453E-18</v>
      </c>
      <c r="K52" s="100">
        <v>1.5868229555512878E-18</v>
      </c>
      <c r="L52" s="100">
        <v>1.5868229555512878E-18</v>
      </c>
      <c r="M52" s="100">
        <v>1.5868229555512878E-18</v>
      </c>
      <c r="N52" s="100">
        <v>1.5868229555512878E-18</v>
      </c>
      <c r="O52" s="100">
        <v>1.5868229555512878E-18</v>
      </c>
      <c r="P52" s="100">
        <v>1.5868229555512878E-18</v>
      </c>
      <c r="Q52" s="100">
        <v>1.5868229555512878E-18</v>
      </c>
      <c r="R52" s="100">
        <v>1.5868229555512878E-18</v>
      </c>
      <c r="S52" s="100">
        <v>1.5868229555512878E-18</v>
      </c>
      <c r="T52" s="100">
        <v>1.5868229555512878E-18</v>
      </c>
      <c r="U52" s="100">
        <v>1.5868229555512878E-18</v>
      </c>
      <c r="V52" s="100">
        <v>1.5868229555512878E-18</v>
      </c>
      <c r="W52" s="100">
        <v>1.9041875466615453E-18</v>
      </c>
      <c r="X52" s="100">
        <v>1.9041875466615453E-18</v>
      </c>
      <c r="Y52" s="100">
        <v>1.9041875466615453E-18</v>
      </c>
      <c r="Z52" s="100">
        <v>1.9041875466615453E-18</v>
      </c>
      <c r="AA52" s="100">
        <v>1.5868229555512878E-18</v>
      </c>
      <c r="AB52" s="100">
        <v>1.5868229555512878E-18</v>
      </c>
      <c r="AC52" s="100">
        <v>1.5868229555512878E-18</v>
      </c>
      <c r="AD52" s="100">
        <v>1.5868229555512878E-18</v>
      </c>
      <c r="AE52" s="100">
        <v>1.2694583644410303E-18</v>
      </c>
      <c r="AF52" s="100">
        <v>1.2694583644410303E-18</v>
      </c>
      <c r="AG52" s="100">
        <v>1.2694583644410303E-18</v>
      </c>
      <c r="AH52" s="100">
        <v>1.2694583644410303E-18</v>
      </c>
      <c r="AI52" s="100">
        <v>1.5868229555512878E-18</v>
      </c>
      <c r="AJ52" s="100">
        <v>1.5868229555512878E-18</v>
      </c>
      <c r="AK52" s="100">
        <v>1.5868229555512878E-18</v>
      </c>
      <c r="AL52" s="100">
        <v>1.5868229555512878E-18</v>
      </c>
      <c r="AM52" s="100">
        <v>1.5868229555512878E-18</v>
      </c>
      <c r="AN52" s="100">
        <v>1.5868229555512878E-18</v>
      </c>
      <c r="AO52" s="100">
        <v>1.5868229555512878E-18</v>
      </c>
      <c r="AP52" s="100">
        <v>1.5868229555512878E-18</v>
      </c>
      <c r="AQ52" s="100">
        <v>1.5868229555512878E-18</v>
      </c>
      <c r="AR52" s="100">
        <v>1.5868229555512878E-18</v>
      </c>
      <c r="AS52" s="100">
        <v>1.5868229555512878E-18</v>
      </c>
      <c r="AT52" s="100">
        <v>1.5868229555512878E-18</v>
      </c>
      <c r="AU52" s="100">
        <v>1.5868229555512878E-18</v>
      </c>
      <c r="AV52" s="100">
        <v>1.5868229555512878E-18</v>
      </c>
      <c r="AW52" s="100">
        <v>1.5868229555512878E-18</v>
      </c>
      <c r="AX52" s="100">
        <v>1.5868229555512878E-18</v>
      </c>
    </row>
    <row r="53" spans="2:51">
      <c r="B53" s="99" t="s">
        <v>109</v>
      </c>
      <c r="C53" s="100">
        <v>1.4058688850350473E-18</v>
      </c>
      <c r="D53" s="100">
        <v>1.4058688850350473E-18</v>
      </c>
      <c r="E53" s="100">
        <v>1.4058688850350473E-18</v>
      </c>
      <c r="F53" s="100">
        <v>1.4058688850350473E-18</v>
      </c>
      <c r="G53" s="100">
        <v>1.4058688850350473E-18</v>
      </c>
      <c r="H53" s="100">
        <v>1.4058688850350473E-18</v>
      </c>
      <c r="I53" s="100">
        <v>1.4058688850350473E-18</v>
      </c>
      <c r="J53" s="100">
        <v>1.4058688850350473E-18</v>
      </c>
      <c r="K53" s="100">
        <v>1.4058688850350473E-18</v>
      </c>
      <c r="L53" s="100">
        <v>1.4058688850350473E-18</v>
      </c>
      <c r="M53" s="100">
        <v>1.4058688850350473E-18</v>
      </c>
      <c r="N53" s="100">
        <v>1.4058688850350473E-18</v>
      </c>
      <c r="O53" s="100">
        <v>1.4058688850350473E-18</v>
      </c>
      <c r="P53" s="100">
        <v>1.4058688850350473E-18</v>
      </c>
      <c r="Q53" s="100">
        <v>1.4058688850350473E-18</v>
      </c>
      <c r="R53" s="100">
        <v>1.4058688850350473E-18</v>
      </c>
      <c r="S53" s="100">
        <v>1.4058688850350473E-18</v>
      </c>
      <c r="T53" s="100">
        <v>1.4058688850350473E-18</v>
      </c>
      <c r="U53" s="100">
        <v>1.4058688850350473E-18</v>
      </c>
      <c r="V53" s="100">
        <v>1.4058688850350473E-18</v>
      </c>
      <c r="W53" s="100">
        <v>1.4058688850350473E-18</v>
      </c>
      <c r="X53" s="100">
        <v>1.4058688850350473E-18</v>
      </c>
      <c r="Y53" s="100">
        <v>1.4058688850350473E-18</v>
      </c>
      <c r="Z53" s="100">
        <v>1.4058688850350473E-18</v>
      </c>
      <c r="AA53" s="100">
        <v>1.4058688850350473E-18</v>
      </c>
      <c r="AB53" s="100">
        <v>1.4058688850350473E-18</v>
      </c>
      <c r="AC53" s="100">
        <v>1.4058688850350473E-18</v>
      </c>
      <c r="AD53" s="100">
        <v>1.4058688850350473E-18</v>
      </c>
      <c r="AE53" s="100">
        <v>1.4058688850350473E-18</v>
      </c>
      <c r="AF53" s="100">
        <v>1.4058688850350473E-18</v>
      </c>
      <c r="AG53" s="100">
        <v>1.4058688850350473E-18</v>
      </c>
      <c r="AH53" s="100">
        <v>1.4058688850350473E-18</v>
      </c>
      <c r="AI53" s="100">
        <v>1.1715574041958729E-18</v>
      </c>
      <c r="AJ53" s="100">
        <v>1.1715574041958729E-18</v>
      </c>
      <c r="AK53" s="100">
        <v>1.1715574041958729E-18</v>
      </c>
      <c r="AL53" s="100">
        <v>1.1715574041958729E-18</v>
      </c>
      <c r="AM53" s="100">
        <v>1.4058688850350473E-18</v>
      </c>
      <c r="AN53" s="100">
        <v>1.4058688850350473E-18</v>
      </c>
      <c r="AO53" s="100">
        <v>1.4058688850350473E-18</v>
      </c>
      <c r="AP53" s="100">
        <v>1.4058688850350473E-18</v>
      </c>
      <c r="AQ53" s="100">
        <v>1.1715574041958729E-18</v>
      </c>
      <c r="AR53" s="100">
        <v>1.1715574041958729E-18</v>
      </c>
      <c r="AS53" s="100">
        <v>1.1715574041958729E-18</v>
      </c>
      <c r="AT53" s="100">
        <v>1.1715574041958729E-18</v>
      </c>
      <c r="AU53" s="100">
        <v>1.4058688850350473E-18</v>
      </c>
      <c r="AV53" s="100">
        <v>1.4058688850350473E-18</v>
      </c>
      <c r="AW53" s="100">
        <v>1.4058688850350473E-18</v>
      </c>
      <c r="AX53" s="100">
        <v>1.4058688850350473E-18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3416638.0919813877</v>
      </c>
      <c r="D58" s="100">
        <v>3416638.0919813877</v>
      </c>
      <c r="E58" s="100">
        <v>3416638.0919813877</v>
      </c>
      <c r="F58" s="100">
        <v>3416638.0919813877</v>
      </c>
      <c r="G58" s="100">
        <v>3834734.5436346238</v>
      </c>
      <c r="H58" s="100">
        <v>3834734.5436346238</v>
      </c>
      <c r="I58" s="100">
        <v>3834734.5436346238</v>
      </c>
      <c r="J58" s="100">
        <v>3834734.5436346238</v>
      </c>
      <c r="K58" s="100">
        <v>3766062.9991977289</v>
      </c>
      <c r="L58" s="100">
        <v>3766062.9991977289</v>
      </c>
      <c r="M58" s="100">
        <v>3766062.9991977289</v>
      </c>
      <c r="N58" s="100">
        <v>3766062.9991977289</v>
      </c>
      <c r="O58" s="100">
        <v>3474907.3602905748</v>
      </c>
      <c r="P58" s="100">
        <v>3474907.3602905748</v>
      </c>
      <c r="Q58" s="100">
        <v>3474907.3602905748</v>
      </c>
      <c r="R58" s="100">
        <v>3474907.3602905748</v>
      </c>
      <c r="S58" s="100">
        <v>0</v>
      </c>
      <c r="T58" s="100">
        <v>0</v>
      </c>
      <c r="U58" s="100">
        <v>0</v>
      </c>
      <c r="V58" s="100">
        <v>0</v>
      </c>
      <c r="W58" s="100">
        <v>3467378.8368252935</v>
      </c>
      <c r="X58" s="100">
        <v>3467378.8368252935</v>
      </c>
      <c r="Y58" s="100">
        <v>3467378.8368252935</v>
      </c>
      <c r="Z58" s="100">
        <v>3467378.8368252935</v>
      </c>
      <c r="AA58" s="100">
        <v>3698879.9161755485</v>
      </c>
      <c r="AB58" s="100">
        <v>3698879.9161755485</v>
      </c>
      <c r="AC58" s="100">
        <v>3698879.9161755485</v>
      </c>
      <c r="AD58" s="100">
        <v>3698879.9161755485</v>
      </c>
      <c r="AE58" s="100">
        <v>3234915.8955511218</v>
      </c>
      <c r="AF58" s="100">
        <v>3234915.8955511218</v>
      </c>
      <c r="AG58" s="100">
        <v>3234915.8955511218</v>
      </c>
      <c r="AH58" s="100">
        <v>3234915.8955511218</v>
      </c>
      <c r="AI58" s="100">
        <v>3379847.1762134884</v>
      </c>
      <c r="AJ58" s="100">
        <v>3379847.1762134884</v>
      </c>
      <c r="AK58" s="100">
        <v>3379847.1762134884</v>
      </c>
      <c r="AL58" s="100">
        <v>3379847.1762134884</v>
      </c>
      <c r="AM58" s="100">
        <v>3518948.5413239305</v>
      </c>
      <c r="AN58" s="100">
        <v>3518948.5413239305</v>
      </c>
      <c r="AO58" s="100">
        <v>3518948.5413239305</v>
      </c>
      <c r="AP58" s="100">
        <v>3518948.5413239305</v>
      </c>
      <c r="AQ58" s="100">
        <v>3605293.1572550363</v>
      </c>
      <c r="AR58" s="100">
        <v>3605293.1572550363</v>
      </c>
      <c r="AS58" s="100">
        <v>3605293.1572550363</v>
      </c>
      <c r="AT58" s="100">
        <v>3605293.1572550363</v>
      </c>
      <c r="AU58" s="100">
        <v>3038321.1376182279</v>
      </c>
      <c r="AV58" s="100">
        <v>3038321.1376182279</v>
      </c>
      <c r="AW58" s="100">
        <v>3038321.1376182279</v>
      </c>
      <c r="AX58" s="100">
        <v>3038321.1376182279</v>
      </c>
    </row>
    <row r="59" spans="2:51">
      <c r="B59" s="105" t="s">
        <v>105</v>
      </c>
      <c r="C59" s="100">
        <v>1.3898400412959479E-15</v>
      </c>
      <c r="D59" s="100">
        <v>1.3898400412959479E-15</v>
      </c>
      <c r="E59" s="100">
        <v>1.3898400412959479E-15</v>
      </c>
      <c r="F59" s="100">
        <v>1.3898400412959479E-15</v>
      </c>
      <c r="G59" s="100">
        <v>1.5462876082677517E-15</v>
      </c>
      <c r="H59" s="100">
        <v>1.5462876082677517E-15</v>
      </c>
      <c r="I59" s="100">
        <v>1.5462876082677517E-15</v>
      </c>
      <c r="J59" s="100">
        <v>1.5462876082677517E-15</v>
      </c>
      <c r="K59" s="100">
        <v>1.5750121468882113E-15</v>
      </c>
      <c r="L59" s="100">
        <v>1.5750121468882113E-15</v>
      </c>
      <c r="M59" s="100">
        <v>1.5750121468882113E-15</v>
      </c>
      <c r="N59" s="100">
        <v>1.5750121468882113E-15</v>
      </c>
      <c r="O59" s="100">
        <v>1.5169906851811174E-15</v>
      </c>
      <c r="P59" s="100">
        <v>1.5169906851811174E-15</v>
      </c>
      <c r="Q59" s="100">
        <v>1.5169906851811174E-15</v>
      </c>
      <c r="R59" s="100">
        <v>1.5169906851811174E-15</v>
      </c>
      <c r="S59" s="100">
        <v>1.3706152177994767E-15</v>
      </c>
      <c r="T59" s="100">
        <v>1.3706152177994767E-15</v>
      </c>
      <c r="U59" s="100">
        <v>1.3706152177994767E-15</v>
      </c>
      <c r="V59" s="100">
        <v>1.3706152177994767E-15</v>
      </c>
      <c r="W59" s="100">
        <v>1.426013222333879E-15</v>
      </c>
      <c r="X59" s="100">
        <v>1.426013222333879E-15</v>
      </c>
      <c r="Y59" s="100">
        <v>1.426013222333879E-15</v>
      </c>
      <c r="Z59" s="100">
        <v>1.426013222333879E-15</v>
      </c>
      <c r="AA59" s="100">
        <v>1.4921569322817476E-15</v>
      </c>
      <c r="AB59" s="100">
        <v>1.4921569322817476E-15</v>
      </c>
      <c r="AC59" s="100">
        <v>1.4921569322817476E-15</v>
      </c>
      <c r="AD59" s="100">
        <v>1.4921569322817476E-15</v>
      </c>
      <c r="AE59" s="100">
        <v>1.5165343670016227E-15</v>
      </c>
      <c r="AF59" s="100">
        <v>1.5165343670016227E-15</v>
      </c>
      <c r="AG59" s="100">
        <v>1.5165343670016227E-15</v>
      </c>
      <c r="AH59" s="100">
        <v>1.5165343670016227E-15</v>
      </c>
      <c r="AI59" s="100">
        <v>1.4770167925202284E-15</v>
      </c>
      <c r="AJ59" s="100">
        <v>1.4770167925202284E-15</v>
      </c>
      <c r="AK59" s="100">
        <v>1.4770167925202284E-15</v>
      </c>
      <c r="AL59" s="100">
        <v>1.4770167925202284E-15</v>
      </c>
      <c r="AM59" s="100">
        <v>1.4701703152250081E-15</v>
      </c>
      <c r="AN59" s="100">
        <v>1.4701703152250081E-15</v>
      </c>
      <c r="AO59" s="100">
        <v>1.4701703152250081E-15</v>
      </c>
      <c r="AP59" s="100">
        <v>1.4701703152250081E-15</v>
      </c>
      <c r="AQ59" s="100">
        <v>1.4486581433453125E-15</v>
      </c>
      <c r="AR59" s="100">
        <v>1.4486581433453125E-15</v>
      </c>
      <c r="AS59" s="100">
        <v>1.4486581433453125E-15</v>
      </c>
      <c r="AT59" s="100">
        <v>1.4486581433453125E-15</v>
      </c>
      <c r="AU59" s="100">
        <v>1.5745732306156184E-15</v>
      </c>
      <c r="AV59" s="100">
        <v>1.5745732306156184E-15</v>
      </c>
      <c r="AW59" s="100">
        <v>1.5745732306156184E-15</v>
      </c>
      <c r="AX59" s="100">
        <v>1.5745732306156184E-15</v>
      </c>
    </row>
    <row r="60" spans="2:51">
      <c r="B60" s="105" t="s">
        <v>106</v>
      </c>
      <c r="C60" s="100">
        <v>330631.44626495597</v>
      </c>
      <c r="D60" s="100">
        <v>330631.44626495597</v>
      </c>
      <c r="E60" s="100">
        <v>330631.44626495597</v>
      </c>
      <c r="F60" s="100">
        <v>330631.44626495597</v>
      </c>
      <c r="G60" s="100">
        <v>291926.25015191856</v>
      </c>
      <c r="H60" s="100">
        <v>291926.25015191856</v>
      </c>
      <c r="I60" s="100">
        <v>291926.25015191856</v>
      </c>
      <c r="J60" s="100">
        <v>291926.25015191856</v>
      </c>
      <c r="K60" s="100">
        <v>269081.8724432686</v>
      </c>
      <c r="L60" s="100">
        <v>269081.8724432686</v>
      </c>
      <c r="M60" s="100">
        <v>269081.8724432686</v>
      </c>
      <c r="N60" s="100">
        <v>269081.8724432686</v>
      </c>
      <c r="O60" s="100">
        <v>286481.67416337755</v>
      </c>
      <c r="P60" s="100">
        <v>286481.67416337755</v>
      </c>
      <c r="Q60" s="100">
        <v>286481.67416337755</v>
      </c>
      <c r="R60" s="100">
        <v>286481.67416337755</v>
      </c>
      <c r="S60" s="100">
        <v>303897.63794250792</v>
      </c>
      <c r="T60" s="100">
        <v>303897.63794250792</v>
      </c>
      <c r="U60" s="100">
        <v>303897.63794250792</v>
      </c>
      <c r="V60" s="100">
        <v>303897.63794250792</v>
      </c>
      <c r="W60" s="100">
        <v>268466.49310628226</v>
      </c>
      <c r="X60" s="100">
        <v>268466.49310628226</v>
      </c>
      <c r="Y60" s="100">
        <v>268466.49310628226</v>
      </c>
      <c r="Z60" s="100">
        <v>268466.49310628226</v>
      </c>
      <c r="AA60" s="100">
        <v>276732.02852582396</v>
      </c>
      <c r="AB60" s="100">
        <v>276732.02852582396</v>
      </c>
      <c r="AC60" s="100">
        <v>276732.02852582396</v>
      </c>
      <c r="AD60" s="100">
        <v>276732.02852582396</v>
      </c>
      <c r="AE60" s="100">
        <v>285280.70073643012</v>
      </c>
      <c r="AF60" s="100">
        <v>285280.70073643012</v>
      </c>
      <c r="AG60" s="100">
        <v>285280.70073643012</v>
      </c>
      <c r="AH60" s="100">
        <v>285280.70073643012</v>
      </c>
      <c r="AI60" s="100">
        <v>285136.54108193429</v>
      </c>
      <c r="AJ60" s="100">
        <v>285136.54108193429</v>
      </c>
      <c r="AK60" s="100">
        <v>285136.54108193429</v>
      </c>
      <c r="AL60" s="100">
        <v>285136.54108193429</v>
      </c>
      <c r="AM60" s="100">
        <v>276603.23558852251</v>
      </c>
      <c r="AN60" s="100">
        <v>276603.23558852251</v>
      </c>
      <c r="AO60" s="100">
        <v>276603.23558852251</v>
      </c>
      <c r="AP60" s="100">
        <v>276603.23558852251</v>
      </c>
      <c r="AQ60" s="100">
        <v>309356.57448618679</v>
      </c>
      <c r="AR60" s="100">
        <v>309356.57448618679</v>
      </c>
      <c r="AS60" s="100">
        <v>309356.57448618679</v>
      </c>
      <c r="AT60" s="100">
        <v>309356.57448618679</v>
      </c>
      <c r="AU60" s="100">
        <v>314160.01897557796</v>
      </c>
      <c r="AV60" s="100">
        <v>314160.01897557796</v>
      </c>
      <c r="AW60" s="100">
        <v>314160.01897557796</v>
      </c>
      <c r="AX60" s="100">
        <v>314160.01897557796</v>
      </c>
    </row>
    <row r="61" spans="2:51">
      <c r="B61" s="105" t="s">
        <v>107</v>
      </c>
      <c r="C61" s="100">
        <v>1154525.2276357501</v>
      </c>
      <c r="D61" s="100">
        <v>1154525.2276357501</v>
      </c>
      <c r="E61" s="100">
        <v>1154525.2276357501</v>
      </c>
      <c r="F61" s="100">
        <v>1154525.2276357501</v>
      </c>
      <c r="G61" s="100">
        <v>1167809.3729901749</v>
      </c>
      <c r="H61" s="100">
        <v>1167809.3729901749</v>
      </c>
      <c r="I61" s="100">
        <v>1167809.3729901749</v>
      </c>
      <c r="J61" s="100">
        <v>1167809.3729901749</v>
      </c>
      <c r="K61" s="100">
        <v>1178214.2203651478</v>
      </c>
      <c r="L61" s="100">
        <v>1178214.2203651478</v>
      </c>
      <c r="M61" s="100">
        <v>1178214.2203651478</v>
      </c>
      <c r="N61" s="100">
        <v>1178214.2203651478</v>
      </c>
      <c r="O61" s="100">
        <v>1101400.2316777532</v>
      </c>
      <c r="P61" s="100">
        <v>1101400.2316777532</v>
      </c>
      <c r="Q61" s="100">
        <v>1101400.2316777532</v>
      </c>
      <c r="R61" s="100">
        <v>1101400.2316777532</v>
      </c>
      <c r="S61" s="100">
        <v>1125155.0945143655</v>
      </c>
      <c r="T61" s="100">
        <v>1125155.0945143655</v>
      </c>
      <c r="U61" s="100">
        <v>1125155.0945143655</v>
      </c>
      <c r="V61" s="100">
        <v>1125155.0945143655</v>
      </c>
      <c r="W61" s="100">
        <v>1071552.1673534296</v>
      </c>
      <c r="X61" s="100">
        <v>1071552.1673534296</v>
      </c>
      <c r="Y61" s="100">
        <v>1071552.1673534296</v>
      </c>
      <c r="Z61" s="100">
        <v>1071552.1673534296</v>
      </c>
      <c r="AA61" s="100">
        <v>1076594.0107646107</v>
      </c>
      <c r="AB61" s="100">
        <v>1076594.0107646107</v>
      </c>
      <c r="AC61" s="100">
        <v>1076594.0107646107</v>
      </c>
      <c r="AD61" s="100">
        <v>1076594.0107646107</v>
      </c>
      <c r="AE61" s="100">
        <v>1072525.671806491</v>
      </c>
      <c r="AF61" s="100">
        <v>1072525.671806491</v>
      </c>
      <c r="AG61" s="100">
        <v>1072525.671806491</v>
      </c>
      <c r="AH61" s="100">
        <v>1072525.671806491</v>
      </c>
      <c r="AI61" s="100">
        <v>1138753.6559351829</v>
      </c>
      <c r="AJ61" s="100">
        <v>1138753.6559351829</v>
      </c>
      <c r="AK61" s="100">
        <v>1138753.6559351829</v>
      </c>
      <c r="AL61" s="100">
        <v>1138753.6559351829</v>
      </c>
      <c r="AM61" s="100">
        <v>1219539.9628958073</v>
      </c>
      <c r="AN61" s="100">
        <v>1219539.9628958073</v>
      </c>
      <c r="AO61" s="100">
        <v>1219539.9628958073</v>
      </c>
      <c r="AP61" s="100">
        <v>1219539.9628958073</v>
      </c>
      <c r="AQ61" s="100">
        <v>1228340.098950505</v>
      </c>
      <c r="AR61" s="100">
        <v>1228340.098950505</v>
      </c>
      <c r="AS61" s="100">
        <v>1228340.098950505</v>
      </c>
      <c r="AT61" s="100">
        <v>1228340.098950505</v>
      </c>
      <c r="AU61" s="100">
        <v>1105097.4369175099</v>
      </c>
      <c r="AV61" s="100">
        <v>1105097.4369175099</v>
      </c>
      <c r="AW61" s="100">
        <v>1105097.4369175099</v>
      </c>
      <c r="AX61" s="100">
        <v>1105097.4369175099</v>
      </c>
    </row>
    <row r="62" spans="2:51">
      <c r="B62" s="105" t="s">
        <v>108</v>
      </c>
      <c r="C62" s="100">
        <v>2.646353517384072E-15</v>
      </c>
      <c r="D62" s="100">
        <v>2.646353517384072E-15</v>
      </c>
      <c r="E62" s="100">
        <v>2.646353517384072E-15</v>
      </c>
      <c r="F62" s="100">
        <v>2.646353517384072E-15</v>
      </c>
      <c r="G62" s="100">
        <v>2.6138085458756195E-15</v>
      </c>
      <c r="H62" s="100">
        <v>2.6138085458756195E-15</v>
      </c>
      <c r="I62" s="100">
        <v>2.6138085458756195E-15</v>
      </c>
      <c r="J62" s="100">
        <v>2.6138085458756195E-15</v>
      </c>
      <c r="K62" s="100">
        <v>2.2643967690939811E-15</v>
      </c>
      <c r="L62" s="100">
        <v>2.2643967690939811E-15</v>
      </c>
      <c r="M62" s="100">
        <v>2.2643967690939811E-15</v>
      </c>
      <c r="N62" s="100">
        <v>2.2643967690939811E-15</v>
      </c>
      <c r="O62" s="100">
        <v>2.2233602992021507E-15</v>
      </c>
      <c r="P62" s="100">
        <v>2.2233602992021507E-15</v>
      </c>
      <c r="Q62" s="100">
        <v>2.2233602992021507E-15</v>
      </c>
      <c r="R62" s="100">
        <v>2.2233602992021507E-15</v>
      </c>
      <c r="S62" s="100">
        <v>2.2742583804960771E-15</v>
      </c>
      <c r="T62" s="100">
        <v>2.2742583804960771E-15</v>
      </c>
      <c r="U62" s="100">
        <v>2.2742583804960771E-15</v>
      </c>
      <c r="V62" s="100">
        <v>2.2742583804960771E-15</v>
      </c>
      <c r="W62" s="100">
        <v>2.6302445670111132E-15</v>
      </c>
      <c r="X62" s="100">
        <v>2.6302445670111132E-15</v>
      </c>
      <c r="Y62" s="100">
        <v>2.6302445670111132E-15</v>
      </c>
      <c r="Z62" s="100">
        <v>2.6302445670111132E-15</v>
      </c>
      <c r="AA62" s="100">
        <v>2.2121299775099053E-15</v>
      </c>
      <c r="AB62" s="100">
        <v>2.2121299775099053E-15</v>
      </c>
      <c r="AC62" s="100">
        <v>2.2121299775099053E-15</v>
      </c>
      <c r="AD62" s="100">
        <v>2.2121299775099053E-15</v>
      </c>
      <c r="AE62" s="100">
        <v>1.8386998504708791E-15</v>
      </c>
      <c r="AF62" s="100">
        <v>1.8386998504708791E-15</v>
      </c>
      <c r="AG62" s="100">
        <v>1.8386998504708791E-15</v>
      </c>
      <c r="AH62" s="100">
        <v>1.8386998504708791E-15</v>
      </c>
      <c r="AI62" s="100">
        <v>2.2893829556197358E-15</v>
      </c>
      <c r="AJ62" s="100">
        <v>2.2893829556197358E-15</v>
      </c>
      <c r="AK62" s="100">
        <v>2.2893829556197358E-15</v>
      </c>
      <c r="AL62" s="100">
        <v>2.2893829556197358E-15</v>
      </c>
      <c r="AM62" s="100">
        <v>2.285018582923661E-15</v>
      </c>
      <c r="AN62" s="100">
        <v>2.285018582923661E-15</v>
      </c>
      <c r="AO62" s="100">
        <v>2.285018582923661E-15</v>
      </c>
      <c r="AP62" s="100">
        <v>2.285018582923661E-15</v>
      </c>
      <c r="AQ62" s="100">
        <v>2.2579227292048804E-15</v>
      </c>
      <c r="AR62" s="100">
        <v>2.2579227292048804E-15</v>
      </c>
      <c r="AS62" s="100">
        <v>2.2579227292048804E-15</v>
      </c>
      <c r="AT62" s="100">
        <v>2.2579227292048804E-15</v>
      </c>
      <c r="AU62" s="100">
        <v>2.2376430867992261E-15</v>
      </c>
      <c r="AV62" s="100">
        <v>2.2376430867992261E-15</v>
      </c>
      <c r="AW62" s="100">
        <v>2.2376430867992261E-15</v>
      </c>
      <c r="AX62" s="100">
        <v>2.2376430867992261E-15</v>
      </c>
    </row>
    <row r="63" spans="2:51">
      <c r="B63" s="105" t="s">
        <v>109</v>
      </c>
      <c r="C63" s="100">
        <v>1.8287151581294861E-15</v>
      </c>
      <c r="D63" s="100">
        <v>1.8287151581294861E-15</v>
      </c>
      <c r="E63" s="100">
        <v>1.8287151581294861E-15</v>
      </c>
      <c r="F63" s="100">
        <v>1.8287151581294861E-15</v>
      </c>
      <c r="G63" s="100">
        <v>1.8352533368237062E-15</v>
      </c>
      <c r="H63" s="100">
        <v>1.8352533368237062E-15</v>
      </c>
      <c r="I63" s="100">
        <v>1.8352533368237062E-15</v>
      </c>
      <c r="J63" s="100">
        <v>1.8352533368237062E-15</v>
      </c>
      <c r="K63" s="100">
        <v>1.7567329023452654E-15</v>
      </c>
      <c r="L63" s="100">
        <v>1.7567329023452654E-15</v>
      </c>
      <c r="M63" s="100">
        <v>1.7567329023452654E-15</v>
      </c>
      <c r="N63" s="100">
        <v>1.7567329023452654E-15</v>
      </c>
      <c r="O63" s="100">
        <v>1.9447774501148989E-15</v>
      </c>
      <c r="P63" s="100">
        <v>1.9447774501148989E-15</v>
      </c>
      <c r="Q63" s="100">
        <v>1.9447774501148989E-15</v>
      </c>
      <c r="R63" s="100">
        <v>1.9447774501148989E-15</v>
      </c>
      <c r="S63" s="100">
        <v>1.9396228430460204E-15</v>
      </c>
      <c r="T63" s="100">
        <v>1.9396228430460204E-15</v>
      </c>
      <c r="U63" s="100">
        <v>1.9396228430460204E-15</v>
      </c>
      <c r="V63" s="100">
        <v>1.9396228430460204E-15</v>
      </c>
      <c r="W63" s="100">
        <v>1.9035154495530064E-15</v>
      </c>
      <c r="X63" s="100">
        <v>1.9035154495530064E-15</v>
      </c>
      <c r="Y63" s="100">
        <v>1.9035154495530064E-15</v>
      </c>
      <c r="Z63" s="100">
        <v>1.9035154495530064E-15</v>
      </c>
      <c r="AA63" s="100">
        <v>1.8705244533667194E-15</v>
      </c>
      <c r="AB63" s="100">
        <v>1.8705244533667194E-15</v>
      </c>
      <c r="AC63" s="100">
        <v>1.8705244533667194E-15</v>
      </c>
      <c r="AD63" s="100">
        <v>1.8705244533667194E-15</v>
      </c>
      <c r="AE63" s="100">
        <v>1.8799714683477389E-15</v>
      </c>
      <c r="AF63" s="100">
        <v>1.8799714683477389E-15</v>
      </c>
      <c r="AG63" s="100">
        <v>1.8799714683477389E-15</v>
      </c>
      <c r="AH63" s="100">
        <v>1.8799714683477389E-15</v>
      </c>
      <c r="AI63" s="100">
        <v>1.6353631516541481E-15</v>
      </c>
      <c r="AJ63" s="100">
        <v>1.6353631516541481E-15</v>
      </c>
      <c r="AK63" s="100">
        <v>1.6353631516541481E-15</v>
      </c>
      <c r="AL63" s="100">
        <v>1.6353631516541481E-15</v>
      </c>
      <c r="AM63" s="100">
        <v>1.870070512867716E-15</v>
      </c>
      <c r="AN63" s="100">
        <v>1.870070512867716E-15</v>
      </c>
      <c r="AO63" s="100">
        <v>1.870070512867716E-15</v>
      </c>
      <c r="AP63" s="100">
        <v>1.870070512867716E-15</v>
      </c>
      <c r="AQ63" s="100">
        <v>1.626538662802369E-15</v>
      </c>
      <c r="AR63" s="100">
        <v>1.626538662802369E-15</v>
      </c>
      <c r="AS63" s="100">
        <v>1.626538662802369E-15</v>
      </c>
      <c r="AT63" s="100">
        <v>1.626538662802369E-15</v>
      </c>
      <c r="AU63" s="100">
        <v>1.7673353036842815E-15</v>
      </c>
      <c r="AV63" s="100">
        <v>1.7673353036842815E-15</v>
      </c>
      <c r="AW63" s="100">
        <v>1.7673353036842815E-15</v>
      </c>
      <c r="AX63" s="100">
        <v>1.7673353036842815E-15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0.31985547021155053</v>
      </c>
      <c r="D67" s="100">
        <v>0.31985547021155053</v>
      </c>
      <c r="E67" s="100">
        <v>0.31985547021155053</v>
      </c>
      <c r="F67" s="100">
        <v>0.31985547021155053</v>
      </c>
      <c r="G67" s="100">
        <v>0.31985547021155053</v>
      </c>
      <c r="H67" s="100">
        <v>0.31985547021155053</v>
      </c>
      <c r="I67" s="100">
        <v>0.31985547021155053</v>
      </c>
      <c r="J67" s="100">
        <v>0.31985547021155053</v>
      </c>
      <c r="K67" s="100">
        <v>0.31985547021155053</v>
      </c>
      <c r="L67" s="100">
        <v>0.31985547021155053</v>
      </c>
      <c r="M67" s="100">
        <v>0.31985547021155053</v>
      </c>
      <c r="N67" s="100">
        <v>0.31985547021155053</v>
      </c>
    </row>
    <row r="68" spans="1:14">
      <c r="B68" s="99" t="s">
        <v>330</v>
      </c>
      <c r="C68" s="100">
        <v>0.40836959698131819</v>
      </c>
      <c r="D68" s="100">
        <v>0.40836959698131819</v>
      </c>
      <c r="E68" s="100">
        <v>0.40836959698131819</v>
      </c>
      <c r="F68" s="100">
        <v>0.40836959698131819</v>
      </c>
      <c r="G68" s="100">
        <v>0.40836959698131819</v>
      </c>
      <c r="H68" s="100">
        <v>0.40836959698131819</v>
      </c>
      <c r="I68" s="100">
        <v>0.40836959698131819</v>
      </c>
      <c r="J68" s="100">
        <v>0.40836959698131819</v>
      </c>
      <c r="K68" s="100">
        <v>0.40836959698131819</v>
      </c>
      <c r="L68" s="100">
        <v>0.40836959698131819</v>
      </c>
      <c r="M68" s="100">
        <v>0.40836959698131819</v>
      </c>
      <c r="N68" s="100">
        <v>0.40836959698131819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19.176340702607948</v>
      </c>
      <c r="D72" s="100">
        <v>40.853383849410818</v>
      </c>
      <c r="E72" s="100">
        <v>69.745724961737295</v>
      </c>
    </row>
    <row r="73" spans="1:14">
      <c r="B73" s="105" t="s">
        <v>93</v>
      </c>
      <c r="C73" s="100">
        <v>19.176340702607948</v>
      </c>
      <c r="D73" s="100">
        <v>40.853383849410818</v>
      </c>
      <c r="E73" s="100">
        <v>69.745724961737295</v>
      </c>
    </row>
    <row r="74" spans="1:14">
      <c r="B74" s="105" t="s">
        <v>94</v>
      </c>
      <c r="C74" s="100">
        <v>19.176340702607948</v>
      </c>
      <c r="D74" s="100">
        <v>40.853383849410818</v>
      </c>
      <c r="E74" s="100">
        <v>69.745724961737295</v>
      </c>
    </row>
    <row r="75" spans="1:14">
      <c r="B75" s="105" t="s">
        <v>95</v>
      </c>
      <c r="C75" s="100">
        <v>19.176340702607948</v>
      </c>
      <c r="D75" s="100">
        <v>40.853383849410818</v>
      </c>
      <c r="E75" s="100">
        <v>69.745724961737295</v>
      </c>
    </row>
    <row r="76" spans="1:14">
      <c r="B76" s="105" t="s">
        <v>96</v>
      </c>
      <c r="C76" s="100">
        <v>19.176340702607948</v>
      </c>
      <c r="D76" s="100">
        <v>40.853383849410818</v>
      </c>
      <c r="E76" s="100">
        <v>69.745724961737295</v>
      </c>
    </row>
    <row r="77" spans="1:14">
      <c r="B77" s="105" t="s">
        <v>97</v>
      </c>
      <c r="C77" s="100">
        <v>19.176340702607948</v>
      </c>
      <c r="D77" s="100">
        <v>40.853383849410818</v>
      </c>
      <c r="E77" s="100">
        <v>69.745724961737295</v>
      </c>
    </row>
    <row r="78" spans="1:14">
      <c r="B78" s="105" t="s">
        <v>98</v>
      </c>
      <c r="C78" s="100">
        <v>19.176340702607948</v>
      </c>
      <c r="D78" s="100">
        <v>40.853383849410818</v>
      </c>
      <c r="E78" s="100">
        <v>69.745724961737295</v>
      </c>
    </row>
    <row r="79" spans="1:14">
      <c r="B79" s="105" t="s">
        <v>99</v>
      </c>
      <c r="C79" s="100">
        <v>19.176340702607948</v>
      </c>
      <c r="D79" s="100">
        <v>40.853383849410818</v>
      </c>
      <c r="E79" s="100">
        <v>69.745724961737295</v>
      </c>
    </row>
    <row r="80" spans="1:14">
      <c r="B80" s="105" t="s">
        <v>100</v>
      </c>
      <c r="C80" s="100">
        <v>19.176340702607948</v>
      </c>
      <c r="D80" s="100">
        <v>40.853383849410818</v>
      </c>
      <c r="E80" s="100">
        <v>69.745724961737295</v>
      </c>
    </row>
    <row r="81" spans="2:50">
      <c r="B81" s="105" t="s">
        <v>101</v>
      </c>
      <c r="C81" s="100">
        <v>19.176340702607948</v>
      </c>
      <c r="D81" s="100">
        <v>40.853383849410818</v>
      </c>
      <c r="E81" s="100">
        <v>69.745724961737295</v>
      </c>
    </row>
    <row r="82" spans="2:50">
      <c r="B82" s="105" t="s">
        <v>102</v>
      </c>
      <c r="C82" s="100">
        <v>19.176340702607948</v>
      </c>
      <c r="D82" s="100">
        <v>40.853383849410818</v>
      </c>
      <c r="E82" s="100">
        <v>69.745724961737295</v>
      </c>
    </row>
    <row r="83" spans="2:50">
      <c r="B83" s="105" t="s">
        <v>103</v>
      </c>
      <c r="C83" s="100">
        <v>19.176340702607948</v>
      </c>
      <c r="D83" s="100">
        <v>40.853383849410818</v>
      </c>
      <c r="E83" s="100">
        <v>69.745724961737295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3126.0158048911394</v>
      </c>
      <c r="D88" s="100">
        <f>D48+$C$67/4</f>
        <v>3126.0158048911394</v>
      </c>
      <c r="E88" s="100">
        <f>E48+$C$67/4</f>
        <v>3126.0158048911394</v>
      </c>
      <c r="F88" s="100">
        <f>F48+$C$67/4</f>
        <v>3126.0158048911394</v>
      </c>
      <c r="G88" s="100">
        <f>G48+$D$67/4</f>
        <v>2605.026498053875</v>
      </c>
      <c r="H88" s="100">
        <f>H48+$D$67/4</f>
        <v>2605.026498053875</v>
      </c>
      <c r="I88" s="100">
        <f>I48+$D$67/4</f>
        <v>2605.026498053875</v>
      </c>
      <c r="J88" s="100">
        <f>J48+$D$67/4</f>
        <v>2605.026498053875</v>
      </c>
      <c r="K88" s="100">
        <f>K48+$E$67/4</f>
        <v>2605.026498053875</v>
      </c>
      <c r="L88" s="100">
        <f>L48+$E$67/4</f>
        <v>2605.026498053875</v>
      </c>
      <c r="M88" s="100">
        <f>M48+$E$67/4</f>
        <v>2605.026498053875</v>
      </c>
      <c r="N88" s="100">
        <f>N48+$E$67/4</f>
        <v>2605.026498053875</v>
      </c>
      <c r="O88" s="100">
        <f>O48+$F$67/4</f>
        <v>3126.0158048911394</v>
      </c>
      <c r="P88" s="100">
        <f>P48+$F$67/4</f>
        <v>3126.0158048911394</v>
      </c>
      <c r="Q88" s="100">
        <f>Q48+$F$67/4</f>
        <v>3126.0158048911394</v>
      </c>
      <c r="R88" s="100">
        <f>R48+$F$67/4</f>
        <v>3126.0158048911394</v>
      </c>
      <c r="S88" s="100">
        <f>S48+$G$67/4</f>
        <v>7.9963867552887632E-2</v>
      </c>
      <c r="T88" s="100">
        <f>T48+$G$67/4</f>
        <v>7.9963867552887632E-2</v>
      </c>
      <c r="U88" s="100">
        <f>U48+$G$67/4</f>
        <v>7.9963867552887632E-2</v>
      </c>
      <c r="V88" s="100">
        <f>V48+$G$67/4</f>
        <v>7.9963867552887632E-2</v>
      </c>
      <c r="W88" s="100">
        <f>W48+$H$67/4</f>
        <v>3126.0158048911394</v>
      </c>
      <c r="X88" s="100">
        <f>X48+$H$67/4</f>
        <v>3126.0158048911394</v>
      </c>
      <c r="Y88" s="100">
        <f>Y48+$H$67/4</f>
        <v>3126.0158048911394</v>
      </c>
      <c r="Z88" s="100">
        <f>Z48+$H$67/4</f>
        <v>3126.0158048911394</v>
      </c>
      <c r="AA88" s="100">
        <f>AA48+$I$67/4</f>
        <v>2605.026498053875</v>
      </c>
      <c r="AB88" s="100">
        <f>AB48+$I$67/4</f>
        <v>2605.026498053875</v>
      </c>
      <c r="AC88" s="100">
        <f>AC48+$I$67/4</f>
        <v>2605.026498053875</v>
      </c>
      <c r="AD88" s="100">
        <f>AD48+$I$67/4</f>
        <v>2605.026498053875</v>
      </c>
      <c r="AE88" s="100">
        <f>AE48+$J$67/4</f>
        <v>2605.026498053875</v>
      </c>
      <c r="AF88" s="100">
        <f>AF48+$J$67/4</f>
        <v>2605.026498053875</v>
      </c>
      <c r="AG88" s="100">
        <f>AG48+$J$67/4</f>
        <v>2605.026498053875</v>
      </c>
      <c r="AH88" s="100">
        <f>AH48+$J$67/4</f>
        <v>2605.026498053875</v>
      </c>
      <c r="AI88" s="100">
        <f>AI48+$K$67/4</f>
        <v>3126.0158048911394</v>
      </c>
      <c r="AJ88" s="100">
        <f>AJ48+$K$67/4</f>
        <v>3126.0158048911394</v>
      </c>
      <c r="AK88" s="100">
        <f>AK48+$K$67/4</f>
        <v>3126.0158048911394</v>
      </c>
      <c r="AL88" s="100">
        <f>AL48+$K$67/4</f>
        <v>3126.0158048911394</v>
      </c>
      <c r="AM88" s="100">
        <f>AM48+$L$67/4</f>
        <v>2605.026498053875</v>
      </c>
      <c r="AN88" s="100">
        <f>AN48+$L$67/4</f>
        <v>2605.026498053875</v>
      </c>
      <c r="AO88" s="100">
        <f>AO48+$L$67/4</f>
        <v>2605.026498053875</v>
      </c>
      <c r="AP88" s="100">
        <f>AP48+$L$67/4</f>
        <v>2605.026498053875</v>
      </c>
      <c r="AQ88" s="100">
        <f>AQ48+$M$67/4</f>
        <v>2605.026498053875</v>
      </c>
      <c r="AR88" s="100">
        <f>AR48+$M$67/4</f>
        <v>2605.026498053875</v>
      </c>
      <c r="AS88" s="100">
        <f>AS48+$M$67/4</f>
        <v>2605.026498053875</v>
      </c>
      <c r="AT88" s="100">
        <f>AT48+$M$67/4</f>
        <v>2605.026498053875</v>
      </c>
      <c r="AU88" s="100">
        <f>AU48+$N$67/4</f>
        <v>2605.026498053875</v>
      </c>
      <c r="AV88" s="100">
        <f>AV48+$N$67/4</f>
        <v>2605.026498053875</v>
      </c>
      <c r="AW88" s="100">
        <f>AW48+$N$67/4</f>
        <v>2605.026498053875</v>
      </c>
      <c r="AX88" s="100">
        <f>AX48+$N$67/4</f>
        <v>2605.026498053875</v>
      </c>
    </row>
    <row r="89" spans="2:50">
      <c r="B89" s="99" t="s">
        <v>105</v>
      </c>
      <c r="C89" s="100">
        <f>C49</f>
        <v>1.0501494974201215E-18</v>
      </c>
      <c r="D89" s="100">
        <f t="shared" ref="D89:AX93" si="3">D49</f>
        <v>1.0501494974201215E-18</v>
      </c>
      <c r="E89" s="100">
        <f t="shared" si="3"/>
        <v>1.0501494974201215E-18</v>
      </c>
      <c r="F89" s="100">
        <f t="shared" si="3"/>
        <v>1.0501494974201215E-18</v>
      </c>
      <c r="G89" s="100">
        <f t="shared" si="3"/>
        <v>1.0501494974201215E-18</v>
      </c>
      <c r="H89" s="100">
        <f t="shared" si="3"/>
        <v>1.0501494974201215E-18</v>
      </c>
      <c r="I89" s="100">
        <f t="shared" si="3"/>
        <v>1.0501494974201215E-18</v>
      </c>
      <c r="J89" s="100">
        <f t="shared" si="3"/>
        <v>1.0501494974201215E-18</v>
      </c>
      <c r="K89" s="100">
        <f t="shared" si="3"/>
        <v>1.0501494974201215E-18</v>
      </c>
      <c r="L89" s="100">
        <f t="shared" si="3"/>
        <v>1.0501494974201215E-18</v>
      </c>
      <c r="M89" s="100">
        <f t="shared" si="3"/>
        <v>1.0501494974201215E-18</v>
      </c>
      <c r="N89" s="100">
        <f t="shared" si="3"/>
        <v>1.0501494974201215E-18</v>
      </c>
      <c r="O89" s="100">
        <f t="shared" si="3"/>
        <v>1.0501494974201215E-18</v>
      </c>
      <c r="P89" s="100">
        <f t="shared" si="3"/>
        <v>1.0501494974201215E-18</v>
      </c>
      <c r="Q89" s="100">
        <f t="shared" si="3"/>
        <v>1.0501494974201215E-18</v>
      </c>
      <c r="R89" s="100">
        <f t="shared" si="3"/>
        <v>1.0501494974201215E-18</v>
      </c>
      <c r="S89" s="100">
        <f t="shared" si="3"/>
        <v>8.4011959793609721E-19</v>
      </c>
      <c r="T89" s="100">
        <f t="shared" si="3"/>
        <v>8.4011959793609721E-19</v>
      </c>
      <c r="U89" s="100">
        <f t="shared" si="3"/>
        <v>8.4011959793609721E-19</v>
      </c>
      <c r="V89" s="100">
        <f t="shared" si="3"/>
        <v>8.4011959793609721E-19</v>
      </c>
      <c r="W89" s="100">
        <f t="shared" si="3"/>
        <v>1.0501494974201215E-18</v>
      </c>
      <c r="X89" s="100">
        <f t="shared" si="3"/>
        <v>1.0501494974201215E-18</v>
      </c>
      <c r="Y89" s="100">
        <f t="shared" si="3"/>
        <v>1.0501494974201215E-18</v>
      </c>
      <c r="Z89" s="100">
        <f t="shared" si="3"/>
        <v>1.0501494974201215E-18</v>
      </c>
      <c r="AA89" s="100">
        <f t="shared" si="3"/>
        <v>1.0501494974201215E-18</v>
      </c>
      <c r="AB89" s="100">
        <f t="shared" si="3"/>
        <v>1.0501494974201215E-18</v>
      </c>
      <c r="AC89" s="100">
        <f t="shared" si="3"/>
        <v>1.0501494974201215E-18</v>
      </c>
      <c r="AD89" s="100">
        <f t="shared" si="3"/>
        <v>1.0501494974201215E-18</v>
      </c>
      <c r="AE89" s="100">
        <f t="shared" si="3"/>
        <v>1.0501494974201215E-18</v>
      </c>
      <c r="AF89" s="100">
        <f t="shared" si="3"/>
        <v>1.0501494974201215E-18</v>
      </c>
      <c r="AG89" s="100">
        <f t="shared" si="3"/>
        <v>1.0501494974201215E-18</v>
      </c>
      <c r="AH89" s="100">
        <f t="shared" si="3"/>
        <v>1.0501494974201215E-18</v>
      </c>
      <c r="AI89" s="100">
        <f t="shared" si="3"/>
        <v>1.0501494974201215E-18</v>
      </c>
      <c r="AJ89" s="100">
        <f t="shared" si="3"/>
        <v>1.0501494974201215E-18</v>
      </c>
      <c r="AK89" s="100">
        <f t="shared" si="3"/>
        <v>1.0501494974201215E-18</v>
      </c>
      <c r="AL89" s="100">
        <f t="shared" si="3"/>
        <v>1.0501494974201215E-18</v>
      </c>
      <c r="AM89" s="100">
        <f t="shared" si="3"/>
        <v>1.0501494974201215E-18</v>
      </c>
      <c r="AN89" s="100">
        <f t="shared" si="3"/>
        <v>1.0501494974201215E-18</v>
      </c>
      <c r="AO89" s="100">
        <f t="shared" si="3"/>
        <v>1.0501494974201215E-18</v>
      </c>
      <c r="AP89" s="100">
        <f t="shared" si="3"/>
        <v>1.0501494974201215E-18</v>
      </c>
      <c r="AQ89" s="100">
        <f t="shared" si="3"/>
        <v>1.0501494974201215E-18</v>
      </c>
      <c r="AR89" s="100">
        <f t="shared" si="3"/>
        <v>1.0501494974201215E-18</v>
      </c>
      <c r="AS89" s="100">
        <f t="shared" si="3"/>
        <v>1.0501494974201215E-18</v>
      </c>
      <c r="AT89" s="100">
        <f t="shared" si="3"/>
        <v>1.0501494974201215E-18</v>
      </c>
      <c r="AU89" s="100">
        <f t="shared" si="3"/>
        <v>1.2601793969041458E-18</v>
      </c>
      <c r="AV89" s="100">
        <f t="shared" si="3"/>
        <v>1.2601793969041458E-18</v>
      </c>
      <c r="AW89" s="100">
        <f t="shared" si="3"/>
        <v>1.2601793969041458E-18</v>
      </c>
      <c r="AX89" s="100">
        <f t="shared" si="3"/>
        <v>1.2601793969041458E-18</v>
      </c>
    </row>
    <row r="90" spans="2:50">
      <c r="B90" s="99" t="s">
        <v>106</v>
      </c>
      <c r="C90" s="100">
        <f t="shared" ref="C90:R93" si="4">C50</f>
        <v>197.02015937187835</v>
      </c>
      <c r="D90" s="100">
        <f t="shared" si="4"/>
        <v>197.02015937187835</v>
      </c>
      <c r="E90" s="100">
        <f t="shared" si="4"/>
        <v>197.02015937187835</v>
      </c>
      <c r="F90" s="100">
        <f t="shared" si="4"/>
        <v>197.02015937187835</v>
      </c>
      <c r="G90" s="100">
        <f t="shared" si="4"/>
        <v>197.02015937187835</v>
      </c>
      <c r="H90" s="100">
        <f t="shared" si="4"/>
        <v>197.02015937187835</v>
      </c>
      <c r="I90" s="100">
        <f t="shared" si="4"/>
        <v>197.02015937187835</v>
      </c>
      <c r="J90" s="100">
        <f t="shared" si="4"/>
        <v>197.02015937187835</v>
      </c>
      <c r="K90" s="100">
        <f t="shared" si="4"/>
        <v>197.02015937187835</v>
      </c>
      <c r="L90" s="100">
        <f t="shared" si="4"/>
        <v>197.02015937187835</v>
      </c>
      <c r="M90" s="100">
        <f t="shared" si="4"/>
        <v>197.02015937187835</v>
      </c>
      <c r="N90" s="100">
        <f t="shared" si="4"/>
        <v>197.02015937187835</v>
      </c>
      <c r="O90" s="100">
        <f t="shared" si="4"/>
        <v>197.02015937187835</v>
      </c>
      <c r="P90" s="100">
        <f t="shared" si="4"/>
        <v>197.02015937187835</v>
      </c>
      <c r="Q90" s="100">
        <f t="shared" si="4"/>
        <v>197.02015937187835</v>
      </c>
      <c r="R90" s="100">
        <f t="shared" si="4"/>
        <v>197.02015937187835</v>
      </c>
      <c r="S90" s="100">
        <f t="shared" si="3"/>
        <v>197.02015937187835</v>
      </c>
      <c r="T90" s="100">
        <f t="shared" si="3"/>
        <v>197.02015937187835</v>
      </c>
      <c r="U90" s="100">
        <f t="shared" si="3"/>
        <v>197.02015937187835</v>
      </c>
      <c r="V90" s="100">
        <f t="shared" si="3"/>
        <v>197.02015937187835</v>
      </c>
      <c r="W90" s="100">
        <f t="shared" si="3"/>
        <v>157.6161274975027</v>
      </c>
      <c r="X90" s="100">
        <f t="shared" si="3"/>
        <v>157.6161274975027</v>
      </c>
      <c r="Y90" s="100">
        <f t="shared" si="3"/>
        <v>157.6161274975027</v>
      </c>
      <c r="Z90" s="100">
        <f t="shared" si="3"/>
        <v>157.6161274975027</v>
      </c>
      <c r="AA90" s="100">
        <f t="shared" si="3"/>
        <v>197.02015937187835</v>
      </c>
      <c r="AB90" s="100">
        <f t="shared" si="3"/>
        <v>197.02015937187835</v>
      </c>
      <c r="AC90" s="100">
        <f t="shared" si="3"/>
        <v>197.02015937187835</v>
      </c>
      <c r="AD90" s="100">
        <f t="shared" si="3"/>
        <v>197.02015937187835</v>
      </c>
      <c r="AE90" s="100">
        <f t="shared" si="3"/>
        <v>197.02015937187835</v>
      </c>
      <c r="AF90" s="100">
        <f t="shared" si="3"/>
        <v>197.02015937187835</v>
      </c>
      <c r="AG90" s="100">
        <f t="shared" si="3"/>
        <v>197.02015937187835</v>
      </c>
      <c r="AH90" s="100">
        <f t="shared" si="3"/>
        <v>197.02015937187835</v>
      </c>
      <c r="AI90" s="100">
        <f t="shared" si="3"/>
        <v>197.02015937187835</v>
      </c>
      <c r="AJ90" s="100">
        <f t="shared" si="3"/>
        <v>197.02015937187835</v>
      </c>
      <c r="AK90" s="100">
        <f t="shared" si="3"/>
        <v>197.02015937187835</v>
      </c>
      <c r="AL90" s="100">
        <f t="shared" si="3"/>
        <v>197.02015937187835</v>
      </c>
      <c r="AM90" s="100">
        <f t="shared" si="3"/>
        <v>157.6161274975027</v>
      </c>
      <c r="AN90" s="100">
        <f t="shared" si="3"/>
        <v>157.6161274975027</v>
      </c>
      <c r="AO90" s="100">
        <f t="shared" si="3"/>
        <v>157.6161274975027</v>
      </c>
      <c r="AP90" s="100">
        <f t="shared" si="3"/>
        <v>157.6161274975027</v>
      </c>
      <c r="AQ90" s="100">
        <f t="shared" si="3"/>
        <v>197.02015937187835</v>
      </c>
      <c r="AR90" s="100">
        <f t="shared" si="3"/>
        <v>197.02015937187835</v>
      </c>
      <c r="AS90" s="100">
        <f t="shared" si="3"/>
        <v>197.02015937187835</v>
      </c>
      <c r="AT90" s="100">
        <f t="shared" si="3"/>
        <v>197.02015937187835</v>
      </c>
      <c r="AU90" s="100">
        <f t="shared" si="3"/>
        <v>197.02015937187835</v>
      </c>
      <c r="AV90" s="100">
        <f t="shared" si="3"/>
        <v>197.02015937187835</v>
      </c>
      <c r="AW90" s="100">
        <f t="shared" si="3"/>
        <v>197.02015937187835</v>
      </c>
      <c r="AX90" s="100">
        <f t="shared" si="3"/>
        <v>197.02015937187835</v>
      </c>
    </row>
    <row r="91" spans="2:50">
      <c r="B91" s="99" t="s">
        <v>107</v>
      </c>
      <c r="C91" s="100">
        <f t="shared" si="4"/>
        <v>789.99999999999989</v>
      </c>
      <c r="D91" s="100">
        <f t="shared" si="3"/>
        <v>789.99999999999989</v>
      </c>
      <c r="E91" s="100">
        <f t="shared" si="3"/>
        <v>789.99999999999989</v>
      </c>
      <c r="F91" s="100">
        <f t="shared" si="3"/>
        <v>789.99999999999989</v>
      </c>
      <c r="G91" s="100">
        <f t="shared" si="3"/>
        <v>789.99999999999989</v>
      </c>
      <c r="H91" s="100">
        <f t="shared" si="3"/>
        <v>789.99999999999989</v>
      </c>
      <c r="I91" s="100">
        <f t="shared" si="3"/>
        <v>789.99999999999989</v>
      </c>
      <c r="J91" s="100">
        <f t="shared" si="3"/>
        <v>789.99999999999989</v>
      </c>
      <c r="K91" s="100">
        <f t="shared" si="3"/>
        <v>789.99999999999989</v>
      </c>
      <c r="L91" s="100">
        <f t="shared" si="3"/>
        <v>789.99999999999989</v>
      </c>
      <c r="M91" s="100">
        <f t="shared" si="3"/>
        <v>789.99999999999989</v>
      </c>
      <c r="N91" s="100">
        <f t="shared" si="3"/>
        <v>789.99999999999989</v>
      </c>
      <c r="O91" s="100">
        <f t="shared" si="3"/>
        <v>789.99999999999989</v>
      </c>
      <c r="P91" s="100">
        <f t="shared" si="3"/>
        <v>789.99999999999989</v>
      </c>
      <c r="Q91" s="100">
        <f t="shared" si="3"/>
        <v>789.99999999999989</v>
      </c>
      <c r="R91" s="100">
        <f t="shared" si="3"/>
        <v>789.99999999999989</v>
      </c>
      <c r="S91" s="100">
        <f t="shared" si="3"/>
        <v>789.99999999999989</v>
      </c>
      <c r="T91" s="100">
        <f t="shared" si="3"/>
        <v>789.99999999999989</v>
      </c>
      <c r="U91" s="100">
        <f t="shared" si="3"/>
        <v>789.99999999999989</v>
      </c>
      <c r="V91" s="100">
        <f t="shared" si="3"/>
        <v>789.99999999999989</v>
      </c>
      <c r="W91" s="100">
        <f t="shared" si="3"/>
        <v>789.99999999999989</v>
      </c>
      <c r="X91" s="100">
        <f t="shared" si="3"/>
        <v>789.99999999999989</v>
      </c>
      <c r="Y91" s="100">
        <f t="shared" si="3"/>
        <v>789.99999999999989</v>
      </c>
      <c r="Z91" s="100">
        <f t="shared" si="3"/>
        <v>789.99999999999989</v>
      </c>
      <c r="AA91" s="100">
        <f t="shared" si="3"/>
        <v>789.99999999999989</v>
      </c>
      <c r="AB91" s="100">
        <f t="shared" si="3"/>
        <v>789.99999999999989</v>
      </c>
      <c r="AC91" s="100">
        <f t="shared" si="3"/>
        <v>789.99999999999989</v>
      </c>
      <c r="AD91" s="100">
        <f t="shared" si="3"/>
        <v>789.99999999999989</v>
      </c>
      <c r="AE91" s="100">
        <f t="shared" si="3"/>
        <v>789.99999999999989</v>
      </c>
      <c r="AF91" s="100">
        <f t="shared" si="3"/>
        <v>789.99999999999989</v>
      </c>
      <c r="AG91" s="100">
        <f t="shared" si="3"/>
        <v>789.99999999999989</v>
      </c>
      <c r="AH91" s="100">
        <f t="shared" si="3"/>
        <v>789.99999999999989</v>
      </c>
      <c r="AI91" s="100">
        <f t="shared" si="3"/>
        <v>789.99999999999989</v>
      </c>
      <c r="AJ91" s="100">
        <f t="shared" si="3"/>
        <v>789.99999999999989</v>
      </c>
      <c r="AK91" s="100">
        <f t="shared" si="3"/>
        <v>789.99999999999989</v>
      </c>
      <c r="AL91" s="100">
        <f t="shared" si="3"/>
        <v>789.99999999999989</v>
      </c>
      <c r="AM91" s="100">
        <f t="shared" si="3"/>
        <v>789.99999999999989</v>
      </c>
      <c r="AN91" s="100">
        <f t="shared" si="3"/>
        <v>789.99999999999989</v>
      </c>
      <c r="AO91" s="100">
        <f t="shared" si="3"/>
        <v>789.99999999999989</v>
      </c>
      <c r="AP91" s="100">
        <f t="shared" si="3"/>
        <v>789.99999999999989</v>
      </c>
      <c r="AQ91" s="100">
        <f t="shared" si="3"/>
        <v>789.99999999999989</v>
      </c>
      <c r="AR91" s="100">
        <f t="shared" si="3"/>
        <v>789.99999999999989</v>
      </c>
      <c r="AS91" s="100">
        <f t="shared" si="3"/>
        <v>789.99999999999989</v>
      </c>
      <c r="AT91" s="100">
        <f t="shared" si="3"/>
        <v>789.99999999999989</v>
      </c>
      <c r="AU91" s="100">
        <f t="shared" si="3"/>
        <v>789.99999999999989</v>
      </c>
      <c r="AV91" s="100">
        <f t="shared" si="3"/>
        <v>789.99999999999989</v>
      </c>
      <c r="AW91" s="100">
        <f t="shared" si="3"/>
        <v>789.99999999999989</v>
      </c>
      <c r="AX91" s="100">
        <f t="shared" si="3"/>
        <v>789.99999999999989</v>
      </c>
    </row>
    <row r="92" spans="2:50">
      <c r="B92" s="99" t="s">
        <v>108</v>
      </c>
      <c r="C92" s="100">
        <f t="shared" si="4"/>
        <v>1.9041875466615453E-18</v>
      </c>
      <c r="D92" s="100">
        <f t="shared" si="4"/>
        <v>1.9041875466615453E-18</v>
      </c>
      <c r="E92" s="100">
        <f t="shared" si="4"/>
        <v>1.9041875466615453E-18</v>
      </c>
      <c r="F92" s="100">
        <f t="shared" si="4"/>
        <v>1.9041875466615453E-18</v>
      </c>
      <c r="G92" s="100">
        <f t="shared" si="4"/>
        <v>1.9041875466615453E-18</v>
      </c>
      <c r="H92" s="100">
        <f t="shared" si="4"/>
        <v>1.9041875466615453E-18</v>
      </c>
      <c r="I92" s="100">
        <f t="shared" si="4"/>
        <v>1.9041875466615453E-18</v>
      </c>
      <c r="J92" s="100">
        <f t="shared" si="4"/>
        <v>1.9041875466615453E-18</v>
      </c>
      <c r="K92" s="100">
        <f t="shared" si="4"/>
        <v>1.5868229555512878E-18</v>
      </c>
      <c r="L92" s="100">
        <f t="shared" si="4"/>
        <v>1.5868229555512878E-18</v>
      </c>
      <c r="M92" s="100">
        <f t="shared" si="4"/>
        <v>1.5868229555512878E-18</v>
      </c>
      <c r="N92" s="100">
        <f t="shared" si="4"/>
        <v>1.5868229555512878E-18</v>
      </c>
      <c r="O92" s="100">
        <f t="shared" si="4"/>
        <v>1.5868229555512878E-18</v>
      </c>
      <c r="P92" s="100">
        <f t="shared" si="4"/>
        <v>1.5868229555512878E-18</v>
      </c>
      <c r="Q92" s="100">
        <f t="shared" si="4"/>
        <v>1.5868229555512878E-18</v>
      </c>
      <c r="R92" s="100">
        <f t="shared" si="4"/>
        <v>1.5868229555512878E-18</v>
      </c>
      <c r="S92" s="100">
        <f t="shared" si="3"/>
        <v>1.5868229555512878E-18</v>
      </c>
      <c r="T92" s="100">
        <f t="shared" si="3"/>
        <v>1.5868229555512878E-18</v>
      </c>
      <c r="U92" s="100">
        <f t="shared" si="3"/>
        <v>1.5868229555512878E-18</v>
      </c>
      <c r="V92" s="100">
        <f t="shared" si="3"/>
        <v>1.5868229555512878E-18</v>
      </c>
      <c r="W92" s="100">
        <f t="shared" si="3"/>
        <v>1.9041875466615453E-18</v>
      </c>
      <c r="X92" s="100">
        <f t="shared" si="3"/>
        <v>1.9041875466615453E-18</v>
      </c>
      <c r="Y92" s="100">
        <f t="shared" si="3"/>
        <v>1.9041875466615453E-18</v>
      </c>
      <c r="Z92" s="100">
        <f t="shared" si="3"/>
        <v>1.9041875466615453E-18</v>
      </c>
      <c r="AA92" s="100">
        <f t="shared" si="3"/>
        <v>1.5868229555512878E-18</v>
      </c>
      <c r="AB92" s="100">
        <f t="shared" si="3"/>
        <v>1.5868229555512878E-18</v>
      </c>
      <c r="AC92" s="100">
        <f t="shared" si="3"/>
        <v>1.5868229555512878E-18</v>
      </c>
      <c r="AD92" s="100">
        <f t="shared" si="3"/>
        <v>1.5868229555512878E-18</v>
      </c>
      <c r="AE92" s="100">
        <f t="shared" si="3"/>
        <v>1.2694583644410303E-18</v>
      </c>
      <c r="AF92" s="100">
        <f t="shared" si="3"/>
        <v>1.2694583644410303E-18</v>
      </c>
      <c r="AG92" s="100">
        <f t="shared" si="3"/>
        <v>1.2694583644410303E-18</v>
      </c>
      <c r="AH92" s="100">
        <f t="shared" si="3"/>
        <v>1.2694583644410303E-18</v>
      </c>
      <c r="AI92" s="100">
        <f t="shared" si="3"/>
        <v>1.5868229555512878E-18</v>
      </c>
      <c r="AJ92" s="100">
        <f t="shared" si="3"/>
        <v>1.5868229555512878E-18</v>
      </c>
      <c r="AK92" s="100">
        <f t="shared" si="3"/>
        <v>1.5868229555512878E-18</v>
      </c>
      <c r="AL92" s="100">
        <f t="shared" si="3"/>
        <v>1.5868229555512878E-18</v>
      </c>
      <c r="AM92" s="100">
        <f t="shared" si="3"/>
        <v>1.5868229555512878E-18</v>
      </c>
      <c r="AN92" s="100">
        <f t="shared" si="3"/>
        <v>1.5868229555512878E-18</v>
      </c>
      <c r="AO92" s="100">
        <f t="shared" si="3"/>
        <v>1.5868229555512878E-18</v>
      </c>
      <c r="AP92" s="100">
        <f t="shared" si="3"/>
        <v>1.5868229555512878E-18</v>
      </c>
      <c r="AQ92" s="100">
        <f t="shared" si="3"/>
        <v>1.5868229555512878E-18</v>
      </c>
      <c r="AR92" s="100">
        <f t="shared" si="3"/>
        <v>1.5868229555512878E-18</v>
      </c>
      <c r="AS92" s="100">
        <f t="shared" si="3"/>
        <v>1.5868229555512878E-18</v>
      </c>
      <c r="AT92" s="100">
        <f t="shared" si="3"/>
        <v>1.5868229555512878E-18</v>
      </c>
      <c r="AU92" s="100">
        <f t="shared" si="3"/>
        <v>1.5868229555512878E-18</v>
      </c>
      <c r="AV92" s="100">
        <f t="shared" si="3"/>
        <v>1.5868229555512878E-18</v>
      </c>
      <c r="AW92" s="100">
        <f t="shared" si="3"/>
        <v>1.5868229555512878E-18</v>
      </c>
      <c r="AX92" s="100">
        <f t="shared" si="3"/>
        <v>1.5868229555512878E-18</v>
      </c>
    </row>
    <row r="93" spans="2:50">
      <c r="B93" s="99" t="s">
        <v>109</v>
      </c>
      <c r="C93" s="100">
        <f t="shared" si="4"/>
        <v>1.4058688850350473E-18</v>
      </c>
      <c r="D93" s="100">
        <f t="shared" si="4"/>
        <v>1.4058688850350473E-18</v>
      </c>
      <c r="E93" s="100">
        <f t="shared" si="4"/>
        <v>1.4058688850350473E-18</v>
      </c>
      <c r="F93" s="100">
        <f t="shared" si="4"/>
        <v>1.4058688850350473E-18</v>
      </c>
      <c r="G93" s="100">
        <f t="shared" si="4"/>
        <v>1.4058688850350473E-18</v>
      </c>
      <c r="H93" s="100">
        <f t="shared" si="4"/>
        <v>1.4058688850350473E-18</v>
      </c>
      <c r="I93" s="100">
        <f t="shared" si="4"/>
        <v>1.4058688850350473E-18</v>
      </c>
      <c r="J93" s="100">
        <f t="shared" si="4"/>
        <v>1.4058688850350473E-18</v>
      </c>
      <c r="K93" s="100">
        <f t="shared" si="4"/>
        <v>1.4058688850350473E-18</v>
      </c>
      <c r="L93" s="100">
        <f t="shared" si="4"/>
        <v>1.4058688850350473E-18</v>
      </c>
      <c r="M93" s="100">
        <f t="shared" si="4"/>
        <v>1.4058688850350473E-18</v>
      </c>
      <c r="N93" s="100">
        <f t="shared" si="4"/>
        <v>1.4058688850350473E-18</v>
      </c>
      <c r="O93" s="100">
        <f t="shared" si="4"/>
        <v>1.4058688850350473E-18</v>
      </c>
      <c r="P93" s="100">
        <f t="shared" si="4"/>
        <v>1.4058688850350473E-18</v>
      </c>
      <c r="Q93" s="100">
        <f t="shared" si="4"/>
        <v>1.4058688850350473E-18</v>
      </c>
      <c r="R93" s="100">
        <f t="shared" si="4"/>
        <v>1.4058688850350473E-18</v>
      </c>
      <c r="S93" s="100">
        <f t="shared" si="3"/>
        <v>1.4058688850350473E-18</v>
      </c>
      <c r="T93" s="100">
        <f t="shared" si="3"/>
        <v>1.4058688850350473E-18</v>
      </c>
      <c r="U93" s="100">
        <f t="shared" si="3"/>
        <v>1.4058688850350473E-18</v>
      </c>
      <c r="V93" s="100">
        <f t="shared" si="3"/>
        <v>1.4058688850350473E-18</v>
      </c>
      <c r="W93" s="100">
        <f t="shared" si="3"/>
        <v>1.4058688850350473E-18</v>
      </c>
      <c r="X93" s="100">
        <f t="shared" si="3"/>
        <v>1.4058688850350473E-18</v>
      </c>
      <c r="Y93" s="100">
        <f t="shared" si="3"/>
        <v>1.4058688850350473E-18</v>
      </c>
      <c r="Z93" s="100">
        <f t="shared" si="3"/>
        <v>1.4058688850350473E-18</v>
      </c>
      <c r="AA93" s="100">
        <f t="shared" si="3"/>
        <v>1.4058688850350473E-18</v>
      </c>
      <c r="AB93" s="100">
        <f t="shared" si="3"/>
        <v>1.4058688850350473E-18</v>
      </c>
      <c r="AC93" s="100">
        <f t="shared" si="3"/>
        <v>1.4058688850350473E-18</v>
      </c>
      <c r="AD93" s="100">
        <f t="shared" si="3"/>
        <v>1.4058688850350473E-18</v>
      </c>
      <c r="AE93" s="100">
        <f t="shared" si="3"/>
        <v>1.4058688850350473E-18</v>
      </c>
      <c r="AF93" s="100">
        <f t="shared" si="3"/>
        <v>1.4058688850350473E-18</v>
      </c>
      <c r="AG93" s="100">
        <f t="shared" si="3"/>
        <v>1.4058688850350473E-18</v>
      </c>
      <c r="AH93" s="100">
        <f t="shared" si="3"/>
        <v>1.4058688850350473E-18</v>
      </c>
      <c r="AI93" s="100">
        <f t="shared" si="3"/>
        <v>1.1715574041958729E-18</v>
      </c>
      <c r="AJ93" s="100">
        <f t="shared" si="3"/>
        <v>1.1715574041958729E-18</v>
      </c>
      <c r="AK93" s="100">
        <f t="shared" si="3"/>
        <v>1.1715574041958729E-18</v>
      </c>
      <c r="AL93" s="100">
        <f t="shared" si="3"/>
        <v>1.1715574041958729E-18</v>
      </c>
      <c r="AM93" s="100">
        <f t="shared" si="3"/>
        <v>1.4058688850350473E-18</v>
      </c>
      <c r="AN93" s="100">
        <f t="shared" si="3"/>
        <v>1.4058688850350473E-18</v>
      </c>
      <c r="AO93" s="100">
        <f t="shared" si="3"/>
        <v>1.4058688850350473E-18</v>
      </c>
      <c r="AP93" s="100">
        <f t="shared" si="3"/>
        <v>1.4058688850350473E-18</v>
      </c>
      <c r="AQ93" s="100">
        <f t="shared" si="3"/>
        <v>1.1715574041958729E-18</v>
      </c>
      <c r="AR93" s="100">
        <f t="shared" si="3"/>
        <v>1.1715574041958729E-18</v>
      </c>
      <c r="AS93" s="100">
        <f t="shared" si="3"/>
        <v>1.1715574041958729E-18</v>
      </c>
      <c r="AT93" s="100">
        <f t="shared" si="3"/>
        <v>1.1715574041958729E-18</v>
      </c>
      <c r="AU93" s="100">
        <f t="shared" si="3"/>
        <v>1.4058688850350473E-18</v>
      </c>
      <c r="AV93" s="100">
        <f t="shared" si="3"/>
        <v>1.4058688850350473E-18</v>
      </c>
      <c r="AW93" s="100">
        <f t="shared" si="3"/>
        <v>1.4058688850350473E-18</v>
      </c>
      <c r="AX93" s="100">
        <f t="shared" si="3"/>
        <v>1.4058688850350473E-18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1.0013730198474165E-16</v>
      </c>
      <c r="D98" s="100">
        <v>1.0013730198474165E-16</v>
      </c>
      <c r="E98" s="100">
        <v>1.0013730198474165E-16</v>
      </c>
      <c r="F98" s="100">
        <v>1.0013730198474165E-16</v>
      </c>
      <c r="G98" s="100">
        <v>8.3448178574695028E-17</v>
      </c>
      <c r="H98" s="100">
        <v>8.3448178574695028E-17</v>
      </c>
      <c r="I98" s="100">
        <v>8.3448178574695028E-17</v>
      </c>
      <c r="J98" s="100">
        <v>8.3448178574695028E-17</v>
      </c>
      <c r="K98" s="100">
        <v>8.3448178574695028E-17</v>
      </c>
      <c r="L98" s="100">
        <v>8.3448178574695028E-17</v>
      </c>
      <c r="M98" s="100">
        <v>8.3448178574695028E-17</v>
      </c>
      <c r="N98" s="100">
        <v>8.3448178574695028E-17</v>
      </c>
      <c r="O98" s="100">
        <v>1.0013730198474165E-16</v>
      </c>
      <c r="P98" s="100">
        <v>1.0013730198474165E-16</v>
      </c>
      <c r="Q98" s="100">
        <v>1.0013730198474165E-16</v>
      </c>
      <c r="R98" s="100">
        <v>1.0013730198474165E-16</v>
      </c>
      <c r="S98" s="100">
        <v>2.5615244620588989E-21</v>
      </c>
      <c r="T98" s="100">
        <v>2.5615244620588989E-21</v>
      </c>
      <c r="U98" s="100">
        <v>2.5615244620588989E-21</v>
      </c>
      <c r="V98" s="100">
        <v>2.5615244620588989E-21</v>
      </c>
      <c r="W98" s="100">
        <v>1.0013730198474165E-16</v>
      </c>
      <c r="X98" s="100">
        <v>1.0013730198474165E-16</v>
      </c>
      <c r="Y98" s="100">
        <v>1.0013730198474165E-16</v>
      </c>
      <c r="Z98" s="100">
        <v>1.0013730198474165E-16</v>
      </c>
      <c r="AA98" s="100">
        <v>8.3448178574695028E-17</v>
      </c>
      <c r="AB98" s="100">
        <v>8.3448178574695028E-17</v>
      </c>
      <c r="AC98" s="100">
        <v>8.3448178574695028E-17</v>
      </c>
      <c r="AD98" s="100">
        <v>8.3448178574695028E-17</v>
      </c>
      <c r="AE98" s="100">
        <v>8.3448178574695028E-17</v>
      </c>
      <c r="AF98" s="100">
        <v>8.3448178574695028E-17</v>
      </c>
      <c r="AG98" s="100">
        <v>8.3448178574695028E-17</v>
      </c>
      <c r="AH98" s="100">
        <v>8.3448178574695028E-17</v>
      </c>
      <c r="AI98" s="100">
        <v>1.0013730198474165E-16</v>
      </c>
      <c r="AJ98" s="100">
        <v>1.0013730198474165E-16</v>
      </c>
      <c r="AK98" s="100">
        <v>1.0013730198474165E-16</v>
      </c>
      <c r="AL98" s="100">
        <v>1.0013730198474165E-16</v>
      </c>
      <c r="AM98" s="100">
        <v>8.3448178574695028E-17</v>
      </c>
      <c r="AN98" s="100">
        <v>8.3448178574695028E-17</v>
      </c>
      <c r="AO98" s="100">
        <v>8.3448178574695028E-17</v>
      </c>
      <c r="AP98" s="100">
        <v>8.3448178574695028E-17</v>
      </c>
      <c r="AQ98" s="100">
        <v>8.3448178574695028E-17</v>
      </c>
      <c r="AR98" s="100">
        <v>8.3448178574695028E-17</v>
      </c>
      <c r="AS98" s="100">
        <v>8.3448178574695028E-17</v>
      </c>
      <c r="AT98" s="100">
        <v>8.3448178574695028E-17</v>
      </c>
      <c r="AU98" s="100">
        <v>8.3448178574695028E-17</v>
      </c>
      <c r="AV98" s="100">
        <v>8.3448178574695028E-17</v>
      </c>
      <c r="AW98" s="100">
        <v>8.3448178574695028E-17</v>
      </c>
      <c r="AX98" s="100">
        <v>8.3448178574695028E-17</v>
      </c>
    </row>
    <row r="99" spans="1:50">
      <c r="B99" s="105" t="s">
        <v>12</v>
      </c>
      <c r="C99" s="100">
        <v>477142.78522278887</v>
      </c>
      <c r="D99" s="100">
        <v>477142.78522278887</v>
      </c>
      <c r="E99" s="100">
        <v>477142.78522278887</v>
      </c>
      <c r="F99" s="100">
        <v>477142.78522278887</v>
      </c>
      <c r="G99" s="100">
        <v>397621.02191414841</v>
      </c>
      <c r="H99" s="100">
        <v>397621.02191414841</v>
      </c>
      <c r="I99" s="100">
        <v>397621.02191414841</v>
      </c>
      <c r="J99" s="100">
        <v>397621.02191414841</v>
      </c>
      <c r="K99" s="100">
        <v>397621.02191414841</v>
      </c>
      <c r="L99" s="100">
        <v>397621.02191414841</v>
      </c>
      <c r="M99" s="100">
        <v>397621.02191414841</v>
      </c>
      <c r="N99" s="100">
        <v>397621.02191414841</v>
      </c>
      <c r="O99" s="100">
        <v>477142.78522278887</v>
      </c>
      <c r="P99" s="100">
        <v>477142.78522278887</v>
      </c>
      <c r="Q99" s="100">
        <v>477142.78522278887</v>
      </c>
      <c r="R99" s="100">
        <v>477142.78522278887</v>
      </c>
      <c r="S99" s="100">
        <v>12.205370945877124</v>
      </c>
      <c r="T99" s="100">
        <v>12.205370945877124</v>
      </c>
      <c r="U99" s="100">
        <v>12.205370945877124</v>
      </c>
      <c r="V99" s="100">
        <v>12.205370945877124</v>
      </c>
      <c r="W99" s="100">
        <v>477142.78522278887</v>
      </c>
      <c r="X99" s="100">
        <v>477142.78522278887</v>
      </c>
      <c r="Y99" s="100">
        <v>477142.78522278887</v>
      </c>
      <c r="Z99" s="100">
        <v>477142.78522278887</v>
      </c>
      <c r="AA99" s="100">
        <v>397621.02191414841</v>
      </c>
      <c r="AB99" s="100">
        <v>397621.02191414841</v>
      </c>
      <c r="AC99" s="100">
        <v>397621.02191414841</v>
      </c>
      <c r="AD99" s="100">
        <v>397621.02191414841</v>
      </c>
      <c r="AE99" s="100">
        <v>397621.02191414841</v>
      </c>
      <c r="AF99" s="100">
        <v>397621.02191414841</v>
      </c>
      <c r="AG99" s="100">
        <v>397621.02191414841</v>
      </c>
      <c r="AH99" s="100">
        <v>397621.02191414841</v>
      </c>
      <c r="AI99" s="100">
        <v>477142.78522278887</v>
      </c>
      <c r="AJ99" s="100">
        <v>477142.78522278887</v>
      </c>
      <c r="AK99" s="100">
        <v>477142.78522278887</v>
      </c>
      <c r="AL99" s="100">
        <v>477142.78522278887</v>
      </c>
      <c r="AM99" s="100">
        <v>397621.02191414841</v>
      </c>
      <c r="AN99" s="100">
        <v>397621.02191414841</v>
      </c>
      <c r="AO99" s="100">
        <v>397621.02191414841</v>
      </c>
      <c r="AP99" s="100">
        <v>397621.02191414841</v>
      </c>
      <c r="AQ99" s="100">
        <v>397621.02191414841</v>
      </c>
      <c r="AR99" s="100">
        <v>397621.02191414841</v>
      </c>
      <c r="AS99" s="100">
        <v>397621.02191414841</v>
      </c>
      <c r="AT99" s="100">
        <v>397621.02191414841</v>
      </c>
      <c r="AU99" s="100">
        <v>397621.02191414841</v>
      </c>
      <c r="AV99" s="100">
        <v>397621.02191414841</v>
      </c>
      <c r="AW99" s="100">
        <v>397621.02191414841</v>
      </c>
      <c r="AX99" s="100">
        <v>397621.02191414841</v>
      </c>
    </row>
    <row r="100" spans="1:50">
      <c r="B100" s="105" t="s">
        <v>22</v>
      </c>
      <c r="C100" s="100">
        <v>2.2727183864852439E-16</v>
      </c>
      <c r="D100" s="100">
        <v>2.2727183864852439E-16</v>
      </c>
      <c r="E100" s="100">
        <v>2.2727183864852439E-16</v>
      </c>
      <c r="F100" s="100">
        <v>2.2727183864852439E-16</v>
      </c>
      <c r="G100" s="100">
        <v>1.8939416781401986E-16</v>
      </c>
      <c r="H100" s="100">
        <v>1.8939416781401986E-16</v>
      </c>
      <c r="I100" s="100">
        <v>1.8939416781401986E-16</v>
      </c>
      <c r="J100" s="100">
        <v>1.8939416781401986E-16</v>
      </c>
      <c r="K100" s="100">
        <v>1.8939416781401986E-16</v>
      </c>
      <c r="L100" s="100">
        <v>1.8939416781401986E-16</v>
      </c>
      <c r="M100" s="100">
        <v>1.8939416781401986E-16</v>
      </c>
      <c r="N100" s="100">
        <v>1.8939416781401986E-16</v>
      </c>
      <c r="O100" s="100">
        <v>2.2727183864852439E-16</v>
      </c>
      <c r="P100" s="100">
        <v>2.2727183864852439E-16</v>
      </c>
      <c r="Q100" s="100">
        <v>2.2727183864852439E-16</v>
      </c>
      <c r="R100" s="100">
        <v>2.2727183864852439E-16</v>
      </c>
      <c r="S100" s="100">
        <v>5.8136414971915759E-21</v>
      </c>
      <c r="T100" s="100">
        <v>5.8136414971915759E-21</v>
      </c>
      <c r="U100" s="100">
        <v>5.8136414971915759E-21</v>
      </c>
      <c r="V100" s="100">
        <v>5.8136414971915759E-21</v>
      </c>
      <c r="W100" s="100">
        <v>2.2727183864852439E-16</v>
      </c>
      <c r="X100" s="100">
        <v>2.2727183864852439E-16</v>
      </c>
      <c r="Y100" s="100">
        <v>2.2727183864852439E-16</v>
      </c>
      <c r="Z100" s="100">
        <v>2.2727183864852439E-16</v>
      </c>
      <c r="AA100" s="100">
        <v>1.8939416781401986E-16</v>
      </c>
      <c r="AB100" s="100">
        <v>1.8939416781401986E-16</v>
      </c>
      <c r="AC100" s="100">
        <v>1.8939416781401986E-16</v>
      </c>
      <c r="AD100" s="100">
        <v>1.8939416781401986E-16</v>
      </c>
      <c r="AE100" s="100">
        <v>1.8939416781401986E-16</v>
      </c>
      <c r="AF100" s="100">
        <v>1.8939416781401986E-16</v>
      </c>
      <c r="AG100" s="100">
        <v>1.8939416781401986E-16</v>
      </c>
      <c r="AH100" s="100">
        <v>1.8939416781401986E-16</v>
      </c>
      <c r="AI100" s="100">
        <v>2.2727183864852439E-16</v>
      </c>
      <c r="AJ100" s="100">
        <v>2.2727183864852439E-16</v>
      </c>
      <c r="AK100" s="100">
        <v>2.2727183864852439E-16</v>
      </c>
      <c r="AL100" s="100">
        <v>2.2727183864852439E-16</v>
      </c>
      <c r="AM100" s="100">
        <v>1.8939416781401986E-16</v>
      </c>
      <c r="AN100" s="100">
        <v>1.8939416781401986E-16</v>
      </c>
      <c r="AO100" s="100">
        <v>1.8939416781401986E-16</v>
      </c>
      <c r="AP100" s="100">
        <v>1.8939416781401986E-16</v>
      </c>
      <c r="AQ100" s="100">
        <v>1.8939416781401986E-16</v>
      </c>
      <c r="AR100" s="100">
        <v>1.8939416781401986E-16</v>
      </c>
      <c r="AS100" s="100">
        <v>1.8939416781401986E-16</v>
      </c>
      <c r="AT100" s="100">
        <v>1.8939416781401986E-16</v>
      </c>
      <c r="AU100" s="100">
        <v>1.8939416781401986E-16</v>
      </c>
      <c r="AV100" s="100">
        <v>1.8939416781401986E-16</v>
      </c>
      <c r="AW100" s="100">
        <v>1.8939416781401986E-16</v>
      </c>
      <c r="AX100" s="100">
        <v>1.8939416781401986E-16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316322.71163673053</v>
      </c>
      <c r="D102" s="100">
        <v>316322.71163673053</v>
      </c>
      <c r="E102" s="100">
        <v>316322.71163673053</v>
      </c>
      <c r="F102" s="100">
        <v>316322.71163673053</v>
      </c>
      <c r="G102" s="100">
        <v>263603.60829289979</v>
      </c>
      <c r="H102" s="100">
        <v>263603.60829289979</v>
      </c>
      <c r="I102" s="100">
        <v>263603.60829289979</v>
      </c>
      <c r="J102" s="100">
        <v>263603.60829289979</v>
      </c>
      <c r="K102" s="100">
        <v>263603.60829289979</v>
      </c>
      <c r="L102" s="100">
        <v>263603.60829289979</v>
      </c>
      <c r="M102" s="100">
        <v>263603.60829289979</v>
      </c>
      <c r="N102" s="100">
        <v>263603.60829289979</v>
      </c>
      <c r="O102" s="100">
        <v>316322.71163673053</v>
      </c>
      <c r="P102" s="100">
        <v>316322.71163673053</v>
      </c>
      <c r="Q102" s="100">
        <v>316322.71163673053</v>
      </c>
      <c r="R102" s="100">
        <v>316322.71163673053</v>
      </c>
      <c r="S102" s="100">
        <v>8.0915737462724184</v>
      </c>
      <c r="T102" s="100">
        <v>8.0915737462724184</v>
      </c>
      <c r="U102" s="100">
        <v>8.0915737462724184</v>
      </c>
      <c r="V102" s="100">
        <v>8.0915737462724184</v>
      </c>
      <c r="W102" s="100">
        <v>316322.71163673053</v>
      </c>
      <c r="X102" s="100">
        <v>316322.71163673053</v>
      </c>
      <c r="Y102" s="100">
        <v>316322.71163673053</v>
      </c>
      <c r="Z102" s="100">
        <v>316322.71163673053</v>
      </c>
      <c r="AA102" s="100">
        <v>263603.60829289979</v>
      </c>
      <c r="AB102" s="100">
        <v>263603.60829289979</v>
      </c>
      <c r="AC102" s="100">
        <v>263603.60829289979</v>
      </c>
      <c r="AD102" s="100">
        <v>263603.60829289979</v>
      </c>
      <c r="AE102" s="100">
        <v>263603.60829289979</v>
      </c>
      <c r="AF102" s="100">
        <v>263603.60829289979</v>
      </c>
      <c r="AG102" s="100">
        <v>263603.60829289979</v>
      </c>
      <c r="AH102" s="100">
        <v>263603.60829289979</v>
      </c>
      <c r="AI102" s="100">
        <v>316322.71163673053</v>
      </c>
      <c r="AJ102" s="100">
        <v>316322.71163673053</v>
      </c>
      <c r="AK102" s="100">
        <v>316322.71163673053</v>
      </c>
      <c r="AL102" s="100">
        <v>316322.71163673053</v>
      </c>
      <c r="AM102" s="100">
        <v>263603.60829289979</v>
      </c>
      <c r="AN102" s="100">
        <v>263603.60829289979</v>
      </c>
      <c r="AO102" s="100">
        <v>263603.60829289979</v>
      </c>
      <c r="AP102" s="100">
        <v>263603.60829289979</v>
      </c>
      <c r="AQ102" s="100">
        <v>263603.60829289979</v>
      </c>
      <c r="AR102" s="100">
        <v>263603.60829289979</v>
      </c>
      <c r="AS102" s="100">
        <v>263603.60829289979</v>
      </c>
      <c r="AT102" s="100">
        <v>263603.60829289979</v>
      </c>
      <c r="AU102" s="100">
        <v>263603.60829289979</v>
      </c>
      <c r="AV102" s="100">
        <v>263603.60829289979</v>
      </c>
      <c r="AW102" s="100">
        <v>263603.60829289979</v>
      </c>
      <c r="AX102" s="100">
        <v>263603.60829289979</v>
      </c>
    </row>
    <row r="103" spans="1:50">
      <c r="B103" s="100" t="s">
        <v>278</v>
      </c>
      <c r="C103" s="105">
        <f>SUM(C$98:C$102)</f>
        <v>793465.49685951939</v>
      </c>
      <c r="D103" s="105">
        <f t="shared" ref="D103:AX103" si="5">SUM(D$98:D$102)</f>
        <v>793465.49685951939</v>
      </c>
      <c r="E103" s="105">
        <f t="shared" si="5"/>
        <v>793465.49685951939</v>
      </c>
      <c r="F103" s="105">
        <f t="shared" si="5"/>
        <v>793465.49685951939</v>
      </c>
      <c r="G103" s="105">
        <f t="shared" si="5"/>
        <v>661224.63020704826</v>
      </c>
      <c r="H103" s="105">
        <f t="shared" si="5"/>
        <v>661224.63020704826</v>
      </c>
      <c r="I103" s="105">
        <f t="shared" si="5"/>
        <v>661224.63020704826</v>
      </c>
      <c r="J103" s="105">
        <f t="shared" si="5"/>
        <v>661224.63020704826</v>
      </c>
      <c r="K103" s="105">
        <f t="shared" si="5"/>
        <v>661224.63020704826</v>
      </c>
      <c r="L103" s="105">
        <f t="shared" si="5"/>
        <v>661224.63020704826</v>
      </c>
      <c r="M103" s="105">
        <f t="shared" si="5"/>
        <v>661224.63020704826</v>
      </c>
      <c r="N103" s="105">
        <f t="shared" si="5"/>
        <v>661224.63020704826</v>
      </c>
      <c r="O103" s="105">
        <f t="shared" si="5"/>
        <v>793465.49685951939</v>
      </c>
      <c r="P103" s="105">
        <f t="shared" si="5"/>
        <v>793465.49685951939</v>
      </c>
      <c r="Q103" s="105">
        <f t="shared" si="5"/>
        <v>793465.49685951939</v>
      </c>
      <c r="R103" s="105">
        <f t="shared" si="5"/>
        <v>793465.49685951939</v>
      </c>
      <c r="S103" s="105">
        <f t="shared" si="5"/>
        <v>20.296944692149545</v>
      </c>
      <c r="T103" s="105">
        <f t="shared" si="5"/>
        <v>20.296944692149545</v>
      </c>
      <c r="U103" s="105">
        <f t="shared" si="5"/>
        <v>20.296944692149545</v>
      </c>
      <c r="V103" s="105">
        <f t="shared" si="5"/>
        <v>20.296944692149545</v>
      </c>
      <c r="W103" s="105">
        <f t="shared" si="5"/>
        <v>793465.49685951939</v>
      </c>
      <c r="X103" s="105">
        <f t="shared" si="5"/>
        <v>793465.49685951939</v>
      </c>
      <c r="Y103" s="105">
        <f t="shared" si="5"/>
        <v>793465.49685951939</v>
      </c>
      <c r="Z103" s="105">
        <f t="shared" si="5"/>
        <v>793465.49685951939</v>
      </c>
      <c r="AA103" s="105">
        <f t="shared" si="5"/>
        <v>661224.63020704826</v>
      </c>
      <c r="AB103" s="105">
        <f t="shared" si="5"/>
        <v>661224.63020704826</v>
      </c>
      <c r="AC103" s="105">
        <f t="shared" si="5"/>
        <v>661224.63020704826</v>
      </c>
      <c r="AD103" s="105">
        <f t="shared" si="5"/>
        <v>661224.63020704826</v>
      </c>
      <c r="AE103" s="105">
        <f t="shared" si="5"/>
        <v>661224.63020704826</v>
      </c>
      <c r="AF103" s="105">
        <f t="shared" si="5"/>
        <v>661224.63020704826</v>
      </c>
      <c r="AG103" s="105">
        <f t="shared" si="5"/>
        <v>661224.63020704826</v>
      </c>
      <c r="AH103" s="105">
        <f t="shared" si="5"/>
        <v>661224.63020704826</v>
      </c>
      <c r="AI103" s="105">
        <f t="shared" si="5"/>
        <v>793465.49685951939</v>
      </c>
      <c r="AJ103" s="105">
        <f t="shared" si="5"/>
        <v>793465.49685951939</v>
      </c>
      <c r="AK103" s="105">
        <f t="shared" si="5"/>
        <v>793465.49685951939</v>
      </c>
      <c r="AL103" s="105">
        <f t="shared" si="5"/>
        <v>793465.49685951939</v>
      </c>
      <c r="AM103" s="105">
        <f t="shared" si="5"/>
        <v>661224.63020704826</v>
      </c>
      <c r="AN103" s="105">
        <f t="shared" si="5"/>
        <v>661224.63020704826</v>
      </c>
      <c r="AO103" s="105">
        <f t="shared" si="5"/>
        <v>661224.63020704826</v>
      </c>
      <c r="AP103" s="105">
        <f t="shared" si="5"/>
        <v>661224.63020704826</v>
      </c>
      <c r="AQ103" s="105">
        <f t="shared" si="5"/>
        <v>661224.63020704826</v>
      </c>
      <c r="AR103" s="105">
        <f t="shared" si="5"/>
        <v>661224.63020704826</v>
      </c>
      <c r="AS103" s="105">
        <f t="shared" si="5"/>
        <v>661224.63020704826</v>
      </c>
      <c r="AT103" s="105">
        <f t="shared" si="5"/>
        <v>661224.63020704826</v>
      </c>
      <c r="AU103" s="105">
        <f t="shared" si="5"/>
        <v>661224.63020704826</v>
      </c>
      <c r="AV103" s="105">
        <f t="shared" si="5"/>
        <v>661224.63020704826</v>
      </c>
      <c r="AW103" s="105">
        <f t="shared" si="5"/>
        <v>661224.63020704826</v>
      </c>
      <c r="AX103" s="105">
        <f t="shared" si="5"/>
        <v>661224.63020704826</v>
      </c>
    </row>
    <row r="104" spans="1:50">
      <c r="A104" s="105" t="s">
        <v>105</v>
      </c>
      <c r="B104" s="105" t="s">
        <v>10</v>
      </c>
      <c r="C104" s="100">
        <v>5.9080923337145994E-17</v>
      </c>
      <c r="D104" s="100">
        <v>5.9080923337145994E-17</v>
      </c>
      <c r="E104" s="100">
        <v>5.9080923337145994E-17</v>
      </c>
      <c r="F104" s="100">
        <v>5.9080923337145994E-17</v>
      </c>
      <c r="G104" s="100">
        <v>5.9080923337145994E-17</v>
      </c>
      <c r="H104" s="100">
        <v>5.9080923337145994E-17</v>
      </c>
      <c r="I104" s="100">
        <v>5.9080923337145994E-17</v>
      </c>
      <c r="J104" s="100">
        <v>5.9080923337145994E-17</v>
      </c>
      <c r="K104" s="100">
        <v>5.9080923337145994E-17</v>
      </c>
      <c r="L104" s="100">
        <v>5.9080923337145994E-17</v>
      </c>
      <c r="M104" s="100">
        <v>5.9080923337145994E-17</v>
      </c>
      <c r="N104" s="100">
        <v>5.9080923337145994E-17</v>
      </c>
      <c r="O104" s="100">
        <v>5.9080923337145994E-17</v>
      </c>
      <c r="P104" s="100">
        <v>5.9080923337145994E-17</v>
      </c>
      <c r="Q104" s="100">
        <v>5.9080923337145994E-17</v>
      </c>
      <c r="R104" s="100">
        <v>5.9080923337145994E-17</v>
      </c>
      <c r="S104" s="100">
        <v>4.72647386697168E-17</v>
      </c>
      <c r="T104" s="100">
        <v>4.72647386697168E-17</v>
      </c>
      <c r="U104" s="100">
        <v>4.72647386697168E-17</v>
      </c>
      <c r="V104" s="100">
        <v>4.72647386697168E-17</v>
      </c>
      <c r="W104" s="100">
        <v>5.9080923337145994E-17</v>
      </c>
      <c r="X104" s="100">
        <v>5.9080923337145994E-17</v>
      </c>
      <c r="Y104" s="100">
        <v>5.9080923337145994E-17</v>
      </c>
      <c r="Z104" s="100">
        <v>5.9080923337145994E-17</v>
      </c>
      <c r="AA104" s="100">
        <v>5.9080923337145994E-17</v>
      </c>
      <c r="AB104" s="100">
        <v>5.9080923337145994E-17</v>
      </c>
      <c r="AC104" s="100">
        <v>5.9080923337145994E-17</v>
      </c>
      <c r="AD104" s="100">
        <v>5.9080923337145994E-17</v>
      </c>
      <c r="AE104" s="100">
        <v>5.9080923337145994E-17</v>
      </c>
      <c r="AF104" s="100">
        <v>5.9080923337145994E-17</v>
      </c>
      <c r="AG104" s="100">
        <v>5.9080923337145994E-17</v>
      </c>
      <c r="AH104" s="100">
        <v>5.9080923337145994E-17</v>
      </c>
      <c r="AI104" s="100">
        <v>5.9080923337145994E-17</v>
      </c>
      <c r="AJ104" s="100">
        <v>5.9080923337145994E-17</v>
      </c>
      <c r="AK104" s="100">
        <v>5.9080923337145994E-17</v>
      </c>
      <c r="AL104" s="100">
        <v>5.9080923337145994E-17</v>
      </c>
      <c r="AM104" s="100">
        <v>5.9080923337145994E-17</v>
      </c>
      <c r="AN104" s="100">
        <v>5.9080923337145994E-17</v>
      </c>
      <c r="AO104" s="100">
        <v>5.9080923337145994E-17</v>
      </c>
      <c r="AP104" s="100">
        <v>5.9080923337145994E-17</v>
      </c>
      <c r="AQ104" s="100">
        <v>5.9080923337145994E-17</v>
      </c>
      <c r="AR104" s="100">
        <v>5.9080923337145994E-17</v>
      </c>
      <c r="AS104" s="100">
        <v>5.9080923337145994E-17</v>
      </c>
      <c r="AT104" s="100">
        <v>5.9080923337145994E-17</v>
      </c>
      <c r="AU104" s="100">
        <v>7.08971080045752E-17</v>
      </c>
      <c r="AV104" s="100">
        <v>7.08971080045752E-17</v>
      </c>
      <c r="AW104" s="100">
        <v>7.08971080045752E-17</v>
      </c>
      <c r="AX104" s="100">
        <v>7.08971080045752E-17</v>
      </c>
    </row>
    <row r="105" spans="1:50">
      <c r="B105" s="105" t="s">
        <v>12</v>
      </c>
      <c r="C105" s="100">
        <v>1.3733746344576178E-16</v>
      </c>
      <c r="D105" s="100">
        <v>1.3733746344576178E-16</v>
      </c>
      <c r="E105" s="100">
        <v>1.3733746344576178E-16</v>
      </c>
      <c r="F105" s="100">
        <v>1.3733746344576178E-16</v>
      </c>
      <c r="G105" s="100">
        <v>1.3733746344576178E-16</v>
      </c>
      <c r="H105" s="100">
        <v>1.3733746344576178E-16</v>
      </c>
      <c r="I105" s="100">
        <v>1.3733746344576178E-16</v>
      </c>
      <c r="J105" s="100">
        <v>1.3733746344576178E-16</v>
      </c>
      <c r="K105" s="100">
        <v>1.3733746344576178E-16</v>
      </c>
      <c r="L105" s="100">
        <v>1.3733746344576178E-16</v>
      </c>
      <c r="M105" s="100">
        <v>1.3733746344576178E-16</v>
      </c>
      <c r="N105" s="100">
        <v>1.3733746344576178E-16</v>
      </c>
      <c r="O105" s="100">
        <v>1.3733746344576178E-16</v>
      </c>
      <c r="P105" s="100">
        <v>1.3733746344576178E-16</v>
      </c>
      <c r="Q105" s="100">
        <v>1.3733746344576178E-16</v>
      </c>
      <c r="R105" s="100">
        <v>1.3733746344576178E-16</v>
      </c>
      <c r="S105" s="100">
        <v>1.0986997075660943E-16</v>
      </c>
      <c r="T105" s="100">
        <v>1.0986997075660943E-16</v>
      </c>
      <c r="U105" s="100">
        <v>1.0986997075660943E-16</v>
      </c>
      <c r="V105" s="100">
        <v>1.0986997075660943E-16</v>
      </c>
      <c r="W105" s="100">
        <v>1.3733746344576178E-16</v>
      </c>
      <c r="X105" s="100">
        <v>1.3733746344576178E-16</v>
      </c>
      <c r="Y105" s="100">
        <v>1.3733746344576178E-16</v>
      </c>
      <c r="Z105" s="100">
        <v>1.3733746344576178E-16</v>
      </c>
      <c r="AA105" s="100">
        <v>1.3733746344576178E-16</v>
      </c>
      <c r="AB105" s="100">
        <v>1.3733746344576178E-16</v>
      </c>
      <c r="AC105" s="100">
        <v>1.3733746344576178E-16</v>
      </c>
      <c r="AD105" s="100">
        <v>1.3733746344576178E-16</v>
      </c>
      <c r="AE105" s="100">
        <v>1.3733746344576178E-16</v>
      </c>
      <c r="AF105" s="100">
        <v>1.3733746344576178E-16</v>
      </c>
      <c r="AG105" s="100">
        <v>1.3733746344576178E-16</v>
      </c>
      <c r="AH105" s="100">
        <v>1.3733746344576178E-16</v>
      </c>
      <c r="AI105" s="100">
        <v>1.3733746344576178E-16</v>
      </c>
      <c r="AJ105" s="100">
        <v>1.3733746344576178E-16</v>
      </c>
      <c r="AK105" s="100">
        <v>1.3733746344576178E-16</v>
      </c>
      <c r="AL105" s="100">
        <v>1.3733746344576178E-16</v>
      </c>
      <c r="AM105" s="100">
        <v>1.3733746344576178E-16</v>
      </c>
      <c r="AN105" s="100">
        <v>1.3733746344576178E-16</v>
      </c>
      <c r="AO105" s="100">
        <v>1.3733746344576178E-16</v>
      </c>
      <c r="AP105" s="100">
        <v>1.3733746344576178E-16</v>
      </c>
      <c r="AQ105" s="100">
        <v>1.3733746344576178E-16</v>
      </c>
      <c r="AR105" s="100">
        <v>1.3733746344576178E-16</v>
      </c>
      <c r="AS105" s="100">
        <v>1.3733746344576178E-16</v>
      </c>
      <c r="AT105" s="100">
        <v>1.3733746344576178E-16</v>
      </c>
      <c r="AU105" s="100">
        <v>1.6480495613491412E-16</v>
      </c>
      <c r="AV105" s="100">
        <v>1.6480495613491412E-16</v>
      </c>
      <c r="AW105" s="100">
        <v>1.6480495613491412E-16</v>
      </c>
      <c r="AX105" s="100">
        <v>1.6480495613491412E-16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-2.3237548485247242E-34</v>
      </c>
      <c r="D107" s="100">
        <v>-2.3237548485247242E-34</v>
      </c>
      <c r="E107" s="100">
        <v>-2.3237548485247242E-34</v>
      </c>
      <c r="F107" s="100">
        <v>-2.3237548485247242E-34</v>
      </c>
      <c r="G107" s="100">
        <v>-2.3237548485247242E-34</v>
      </c>
      <c r="H107" s="100">
        <v>-2.3237548485247242E-34</v>
      </c>
      <c r="I107" s="100">
        <v>-2.3237548485247242E-34</v>
      </c>
      <c r="J107" s="100">
        <v>-2.3237548485247242E-34</v>
      </c>
      <c r="K107" s="100">
        <v>-2.3237548485247242E-34</v>
      </c>
      <c r="L107" s="100">
        <v>-2.3237548485247242E-34</v>
      </c>
      <c r="M107" s="100">
        <v>-2.3237548485247242E-34</v>
      </c>
      <c r="N107" s="100">
        <v>-2.3237548485247242E-34</v>
      </c>
      <c r="O107" s="100">
        <v>-2.3237548485247242E-34</v>
      </c>
      <c r="P107" s="100">
        <v>-2.3237548485247242E-34</v>
      </c>
      <c r="Q107" s="100">
        <v>-2.3237548485247242E-34</v>
      </c>
      <c r="R107" s="100">
        <v>-2.3237548485247242E-34</v>
      </c>
      <c r="S107" s="100">
        <v>-1.8590038788197791E-34</v>
      </c>
      <c r="T107" s="100">
        <v>-1.8590038788197791E-34</v>
      </c>
      <c r="U107" s="100">
        <v>-1.8590038788197791E-34</v>
      </c>
      <c r="V107" s="100">
        <v>-1.8590038788197791E-34</v>
      </c>
      <c r="W107" s="100">
        <v>-2.3237548485247242E-34</v>
      </c>
      <c r="X107" s="100">
        <v>-2.3237548485247242E-34</v>
      </c>
      <c r="Y107" s="100">
        <v>-2.3237548485247242E-34</v>
      </c>
      <c r="Z107" s="100">
        <v>-2.3237548485247242E-34</v>
      </c>
      <c r="AA107" s="100">
        <v>-2.3237548485247242E-34</v>
      </c>
      <c r="AB107" s="100">
        <v>-2.3237548485247242E-34</v>
      </c>
      <c r="AC107" s="100">
        <v>-2.3237548485247242E-34</v>
      </c>
      <c r="AD107" s="100">
        <v>-2.3237548485247242E-34</v>
      </c>
      <c r="AE107" s="100">
        <v>-2.3237548485247242E-34</v>
      </c>
      <c r="AF107" s="100">
        <v>-2.3237548485247242E-34</v>
      </c>
      <c r="AG107" s="100">
        <v>-2.3237548485247242E-34</v>
      </c>
      <c r="AH107" s="100">
        <v>-2.3237548485247242E-34</v>
      </c>
      <c r="AI107" s="100">
        <v>-2.3237548485247242E-34</v>
      </c>
      <c r="AJ107" s="100">
        <v>-2.3237548485247242E-34</v>
      </c>
      <c r="AK107" s="100">
        <v>-2.3237548485247242E-34</v>
      </c>
      <c r="AL107" s="100">
        <v>-2.3237548485247242E-34</v>
      </c>
      <c r="AM107" s="100">
        <v>-2.3237548485247242E-34</v>
      </c>
      <c r="AN107" s="100">
        <v>-2.3237548485247242E-34</v>
      </c>
      <c r="AO107" s="100">
        <v>-2.3237548485247242E-34</v>
      </c>
      <c r="AP107" s="100">
        <v>-2.3237548485247242E-34</v>
      </c>
      <c r="AQ107" s="100">
        <v>-2.3237548485247242E-34</v>
      </c>
      <c r="AR107" s="100">
        <v>-2.3237548485247242E-34</v>
      </c>
      <c r="AS107" s="100">
        <v>-2.3237548485247242E-34</v>
      </c>
      <c r="AT107" s="100">
        <v>-2.3237548485247242E-34</v>
      </c>
      <c r="AU107" s="100">
        <v>-2.7885058182296692E-34</v>
      </c>
      <c r="AV107" s="100">
        <v>-2.7885058182296692E-34</v>
      </c>
      <c r="AW107" s="100">
        <v>-2.7885058182296692E-34</v>
      </c>
      <c r="AX107" s="100">
        <v>-2.7885058182296692E-34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1.9641838678290778E-16</v>
      </c>
      <c r="D109" s="105">
        <f t="shared" ref="D109:AX109" si="6">SUM(D$104:D$108)</f>
        <v>1.9641838678290778E-16</v>
      </c>
      <c r="E109" s="105">
        <f t="shared" si="6"/>
        <v>1.9641838678290778E-16</v>
      </c>
      <c r="F109" s="105">
        <f t="shared" si="6"/>
        <v>1.9641838678290778E-16</v>
      </c>
      <c r="G109" s="105">
        <f t="shared" si="6"/>
        <v>1.9641838678290778E-16</v>
      </c>
      <c r="H109" s="105">
        <f t="shared" si="6"/>
        <v>1.9641838678290778E-16</v>
      </c>
      <c r="I109" s="105">
        <f t="shared" si="6"/>
        <v>1.9641838678290778E-16</v>
      </c>
      <c r="J109" s="105">
        <f t="shared" si="6"/>
        <v>1.9641838678290778E-16</v>
      </c>
      <c r="K109" s="105">
        <f t="shared" si="6"/>
        <v>1.9641838678290778E-16</v>
      </c>
      <c r="L109" s="105">
        <f t="shared" si="6"/>
        <v>1.9641838678290778E-16</v>
      </c>
      <c r="M109" s="105">
        <f t="shared" si="6"/>
        <v>1.9641838678290778E-16</v>
      </c>
      <c r="N109" s="105">
        <f t="shared" si="6"/>
        <v>1.9641838678290778E-16</v>
      </c>
      <c r="O109" s="105">
        <f t="shared" si="6"/>
        <v>1.9641838678290778E-16</v>
      </c>
      <c r="P109" s="105">
        <f t="shared" si="6"/>
        <v>1.9641838678290778E-16</v>
      </c>
      <c r="Q109" s="105">
        <f t="shared" si="6"/>
        <v>1.9641838678290778E-16</v>
      </c>
      <c r="R109" s="105">
        <f t="shared" si="6"/>
        <v>1.9641838678290778E-16</v>
      </c>
      <c r="S109" s="105">
        <f t="shared" si="6"/>
        <v>1.5713470942632624E-16</v>
      </c>
      <c r="T109" s="105">
        <f t="shared" si="6"/>
        <v>1.5713470942632624E-16</v>
      </c>
      <c r="U109" s="105">
        <f t="shared" si="6"/>
        <v>1.5713470942632624E-16</v>
      </c>
      <c r="V109" s="105">
        <f t="shared" si="6"/>
        <v>1.5713470942632624E-16</v>
      </c>
      <c r="W109" s="105">
        <f t="shared" si="6"/>
        <v>1.9641838678290778E-16</v>
      </c>
      <c r="X109" s="105">
        <f t="shared" si="6"/>
        <v>1.9641838678290778E-16</v>
      </c>
      <c r="Y109" s="105">
        <f t="shared" si="6"/>
        <v>1.9641838678290778E-16</v>
      </c>
      <c r="Z109" s="105">
        <f t="shared" si="6"/>
        <v>1.9641838678290778E-16</v>
      </c>
      <c r="AA109" s="105">
        <f t="shared" si="6"/>
        <v>1.9641838678290778E-16</v>
      </c>
      <c r="AB109" s="105">
        <f t="shared" si="6"/>
        <v>1.9641838678290778E-16</v>
      </c>
      <c r="AC109" s="105">
        <f t="shared" si="6"/>
        <v>1.9641838678290778E-16</v>
      </c>
      <c r="AD109" s="105">
        <f t="shared" si="6"/>
        <v>1.9641838678290778E-16</v>
      </c>
      <c r="AE109" s="105">
        <f t="shared" si="6"/>
        <v>1.9641838678290778E-16</v>
      </c>
      <c r="AF109" s="105">
        <f t="shared" si="6"/>
        <v>1.9641838678290778E-16</v>
      </c>
      <c r="AG109" s="105">
        <f t="shared" si="6"/>
        <v>1.9641838678290778E-16</v>
      </c>
      <c r="AH109" s="105">
        <f t="shared" si="6"/>
        <v>1.9641838678290778E-16</v>
      </c>
      <c r="AI109" s="105">
        <f t="shared" si="6"/>
        <v>1.9641838678290778E-16</v>
      </c>
      <c r="AJ109" s="105">
        <f t="shared" si="6"/>
        <v>1.9641838678290778E-16</v>
      </c>
      <c r="AK109" s="105">
        <f t="shared" si="6"/>
        <v>1.9641838678290778E-16</v>
      </c>
      <c r="AL109" s="105">
        <f t="shared" si="6"/>
        <v>1.9641838678290778E-16</v>
      </c>
      <c r="AM109" s="105">
        <f t="shared" si="6"/>
        <v>1.9641838678290778E-16</v>
      </c>
      <c r="AN109" s="105">
        <f t="shared" si="6"/>
        <v>1.9641838678290778E-16</v>
      </c>
      <c r="AO109" s="105">
        <f t="shared" si="6"/>
        <v>1.9641838678290778E-16</v>
      </c>
      <c r="AP109" s="105">
        <f t="shared" si="6"/>
        <v>1.9641838678290778E-16</v>
      </c>
      <c r="AQ109" s="105">
        <f t="shared" si="6"/>
        <v>1.9641838678290778E-16</v>
      </c>
      <c r="AR109" s="105">
        <f t="shared" si="6"/>
        <v>1.9641838678290778E-16</v>
      </c>
      <c r="AS109" s="105">
        <f t="shared" si="6"/>
        <v>1.9641838678290778E-16</v>
      </c>
      <c r="AT109" s="105">
        <f t="shared" si="6"/>
        <v>1.9641838678290778E-16</v>
      </c>
      <c r="AU109" s="105">
        <f t="shared" si="6"/>
        <v>2.3570206413948931E-16</v>
      </c>
      <c r="AV109" s="105">
        <f t="shared" si="6"/>
        <v>2.3570206413948931E-16</v>
      </c>
      <c r="AW109" s="105">
        <f t="shared" si="6"/>
        <v>2.3570206413948931E-16</v>
      </c>
      <c r="AX109" s="105">
        <f t="shared" si="6"/>
        <v>2.3570206413948931E-16</v>
      </c>
    </row>
    <row r="110" spans="1:50">
      <c r="A110" s="105" t="s">
        <v>106</v>
      </c>
      <c r="B110" s="105" t="s">
        <v>10</v>
      </c>
      <c r="C110" s="100">
        <v>5.4943255697897647E-18</v>
      </c>
      <c r="D110" s="100">
        <v>5.4943255697897647E-18</v>
      </c>
      <c r="E110" s="100">
        <v>5.4943255697897647E-18</v>
      </c>
      <c r="F110" s="100">
        <v>5.4943255697897647E-18</v>
      </c>
      <c r="G110" s="100">
        <v>5.4943255697897647E-18</v>
      </c>
      <c r="H110" s="100">
        <v>5.4943255697897647E-18</v>
      </c>
      <c r="I110" s="100">
        <v>5.4943255697897647E-18</v>
      </c>
      <c r="J110" s="100">
        <v>5.4943255697897647E-18</v>
      </c>
      <c r="K110" s="100">
        <v>5.4943255697897647E-18</v>
      </c>
      <c r="L110" s="100">
        <v>5.4943255697897647E-18</v>
      </c>
      <c r="M110" s="100">
        <v>5.4943255697897647E-18</v>
      </c>
      <c r="N110" s="100">
        <v>5.4943255697897647E-18</v>
      </c>
      <c r="O110" s="100">
        <v>5.4943255697897647E-18</v>
      </c>
      <c r="P110" s="100">
        <v>5.4943255697897647E-18</v>
      </c>
      <c r="Q110" s="100">
        <v>5.4943255697897647E-18</v>
      </c>
      <c r="R110" s="100">
        <v>5.4943255697897647E-18</v>
      </c>
      <c r="S110" s="100">
        <v>5.4943255697897647E-18</v>
      </c>
      <c r="T110" s="100">
        <v>5.4943255697897647E-18</v>
      </c>
      <c r="U110" s="100">
        <v>5.4943255697897647E-18</v>
      </c>
      <c r="V110" s="100">
        <v>5.4943255697897647E-18</v>
      </c>
      <c r="W110" s="100">
        <v>4.3954604558318122E-18</v>
      </c>
      <c r="X110" s="100">
        <v>4.3954604558318122E-18</v>
      </c>
      <c r="Y110" s="100">
        <v>4.3954604558318122E-18</v>
      </c>
      <c r="Z110" s="100">
        <v>4.3954604558318122E-18</v>
      </c>
      <c r="AA110" s="100">
        <v>5.4943255697897647E-18</v>
      </c>
      <c r="AB110" s="100">
        <v>5.4943255697897647E-18</v>
      </c>
      <c r="AC110" s="100">
        <v>5.4943255697897647E-18</v>
      </c>
      <c r="AD110" s="100">
        <v>5.4943255697897647E-18</v>
      </c>
      <c r="AE110" s="100">
        <v>5.4943255697897647E-18</v>
      </c>
      <c r="AF110" s="100">
        <v>5.4943255697897647E-18</v>
      </c>
      <c r="AG110" s="100">
        <v>5.4943255697897647E-18</v>
      </c>
      <c r="AH110" s="100">
        <v>5.4943255697897647E-18</v>
      </c>
      <c r="AI110" s="100">
        <v>5.4943255697897647E-18</v>
      </c>
      <c r="AJ110" s="100">
        <v>5.4943255697897647E-18</v>
      </c>
      <c r="AK110" s="100">
        <v>5.4943255697897647E-18</v>
      </c>
      <c r="AL110" s="100">
        <v>5.4943255697897647E-18</v>
      </c>
      <c r="AM110" s="100">
        <v>4.3954604558318122E-18</v>
      </c>
      <c r="AN110" s="100">
        <v>4.3954604558318122E-18</v>
      </c>
      <c r="AO110" s="100">
        <v>4.3954604558318122E-18</v>
      </c>
      <c r="AP110" s="100">
        <v>4.3954604558318122E-18</v>
      </c>
      <c r="AQ110" s="100">
        <v>5.4943255697897647E-18</v>
      </c>
      <c r="AR110" s="100">
        <v>5.4943255697897647E-18</v>
      </c>
      <c r="AS110" s="100">
        <v>5.4943255697897647E-18</v>
      </c>
      <c r="AT110" s="100">
        <v>5.4943255697897647E-18</v>
      </c>
      <c r="AU110" s="100">
        <v>5.4943255697897647E-18</v>
      </c>
      <c r="AV110" s="100">
        <v>5.4943255697897647E-18</v>
      </c>
      <c r="AW110" s="100">
        <v>5.4943255697897647E-18</v>
      </c>
      <c r="AX110" s="100">
        <v>5.4943255697897647E-18</v>
      </c>
    </row>
    <row r="111" spans="1:50">
      <c r="B111" s="105" t="s">
        <v>12</v>
      </c>
      <c r="C111" s="100">
        <v>1.2091716253282925E-16</v>
      </c>
      <c r="D111" s="100">
        <v>1.2091716253282925E-16</v>
      </c>
      <c r="E111" s="100">
        <v>1.2091716253282925E-16</v>
      </c>
      <c r="F111" s="100">
        <v>1.2091716253282925E-16</v>
      </c>
      <c r="G111" s="100">
        <v>1.2091716253282925E-16</v>
      </c>
      <c r="H111" s="100">
        <v>1.2091716253282925E-16</v>
      </c>
      <c r="I111" s="100">
        <v>1.2091716253282925E-16</v>
      </c>
      <c r="J111" s="100">
        <v>1.2091716253282925E-16</v>
      </c>
      <c r="K111" s="100">
        <v>1.2091716253282925E-16</v>
      </c>
      <c r="L111" s="100">
        <v>1.2091716253282925E-16</v>
      </c>
      <c r="M111" s="100">
        <v>1.2091716253282925E-16</v>
      </c>
      <c r="N111" s="100">
        <v>1.2091716253282925E-16</v>
      </c>
      <c r="O111" s="100">
        <v>1.2091716253282925E-16</v>
      </c>
      <c r="P111" s="100">
        <v>1.2091716253282925E-16</v>
      </c>
      <c r="Q111" s="100">
        <v>1.2091716253282925E-16</v>
      </c>
      <c r="R111" s="100">
        <v>1.2091716253282925E-16</v>
      </c>
      <c r="S111" s="100">
        <v>1.2091716253282925E-16</v>
      </c>
      <c r="T111" s="100">
        <v>1.2091716253282925E-16</v>
      </c>
      <c r="U111" s="100">
        <v>1.2091716253282925E-16</v>
      </c>
      <c r="V111" s="100">
        <v>1.2091716253282925E-16</v>
      </c>
      <c r="W111" s="100">
        <v>9.6733730026263425E-17</v>
      </c>
      <c r="X111" s="100">
        <v>9.6733730026263425E-17</v>
      </c>
      <c r="Y111" s="100">
        <v>9.6733730026263425E-17</v>
      </c>
      <c r="Z111" s="100">
        <v>9.6733730026263425E-17</v>
      </c>
      <c r="AA111" s="100">
        <v>1.2091716253282925E-16</v>
      </c>
      <c r="AB111" s="100">
        <v>1.2091716253282925E-16</v>
      </c>
      <c r="AC111" s="100">
        <v>1.2091716253282925E-16</v>
      </c>
      <c r="AD111" s="100">
        <v>1.2091716253282925E-16</v>
      </c>
      <c r="AE111" s="100">
        <v>1.2091716253282925E-16</v>
      </c>
      <c r="AF111" s="100">
        <v>1.2091716253282925E-16</v>
      </c>
      <c r="AG111" s="100">
        <v>1.2091716253282925E-16</v>
      </c>
      <c r="AH111" s="100">
        <v>1.2091716253282925E-16</v>
      </c>
      <c r="AI111" s="100">
        <v>1.2091716253282925E-16</v>
      </c>
      <c r="AJ111" s="100">
        <v>1.2091716253282925E-16</v>
      </c>
      <c r="AK111" s="100">
        <v>1.2091716253282925E-16</v>
      </c>
      <c r="AL111" s="100">
        <v>1.2091716253282925E-16</v>
      </c>
      <c r="AM111" s="100">
        <v>9.6733730026263425E-17</v>
      </c>
      <c r="AN111" s="100">
        <v>9.6733730026263425E-17</v>
      </c>
      <c r="AO111" s="100">
        <v>9.6733730026263425E-17</v>
      </c>
      <c r="AP111" s="100">
        <v>9.6733730026263425E-17</v>
      </c>
      <c r="AQ111" s="100">
        <v>1.2091716253282925E-16</v>
      </c>
      <c r="AR111" s="100">
        <v>1.2091716253282925E-16</v>
      </c>
      <c r="AS111" s="100">
        <v>1.2091716253282925E-16</v>
      </c>
      <c r="AT111" s="100">
        <v>1.2091716253282925E-16</v>
      </c>
      <c r="AU111" s="100">
        <v>1.2091716253282925E-16</v>
      </c>
      <c r="AV111" s="100">
        <v>1.2091716253282925E-16</v>
      </c>
      <c r="AW111" s="100">
        <v>1.2091716253282925E-16</v>
      </c>
      <c r="AX111" s="100">
        <v>1.2091716253282925E-16</v>
      </c>
    </row>
    <row r="112" spans="1:50">
      <c r="B112" s="105" t="s">
        <v>22</v>
      </c>
      <c r="C112" s="100">
        <v>4161.0657659340714</v>
      </c>
      <c r="D112" s="100">
        <v>4161.0657659340714</v>
      </c>
      <c r="E112" s="100">
        <v>4161.0657659340714</v>
      </c>
      <c r="F112" s="100">
        <v>4161.0657659340714</v>
      </c>
      <c r="G112" s="100">
        <v>4161.0657659340714</v>
      </c>
      <c r="H112" s="100">
        <v>4161.0657659340714</v>
      </c>
      <c r="I112" s="100">
        <v>4161.0657659340714</v>
      </c>
      <c r="J112" s="100">
        <v>4161.0657659340714</v>
      </c>
      <c r="K112" s="100">
        <v>4161.0657659340714</v>
      </c>
      <c r="L112" s="100">
        <v>4161.0657659340714</v>
      </c>
      <c r="M112" s="100">
        <v>4161.0657659340714</v>
      </c>
      <c r="N112" s="100">
        <v>4161.0657659340714</v>
      </c>
      <c r="O112" s="100">
        <v>4161.0657659340714</v>
      </c>
      <c r="P112" s="100">
        <v>4161.0657659340714</v>
      </c>
      <c r="Q112" s="100">
        <v>4161.0657659340714</v>
      </c>
      <c r="R112" s="100">
        <v>4161.0657659340714</v>
      </c>
      <c r="S112" s="100">
        <v>4161.0657659340714</v>
      </c>
      <c r="T112" s="100">
        <v>4161.0657659340714</v>
      </c>
      <c r="U112" s="100">
        <v>4161.0657659340714</v>
      </c>
      <c r="V112" s="100">
        <v>4161.0657659340714</v>
      </c>
      <c r="W112" s="100">
        <v>3328.8526127472569</v>
      </c>
      <c r="X112" s="100">
        <v>3328.8526127472569</v>
      </c>
      <c r="Y112" s="100">
        <v>3328.8526127472569</v>
      </c>
      <c r="Z112" s="100">
        <v>3328.8526127472569</v>
      </c>
      <c r="AA112" s="100">
        <v>4161.0657659340714</v>
      </c>
      <c r="AB112" s="100">
        <v>4161.0657659340714</v>
      </c>
      <c r="AC112" s="100">
        <v>4161.0657659340714</v>
      </c>
      <c r="AD112" s="100">
        <v>4161.0657659340714</v>
      </c>
      <c r="AE112" s="100">
        <v>4161.0657659340714</v>
      </c>
      <c r="AF112" s="100">
        <v>4161.0657659340714</v>
      </c>
      <c r="AG112" s="100">
        <v>4161.0657659340714</v>
      </c>
      <c r="AH112" s="100">
        <v>4161.0657659340714</v>
      </c>
      <c r="AI112" s="100">
        <v>4161.0657659340714</v>
      </c>
      <c r="AJ112" s="100">
        <v>4161.0657659340714</v>
      </c>
      <c r="AK112" s="100">
        <v>4161.0657659340714</v>
      </c>
      <c r="AL112" s="100">
        <v>4161.0657659340714</v>
      </c>
      <c r="AM112" s="100">
        <v>3328.8526127472569</v>
      </c>
      <c r="AN112" s="100">
        <v>3328.8526127472569</v>
      </c>
      <c r="AO112" s="100">
        <v>3328.8526127472569</v>
      </c>
      <c r="AP112" s="100">
        <v>3328.8526127472569</v>
      </c>
      <c r="AQ112" s="100">
        <v>4161.0657659340714</v>
      </c>
      <c r="AR112" s="100">
        <v>4161.0657659340714</v>
      </c>
      <c r="AS112" s="100">
        <v>4161.0657659340714</v>
      </c>
      <c r="AT112" s="100">
        <v>4161.0657659340714</v>
      </c>
      <c r="AU112" s="100">
        <v>4161.0657659340714</v>
      </c>
      <c r="AV112" s="100">
        <v>4161.0657659340714</v>
      </c>
      <c r="AW112" s="100">
        <v>4161.0657659340714</v>
      </c>
      <c r="AX112" s="100">
        <v>4161.0657659340714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4.6155963456219442E-17</v>
      </c>
      <c r="D114" s="100">
        <v>4.6155963456219442E-17</v>
      </c>
      <c r="E114" s="100">
        <v>4.6155963456219442E-17</v>
      </c>
      <c r="F114" s="100">
        <v>4.6155963456219442E-17</v>
      </c>
      <c r="G114" s="100">
        <v>4.6155963456219442E-17</v>
      </c>
      <c r="H114" s="100">
        <v>4.6155963456219442E-17</v>
      </c>
      <c r="I114" s="100">
        <v>4.6155963456219442E-17</v>
      </c>
      <c r="J114" s="100">
        <v>4.6155963456219442E-17</v>
      </c>
      <c r="K114" s="100">
        <v>4.6155963456219442E-17</v>
      </c>
      <c r="L114" s="100">
        <v>4.6155963456219442E-17</v>
      </c>
      <c r="M114" s="100">
        <v>4.6155963456219442E-17</v>
      </c>
      <c r="N114" s="100">
        <v>4.6155963456219442E-17</v>
      </c>
      <c r="O114" s="100">
        <v>4.6155963456219442E-17</v>
      </c>
      <c r="P114" s="100">
        <v>4.6155963456219442E-17</v>
      </c>
      <c r="Q114" s="100">
        <v>4.6155963456219442E-17</v>
      </c>
      <c r="R114" s="100">
        <v>4.6155963456219442E-17</v>
      </c>
      <c r="S114" s="100">
        <v>4.6155963456219442E-17</v>
      </c>
      <c r="T114" s="100">
        <v>4.6155963456219442E-17</v>
      </c>
      <c r="U114" s="100">
        <v>4.6155963456219442E-17</v>
      </c>
      <c r="V114" s="100">
        <v>4.6155963456219442E-17</v>
      </c>
      <c r="W114" s="100">
        <v>3.6924770764975561E-17</v>
      </c>
      <c r="X114" s="100">
        <v>3.6924770764975561E-17</v>
      </c>
      <c r="Y114" s="100">
        <v>3.6924770764975561E-17</v>
      </c>
      <c r="Z114" s="100">
        <v>3.6924770764975561E-17</v>
      </c>
      <c r="AA114" s="100">
        <v>4.6155963456219442E-17</v>
      </c>
      <c r="AB114" s="100">
        <v>4.6155963456219442E-17</v>
      </c>
      <c r="AC114" s="100">
        <v>4.6155963456219442E-17</v>
      </c>
      <c r="AD114" s="100">
        <v>4.6155963456219442E-17</v>
      </c>
      <c r="AE114" s="100">
        <v>4.6155963456219442E-17</v>
      </c>
      <c r="AF114" s="100">
        <v>4.6155963456219442E-17</v>
      </c>
      <c r="AG114" s="100">
        <v>4.6155963456219442E-17</v>
      </c>
      <c r="AH114" s="100">
        <v>4.6155963456219442E-17</v>
      </c>
      <c r="AI114" s="100">
        <v>4.6155963456219442E-17</v>
      </c>
      <c r="AJ114" s="100">
        <v>4.6155963456219442E-17</v>
      </c>
      <c r="AK114" s="100">
        <v>4.6155963456219442E-17</v>
      </c>
      <c r="AL114" s="100">
        <v>4.6155963456219442E-17</v>
      </c>
      <c r="AM114" s="100">
        <v>3.6924770764975561E-17</v>
      </c>
      <c r="AN114" s="100">
        <v>3.6924770764975561E-17</v>
      </c>
      <c r="AO114" s="100">
        <v>3.6924770764975561E-17</v>
      </c>
      <c r="AP114" s="100">
        <v>3.6924770764975561E-17</v>
      </c>
      <c r="AQ114" s="100">
        <v>4.6155963456219442E-17</v>
      </c>
      <c r="AR114" s="100">
        <v>4.6155963456219442E-17</v>
      </c>
      <c r="AS114" s="100">
        <v>4.6155963456219442E-17</v>
      </c>
      <c r="AT114" s="100">
        <v>4.6155963456219442E-17</v>
      </c>
      <c r="AU114" s="100">
        <v>4.6155963456219442E-17</v>
      </c>
      <c r="AV114" s="100">
        <v>4.6155963456219442E-17</v>
      </c>
      <c r="AW114" s="100">
        <v>4.6155963456219442E-17</v>
      </c>
      <c r="AX114" s="100">
        <v>4.6155963456219442E-17</v>
      </c>
    </row>
    <row r="115" spans="1:50">
      <c r="B115" s="100" t="s">
        <v>278</v>
      </c>
      <c r="C115" s="105">
        <f>SUM(C$110:C$114)</f>
        <v>4161.0657659340714</v>
      </c>
      <c r="D115" s="105">
        <f t="shared" ref="D115:AX115" si="7">SUM(D$110:D$114)</f>
        <v>4161.0657659340714</v>
      </c>
      <c r="E115" s="105">
        <f t="shared" si="7"/>
        <v>4161.0657659340714</v>
      </c>
      <c r="F115" s="105">
        <f t="shared" si="7"/>
        <v>4161.0657659340714</v>
      </c>
      <c r="G115" s="105">
        <f t="shared" si="7"/>
        <v>4161.0657659340714</v>
      </c>
      <c r="H115" s="105">
        <f t="shared" si="7"/>
        <v>4161.0657659340714</v>
      </c>
      <c r="I115" s="105">
        <f t="shared" si="7"/>
        <v>4161.0657659340714</v>
      </c>
      <c r="J115" s="105">
        <f t="shared" si="7"/>
        <v>4161.0657659340714</v>
      </c>
      <c r="K115" s="105">
        <f t="shared" si="7"/>
        <v>4161.0657659340714</v>
      </c>
      <c r="L115" s="105">
        <f t="shared" si="7"/>
        <v>4161.0657659340714</v>
      </c>
      <c r="M115" s="105">
        <f t="shared" si="7"/>
        <v>4161.0657659340714</v>
      </c>
      <c r="N115" s="105">
        <f t="shared" si="7"/>
        <v>4161.0657659340714</v>
      </c>
      <c r="O115" s="105">
        <f t="shared" si="7"/>
        <v>4161.0657659340714</v>
      </c>
      <c r="P115" s="105">
        <f t="shared" si="7"/>
        <v>4161.0657659340714</v>
      </c>
      <c r="Q115" s="105">
        <f t="shared" si="7"/>
        <v>4161.0657659340714</v>
      </c>
      <c r="R115" s="105">
        <f t="shared" si="7"/>
        <v>4161.0657659340714</v>
      </c>
      <c r="S115" s="105">
        <f t="shared" si="7"/>
        <v>4161.0657659340714</v>
      </c>
      <c r="T115" s="105">
        <f t="shared" si="7"/>
        <v>4161.0657659340714</v>
      </c>
      <c r="U115" s="105">
        <f t="shared" si="7"/>
        <v>4161.0657659340714</v>
      </c>
      <c r="V115" s="105">
        <f t="shared" si="7"/>
        <v>4161.0657659340714</v>
      </c>
      <c r="W115" s="105">
        <f t="shared" si="7"/>
        <v>3328.8526127472569</v>
      </c>
      <c r="X115" s="105">
        <f t="shared" si="7"/>
        <v>3328.8526127472569</v>
      </c>
      <c r="Y115" s="105">
        <f t="shared" si="7"/>
        <v>3328.8526127472569</v>
      </c>
      <c r="Z115" s="105">
        <f t="shared" si="7"/>
        <v>3328.8526127472569</v>
      </c>
      <c r="AA115" s="105">
        <f t="shared" si="7"/>
        <v>4161.0657659340714</v>
      </c>
      <c r="AB115" s="105">
        <f t="shared" si="7"/>
        <v>4161.0657659340714</v>
      </c>
      <c r="AC115" s="105">
        <f t="shared" si="7"/>
        <v>4161.0657659340714</v>
      </c>
      <c r="AD115" s="105">
        <f t="shared" si="7"/>
        <v>4161.0657659340714</v>
      </c>
      <c r="AE115" s="105">
        <f t="shared" si="7"/>
        <v>4161.0657659340714</v>
      </c>
      <c r="AF115" s="105">
        <f t="shared" si="7"/>
        <v>4161.0657659340714</v>
      </c>
      <c r="AG115" s="105">
        <f t="shared" si="7"/>
        <v>4161.0657659340714</v>
      </c>
      <c r="AH115" s="105">
        <f t="shared" si="7"/>
        <v>4161.0657659340714</v>
      </c>
      <c r="AI115" s="105">
        <f t="shared" si="7"/>
        <v>4161.0657659340714</v>
      </c>
      <c r="AJ115" s="105">
        <f t="shared" si="7"/>
        <v>4161.0657659340714</v>
      </c>
      <c r="AK115" s="105">
        <f t="shared" si="7"/>
        <v>4161.0657659340714</v>
      </c>
      <c r="AL115" s="105">
        <f t="shared" si="7"/>
        <v>4161.0657659340714</v>
      </c>
      <c r="AM115" s="105">
        <f t="shared" si="7"/>
        <v>3328.8526127472569</v>
      </c>
      <c r="AN115" s="105">
        <f t="shared" si="7"/>
        <v>3328.8526127472569</v>
      </c>
      <c r="AO115" s="105">
        <f t="shared" si="7"/>
        <v>3328.8526127472569</v>
      </c>
      <c r="AP115" s="105">
        <f t="shared" si="7"/>
        <v>3328.8526127472569</v>
      </c>
      <c r="AQ115" s="105">
        <f t="shared" si="7"/>
        <v>4161.0657659340714</v>
      </c>
      <c r="AR115" s="105">
        <f t="shared" si="7"/>
        <v>4161.0657659340714</v>
      </c>
      <c r="AS115" s="105">
        <f t="shared" si="7"/>
        <v>4161.0657659340714</v>
      </c>
      <c r="AT115" s="105">
        <f t="shared" si="7"/>
        <v>4161.0657659340714</v>
      </c>
      <c r="AU115" s="105">
        <f t="shared" si="7"/>
        <v>4161.0657659340714</v>
      </c>
      <c r="AV115" s="105">
        <f t="shared" si="7"/>
        <v>4161.0657659340714</v>
      </c>
      <c r="AW115" s="105">
        <f t="shared" si="7"/>
        <v>4161.0657659340714</v>
      </c>
      <c r="AX115" s="105">
        <f t="shared" si="7"/>
        <v>4161.0657659340714</v>
      </c>
    </row>
    <row r="116" spans="1:50">
      <c r="A116" s="105" t="s">
        <v>107</v>
      </c>
      <c r="B116" s="105" t="s">
        <v>10</v>
      </c>
      <c r="C116" s="100">
        <v>11615.999999999998</v>
      </c>
      <c r="D116" s="100">
        <v>11615.999999999998</v>
      </c>
      <c r="E116" s="100">
        <v>11615.999999999998</v>
      </c>
      <c r="F116" s="100">
        <v>11615.999999999998</v>
      </c>
      <c r="G116" s="100">
        <v>11615.999999999998</v>
      </c>
      <c r="H116" s="100">
        <v>11615.999999999998</v>
      </c>
      <c r="I116" s="100">
        <v>11615.999999999998</v>
      </c>
      <c r="J116" s="100">
        <v>11615.999999999998</v>
      </c>
      <c r="K116" s="100">
        <v>11615.999999999998</v>
      </c>
      <c r="L116" s="100">
        <v>11615.999999999998</v>
      </c>
      <c r="M116" s="100">
        <v>11615.999999999998</v>
      </c>
      <c r="N116" s="100">
        <v>11615.999999999998</v>
      </c>
      <c r="O116" s="100">
        <v>11615.999999999998</v>
      </c>
      <c r="P116" s="100">
        <v>11615.999999999998</v>
      </c>
      <c r="Q116" s="100">
        <v>11615.999999999998</v>
      </c>
      <c r="R116" s="100">
        <v>11615.999999999998</v>
      </c>
      <c r="S116" s="100">
        <v>11615.999999999998</v>
      </c>
      <c r="T116" s="100">
        <v>11615.999999999998</v>
      </c>
      <c r="U116" s="100">
        <v>11615.999999999998</v>
      </c>
      <c r="V116" s="100">
        <v>11615.999999999998</v>
      </c>
      <c r="W116" s="100">
        <v>11615.999999999998</v>
      </c>
      <c r="X116" s="100">
        <v>11615.999999999998</v>
      </c>
      <c r="Y116" s="100">
        <v>11615.999999999998</v>
      </c>
      <c r="Z116" s="100">
        <v>11615.999999999998</v>
      </c>
      <c r="AA116" s="100">
        <v>11615.999999999998</v>
      </c>
      <c r="AB116" s="100">
        <v>11615.999999999998</v>
      </c>
      <c r="AC116" s="100">
        <v>11615.999999999998</v>
      </c>
      <c r="AD116" s="100">
        <v>11615.999999999998</v>
      </c>
      <c r="AE116" s="100">
        <v>11615.999999999998</v>
      </c>
      <c r="AF116" s="100">
        <v>11615.999999999998</v>
      </c>
      <c r="AG116" s="100">
        <v>11615.999999999998</v>
      </c>
      <c r="AH116" s="100">
        <v>11615.999999999998</v>
      </c>
      <c r="AI116" s="100">
        <v>11615.999999999998</v>
      </c>
      <c r="AJ116" s="100">
        <v>11615.999999999998</v>
      </c>
      <c r="AK116" s="100">
        <v>11615.999999999998</v>
      </c>
      <c r="AL116" s="100">
        <v>11615.999999999998</v>
      </c>
      <c r="AM116" s="100">
        <v>11615.999999999998</v>
      </c>
      <c r="AN116" s="100">
        <v>11615.999999999998</v>
      </c>
      <c r="AO116" s="100">
        <v>11615.999999999998</v>
      </c>
      <c r="AP116" s="100">
        <v>11615.999999999998</v>
      </c>
      <c r="AQ116" s="100">
        <v>11615.999999999998</v>
      </c>
      <c r="AR116" s="100">
        <v>11615.999999999998</v>
      </c>
      <c r="AS116" s="100">
        <v>11615.999999999998</v>
      </c>
      <c r="AT116" s="100">
        <v>11615.999999999998</v>
      </c>
      <c r="AU116" s="100">
        <v>11615.999999999998</v>
      </c>
      <c r="AV116" s="100">
        <v>11615.999999999998</v>
      </c>
      <c r="AW116" s="100">
        <v>11615.999999999998</v>
      </c>
      <c r="AX116" s="100">
        <v>11615.999999999998</v>
      </c>
    </row>
    <row r="117" spans="1:50">
      <c r="B117" s="105" t="s">
        <v>12</v>
      </c>
      <c r="C117" s="100">
        <v>3.4658993135708732E-16</v>
      </c>
      <c r="D117" s="100">
        <v>3.4658993135708732E-16</v>
      </c>
      <c r="E117" s="100">
        <v>3.4658993135708732E-16</v>
      </c>
      <c r="F117" s="100">
        <v>3.4658993135708732E-16</v>
      </c>
      <c r="G117" s="100">
        <v>3.4658993135708732E-16</v>
      </c>
      <c r="H117" s="100">
        <v>3.4658993135708732E-16</v>
      </c>
      <c r="I117" s="100">
        <v>3.4658993135708732E-16</v>
      </c>
      <c r="J117" s="100">
        <v>3.4658993135708732E-16</v>
      </c>
      <c r="K117" s="100">
        <v>3.4658993135708732E-16</v>
      </c>
      <c r="L117" s="100">
        <v>3.4658993135708732E-16</v>
      </c>
      <c r="M117" s="100">
        <v>3.4658993135708732E-16</v>
      </c>
      <c r="N117" s="100">
        <v>3.4658993135708732E-16</v>
      </c>
      <c r="O117" s="100">
        <v>3.4658993135708732E-16</v>
      </c>
      <c r="P117" s="100">
        <v>3.4658993135708732E-16</v>
      </c>
      <c r="Q117" s="100">
        <v>3.4658993135708732E-16</v>
      </c>
      <c r="R117" s="100">
        <v>3.4658993135708732E-16</v>
      </c>
      <c r="S117" s="100">
        <v>3.4658993135708732E-16</v>
      </c>
      <c r="T117" s="100">
        <v>3.4658993135708732E-16</v>
      </c>
      <c r="U117" s="100">
        <v>3.4658993135708732E-16</v>
      </c>
      <c r="V117" s="100">
        <v>3.4658993135708732E-16</v>
      </c>
      <c r="W117" s="100">
        <v>3.4658993135708732E-16</v>
      </c>
      <c r="X117" s="100">
        <v>3.4658993135708732E-16</v>
      </c>
      <c r="Y117" s="100">
        <v>3.4658993135708732E-16</v>
      </c>
      <c r="Z117" s="100">
        <v>3.4658993135708732E-16</v>
      </c>
      <c r="AA117" s="100">
        <v>3.4658993135708732E-16</v>
      </c>
      <c r="AB117" s="100">
        <v>3.4658993135708732E-16</v>
      </c>
      <c r="AC117" s="100">
        <v>3.4658993135708732E-16</v>
      </c>
      <c r="AD117" s="100">
        <v>3.4658993135708732E-16</v>
      </c>
      <c r="AE117" s="100">
        <v>3.4658993135708732E-16</v>
      </c>
      <c r="AF117" s="100">
        <v>3.4658993135708732E-16</v>
      </c>
      <c r="AG117" s="100">
        <v>3.4658993135708732E-16</v>
      </c>
      <c r="AH117" s="100">
        <v>3.4658993135708732E-16</v>
      </c>
      <c r="AI117" s="100">
        <v>3.4658993135708732E-16</v>
      </c>
      <c r="AJ117" s="100">
        <v>3.4658993135708732E-16</v>
      </c>
      <c r="AK117" s="100">
        <v>3.4658993135708732E-16</v>
      </c>
      <c r="AL117" s="100">
        <v>3.4658993135708732E-16</v>
      </c>
      <c r="AM117" s="100">
        <v>3.4658993135708732E-16</v>
      </c>
      <c r="AN117" s="100">
        <v>3.4658993135708732E-16</v>
      </c>
      <c r="AO117" s="100">
        <v>3.4658993135708732E-16</v>
      </c>
      <c r="AP117" s="100">
        <v>3.4658993135708732E-16</v>
      </c>
      <c r="AQ117" s="100">
        <v>3.4658993135708732E-16</v>
      </c>
      <c r="AR117" s="100">
        <v>3.4658993135708732E-16</v>
      </c>
      <c r="AS117" s="100">
        <v>3.4658993135708732E-16</v>
      </c>
      <c r="AT117" s="100">
        <v>3.4658993135708732E-16</v>
      </c>
      <c r="AU117" s="100">
        <v>3.4658993135708732E-16</v>
      </c>
      <c r="AV117" s="100">
        <v>3.4658993135708732E-16</v>
      </c>
      <c r="AW117" s="100">
        <v>3.4658993135708732E-16</v>
      </c>
      <c r="AX117" s="100">
        <v>3.4658993135708732E-16</v>
      </c>
    </row>
    <row r="118" spans="1:50">
      <c r="B118" s="105" t="s">
        <v>22</v>
      </c>
      <c r="C118" s="100">
        <v>1.703272630818004E-17</v>
      </c>
      <c r="D118" s="100">
        <v>1.703272630818004E-17</v>
      </c>
      <c r="E118" s="100">
        <v>1.703272630818004E-17</v>
      </c>
      <c r="F118" s="100">
        <v>1.703272630818004E-17</v>
      </c>
      <c r="G118" s="100">
        <v>1.703272630818004E-17</v>
      </c>
      <c r="H118" s="100">
        <v>1.703272630818004E-17</v>
      </c>
      <c r="I118" s="100">
        <v>1.703272630818004E-17</v>
      </c>
      <c r="J118" s="100">
        <v>1.703272630818004E-17</v>
      </c>
      <c r="K118" s="100">
        <v>1.703272630818004E-17</v>
      </c>
      <c r="L118" s="100">
        <v>1.703272630818004E-17</v>
      </c>
      <c r="M118" s="100">
        <v>1.703272630818004E-17</v>
      </c>
      <c r="N118" s="100">
        <v>1.703272630818004E-17</v>
      </c>
      <c r="O118" s="100">
        <v>1.703272630818004E-17</v>
      </c>
      <c r="P118" s="100">
        <v>1.703272630818004E-17</v>
      </c>
      <c r="Q118" s="100">
        <v>1.703272630818004E-17</v>
      </c>
      <c r="R118" s="100">
        <v>1.703272630818004E-17</v>
      </c>
      <c r="S118" s="100">
        <v>1.703272630818004E-17</v>
      </c>
      <c r="T118" s="100">
        <v>1.703272630818004E-17</v>
      </c>
      <c r="U118" s="100">
        <v>1.703272630818004E-17</v>
      </c>
      <c r="V118" s="100">
        <v>1.703272630818004E-17</v>
      </c>
      <c r="W118" s="100">
        <v>1.703272630818004E-17</v>
      </c>
      <c r="X118" s="100">
        <v>1.703272630818004E-17</v>
      </c>
      <c r="Y118" s="100">
        <v>1.703272630818004E-17</v>
      </c>
      <c r="Z118" s="100">
        <v>1.703272630818004E-17</v>
      </c>
      <c r="AA118" s="100">
        <v>1.703272630818004E-17</v>
      </c>
      <c r="AB118" s="100">
        <v>1.703272630818004E-17</v>
      </c>
      <c r="AC118" s="100">
        <v>1.703272630818004E-17</v>
      </c>
      <c r="AD118" s="100">
        <v>1.703272630818004E-17</v>
      </c>
      <c r="AE118" s="100">
        <v>1.703272630818004E-17</v>
      </c>
      <c r="AF118" s="100">
        <v>1.703272630818004E-17</v>
      </c>
      <c r="AG118" s="100">
        <v>1.703272630818004E-17</v>
      </c>
      <c r="AH118" s="100">
        <v>1.703272630818004E-17</v>
      </c>
      <c r="AI118" s="100">
        <v>1.703272630818004E-17</v>
      </c>
      <c r="AJ118" s="100">
        <v>1.703272630818004E-17</v>
      </c>
      <c r="AK118" s="100">
        <v>1.703272630818004E-17</v>
      </c>
      <c r="AL118" s="100">
        <v>1.703272630818004E-17</v>
      </c>
      <c r="AM118" s="100">
        <v>1.703272630818004E-17</v>
      </c>
      <c r="AN118" s="100">
        <v>1.703272630818004E-17</v>
      </c>
      <c r="AO118" s="100">
        <v>1.703272630818004E-17</v>
      </c>
      <c r="AP118" s="100">
        <v>1.703272630818004E-17</v>
      </c>
      <c r="AQ118" s="100">
        <v>1.703272630818004E-17</v>
      </c>
      <c r="AR118" s="100">
        <v>1.703272630818004E-17</v>
      </c>
      <c r="AS118" s="100">
        <v>1.703272630818004E-17</v>
      </c>
      <c r="AT118" s="100">
        <v>1.703272630818004E-17</v>
      </c>
      <c r="AU118" s="100">
        <v>1.703272630818004E-17</v>
      </c>
      <c r="AV118" s="100">
        <v>1.703272630818004E-17</v>
      </c>
      <c r="AW118" s="100">
        <v>1.703272630818004E-17</v>
      </c>
      <c r="AX118" s="100">
        <v>1.703272630818004E-17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12159.399999999998</v>
      </c>
      <c r="D121" s="105">
        <f t="shared" ref="D121:AX121" si="8">SUM(D$116:D$120)</f>
        <v>12159.399999999998</v>
      </c>
      <c r="E121" s="105">
        <f t="shared" si="8"/>
        <v>12159.399999999998</v>
      </c>
      <c r="F121" s="105">
        <f t="shared" si="8"/>
        <v>12159.399999999998</v>
      </c>
      <c r="G121" s="105">
        <f t="shared" si="8"/>
        <v>12159.399999999998</v>
      </c>
      <c r="H121" s="105">
        <f t="shared" si="8"/>
        <v>12159.399999999998</v>
      </c>
      <c r="I121" s="105">
        <f t="shared" si="8"/>
        <v>12159.399999999998</v>
      </c>
      <c r="J121" s="105">
        <f t="shared" si="8"/>
        <v>12159.399999999998</v>
      </c>
      <c r="K121" s="105">
        <f t="shared" si="8"/>
        <v>12159.399999999998</v>
      </c>
      <c r="L121" s="105">
        <f t="shared" si="8"/>
        <v>12159.399999999998</v>
      </c>
      <c r="M121" s="105">
        <f t="shared" si="8"/>
        <v>12159.399999999998</v>
      </c>
      <c r="N121" s="105">
        <f t="shared" si="8"/>
        <v>12159.399999999998</v>
      </c>
      <c r="O121" s="105">
        <f t="shared" si="8"/>
        <v>12159.399999999998</v>
      </c>
      <c r="P121" s="105">
        <f t="shared" si="8"/>
        <v>12159.399999999998</v>
      </c>
      <c r="Q121" s="105">
        <f t="shared" si="8"/>
        <v>12159.399999999998</v>
      </c>
      <c r="R121" s="105">
        <f t="shared" si="8"/>
        <v>12159.399999999998</v>
      </c>
      <c r="S121" s="105">
        <f t="shared" si="8"/>
        <v>12159.399999999998</v>
      </c>
      <c r="T121" s="105">
        <f t="shared" si="8"/>
        <v>12159.399999999998</v>
      </c>
      <c r="U121" s="105">
        <f t="shared" si="8"/>
        <v>12159.399999999998</v>
      </c>
      <c r="V121" s="105">
        <f t="shared" si="8"/>
        <v>12159.399999999998</v>
      </c>
      <c r="W121" s="105">
        <f t="shared" si="8"/>
        <v>12159.399999999998</v>
      </c>
      <c r="X121" s="105">
        <f t="shared" si="8"/>
        <v>12159.399999999998</v>
      </c>
      <c r="Y121" s="105">
        <f t="shared" si="8"/>
        <v>12159.399999999998</v>
      </c>
      <c r="Z121" s="105">
        <f t="shared" si="8"/>
        <v>12159.399999999998</v>
      </c>
      <c r="AA121" s="105">
        <f t="shared" si="8"/>
        <v>12159.399999999998</v>
      </c>
      <c r="AB121" s="105">
        <f t="shared" si="8"/>
        <v>12159.399999999998</v>
      </c>
      <c r="AC121" s="105">
        <f t="shared" si="8"/>
        <v>12159.399999999998</v>
      </c>
      <c r="AD121" s="105">
        <f t="shared" si="8"/>
        <v>12159.399999999998</v>
      </c>
      <c r="AE121" s="105">
        <f t="shared" si="8"/>
        <v>12159.399999999998</v>
      </c>
      <c r="AF121" s="105">
        <f t="shared" si="8"/>
        <v>12159.399999999998</v>
      </c>
      <c r="AG121" s="105">
        <f t="shared" si="8"/>
        <v>12159.399999999998</v>
      </c>
      <c r="AH121" s="105">
        <f t="shared" si="8"/>
        <v>12159.399999999998</v>
      </c>
      <c r="AI121" s="105">
        <f t="shared" si="8"/>
        <v>12159.399999999998</v>
      </c>
      <c r="AJ121" s="105">
        <f t="shared" si="8"/>
        <v>12159.399999999998</v>
      </c>
      <c r="AK121" s="105">
        <f t="shared" si="8"/>
        <v>12159.399999999998</v>
      </c>
      <c r="AL121" s="105">
        <f t="shared" si="8"/>
        <v>12159.399999999998</v>
      </c>
      <c r="AM121" s="105">
        <f t="shared" si="8"/>
        <v>12159.399999999998</v>
      </c>
      <c r="AN121" s="105">
        <f t="shared" si="8"/>
        <v>12159.399999999998</v>
      </c>
      <c r="AO121" s="105">
        <f t="shared" si="8"/>
        <v>12159.399999999998</v>
      </c>
      <c r="AP121" s="105">
        <f t="shared" si="8"/>
        <v>12159.399999999998</v>
      </c>
      <c r="AQ121" s="105">
        <f t="shared" si="8"/>
        <v>12159.399999999998</v>
      </c>
      <c r="AR121" s="105">
        <f t="shared" si="8"/>
        <v>12159.399999999998</v>
      </c>
      <c r="AS121" s="105">
        <f t="shared" si="8"/>
        <v>12159.399999999998</v>
      </c>
      <c r="AT121" s="105">
        <f t="shared" si="8"/>
        <v>12159.399999999998</v>
      </c>
      <c r="AU121" s="105">
        <f t="shared" si="8"/>
        <v>12159.399999999998</v>
      </c>
      <c r="AV121" s="105">
        <f t="shared" si="8"/>
        <v>12159.399999999998</v>
      </c>
      <c r="AW121" s="105">
        <f t="shared" si="8"/>
        <v>12159.399999999998</v>
      </c>
      <c r="AX121" s="105">
        <f t="shared" si="8"/>
        <v>12159.399999999998</v>
      </c>
    </row>
    <row r="122" spans="1:50">
      <c r="A122" s="105" t="s">
        <v>108</v>
      </c>
      <c r="B122" s="105" t="s">
        <v>10</v>
      </c>
      <c r="C122" s="100">
        <v>2.8444780214357595E-17</v>
      </c>
      <c r="D122" s="100">
        <v>2.8444780214357595E-17</v>
      </c>
      <c r="E122" s="100">
        <v>2.8444780214357595E-17</v>
      </c>
      <c r="F122" s="100">
        <v>2.8444780214357595E-17</v>
      </c>
      <c r="G122" s="100">
        <v>2.8444780214357595E-17</v>
      </c>
      <c r="H122" s="100">
        <v>2.8444780214357595E-17</v>
      </c>
      <c r="I122" s="100">
        <v>2.8444780214357595E-17</v>
      </c>
      <c r="J122" s="100">
        <v>2.8444780214357595E-17</v>
      </c>
      <c r="K122" s="100">
        <v>2.3703983511964666E-17</v>
      </c>
      <c r="L122" s="100">
        <v>2.3703983511964666E-17</v>
      </c>
      <c r="M122" s="100">
        <v>2.3703983511964666E-17</v>
      </c>
      <c r="N122" s="100">
        <v>2.3703983511964666E-17</v>
      </c>
      <c r="O122" s="100">
        <v>2.3703983511964666E-17</v>
      </c>
      <c r="P122" s="100">
        <v>2.3703983511964666E-17</v>
      </c>
      <c r="Q122" s="100">
        <v>2.3703983511964666E-17</v>
      </c>
      <c r="R122" s="100">
        <v>2.3703983511964666E-17</v>
      </c>
      <c r="S122" s="100">
        <v>2.3703983511964666E-17</v>
      </c>
      <c r="T122" s="100">
        <v>2.3703983511964666E-17</v>
      </c>
      <c r="U122" s="100">
        <v>2.3703983511964666E-17</v>
      </c>
      <c r="V122" s="100">
        <v>2.3703983511964666E-17</v>
      </c>
      <c r="W122" s="100">
        <v>2.8444780214357595E-17</v>
      </c>
      <c r="X122" s="100">
        <v>2.8444780214357595E-17</v>
      </c>
      <c r="Y122" s="100">
        <v>2.8444780214357595E-17</v>
      </c>
      <c r="Z122" s="100">
        <v>2.8444780214357595E-17</v>
      </c>
      <c r="AA122" s="100">
        <v>2.3703983511964666E-17</v>
      </c>
      <c r="AB122" s="100">
        <v>2.3703983511964666E-17</v>
      </c>
      <c r="AC122" s="100">
        <v>2.3703983511964666E-17</v>
      </c>
      <c r="AD122" s="100">
        <v>2.3703983511964666E-17</v>
      </c>
      <c r="AE122" s="100">
        <v>1.8963186809571732E-17</v>
      </c>
      <c r="AF122" s="100">
        <v>1.8963186809571732E-17</v>
      </c>
      <c r="AG122" s="100">
        <v>1.8963186809571732E-17</v>
      </c>
      <c r="AH122" s="100">
        <v>1.8963186809571732E-17</v>
      </c>
      <c r="AI122" s="100">
        <v>2.3703983511964666E-17</v>
      </c>
      <c r="AJ122" s="100">
        <v>2.3703983511964666E-17</v>
      </c>
      <c r="AK122" s="100">
        <v>2.3703983511964666E-17</v>
      </c>
      <c r="AL122" s="100">
        <v>2.3703983511964666E-17</v>
      </c>
      <c r="AM122" s="100">
        <v>2.3703983511964666E-17</v>
      </c>
      <c r="AN122" s="100">
        <v>2.3703983511964666E-17</v>
      </c>
      <c r="AO122" s="100">
        <v>2.3703983511964666E-17</v>
      </c>
      <c r="AP122" s="100">
        <v>2.3703983511964666E-17</v>
      </c>
      <c r="AQ122" s="100">
        <v>2.3703983511964666E-17</v>
      </c>
      <c r="AR122" s="100">
        <v>2.3703983511964666E-17</v>
      </c>
      <c r="AS122" s="100">
        <v>2.3703983511964666E-17</v>
      </c>
      <c r="AT122" s="100">
        <v>2.3703983511964666E-17</v>
      </c>
      <c r="AU122" s="100">
        <v>2.3703983511964666E-17</v>
      </c>
      <c r="AV122" s="100">
        <v>2.3703983511964666E-17</v>
      </c>
      <c r="AW122" s="100">
        <v>2.3703983511964666E-17</v>
      </c>
      <c r="AX122" s="100">
        <v>2.3703983511964666E-17</v>
      </c>
    </row>
    <row r="123" spans="1:50">
      <c r="B123" s="105" t="s">
        <v>12</v>
      </c>
      <c r="C123" s="100">
        <v>4.037591312872924E-16</v>
      </c>
      <c r="D123" s="100">
        <v>4.037591312872924E-16</v>
      </c>
      <c r="E123" s="100">
        <v>4.037591312872924E-16</v>
      </c>
      <c r="F123" s="100">
        <v>4.037591312872924E-16</v>
      </c>
      <c r="G123" s="100">
        <v>4.037591312872924E-16</v>
      </c>
      <c r="H123" s="100">
        <v>4.037591312872924E-16</v>
      </c>
      <c r="I123" s="100">
        <v>4.037591312872924E-16</v>
      </c>
      <c r="J123" s="100">
        <v>4.037591312872924E-16</v>
      </c>
      <c r="K123" s="100">
        <v>3.3646594273941032E-16</v>
      </c>
      <c r="L123" s="100">
        <v>3.3646594273941032E-16</v>
      </c>
      <c r="M123" s="100">
        <v>3.3646594273941032E-16</v>
      </c>
      <c r="N123" s="100">
        <v>3.3646594273941032E-16</v>
      </c>
      <c r="O123" s="100">
        <v>3.3646594273941032E-16</v>
      </c>
      <c r="P123" s="100">
        <v>3.3646594273941032E-16</v>
      </c>
      <c r="Q123" s="100">
        <v>3.3646594273941032E-16</v>
      </c>
      <c r="R123" s="100">
        <v>3.3646594273941032E-16</v>
      </c>
      <c r="S123" s="100">
        <v>3.3646594273941032E-16</v>
      </c>
      <c r="T123" s="100">
        <v>3.3646594273941032E-16</v>
      </c>
      <c r="U123" s="100">
        <v>3.3646594273941032E-16</v>
      </c>
      <c r="V123" s="100">
        <v>3.3646594273941032E-16</v>
      </c>
      <c r="W123" s="100">
        <v>4.037591312872924E-16</v>
      </c>
      <c r="X123" s="100">
        <v>4.037591312872924E-16</v>
      </c>
      <c r="Y123" s="100">
        <v>4.037591312872924E-16</v>
      </c>
      <c r="Z123" s="100">
        <v>4.037591312872924E-16</v>
      </c>
      <c r="AA123" s="100">
        <v>3.3646594273941032E-16</v>
      </c>
      <c r="AB123" s="100">
        <v>3.3646594273941032E-16</v>
      </c>
      <c r="AC123" s="100">
        <v>3.3646594273941032E-16</v>
      </c>
      <c r="AD123" s="100">
        <v>3.3646594273941032E-16</v>
      </c>
      <c r="AE123" s="100">
        <v>2.691727541915283E-16</v>
      </c>
      <c r="AF123" s="100">
        <v>2.691727541915283E-16</v>
      </c>
      <c r="AG123" s="100">
        <v>2.691727541915283E-16</v>
      </c>
      <c r="AH123" s="100">
        <v>2.691727541915283E-16</v>
      </c>
      <c r="AI123" s="100">
        <v>3.3646594273941032E-16</v>
      </c>
      <c r="AJ123" s="100">
        <v>3.3646594273941032E-16</v>
      </c>
      <c r="AK123" s="100">
        <v>3.3646594273941032E-16</v>
      </c>
      <c r="AL123" s="100">
        <v>3.3646594273941032E-16</v>
      </c>
      <c r="AM123" s="100">
        <v>3.3646594273941032E-16</v>
      </c>
      <c r="AN123" s="100">
        <v>3.3646594273941032E-16</v>
      </c>
      <c r="AO123" s="100">
        <v>3.3646594273941032E-16</v>
      </c>
      <c r="AP123" s="100">
        <v>3.3646594273941032E-16</v>
      </c>
      <c r="AQ123" s="100">
        <v>3.3646594273941032E-16</v>
      </c>
      <c r="AR123" s="100">
        <v>3.3646594273941032E-16</v>
      </c>
      <c r="AS123" s="100">
        <v>3.3646594273941032E-16</v>
      </c>
      <c r="AT123" s="100">
        <v>3.3646594273941032E-16</v>
      </c>
      <c r="AU123" s="100">
        <v>3.3646594273941032E-16</v>
      </c>
      <c r="AV123" s="100">
        <v>3.3646594273941032E-16</v>
      </c>
      <c r="AW123" s="100">
        <v>3.3646594273941032E-16</v>
      </c>
      <c r="AX123" s="100">
        <v>3.3646594273941032E-16</v>
      </c>
    </row>
    <row r="124" spans="1:50">
      <c r="B124" s="105" t="s">
        <v>22</v>
      </c>
      <c r="C124" s="100">
        <v>7.5757667559008816E-17</v>
      </c>
      <c r="D124" s="100">
        <v>7.5757667559008816E-17</v>
      </c>
      <c r="E124" s="100">
        <v>7.5757667559008816E-17</v>
      </c>
      <c r="F124" s="100">
        <v>7.5757667559008816E-17</v>
      </c>
      <c r="G124" s="100">
        <v>7.5757667559008816E-17</v>
      </c>
      <c r="H124" s="100">
        <v>7.5757667559008816E-17</v>
      </c>
      <c r="I124" s="100">
        <v>7.5757667559008816E-17</v>
      </c>
      <c r="J124" s="100">
        <v>7.5757667559008816E-17</v>
      </c>
      <c r="K124" s="100">
        <v>6.3131389632507359E-17</v>
      </c>
      <c r="L124" s="100">
        <v>6.3131389632507359E-17</v>
      </c>
      <c r="M124" s="100">
        <v>6.3131389632507359E-17</v>
      </c>
      <c r="N124" s="100">
        <v>6.3131389632507359E-17</v>
      </c>
      <c r="O124" s="100">
        <v>6.3131389632507359E-17</v>
      </c>
      <c r="P124" s="100">
        <v>6.3131389632507359E-17</v>
      </c>
      <c r="Q124" s="100">
        <v>6.3131389632507359E-17</v>
      </c>
      <c r="R124" s="100">
        <v>6.3131389632507359E-17</v>
      </c>
      <c r="S124" s="100">
        <v>6.3131389632507359E-17</v>
      </c>
      <c r="T124" s="100">
        <v>6.3131389632507359E-17</v>
      </c>
      <c r="U124" s="100">
        <v>6.3131389632507359E-17</v>
      </c>
      <c r="V124" s="100">
        <v>6.3131389632507359E-17</v>
      </c>
      <c r="W124" s="100">
        <v>7.5757667559008816E-17</v>
      </c>
      <c r="X124" s="100">
        <v>7.5757667559008816E-17</v>
      </c>
      <c r="Y124" s="100">
        <v>7.5757667559008816E-17</v>
      </c>
      <c r="Z124" s="100">
        <v>7.5757667559008816E-17</v>
      </c>
      <c r="AA124" s="100">
        <v>6.3131389632507359E-17</v>
      </c>
      <c r="AB124" s="100">
        <v>6.3131389632507359E-17</v>
      </c>
      <c r="AC124" s="100">
        <v>6.3131389632507359E-17</v>
      </c>
      <c r="AD124" s="100">
        <v>6.3131389632507359E-17</v>
      </c>
      <c r="AE124" s="100">
        <v>5.0505111706005883E-17</v>
      </c>
      <c r="AF124" s="100">
        <v>5.0505111706005883E-17</v>
      </c>
      <c r="AG124" s="100">
        <v>5.0505111706005883E-17</v>
      </c>
      <c r="AH124" s="100">
        <v>5.0505111706005883E-17</v>
      </c>
      <c r="AI124" s="100">
        <v>6.3131389632507359E-17</v>
      </c>
      <c r="AJ124" s="100">
        <v>6.3131389632507359E-17</v>
      </c>
      <c r="AK124" s="100">
        <v>6.3131389632507359E-17</v>
      </c>
      <c r="AL124" s="100">
        <v>6.3131389632507359E-17</v>
      </c>
      <c r="AM124" s="100">
        <v>6.3131389632507359E-17</v>
      </c>
      <c r="AN124" s="100">
        <v>6.3131389632507359E-17</v>
      </c>
      <c r="AO124" s="100">
        <v>6.3131389632507359E-17</v>
      </c>
      <c r="AP124" s="100">
        <v>6.3131389632507359E-17</v>
      </c>
      <c r="AQ124" s="100">
        <v>6.3131389632507359E-17</v>
      </c>
      <c r="AR124" s="100">
        <v>6.3131389632507359E-17</v>
      </c>
      <c r="AS124" s="100">
        <v>6.3131389632507359E-17</v>
      </c>
      <c r="AT124" s="100">
        <v>6.3131389632507359E-17</v>
      </c>
      <c r="AU124" s="100">
        <v>6.3131389632507359E-17</v>
      </c>
      <c r="AV124" s="100">
        <v>6.3131389632507359E-17</v>
      </c>
      <c r="AW124" s="100">
        <v>6.3131389632507359E-17</v>
      </c>
      <c r="AX124" s="100">
        <v>6.3131389632507359E-17</v>
      </c>
    </row>
    <row r="125" spans="1:50">
      <c r="B125" s="105" t="s">
        <v>46</v>
      </c>
      <c r="C125" s="100">
        <v>-2.0584098504367728E-33</v>
      </c>
      <c r="D125" s="100">
        <v>-2.0584098504367728E-33</v>
      </c>
      <c r="E125" s="100">
        <v>-2.0584098504367728E-33</v>
      </c>
      <c r="F125" s="100">
        <v>-2.0584098504367728E-33</v>
      </c>
      <c r="G125" s="100">
        <v>-2.0584098504367728E-33</v>
      </c>
      <c r="H125" s="100">
        <v>-2.0584098504367728E-33</v>
      </c>
      <c r="I125" s="100">
        <v>-2.0584098504367728E-33</v>
      </c>
      <c r="J125" s="100">
        <v>-2.0584098504367728E-33</v>
      </c>
      <c r="K125" s="100">
        <v>-1.715341542030644E-33</v>
      </c>
      <c r="L125" s="100">
        <v>-1.715341542030644E-33</v>
      </c>
      <c r="M125" s="100">
        <v>-1.715341542030644E-33</v>
      </c>
      <c r="N125" s="100">
        <v>-1.715341542030644E-33</v>
      </c>
      <c r="O125" s="100">
        <v>-1.715341542030644E-33</v>
      </c>
      <c r="P125" s="100">
        <v>-1.715341542030644E-33</v>
      </c>
      <c r="Q125" s="100">
        <v>-1.715341542030644E-33</v>
      </c>
      <c r="R125" s="100">
        <v>-1.715341542030644E-33</v>
      </c>
      <c r="S125" s="100">
        <v>-1.715341542030644E-33</v>
      </c>
      <c r="T125" s="100">
        <v>-1.715341542030644E-33</v>
      </c>
      <c r="U125" s="100">
        <v>-1.715341542030644E-33</v>
      </c>
      <c r="V125" s="100">
        <v>-1.715341542030644E-33</v>
      </c>
      <c r="W125" s="100">
        <v>-2.0584098504367728E-33</v>
      </c>
      <c r="X125" s="100">
        <v>-2.0584098504367728E-33</v>
      </c>
      <c r="Y125" s="100">
        <v>-2.0584098504367728E-33</v>
      </c>
      <c r="Z125" s="100">
        <v>-2.0584098504367728E-33</v>
      </c>
      <c r="AA125" s="100">
        <v>-1.715341542030644E-33</v>
      </c>
      <c r="AB125" s="100">
        <v>-1.715341542030644E-33</v>
      </c>
      <c r="AC125" s="100">
        <v>-1.715341542030644E-33</v>
      </c>
      <c r="AD125" s="100">
        <v>-1.715341542030644E-33</v>
      </c>
      <c r="AE125" s="100">
        <v>-1.3722732336245153E-33</v>
      </c>
      <c r="AF125" s="100">
        <v>-1.3722732336245153E-33</v>
      </c>
      <c r="AG125" s="100">
        <v>-1.3722732336245153E-33</v>
      </c>
      <c r="AH125" s="100">
        <v>-1.3722732336245153E-33</v>
      </c>
      <c r="AI125" s="100">
        <v>-1.715341542030644E-33</v>
      </c>
      <c r="AJ125" s="100">
        <v>-1.715341542030644E-33</v>
      </c>
      <c r="AK125" s="100">
        <v>-1.715341542030644E-33</v>
      </c>
      <c r="AL125" s="100">
        <v>-1.715341542030644E-33</v>
      </c>
      <c r="AM125" s="100">
        <v>-1.715341542030644E-33</v>
      </c>
      <c r="AN125" s="100">
        <v>-1.715341542030644E-33</v>
      </c>
      <c r="AO125" s="100">
        <v>-1.715341542030644E-33</v>
      </c>
      <c r="AP125" s="100">
        <v>-1.715341542030644E-33</v>
      </c>
      <c r="AQ125" s="100">
        <v>-1.715341542030644E-33</v>
      </c>
      <c r="AR125" s="100">
        <v>-1.715341542030644E-33</v>
      </c>
      <c r="AS125" s="100">
        <v>-1.715341542030644E-33</v>
      </c>
      <c r="AT125" s="100">
        <v>-1.715341542030644E-33</v>
      </c>
      <c r="AU125" s="100">
        <v>-1.715341542030644E-33</v>
      </c>
      <c r="AV125" s="100">
        <v>-1.715341542030644E-33</v>
      </c>
      <c r="AW125" s="100">
        <v>-1.715341542030644E-33</v>
      </c>
      <c r="AX125" s="100">
        <v>-1.715341542030644E-33</v>
      </c>
    </row>
    <row r="126" spans="1:50">
      <c r="B126" s="105" t="s">
        <v>59</v>
      </c>
      <c r="C126" s="100">
        <v>9.8242574211007231E-18</v>
      </c>
      <c r="D126" s="100">
        <v>9.8242574211007231E-18</v>
      </c>
      <c r="E126" s="100">
        <v>9.8242574211007231E-18</v>
      </c>
      <c r="F126" s="100">
        <v>9.8242574211007231E-18</v>
      </c>
      <c r="G126" s="100">
        <v>9.8242574211007231E-18</v>
      </c>
      <c r="H126" s="100">
        <v>9.8242574211007231E-18</v>
      </c>
      <c r="I126" s="100">
        <v>9.8242574211007231E-18</v>
      </c>
      <c r="J126" s="100">
        <v>9.8242574211007231E-18</v>
      </c>
      <c r="K126" s="100">
        <v>8.1868811842506031E-18</v>
      </c>
      <c r="L126" s="100">
        <v>8.1868811842506031E-18</v>
      </c>
      <c r="M126" s="100">
        <v>8.1868811842506031E-18</v>
      </c>
      <c r="N126" s="100">
        <v>8.1868811842506031E-18</v>
      </c>
      <c r="O126" s="100">
        <v>8.1868811842506031E-18</v>
      </c>
      <c r="P126" s="100">
        <v>8.1868811842506031E-18</v>
      </c>
      <c r="Q126" s="100">
        <v>8.1868811842506031E-18</v>
      </c>
      <c r="R126" s="100">
        <v>8.1868811842506031E-18</v>
      </c>
      <c r="S126" s="100">
        <v>8.1868811842506031E-18</v>
      </c>
      <c r="T126" s="100">
        <v>8.1868811842506031E-18</v>
      </c>
      <c r="U126" s="100">
        <v>8.1868811842506031E-18</v>
      </c>
      <c r="V126" s="100">
        <v>8.1868811842506031E-18</v>
      </c>
      <c r="W126" s="100">
        <v>9.8242574211007231E-18</v>
      </c>
      <c r="X126" s="100">
        <v>9.8242574211007231E-18</v>
      </c>
      <c r="Y126" s="100">
        <v>9.8242574211007231E-18</v>
      </c>
      <c r="Z126" s="100">
        <v>9.8242574211007231E-18</v>
      </c>
      <c r="AA126" s="100">
        <v>8.1868811842506031E-18</v>
      </c>
      <c r="AB126" s="100">
        <v>8.1868811842506031E-18</v>
      </c>
      <c r="AC126" s="100">
        <v>8.1868811842506031E-18</v>
      </c>
      <c r="AD126" s="100">
        <v>8.1868811842506031E-18</v>
      </c>
      <c r="AE126" s="100">
        <v>6.5495049474004824E-18</v>
      </c>
      <c r="AF126" s="100">
        <v>6.5495049474004824E-18</v>
      </c>
      <c r="AG126" s="100">
        <v>6.5495049474004824E-18</v>
      </c>
      <c r="AH126" s="100">
        <v>6.5495049474004824E-18</v>
      </c>
      <c r="AI126" s="100">
        <v>8.1868811842506031E-18</v>
      </c>
      <c r="AJ126" s="100">
        <v>8.1868811842506031E-18</v>
      </c>
      <c r="AK126" s="100">
        <v>8.1868811842506031E-18</v>
      </c>
      <c r="AL126" s="100">
        <v>8.1868811842506031E-18</v>
      </c>
      <c r="AM126" s="100">
        <v>8.1868811842506031E-18</v>
      </c>
      <c r="AN126" s="100">
        <v>8.1868811842506031E-18</v>
      </c>
      <c r="AO126" s="100">
        <v>8.1868811842506031E-18</v>
      </c>
      <c r="AP126" s="100">
        <v>8.1868811842506031E-18</v>
      </c>
      <c r="AQ126" s="100">
        <v>8.1868811842506031E-18</v>
      </c>
      <c r="AR126" s="100">
        <v>8.1868811842506031E-18</v>
      </c>
      <c r="AS126" s="100">
        <v>8.1868811842506031E-18</v>
      </c>
      <c r="AT126" s="100">
        <v>8.1868811842506031E-18</v>
      </c>
      <c r="AU126" s="100">
        <v>8.1868811842506031E-18</v>
      </c>
      <c r="AV126" s="100">
        <v>8.1868811842506031E-18</v>
      </c>
      <c r="AW126" s="100">
        <v>8.1868811842506031E-18</v>
      </c>
      <c r="AX126" s="100">
        <v>8.1868811842506031E-18</v>
      </c>
    </row>
    <row r="127" spans="1:50">
      <c r="B127" s="100" t="s">
        <v>278</v>
      </c>
      <c r="C127" s="105">
        <f>SUM(C$122:C$126)</f>
        <v>5.1778583648175948E-16</v>
      </c>
      <c r="D127" s="105">
        <f t="shared" ref="D127:AX127" si="9">SUM(D$122:D$126)</f>
        <v>5.1778583648175948E-16</v>
      </c>
      <c r="E127" s="105">
        <f t="shared" si="9"/>
        <v>5.1778583648175948E-16</v>
      </c>
      <c r="F127" s="105">
        <f t="shared" si="9"/>
        <v>5.1778583648175948E-16</v>
      </c>
      <c r="G127" s="105">
        <f t="shared" si="9"/>
        <v>5.1778583648175948E-16</v>
      </c>
      <c r="H127" s="105">
        <f t="shared" si="9"/>
        <v>5.1778583648175948E-16</v>
      </c>
      <c r="I127" s="105">
        <f t="shared" si="9"/>
        <v>5.1778583648175948E-16</v>
      </c>
      <c r="J127" s="105">
        <f t="shared" si="9"/>
        <v>5.1778583648175948E-16</v>
      </c>
      <c r="K127" s="105">
        <f t="shared" si="9"/>
        <v>4.3148819706813299E-16</v>
      </c>
      <c r="L127" s="105">
        <f t="shared" si="9"/>
        <v>4.3148819706813299E-16</v>
      </c>
      <c r="M127" s="105">
        <f t="shared" si="9"/>
        <v>4.3148819706813299E-16</v>
      </c>
      <c r="N127" s="105">
        <f t="shared" si="9"/>
        <v>4.3148819706813299E-16</v>
      </c>
      <c r="O127" s="105">
        <f t="shared" si="9"/>
        <v>4.3148819706813299E-16</v>
      </c>
      <c r="P127" s="105">
        <f t="shared" si="9"/>
        <v>4.3148819706813299E-16</v>
      </c>
      <c r="Q127" s="105">
        <f t="shared" si="9"/>
        <v>4.3148819706813299E-16</v>
      </c>
      <c r="R127" s="105">
        <f t="shared" si="9"/>
        <v>4.3148819706813299E-16</v>
      </c>
      <c r="S127" s="105">
        <f t="shared" si="9"/>
        <v>4.3148819706813299E-16</v>
      </c>
      <c r="T127" s="105">
        <f t="shared" si="9"/>
        <v>4.3148819706813299E-16</v>
      </c>
      <c r="U127" s="105">
        <f t="shared" si="9"/>
        <v>4.3148819706813299E-16</v>
      </c>
      <c r="V127" s="105">
        <f t="shared" si="9"/>
        <v>4.3148819706813299E-16</v>
      </c>
      <c r="W127" s="105">
        <f t="shared" si="9"/>
        <v>5.1778583648175948E-16</v>
      </c>
      <c r="X127" s="105">
        <f t="shared" si="9"/>
        <v>5.1778583648175948E-16</v>
      </c>
      <c r="Y127" s="105">
        <f t="shared" si="9"/>
        <v>5.1778583648175948E-16</v>
      </c>
      <c r="Z127" s="105">
        <f t="shared" si="9"/>
        <v>5.1778583648175948E-16</v>
      </c>
      <c r="AA127" s="105">
        <f t="shared" si="9"/>
        <v>4.3148819706813299E-16</v>
      </c>
      <c r="AB127" s="105">
        <f t="shared" si="9"/>
        <v>4.3148819706813299E-16</v>
      </c>
      <c r="AC127" s="105">
        <f t="shared" si="9"/>
        <v>4.3148819706813299E-16</v>
      </c>
      <c r="AD127" s="105">
        <f t="shared" si="9"/>
        <v>4.3148819706813299E-16</v>
      </c>
      <c r="AE127" s="105">
        <f t="shared" si="9"/>
        <v>3.4519055765450639E-16</v>
      </c>
      <c r="AF127" s="105">
        <f t="shared" si="9"/>
        <v>3.4519055765450639E-16</v>
      </c>
      <c r="AG127" s="105">
        <f t="shared" si="9"/>
        <v>3.4519055765450639E-16</v>
      </c>
      <c r="AH127" s="105">
        <f t="shared" si="9"/>
        <v>3.4519055765450639E-16</v>
      </c>
      <c r="AI127" s="105">
        <f t="shared" si="9"/>
        <v>4.3148819706813299E-16</v>
      </c>
      <c r="AJ127" s="105">
        <f t="shared" si="9"/>
        <v>4.3148819706813299E-16</v>
      </c>
      <c r="AK127" s="105">
        <f t="shared" si="9"/>
        <v>4.3148819706813299E-16</v>
      </c>
      <c r="AL127" s="105">
        <f t="shared" si="9"/>
        <v>4.3148819706813299E-16</v>
      </c>
      <c r="AM127" s="105">
        <f t="shared" si="9"/>
        <v>4.3148819706813299E-16</v>
      </c>
      <c r="AN127" s="105">
        <f t="shared" si="9"/>
        <v>4.3148819706813299E-16</v>
      </c>
      <c r="AO127" s="105">
        <f t="shared" si="9"/>
        <v>4.3148819706813299E-16</v>
      </c>
      <c r="AP127" s="105">
        <f t="shared" si="9"/>
        <v>4.3148819706813299E-16</v>
      </c>
      <c r="AQ127" s="105">
        <f t="shared" si="9"/>
        <v>4.3148819706813299E-16</v>
      </c>
      <c r="AR127" s="105">
        <f t="shared" si="9"/>
        <v>4.3148819706813299E-16</v>
      </c>
      <c r="AS127" s="105">
        <f t="shared" si="9"/>
        <v>4.3148819706813299E-16</v>
      </c>
      <c r="AT127" s="105">
        <f t="shared" si="9"/>
        <v>4.3148819706813299E-16</v>
      </c>
      <c r="AU127" s="105">
        <f t="shared" si="9"/>
        <v>4.3148819706813299E-16</v>
      </c>
      <c r="AV127" s="105">
        <f t="shared" si="9"/>
        <v>4.3148819706813299E-16</v>
      </c>
      <c r="AW127" s="105">
        <f t="shared" si="9"/>
        <v>4.3148819706813299E-16</v>
      </c>
      <c r="AX127" s="105">
        <f t="shared" si="9"/>
        <v>4.3148819706813299E-16</v>
      </c>
    </row>
    <row r="128" spans="1:50">
      <c r="A128" s="105" t="s">
        <v>109</v>
      </c>
      <c r="B128" s="105" t="s">
        <v>10</v>
      </c>
      <c r="C128" s="100">
        <v>1.1682745103525259E-16</v>
      </c>
      <c r="D128" s="100">
        <v>1.1682745103525259E-16</v>
      </c>
      <c r="E128" s="100">
        <v>1.1682745103525259E-16</v>
      </c>
      <c r="F128" s="100">
        <v>1.1682745103525259E-16</v>
      </c>
      <c r="G128" s="100">
        <v>1.1682745103525259E-16</v>
      </c>
      <c r="H128" s="100">
        <v>1.1682745103525259E-16</v>
      </c>
      <c r="I128" s="100">
        <v>1.1682745103525259E-16</v>
      </c>
      <c r="J128" s="100">
        <v>1.1682745103525259E-16</v>
      </c>
      <c r="K128" s="100">
        <v>1.1682745103525259E-16</v>
      </c>
      <c r="L128" s="100">
        <v>1.1682745103525259E-16</v>
      </c>
      <c r="M128" s="100">
        <v>1.1682745103525259E-16</v>
      </c>
      <c r="N128" s="100">
        <v>1.1682745103525259E-16</v>
      </c>
      <c r="O128" s="100">
        <v>1.1682745103525259E-16</v>
      </c>
      <c r="P128" s="100">
        <v>1.1682745103525259E-16</v>
      </c>
      <c r="Q128" s="100">
        <v>1.1682745103525259E-16</v>
      </c>
      <c r="R128" s="100">
        <v>1.1682745103525259E-16</v>
      </c>
      <c r="S128" s="100">
        <v>1.1682745103525259E-16</v>
      </c>
      <c r="T128" s="100">
        <v>1.1682745103525259E-16</v>
      </c>
      <c r="U128" s="100">
        <v>1.1682745103525259E-16</v>
      </c>
      <c r="V128" s="100">
        <v>1.1682745103525259E-16</v>
      </c>
      <c r="W128" s="100">
        <v>1.1682745103525259E-16</v>
      </c>
      <c r="X128" s="100">
        <v>1.1682745103525259E-16</v>
      </c>
      <c r="Y128" s="100">
        <v>1.1682745103525259E-16</v>
      </c>
      <c r="Z128" s="100">
        <v>1.1682745103525259E-16</v>
      </c>
      <c r="AA128" s="100">
        <v>1.1682745103525259E-16</v>
      </c>
      <c r="AB128" s="100">
        <v>1.1682745103525259E-16</v>
      </c>
      <c r="AC128" s="100">
        <v>1.1682745103525259E-16</v>
      </c>
      <c r="AD128" s="100">
        <v>1.1682745103525259E-16</v>
      </c>
      <c r="AE128" s="100">
        <v>1.1682745103525259E-16</v>
      </c>
      <c r="AF128" s="100">
        <v>1.1682745103525259E-16</v>
      </c>
      <c r="AG128" s="100">
        <v>1.1682745103525259E-16</v>
      </c>
      <c r="AH128" s="100">
        <v>1.1682745103525259E-16</v>
      </c>
      <c r="AI128" s="100">
        <v>9.735620919604382E-17</v>
      </c>
      <c r="AJ128" s="100">
        <v>9.735620919604382E-17</v>
      </c>
      <c r="AK128" s="100">
        <v>9.735620919604382E-17</v>
      </c>
      <c r="AL128" s="100">
        <v>9.735620919604382E-17</v>
      </c>
      <c r="AM128" s="100">
        <v>1.1682745103525259E-16</v>
      </c>
      <c r="AN128" s="100">
        <v>1.1682745103525259E-16</v>
      </c>
      <c r="AO128" s="100">
        <v>1.1682745103525259E-16</v>
      </c>
      <c r="AP128" s="100">
        <v>1.1682745103525259E-16</v>
      </c>
      <c r="AQ128" s="100">
        <v>9.735620919604382E-17</v>
      </c>
      <c r="AR128" s="100">
        <v>9.735620919604382E-17</v>
      </c>
      <c r="AS128" s="100">
        <v>9.735620919604382E-17</v>
      </c>
      <c r="AT128" s="100">
        <v>9.735620919604382E-17</v>
      </c>
      <c r="AU128" s="100">
        <v>1.1682745103525259E-16</v>
      </c>
      <c r="AV128" s="100">
        <v>1.1682745103525259E-16</v>
      </c>
      <c r="AW128" s="100">
        <v>1.1682745103525259E-16</v>
      </c>
      <c r="AX128" s="100">
        <v>1.1682745103525259E-16</v>
      </c>
    </row>
    <row r="129" spans="2:50">
      <c r="B129" s="105" t="s">
        <v>12</v>
      </c>
      <c r="C129" s="100">
        <v>2.0191823793578188E-16</v>
      </c>
      <c r="D129" s="100">
        <v>2.0191823793578188E-16</v>
      </c>
      <c r="E129" s="100">
        <v>2.0191823793578188E-16</v>
      </c>
      <c r="F129" s="100">
        <v>2.0191823793578188E-16</v>
      </c>
      <c r="G129" s="100">
        <v>2.0191823793578188E-16</v>
      </c>
      <c r="H129" s="100">
        <v>2.0191823793578188E-16</v>
      </c>
      <c r="I129" s="100">
        <v>2.0191823793578188E-16</v>
      </c>
      <c r="J129" s="100">
        <v>2.0191823793578188E-16</v>
      </c>
      <c r="K129" s="100">
        <v>2.0191823793578188E-16</v>
      </c>
      <c r="L129" s="100">
        <v>2.0191823793578188E-16</v>
      </c>
      <c r="M129" s="100">
        <v>2.0191823793578188E-16</v>
      </c>
      <c r="N129" s="100">
        <v>2.0191823793578188E-16</v>
      </c>
      <c r="O129" s="100">
        <v>2.0191823793578188E-16</v>
      </c>
      <c r="P129" s="100">
        <v>2.0191823793578188E-16</v>
      </c>
      <c r="Q129" s="100">
        <v>2.0191823793578188E-16</v>
      </c>
      <c r="R129" s="100">
        <v>2.0191823793578188E-16</v>
      </c>
      <c r="S129" s="100">
        <v>2.0191823793578188E-16</v>
      </c>
      <c r="T129" s="100">
        <v>2.0191823793578188E-16</v>
      </c>
      <c r="U129" s="100">
        <v>2.0191823793578188E-16</v>
      </c>
      <c r="V129" s="100">
        <v>2.0191823793578188E-16</v>
      </c>
      <c r="W129" s="100">
        <v>2.0191823793578188E-16</v>
      </c>
      <c r="X129" s="100">
        <v>2.0191823793578188E-16</v>
      </c>
      <c r="Y129" s="100">
        <v>2.0191823793578188E-16</v>
      </c>
      <c r="Z129" s="100">
        <v>2.0191823793578188E-16</v>
      </c>
      <c r="AA129" s="100">
        <v>2.0191823793578188E-16</v>
      </c>
      <c r="AB129" s="100">
        <v>2.0191823793578188E-16</v>
      </c>
      <c r="AC129" s="100">
        <v>2.0191823793578188E-16</v>
      </c>
      <c r="AD129" s="100">
        <v>2.0191823793578188E-16</v>
      </c>
      <c r="AE129" s="100">
        <v>2.0191823793578188E-16</v>
      </c>
      <c r="AF129" s="100">
        <v>2.0191823793578188E-16</v>
      </c>
      <c r="AG129" s="100">
        <v>2.0191823793578188E-16</v>
      </c>
      <c r="AH129" s="100">
        <v>2.0191823793578188E-16</v>
      </c>
      <c r="AI129" s="100">
        <v>1.6826519827981824E-16</v>
      </c>
      <c r="AJ129" s="100">
        <v>1.6826519827981824E-16</v>
      </c>
      <c r="AK129" s="100">
        <v>1.6826519827981824E-16</v>
      </c>
      <c r="AL129" s="100">
        <v>1.6826519827981824E-16</v>
      </c>
      <c r="AM129" s="100">
        <v>2.0191823793578188E-16</v>
      </c>
      <c r="AN129" s="100">
        <v>2.0191823793578188E-16</v>
      </c>
      <c r="AO129" s="100">
        <v>2.0191823793578188E-16</v>
      </c>
      <c r="AP129" s="100">
        <v>2.0191823793578188E-16</v>
      </c>
      <c r="AQ129" s="100">
        <v>1.6826519827981824E-16</v>
      </c>
      <c r="AR129" s="100">
        <v>1.6826519827981824E-16</v>
      </c>
      <c r="AS129" s="100">
        <v>1.6826519827981824E-16</v>
      </c>
      <c r="AT129" s="100">
        <v>1.6826519827981824E-16</v>
      </c>
      <c r="AU129" s="100">
        <v>2.0191823793578188E-16</v>
      </c>
      <c r="AV129" s="100">
        <v>2.0191823793578188E-16</v>
      </c>
      <c r="AW129" s="100">
        <v>2.0191823793578188E-16</v>
      </c>
      <c r="AX129" s="100">
        <v>2.0191823793578188E-16</v>
      </c>
    </row>
    <row r="130" spans="2:50">
      <c r="B130" s="105" t="s">
        <v>22</v>
      </c>
      <c r="C130" s="100">
        <v>7.5757664452468408E-17</v>
      </c>
      <c r="D130" s="100">
        <v>7.5757664452468408E-17</v>
      </c>
      <c r="E130" s="100">
        <v>7.5757664452468408E-17</v>
      </c>
      <c r="F130" s="100">
        <v>7.5757664452468408E-17</v>
      </c>
      <c r="G130" s="100">
        <v>7.5757664452468408E-17</v>
      </c>
      <c r="H130" s="100">
        <v>7.5757664452468408E-17</v>
      </c>
      <c r="I130" s="100">
        <v>7.5757664452468408E-17</v>
      </c>
      <c r="J130" s="100">
        <v>7.5757664452468408E-17</v>
      </c>
      <c r="K130" s="100">
        <v>7.5757664452468408E-17</v>
      </c>
      <c r="L130" s="100">
        <v>7.5757664452468408E-17</v>
      </c>
      <c r="M130" s="100">
        <v>7.5757664452468408E-17</v>
      </c>
      <c r="N130" s="100">
        <v>7.5757664452468408E-17</v>
      </c>
      <c r="O130" s="100">
        <v>7.5757664452468408E-17</v>
      </c>
      <c r="P130" s="100">
        <v>7.5757664452468408E-17</v>
      </c>
      <c r="Q130" s="100">
        <v>7.5757664452468408E-17</v>
      </c>
      <c r="R130" s="100">
        <v>7.5757664452468408E-17</v>
      </c>
      <c r="S130" s="100">
        <v>7.5757664452468408E-17</v>
      </c>
      <c r="T130" s="100">
        <v>7.5757664452468408E-17</v>
      </c>
      <c r="U130" s="100">
        <v>7.5757664452468408E-17</v>
      </c>
      <c r="V130" s="100">
        <v>7.5757664452468408E-17</v>
      </c>
      <c r="W130" s="100">
        <v>7.5757664452468408E-17</v>
      </c>
      <c r="X130" s="100">
        <v>7.5757664452468408E-17</v>
      </c>
      <c r="Y130" s="100">
        <v>7.5757664452468408E-17</v>
      </c>
      <c r="Z130" s="100">
        <v>7.5757664452468408E-17</v>
      </c>
      <c r="AA130" s="100">
        <v>7.5757664452468408E-17</v>
      </c>
      <c r="AB130" s="100">
        <v>7.5757664452468408E-17</v>
      </c>
      <c r="AC130" s="100">
        <v>7.5757664452468408E-17</v>
      </c>
      <c r="AD130" s="100">
        <v>7.5757664452468408E-17</v>
      </c>
      <c r="AE130" s="100">
        <v>7.5757664452468408E-17</v>
      </c>
      <c r="AF130" s="100">
        <v>7.5757664452468408E-17</v>
      </c>
      <c r="AG130" s="100">
        <v>7.5757664452468408E-17</v>
      </c>
      <c r="AH130" s="100">
        <v>7.5757664452468408E-17</v>
      </c>
      <c r="AI130" s="100">
        <v>6.313138704372369E-17</v>
      </c>
      <c r="AJ130" s="100">
        <v>6.313138704372369E-17</v>
      </c>
      <c r="AK130" s="100">
        <v>6.313138704372369E-17</v>
      </c>
      <c r="AL130" s="100">
        <v>6.313138704372369E-17</v>
      </c>
      <c r="AM130" s="100">
        <v>7.5757664452468408E-17</v>
      </c>
      <c r="AN130" s="100">
        <v>7.5757664452468408E-17</v>
      </c>
      <c r="AO130" s="100">
        <v>7.5757664452468408E-17</v>
      </c>
      <c r="AP130" s="100">
        <v>7.5757664452468408E-17</v>
      </c>
      <c r="AQ130" s="100">
        <v>6.313138704372369E-17</v>
      </c>
      <c r="AR130" s="100">
        <v>6.313138704372369E-17</v>
      </c>
      <c r="AS130" s="100">
        <v>6.313138704372369E-17</v>
      </c>
      <c r="AT130" s="100">
        <v>6.313138704372369E-17</v>
      </c>
      <c r="AU130" s="100">
        <v>7.5757664452468408E-17</v>
      </c>
      <c r="AV130" s="100">
        <v>7.5757664452468408E-17</v>
      </c>
      <c r="AW130" s="100">
        <v>7.5757664452468408E-17</v>
      </c>
      <c r="AX130" s="100">
        <v>7.5757664452468408E-17</v>
      </c>
    </row>
    <row r="131" spans="2:50">
      <c r="B131" s="105" t="s">
        <v>46</v>
      </c>
      <c r="C131" s="100">
        <v>1.0021516992574551E-16</v>
      </c>
      <c r="D131" s="100">
        <v>1.0021516992574551E-16</v>
      </c>
      <c r="E131" s="100">
        <v>1.0021516992574551E-16</v>
      </c>
      <c r="F131" s="100">
        <v>1.0021516992574551E-16</v>
      </c>
      <c r="G131" s="100">
        <v>1.0021516992574551E-16</v>
      </c>
      <c r="H131" s="100">
        <v>1.0021516992574551E-16</v>
      </c>
      <c r="I131" s="100">
        <v>1.0021516992574551E-16</v>
      </c>
      <c r="J131" s="100">
        <v>1.0021516992574551E-16</v>
      </c>
      <c r="K131" s="100">
        <v>1.0021516992574551E-16</v>
      </c>
      <c r="L131" s="100">
        <v>1.0021516992574551E-16</v>
      </c>
      <c r="M131" s="100">
        <v>1.0021516992574551E-16</v>
      </c>
      <c r="N131" s="100">
        <v>1.0021516992574551E-16</v>
      </c>
      <c r="O131" s="100">
        <v>1.0021516992574551E-16</v>
      </c>
      <c r="P131" s="100">
        <v>1.0021516992574551E-16</v>
      </c>
      <c r="Q131" s="100">
        <v>1.0021516992574551E-16</v>
      </c>
      <c r="R131" s="100">
        <v>1.0021516992574551E-16</v>
      </c>
      <c r="S131" s="100">
        <v>1.0021516992574551E-16</v>
      </c>
      <c r="T131" s="100">
        <v>1.0021516992574551E-16</v>
      </c>
      <c r="U131" s="100">
        <v>1.0021516992574551E-16</v>
      </c>
      <c r="V131" s="100">
        <v>1.0021516992574551E-16</v>
      </c>
      <c r="W131" s="100">
        <v>1.0021516992574551E-16</v>
      </c>
      <c r="X131" s="100">
        <v>1.0021516992574551E-16</v>
      </c>
      <c r="Y131" s="100">
        <v>1.0021516992574551E-16</v>
      </c>
      <c r="Z131" s="100">
        <v>1.0021516992574551E-16</v>
      </c>
      <c r="AA131" s="100">
        <v>1.0021516992574551E-16</v>
      </c>
      <c r="AB131" s="100">
        <v>1.0021516992574551E-16</v>
      </c>
      <c r="AC131" s="100">
        <v>1.0021516992574551E-16</v>
      </c>
      <c r="AD131" s="100">
        <v>1.0021516992574551E-16</v>
      </c>
      <c r="AE131" s="100">
        <v>1.0021516992574551E-16</v>
      </c>
      <c r="AF131" s="100">
        <v>1.0021516992574551E-16</v>
      </c>
      <c r="AG131" s="100">
        <v>1.0021516992574551E-16</v>
      </c>
      <c r="AH131" s="100">
        <v>1.0021516992574551E-16</v>
      </c>
      <c r="AI131" s="100">
        <v>8.3512641604787929E-17</v>
      </c>
      <c r="AJ131" s="100">
        <v>8.3512641604787929E-17</v>
      </c>
      <c r="AK131" s="100">
        <v>8.3512641604787929E-17</v>
      </c>
      <c r="AL131" s="100">
        <v>8.3512641604787929E-17</v>
      </c>
      <c r="AM131" s="100">
        <v>1.0021516992574551E-16</v>
      </c>
      <c r="AN131" s="100">
        <v>1.0021516992574551E-16</v>
      </c>
      <c r="AO131" s="100">
        <v>1.0021516992574551E-16</v>
      </c>
      <c r="AP131" s="100">
        <v>1.0021516992574551E-16</v>
      </c>
      <c r="AQ131" s="100">
        <v>8.3512641604787929E-17</v>
      </c>
      <c r="AR131" s="100">
        <v>8.3512641604787929E-17</v>
      </c>
      <c r="AS131" s="100">
        <v>8.3512641604787929E-17</v>
      </c>
      <c r="AT131" s="100">
        <v>8.3512641604787929E-17</v>
      </c>
      <c r="AU131" s="100">
        <v>1.0021516992574551E-16</v>
      </c>
      <c r="AV131" s="100">
        <v>1.0021516992574551E-16</v>
      </c>
      <c r="AW131" s="100">
        <v>1.0021516992574551E-16</v>
      </c>
      <c r="AX131" s="100">
        <v>1.0021516992574551E-16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4.9471852334924836E-16</v>
      </c>
      <c r="D133" s="105">
        <f t="shared" ref="D133:AX133" si="10">SUM(D$128:D$132)</f>
        <v>4.9471852334924836E-16</v>
      </c>
      <c r="E133" s="105">
        <f t="shared" si="10"/>
        <v>4.9471852334924836E-16</v>
      </c>
      <c r="F133" s="105">
        <f t="shared" si="10"/>
        <v>4.9471852334924836E-16</v>
      </c>
      <c r="G133" s="105">
        <f t="shared" si="10"/>
        <v>4.9471852334924836E-16</v>
      </c>
      <c r="H133" s="105">
        <f t="shared" si="10"/>
        <v>4.9471852334924836E-16</v>
      </c>
      <c r="I133" s="105">
        <f t="shared" si="10"/>
        <v>4.9471852334924836E-16</v>
      </c>
      <c r="J133" s="105">
        <f t="shared" si="10"/>
        <v>4.9471852334924836E-16</v>
      </c>
      <c r="K133" s="105">
        <f t="shared" si="10"/>
        <v>4.9471852334924836E-16</v>
      </c>
      <c r="L133" s="105">
        <f t="shared" si="10"/>
        <v>4.9471852334924836E-16</v>
      </c>
      <c r="M133" s="105">
        <f t="shared" si="10"/>
        <v>4.9471852334924836E-16</v>
      </c>
      <c r="N133" s="105">
        <f t="shared" si="10"/>
        <v>4.9471852334924836E-16</v>
      </c>
      <c r="O133" s="105">
        <f t="shared" si="10"/>
        <v>4.9471852334924836E-16</v>
      </c>
      <c r="P133" s="105">
        <f t="shared" si="10"/>
        <v>4.9471852334924836E-16</v>
      </c>
      <c r="Q133" s="105">
        <f t="shared" si="10"/>
        <v>4.9471852334924836E-16</v>
      </c>
      <c r="R133" s="105">
        <f t="shared" si="10"/>
        <v>4.9471852334924836E-16</v>
      </c>
      <c r="S133" s="105">
        <f t="shared" si="10"/>
        <v>4.9471852334924836E-16</v>
      </c>
      <c r="T133" s="105">
        <f t="shared" si="10"/>
        <v>4.9471852334924836E-16</v>
      </c>
      <c r="U133" s="105">
        <f t="shared" si="10"/>
        <v>4.9471852334924836E-16</v>
      </c>
      <c r="V133" s="105">
        <f t="shared" si="10"/>
        <v>4.9471852334924836E-16</v>
      </c>
      <c r="W133" s="105">
        <f t="shared" si="10"/>
        <v>4.9471852334924836E-16</v>
      </c>
      <c r="X133" s="105">
        <f t="shared" si="10"/>
        <v>4.9471852334924836E-16</v>
      </c>
      <c r="Y133" s="105">
        <f t="shared" si="10"/>
        <v>4.9471852334924836E-16</v>
      </c>
      <c r="Z133" s="105">
        <f t="shared" si="10"/>
        <v>4.9471852334924836E-16</v>
      </c>
      <c r="AA133" s="105">
        <f t="shared" si="10"/>
        <v>4.9471852334924836E-16</v>
      </c>
      <c r="AB133" s="105">
        <f t="shared" si="10"/>
        <v>4.9471852334924836E-16</v>
      </c>
      <c r="AC133" s="105">
        <f t="shared" si="10"/>
        <v>4.9471852334924836E-16</v>
      </c>
      <c r="AD133" s="105">
        <f t="shared" si="10"/>
        <v>4.9471852334924836E-16</v>
      </c>
      <c r="AE133" s="105">
        <f t="shared" si="10"/>
        <v>4.9471852334924836E-16</v>
      </c>
      <c r="AF133" s="105">
        <f t="shared" si="10"/>
        <v>4.9471852334924836E-16</v>
      </c>
      <c r="AG133" s="105">
        <f t="shared" si="10"/>
        <v>4.9471852334924836E-16</v>
      </c>
      <c r="AH133" s="105">
        <f t="shared" si="10"/>
        <v>4.9471852334924836E-16</v>
      </c>
      <c r="AI133" s="105">
        <f t="shared" si="10"/>
        <v>4.1226543612437368E-16</v>
      </c>
      <c r="AJ133" s="105">
        <f t="shared" si="10"/>
        <v>4.1226543612437368E-16</v>
      </c>
      <c r="AK133" s="105">
        <f t="shared" si="10"/>
        <v>4.1226543612437368E-16</v>
      </c>
      <c r="AL133" s="105">
        <f t="shared" si="10"/>
        <v>4.1226543612437368E-16</v>
      </c>
      <c r="AM133" s="105">
        <f t="shared" si="10"/>
        <v>4.9471852334924836E-16</v>
      </c>
      <c r="AN133" s="105">
        <f t="shared" si="10"/>
        <v>4.9471852334924836E-16</v>
      </c>
      <c r="AO133" s="105">
        <f t="shared" si="10"/>
        <v>4.9471852334924836E-16</v>
      </c>
      <c r="AP133" s="105">
        <f t="shared" si="10"/>
        <v>4.9471852334924836E-16</v>
      </c>
      <c r="AQ133" s="105">
        <f t="shared" si="10"/>
        <v>4.1226543612437368E-16</v>
      </c>
      <c r="AR133" s="105">
        <f t="shared" si="10"/>
        <v>4.1226543612437368E-16</v>
      </c>
      <c r="AS133" s="105">
        <f t="shared" si="10"/>
        <v>4.1226543612437368E-16</v>
      </c>
      <c r="AT133" s="105">
        <f t="shared" si="10"/>
        <v>4.1226543612437368E-16</v>
      </c>
      <c r="AU133" s="105">
        <f t="shared" si="10"/>
        <v>4.9471852334924836E-16</v>
      </c>
      <c r="AV133" s="105">
        <f t="shared" si="10"/>
        <v>4.9471852334924836E-16</v>
      </c>
      <c r="AW133" s="105">
        <f t="shared" si="10"/>
        <v>4.9471852334924836E-16</v>
      </c>
      <c r="AX133" s="105">
        <f t="shared" si="10"/>
        <v>4.9471852334924836E-16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599.99999999999989</v>
      </c>
      <c r="E7" s="144">
        <v>599.99999999999989</v>
      </c>
      <c r="F7" s="144">
        <v>599.99999999999989</v>
      </c>
      <c r="G7" s="144">
        <v>599.99999999999989</v>
      </c>
      <c r="H7" s="144">
        <v>599.99999999999989</v>
      </c>
      <c r="I7" s="144">
        <v>599.99999999999989</v>
      </c>
      <c r="J7" s="144">
        <v>599.99999999999989</v>
      </c>
      <c r="K7" s="144">
        <v>599.99999999999989</v>
      </c>
      <c r="L7" s="144">
        <v>599.99999999999989</v>
      </c>
      <c r="M7" s="144">
        <v>599.99999999999989</v>
      </c>
      <c r="N7" s="144">
        <v>599.99999999999989</v>
      </c>
      <c r="O7" s="144">
        <v>599.99999999999989</v>
      </c>
      <c r="P7" s="144">
        <v>599.99999999999989</v>
      </c>
      <c r="Q7" s="144">
        <v>599.99999999999989</v>
      </c>
      <c r="R7" s="144">
        <v>599.99999999999989</v>
      </c>
      <c r="S7" s="144">
        <v>599.99999999999989</v>
      </c>
      <c r="T7" s="144">
        <v>599.99999999999989</v>
      </c>
      <c r="U7" s="144">
        <v>599.99999999999989</v>
      </c>
      <c r="V7" s="144">
        <v>599.99999999999989</v>
      </c>
      <c r="W7" s="144">
        <v>599.99999999999989</v>
      </c>
      <c r="X7" s="144">
        <v>599.99999999999989</v>
      </c>
      <c r="Y7" s="144">
        <v>599.99999999999989</v>
      </c>
      <c r="Z7" s="144">
        <v>599.99999999999989</v>
      </c>
      <c r="AA7" s="144">
        <v>599.99999999999989</v>
      </c>
      <c r="AB7" s="144">
        <v>599.99999999999989</v>
      </c>
      <c r="AC7" s="144">
        <v>599.99999999999989</v>
      </c>
      <c r="AD7" s="144">
        <v>599.99999999999989</v>
      </c>
      <c r="AE7" s="144">
        <v>599.99999999999989</v>
      </c>
      <c r="AF7" s="144">
        <v>599.99999999999989</v>
      </c>
      <c r="AG7" s="144">
        <v>599.99999999999989</v>
      </c>
      <c r="AH7" s="144">
        <v>599.99999999999989</v>
      </c>
      <c r="AI7" s="144">
        <v>599.99999999999989</v>
      </c>
      <c r="AJ7" s="144">
        <v>599.99999999999989</v>
      </c>
      <c r="AK7" s="144">
        <v>599.99999999999989</v>
      </c>
      <c r="AL7" s="144">
        <v>599.99999999999989</v>
      </c>
      <c r="AM7" s="144">
        <v>599.99999999999989</v>
      </c>
      <c r="AN7" s="144">
        <v>599.99999999999989</v>
      </c>
      <c r="AO7" s="144">
        <v>599.99999999999989</v>
      </c>
      <c r="AP7" s="144">
        <v>599.99999999999989</v>
      </c>
      <c r="AQ7" s="144">
        <v>599.99999999999989</v>
      </c>
      <c r="AR7" s="144">
        <v>599.99999999999989</v>
      </c>
      <c r="AS7" s="144">
        <v>599.99999999999989</v>
      </c>
      <c r="AT7" s="144">
        <v>599.99999999999989</v>
      </c>
      <c r="AU7" s="144">
        <v>599.99999999999989</v>
      </c>
      <c r="AV7" s="144">
        <v>599.99999999999989</v>
      </c>
      <c r="AW7" s="144">
        <v>599.99999999999989</v>
      </c>
      <c r="AX7" s="144">
        <v>599.99999999999989</v>
      </c>
      <c r="AY7" s="144">
        <v>599.99999999999989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599.99999999999977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599.99999999999977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599.99999999999977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1799.9999999999993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599.99999999999682</v>
      </c>
      <c r="D13" s="138">
        <f t="shared" ref="D13:AY13" si="1">D$7-D$10</f>
        <v>599.99999999999989</v>
      </c>
      <c r="E13" s="138">
        <f t="shared" si="1"/>
        <v>599.99999999999989</v>
      </c>
      <c r="F13" s="138">
        <f t="shared" si="1"/>
        <v>599.99999999999989</v>
      </c>
      <c r="G13" s="138">
        <f t="shared" si="1"/>
        <v>0</v>
      </c>
      <c r="H13" s="138">
        <f t="shared" si="1"/>
        <v>599.99999999999989</v>
      </c>
      <c r="I13" s="138">
        <f t="shared" si="1"/>
        <v>599.99999999999989</v>
      </c>
      <c r="J13" s="138">
        <f t="shared" si="1"/>
        <v>599.99999999999989</v>
      </c>
      <c r="K13" s="138">
        <f t="shared" si="1"/>
        <v>599.99999999999989</v>
      </c>
      <c r="L13" s="138">
        <f t="shared" si="1"/>
        <v>599.99999999999989</v>
      </c>
      <c r="M13" s="138">
        <f t="shared" si="1"/>
        <v>599.99999999999989</v>
      </c>
      <c r="N13" s="138">
        <f t="shared" si="1"/>
        <v>599.99999999999989</v>
      </c>
      <c r="O13" s="138">
        <f t="shared" si="1"/>
        <v>599.99999999999989</v>
      </c>
      <c r="P13" s="138">
        <f t="shared" si="1"/>
        <v>599.99999999999989</v>
      </c>
      <c r="Q13" s="138">
        <f t="shared" si="1"/>
        <v>599.99999999999989</v>
      </c>
      <c r="R13" s="138">
        <f t="shared" si="1"/>
        <v>0</v>
      </c>
      <c r="S13" s="138">
        <f t="shared" si="1"/>
        <v>599.99999999999989</v>
      </c>
      <c r="T13" s="138">
        <f t="shared" si="1"/>
        <v>599.99999999999989</v>
      </c>
      <c r="U13" s="138">
        <f t="shared" si="1"/>
        <v>599.99999999999989</v>
      </c>
      <c r="V13" s="138">
        <f t="shared" si="1"/>
        <v>599.99999999999989</v>
      </c>
      <c r="W13" s="138">
        <f t="shared" si="1"/>
        <v>599.99999999999989</v>
      </c>
      <c r="X13" s="138">
        <f t="shared" si="1"/>
        <v>599.99999999999989</v>
      </c>
      <c r="Y13" s="138">
        <f t="shared" si="1"/>
        <v>599.99999999999989</v>
      </c>
      <c r="Z13" s="138">
        <f t="shared" si="1"/>
        <v>599.99999999999989</v>
      </c>
      <c r="AA13" s="138">
        <f t="shared" si="1"/>
        <v>599.99999999999989</v>
      </c>
      <c r="AB13" s="138">
        <f t="shared" si="1"/>
        <v>599.99999999999989</v>
      </c>
      <c r="AC13" s="138">
        <f t="shared" si="1"/>
        <v>599.99999999999989</v>
      </c>
      <c r="AD13" s="138">
        <f t="shared" si="1"/>
        <v>599.99999999999989</v>
      </c>
      <c r="AE13" s="138">
        <f t="shared" si="1"/>
        <v>599.99999999999989</v>
      </c>
      <c r="AF13" s="138">
        <f t="shared" si="1"/>
        <v>599.99999999999989</v>
      </c>
      <c r="AG13" s="138">
        <f t="shared" si="1"/>
        <v>599.99999999999989</v>
      </c>
      <c r="AH13" s="138">
        <f t="shared" si="1"/>
        <v>599.99999999999989</v>
      </c>
      <c r="AI13" s="138">
        <f t="shared" si="1"/>
        <v>599.99999999999989</v>
      </c>
      <c r="AJ13" s="138">
        <f t="shared" si="1"/>
        <v>0</v>
      </c>
      <c r="AK13" s="138">
        <f t="shared" si="1"/>
        <v>599.99999999999989</v>
      </c>
      <c r="AL13" s="138">
        <f t="shared" si="1"/>
        <v>599.99999999999989</v>
      </c>
      <c r="AM13" s="138">
        <f t="shared" si="1"/>
        <v>599.99999999999989</v>
      </c>
      <c r="AN13" s="138">
        <f t="shared" si="1"/>
        <v>599.99999999999989</v>
      </c>
      <c r="AO13" s="138">
        <f t="shared" si="1"/>
        <v>599.99999999999989</v>
      </c>
      <c r="AP13" s="138">
        <f t="shared" si="1"/>
        <v>599.99999999999989</v>
      </c>
      <c r="AQ13" s="138">
        <f t="shared" si="1"/>
        <v>599.99999999999989</v>
      </c>
      <c r="AR13" s="138">
        <f t="shared" si="1"/>
        <v>599.99999999999989</v>
      </c>
      <c r="AS13" s="138">
        <f t="shared" si="1"/>
        <v>599.99999999999989</v>
      </c>
      <c r="AT13" s="138">
        <f t="shared" si="1"/>
        <v>599.99999999999989</v>
      </c>
      <c r="AU13" s="138">
        <f t="shared" si="1"/>
        <v>599.99999999999989</v>
      </c>
      <c r="AV13" s="138">
        <f t="shared" si="1"/>
        <v>599.99999999999989</v>
      </c>
      <c r="AW13" s="138">
        <f t="shared" si="1"/>
        <v>599.99999999999989</v>
      </c>
      <c r="AX13" s="138">
        <f t="shared" si="1"/>
        <v>599.99999999999989</v>
      </c>
      <c r="AY13" s="138">
        <f t="shared" si="1"/>
        <v>599.99999999999989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599.99999999999989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599.99999999999989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599.99999999999989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 t="s">
        <v>339</v>
      </c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 t="s">
        <v>339</v>
      </c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0.44583150905235575</v>
      </c>
      <c r="C21" s="156" t="s">
        <v>293</v>
      </c>
      <c r="D21" s="106">
        <f>IF(C$20="Yes",0,SUM(C$13:C$16)*$B$21)</f>
        <v>267.49890543141203</v>
      </c>
      <c r="E21" s="106">
        <f t="shared" ref="E21:AY21" si="3">IF(D$20="Yes",0,SUM(D$13:D$16)*$B$21)</f>
        <v>267.49890543141339</v>
      </c>
      <c r="F21" s="106">
        <f t="shared" si="3"/>
        <v>267.49890543141339</v>
      </c>
      <c r="G21" s="106">
        <f t="shared" si="3"/>
        <v>0</v>
      </c>
      <c r="H21" s="106">
        <f t="shared" si="3"/>
        <v>267.49890543141339</v>
      </c>
      <c r="I21" s="106">
        <f t="shared" si="3"/>
        <v>267.49890543141339</v>
      </c>
      <c r="J21" s="106">
        <f t="shared" si="3"/>
        <v>267.49890543141339</v>
      </c>
      <c r="K21" s="106">
        <f t="shared" si="3"/>
        <v>267.49890543141339</v>
      </c>
      <c r="L21" s="106">
        <f t="shared" si="3"/>
        <v>267.49890543141339</v>
      </c>
      <c r="M21" s="106">
        <f t="shared" si="3"/>
        <v>267.49890543141339</v>
      </c>
      <c r="N21" s="106">
        <f t="shared" si="3"/>
        <v>267.49890543141339</v>
      </c>
      <c r="O21" s="106">
        <f t="shared" si="3"/>
        <v>267.49890543141339</v>
      </c>
      <c r="P21" s="106">
        <f t="shared" si="3"/>
        <v>267.49890543141339</v>
      </c>
      <c r="Q21" s="106">
        <f t="shared" si="3"/>
        <v>267.49890543141339</v>
      </c>
      <c r="R21" s="106">
        <f t="shared" si="3"/>
        <v>0</v>
      </c>
      <c r="S21" s="106">
        <f t="shared" si="3"/>
        <v>267.49890543141339</v>
      </c>
      <c r="T21" s="106">
        <f t="shared" si="3"/>
        <v>267.49890543141339</v>
      </c>
      <c r="U21" s="106">
        <f t="shared" si="3"/>
        <v>267.49890543141339</v>
      </c>
      <c r="V21" s="106">
        <f t="shared" si="3"/>
        <v>267.49890543141339</v>
      </c>
      <c r="W21" s="106">
        <f t="shared" si="3"/>
        <v>267.49890543141339</v>
      </c>
      <c r="X21" s="106">
        <f t="shared" si="3"/>
        <v>267.49890543141339</v>
      </c>
      <c r="Y21" s="106">
        <f t="shared" si="3"/>
        <v>267.49890543141339</v>
      </c>
      <c r="Z21" s="106">
        <f t="shared" si="3"/>
        <v>267.49890543141339</v>
      </c>
      <c r="AA21" s="106">
        <f t="shared" si="3"/>
        <v>267.49890543141339</v>
      </c>
      <c r="AB21" s="106">
        <f t="shared" si="3"/>
        <v>267.49890543141339</v>
      </c>
      <c r="AC21" s="106">
        <f t="shared" si="3"/>
        <v>267.49890543141339</v>
      </c>
      <c r="AD21" s="106">
        <f t="shared" si="3"/>
        <v>267.49890543141339</v>
      </c>
      <c r="AE21" s="106">
        <f t="shared" si="3"/>
        <v>267.49890543141339</v>
      </c>
      <c r="AF21" s="106">
        <f t="shared" si="3"/>
        <v>267.49890543141339</v>
      </c>
      <c r="AG21" s="106">
        <f t="shared" si="3"/>
        <v>267.49890543141339</v>
      </c>
      <c r="AH21" s="106">
        <f t="shared" si="3"/>
        <v>267.49890543141339</v>
      </c>
      <c r="AI21" s="106">
        <f t="shared" si="3"/>
        <v>267.49890543141339</v>
      </c>
      <c r="AJ21" s="106">
        <f t="shared" si="3"/>
        <v>0</v>
      </c>
      <c r="AK21" s="106">
        <f t="shared" si="3"/>
        <v>267.49890543141339</v>
      </c>
      <c r="AL21" s="106">
        <f t="shared" si="3"/>
        <v>267.49890543141339</v>
      </c>
      <c r="AM21" s="106">
        <f t="shared" si="3"/>
        <v>267.49890543141339</v>
      </c>
      <c r="AN21" s="106">
        <f t="shared" si="3"/>
        <v>267.49890543141339</v>
      </c>
      <c r="AO21" s="106">
        <f t="shared" si="3"/>
        <v>267.49890543141339</v>
      </c>
      <c r="AP21" s="106">
        <f t="shared" si="3"/>
        <v>267.49890543141339</v>
      </c>
      <c r="AQ21" s="106">
        <f t="shared" si="3"/>
        <v>267.49890543141339</v>
      </c>
      <c r="AR21" s="106">
        <f t="shared" si="3"/>
        <v>267.49890543141339</v>
      </c>
      <c r="AS21" s="106">
        <f t="shared" si="3"/>
        <v>267.49890543141339</v>
      </c>
      <c r="AT21" s="106">
        <f t="shared" si="3"/>
        <v>267.49890543141339</v>
      </c>
      <c r="AU21" s="106">
        <f t="shared" si="3"/>
        <v>267.49890543141339</v>
      </c>
      <c r="AV21" s="106">
        <f t="shared" si="3"/>
        <v>267.49890543141339</v>
      </c>
      <c r="AW21" s="106">
        <f t="shared" si="3"/>
        <v>267.49890543141339</v>
      </c>
      <c r="AX21" s="106">
        <f t="shared" si="3"/>
        <v>267.49890543141339</v>
      </c>
      <c r="AY21" s="106">
        <f t="shared" si="3"/>
        <v>267.49890543141339</v>
      </c>
      <c r="AZ21" s="157">
        <f>SUM($D21:$AY21)</f>
        <v>12037.450744413609</v>
      </c>
    </row>
    <row r="22" spans="1:52" s="110" customFormat="1">
      <c r="A22" s="158" t="s">
        <v>123</v>
      </c>
      <c r="B22" s="159">
        <f>1-$B$21</f>
        <v>0.55416849094764431</v>
      </c>
      <c r="C22" s="159" t="s">
        <v>293</v>
      </c>
      <c r="D22" s="114">
        <f>IF(C$20="Yes",0,SUM(C$13:C$16)*$B$22)</f>
        <v>332.50109456858485</v>
      </c>
      <c r="E22" s="114">
        <f t="shared" ref="E22:AY22" si="4">IF(D$20="Yes",0,SUM(D$13:D$16)*$B$22)</f>
        <v>332.5010945685865</v>
      </c>
      <c r="F22" s="114">
        <f t="shared" si="4"/>
        <v>332.5010945685865</v>
      </c>
      <c r="G22" s="114">
        <f t="shared" si="4"/>
        <v>0</v>
      </c>
      <c r="H22" s="114">
        <f t="shared" si="4"/>
        <v>332.5010945685865</v>
      </c>
      <c r="I22" s="114">
        <f t="shared" si="4"/>
        <v>332.5010945685865</v>
      </c>
      <c r="J22" s="114">
        <f t="shared" si="4"/>
        <v>332.5010945685865</v>
      </c>
      <c r="K22" s="114">
        <f t="shared" si="4"/>
        <v>332.5010945685865</v>
      </c>
      <c r="L22" s="114">
        <f t="shared" si="4"/>
        <v>332.5010945685865</v>
      </c>
      <c r="M22" s="114">
        <f t="shared" si="4"/>
        <v>332.5010945685865</v>
      </c>
      <c r="N22" s="114">
        <f t="shared" si="4"/>
        <v>332.5010945685865</v>
      </c>
      <c r="O22" s="114">
        <f t="shared" si="4"/>
        <v>332.5010945685865</v>
      </c>
      <c r="P22" s="114">
        <f t="shared" si="4"/>
        <v>332.5010945685865</v>
      </c>
      <c r="Q22" s="114">
        <f t="shared" si="4"/>
        <v>332.5010945685865</v>
      </c>
      <c r="R22" s="114">
        <f t="shared" si="4"/>
        <v>0</v>
      </c>
      <c r="S22" s="114">
        <f t="shared" si="4"/>
        <v>332.5010945685865</v>
      </c>
      <c r="T22" s="114">
        <f t="shared" si="4"/>
        <v>332.5010945685865</v>
      </c>
      <c r="U22" s="114">
        <f t="shared" si="4"/>
        <v>332.5010945685865</v>
      </c>
      <c r="V22" s="114">
        <f t="shared" si="4"/>
        <v>332.5010945685865</v>
      </c>
      <c r="W22" s="114">
        <f t="shared" si="4"/>
        <v>332.5010945685865</v>
      </c>
      <c r="X22" s="114">
        <f t="shared" si="4"/>
        <v>332.5010945685865</v>
      </c>
      <c r="Y22" s="114">
        <f t="shared" si="4"/>
        <v>332.5010945685865</v>
      </c>
      <c r="Z22" s="114">
        <f t="shared" si="4"/>
        <v>332.5010945685865</v>
      </c>
      <c r="AA22" s="114">
        <f t="shared" si="4"/>
        <v>332.5010945685865</v>
      </c>
      <c r="AB22" s="114">
        <f t="shared" si="4"/>
        <v>332.5010945685865</v>
      </c>
      <c r="AC22" s="114">
        <f t="shared" si="4"/>
        <v>332.5010945685865</v>
      </c>
      <c r="AD22" s="114">
        <f t="shared" si="4"/>
        <v>332.5010945685865</v>
      </c>
      <c r="AE22" s="114">
        <f t="shared" si="4"/>
        <v>332.5010945685865</v>
      </c>
      <c r="AF22" s="114">
        <f t="shared" si="4"/>
        <v>332.5010945685865</v>
      </c>
      <c r="AG22" s="114">
        <f t="shared" si="4"/>
        <v>332.5010945685865</v>
      </c>
      <c r="AH22" s="114">
        <f t="shared" si="4"/>
        <v>332.5010945685865</v>
      </c>
      <c r="AI22" s="114">
        <f t="shared" si="4"/>
        <v>332.5010945685865</v>
      </c>
      <c r="AJ22" s="114">
        <f t="shared" si="4"/>
        <v>0</v>
      </c>
      <c r="AK22" s="114">
        <f t="shared" si="4"/>
        <v>332.5010945685865</v>
      </c>
      <c r="AL22" s="114">
        <f t="shared" si="4"/>
        <v>332.5010945685865</v>
      </c>
      <c r="AM22" s="114">
        <f t="shared" si="4"/>
        <v>332.5010945685865</v>
      </c>
      <c r="AN22" s="114">
        <f t="shared" si="4"/>
        <v>332.5010945685865</v>
      </c>
      <c r="AO22" s="114">
        <f t="shared" si="4"/>
        <v>332.5010945685865</v>
      </c>
      <c r="AP22" s="114">
        <f t="shared" si="4"/>
        <v>332.5010945685865</v>
      </c>
      <c r="AQ22" s="114">
        <f t="shared" si="4"/>
        <v>332.5010945685865</v>
      </c>
      <c r="AR22" s="114">
        <f t="shared" si="4"/>
        <v>332.5010945685865</v>
      </c>
      <c r="AS22" s="114">
        <f t="shared" si="4"/>
        <v>332.5010945685865</v>
      </c>
      <c r="AT22" s="114">
        <f t="shared" si="4"/>
        <v>332.5010945685865</v>
      </c>
      <c r="AU22" s="114">
        <f t="shared" si="4"/>
        <v>332.5010945685865</v>
      </c>
      <c r="AV22" s="114">
        <f t="shared" si="4"/>
        <v>332.5010945685865</v>
      </c>
      <c r="AW22" s="114">
        <f t="shared" si="4"/>
        <v>332.5010945685865</v>
      </c>
      <c r="AX22" s="114">
        <f t="shared" si="4"/>
        <v>332.5010945685865</v>
      </c>
      <c r="AY22" s="114">
        <f t="shared" si="4"/>
        <v>332.5010945685865</v>
      </c>
      <c r="AZ22" s="141">
        <f t="shared" ref="AZ22:AZ30" si="5">SUM($D22:$AY22)</f>
        <v>14962.549255586382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534997.81086282409</v>
      </c>
      <c r="E23" s="100">
        <f t="shared" ref="E23:AY23" si="6">E$21*$B$23</f>
        <v>534997.81086282677</v>
      </c>
      <c r="F23" s="100">
        <f t="shared" si="6"/>
        <v>534997.81086282677</v>
      </c>
      <c r="G23" s="100">
        <f t="shared" si="6"/>
        <v>0</v>
      </c>
      <c r="H23" s="100">
        <f t="shared" si="6"/>
        <v>534997.81086282677</v>
      </c>
      <c r="I23" s="100">
        <f t="shared" si="6"/>
        <v>534997.81086282677</v>
      </c>
      <c r="J23" s="100">
        <f t="shared" si="6"/>
        <v>534997.81086282677</v>
      </c>
      <c r="K23" s="100">
        <f t="shared" si="6"/>
        <v>534997.81086282677</v>
      </c>
      <c r="L23" s="100">
        <f t="shared" si="6"/>
        <v>534997.81086282677</v>
      </c>
      <c r="M23" s="100">
        <f t="shared" si="6"/>
        <v>534997.81086282677</v>
      </c>
      <c r="N23" s="100">
        <f t="shared" si="6"/>
        <v>534997.81086282677</v>
      </c>
      <c r="O23" s="100">
        <f t="shared" si="6"/>
        <v>534997.81086282677</v>
      </c>
      <c r="P23" s="100">
        <f t="shared" si="6"/>
        <v>534997.81086282677</v>
      </c>
      <c r="Q23" s="100">
        <f t="shared" si="6"/>
        <v>534997.81086282677</v>
      </c>
      <c r="R23" s="100">
        <f t="shared" si="6"/>
        <v>0</v>
      </c>
      <c r="S23" s="100">
        <f t="shared" si="6"/>
        <v>534997.81086282677</v>
      </c>
      <c r="T23" s="100">
        <f t="shared" si="6"/>
        <v>534997.81086282677</v>
      </c>
      <c r="U23" s="100">
        <f t="shared" si="6"/>
        <v>534997.81086282677</v>
      </c>
      <c r="V23" s="100">
        <f t="shared" si="6"/>
        <v>534997.81086282677</v>
      </c>
      <c r="W23" s="100">
        <f t="shared" si="6"/>
        <v>534997.81086282677</v>
      </c>
      <c r="X23" s="100">
        <f t="shared" si="6"/>
        <v>534997.81086282677</v>
      </c>
      <c r="Y23" s="100">
        <f t="shared" si="6"/>
        <v>534997.81086282677</v>
      </c>
      <c r="Z23" s="100">
        <f t="shared" si="6"/>
        <v>534997.81086282677</v>
      </c>
      <c r="AA23" s="100">
        <f t="shared" si="6"/>
        <v>534997.81086282677</v>
      </c>
      <c r="AB23" s="100">
        <f t="shared" si="6"/>
        <v>534997.81086282677</v>
      </c>
      <c r="AC23" s="100">
        <f t="shared" si="6"/>
        <v>534997.81086282677</v>
      </c>
      <c r="AD23" s="100">
        <f t="shared" si="6"/>
        <v>534997.81086282677</v>
      </c>
      <c r="AE23" s="100">
        <f t="shared" si="6"/>
        <v>534997.81086282677</v>
      </c>
      <c r="AF23" s="100">
        <f t="shared" si="6"/>
        <v>534997.81086282677</v>
      </c>
      <c r="AG23" s="100">
        <f t="shared" si="6"/>
        <v>534997.81086282677</v>
      </c>
      <c r="AH23" s="100">
        <f t="shared" si="6"/>
        <v>534997.81086282677</v>
      </c>
      <c r="AI23" s="100">
        <f t="shared" si="6"/>
        <v>534997.81086282677</v>
      </c>
      <c r="AJ23" s="100">
        <f t="shared" si="6"/>
        <v>0</v>
      </c>
      <c r="AK23" s="100">
        <f t="shared" si="6"/>
        <v>534997.81086282677</v>
      </c>
      <c r="AL23" s="100">
        <f t="shared" si="6"/>
        <v>534997.81086282677</v>
      </c>
      <c r="AM23" s="100">
        <f t="shared" si="6"/>
        <v>534997.81086282677</v>
      </c>
      <c r="AN23" s="100">
        <f t="shared" si="6"/>
        <v>534997.81086282677</v>
      </c>
      <c r="AO23" s="100">
        <f t="shared" si="6"/>
        <v>534997.81086282677</v>
      </c>
      <c r="AP23" s="100">
        <f t="shared" si="6"/>
        <v>534997.81086282677</v>
      </c>
      <c r="AQ23" s="100">
        <f t="shared" si="6"/>
        <v>534997.81086282677</v>
      </c>
      <c r="AR23" s="100">
        <f t="shared" si="6"/>
        <v>534997.81086282677</v>
      </c>
      <c r="AS23" s="100">
        <f t="shared" si="6"/>
        <v>534997.81086282677</v>
      </c>
      <c r="AT23" s="100">
        <f t="shared" si="6"/>
        <v>534997.81086282677</v>
      </c>
      <c r="AU23" s="100">
        <f t="shared" si="6"/>
        <v>534997.81086282677</v>
      </c>
      <c r="AV23" s="100">
        <f t="shared" si="6"/>
        <v>534997.81086282677</v>
      </c>
      <c r="AW23" s="100">
        <f t="shared" si="6"/>
        <v>534997.81086282677</v>
      </c>
      <c r="AX23" s="100">
        <f t="shared" si="6"/>
        <v>534997.81086282677</v>
      </c>
      <c r="AY23" s="100">
        <f t="shared" si="6"/>
        <v>534997.81086282677</v>
      </c>
      <c r="AZ23" s="139">
        <f t="shared" si="5"/>
        <v>24074901.488827214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332501.09456858487</v>
      </c>
      <c r="E24" s="106">
        <f t="shared" ref="E24:AY24" si="7">E$22*$B$24</f>
        <v>332501.0945685865</v>
      </c>
      <c r="F24" s="106">
        <f t="shared" si="7"/>
        <v>332501.0945685865</v>
      </c>
      <c r="G24" s="106">
        <f t="shared" si="7"/>
        <v>0</v>
      </c>
      <c r="H24" s="106">
        <f t="shared" si="7"/>
        <v>332501.0945685865</v>
      </c>
      <c r="I24" s="106">
        <f t="shared" si="7"/>
        <v>332501.0945685865</v>
      </c>
      <c r="J24" s="106">
        <f t="shared" si="7"/>
        <v>332501.0945685865</v>
      </c>
      <c r="K24" s="106">
        <f t="shared" si="7"/>
        <v>332501.0945685865</v>
      </c>
      <c r="L24" s="106">
        <f t="shared" si="7"/>
        <v>332501.0945685865</v>
      </c>
      <c r="M24" s="106">
        <f t="shared" si="7"/>
        <v>332501.0945685865</v>
      </c>
      <c r="N24" s="106">
        <f t="shared" si="7"/>
        <v>332501.0945685865</v>
      </c>
      <c r="O24" s="106">
        <f t="shared" si="7"/>
        <v>332501.0945685865</v>
      </c>
      <c r="P24" s="106">
        <f t="shared" si="7"/>
        <v>332501.0945685865</v>
      </c>
      <c r="Q24" s="106">
        <f t="shared" si="7"/>
        <v>332501.0945685865</v>
      </c>
      <c r="R24" s="106">
        <f t="shared" si="7"/>
        <v>0</v>
      </c>
      <c r="S24" s="106">
        <f t="shared" si="7"/>
        <v>332501.0945685865</v>
      </c>
      <c r="T24" s="106">
        <f t="shared" si="7"/>
        <v>332501.0945685865</v>
      </c>
      <c r="U24" s="106">
        <f t="shared" si="7"/>
        <v>332501.0945685865</v>
      </c>
      <c r="V24" s="106">
        <f t="shared" si="7"/>
        <v>332501.0945685865</v>
      </c>
      <c r="W24" s="106">
        <f t="shared" si="7"/>
        <v>332501.0945685865</v>
      </c>
      <c r="X24" s="106">
        <f t="shared" si="7"/>
        <v>332501.0945685865</v>
      </c>
      <c r="Y24" s="106">
        <f t="shared" si="7"/>
        <v>332501.0945685865</v>
      </c>
      <c r="Z24" s="106">
        <f t="shared" si="7"/>
        <v>332501.0945685865</v>
      </c>
      <c r="AA24" s="106">
        <f t="shared" si="7"/>
        <v>332501.0945685865</v>
      </c>
      <c r="AB24" s="106">
        <f t="shared" si="7"/>
        <v>332501.0945685865</v>
      </c>
      <c r="AC24" s="106">
        <f t="shared" si="7"/>
        <v>332501.0945685865</v>
      </c>
      <c r="AD24" s="106">
        <f t="shared" si="7"/>
        <v>332501.0945685865</v>
      </c>
      <c r="AE24" s="106">
        <f t="shared" si="7"/>
        <v>332501.0945685865</v>
      </c>
      <c r="AF24" s="106">
        <f t="shared" si="7"/>
        <v>332501.0945685865</v>
      </c>
      <c r="AG24" s="106">
        <f t="shared" si="7"/>
        <v>332501.0945685865</v>
      </c>
      <c r="AH24" s="106">
        <f t="shared" si="7"/>
        <v>332501.0945685865</v>
      </c>
      <c r="AI24" s="106">
        <f t="shared" si="7"/>
        <v>332501.0945685865</v>
      </c>
      <c r="AJ24" s="106">
        <f t="shared" si="7"/>
        <v>0</v>
      </c>
      <c r="AK24" s="106">
        <f t="shared" si="7"/>
        <v>332501.0945685865</v>
      </c>
      <c r="AL24" s="106">
        <f t="shared" si="7"/>
        <v>332501.0945685865</v>
      </c>
      <c r="AM24" s="106">
        <f t="shared" si="7"/>
        <v>332501.0945685865</v>
      </c>
      <c r="AN24" s="106">
        <f t="shared" si="7"/>
        <v>332501.0945685865</v>
      </c>
      <c r="AO24" s="106">
        <f t="shared" si="7"/>
        <v>332501.0945685865</v>
      </c>
      <c r="AP24" s="106">
        <f t="shared" si="7"/>
        <v>332501.0945685865</v>
      </c>
      <c r="AQ24" s="106">
        <f t="shared" si="7"/>
        <v>332501.0945685865</v>
      </c>
      <c r="AR24" s="106">
        <f t="shared" si="7"/>
        <v>332501.0945685865</v>
      </c>
      <c r="AS24" s="106">
        <f t="shared" si="7"/>
        <v>332501.0945685865</v>
      </c>
      <c r="AT24" s="106">
        <f t="shared" si="7"/>
        <v>332501.0945685865</v>
      </c>
      <c r="AU24" s="106">
        <f t="shared" si="7"/>
        <v>332501.0945685865</v>
      </c>
      <c r="AV24" s="106">
        <f t="shared" si="7"/>
        <v>332501.0945685865</v>
      </c>
      <c r="AW24" s="106">
        <f t="shared" si="7"/>
        <v>332501.0945685865</v>
      </c>
      <c r="AX24" s="106">
        <f t="shared" si="7"/>
        <v>332501.0945685865</v>
      </c>
      <c r="AY24" s="106">
        <f t="shared" si="7"/>
        <v>332501.0945685865</v>
      </c>
      <c r="AZ24" s="141">
        <f t="shared" si="5"/>
        <v>14962549.255586386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22</v>
      </c>
      <c r="I27" s="124">
        <f t="shared" si="8"/>
        <v>1</v>
      </c>
      <c r="J27" s="124">
        <f t="shared" si="8"/>
        <v>21</v>
      </c>
      <c r="K27" s="124">
        <f t="shared" si="8"/>
        <v>1</v>
      </c>
      <c r="L27" s="124">
        <f t="shared" si="8"/>
        <v>21</v>
      </c>
      <c r="M27" s="124">
        <f t="shared" si="8"/>
        <v>1</v>
      </c>
      <c r="N27" s="124">
        <f t="shared" si="8"/>
        <v>21</v>
      </c>
      <c r="O27" s="124">
        <f t="shared" si="8"/>
        <v>1</v>
      </c>
      <c r="P27" s="124">
        <f t="shared" si="8"/>
        <v>21</v>
      </c>
      <c r="Q27" s="124">
        <f t="shared" si="8"/>
        <v>1</v>
      </c>
      <c r="R27" s="124">
        <f t="shared" si="8"/>
        <v>21</v>
      </c>
      <c r="S27" s="124">
        <f t="shared" si="8"/>
        <v>22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22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0</v>
      </c>
      <c r="H28" s="110">
        <v>21</v>
      </c>
      <c r="I28" s="110">
        <v>1</v>
      </c>
      <c r="J28" s="110">
        <v>21</v>
      </c>
      <c r="K28" s="110">
        <v>1</v>
      </c>
      <c r="L28" s="110">
        <v>21</v>
      </c>
      <c r="M28" s="110">
        <v>1</v>
      </c>
      <c r="N28" s="110">
        <v>21</v>
      </c>
      <c r="O28" s="110">
        <v>1</v>
      </c>
      <c r="P28" s="110">
        <v>21</v>
      </c>
      <c r="Q28" s="110">
        <v>1</v>
      </c>
      <c r="R28" s="110">
        <v>0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0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0</v>
      </c>
      <c r="I29" s="125">
        <f t="shared" si="9"/>
        <v>21</v>
      </c>
      <c r="J29" s="125">
        <f t="shared" si="9"/>
        <v>1</v>
      </c>
      <c r="K29" s="125">
        <f t="shared" si="9"/>
        <v>21</v>
      </c>
      <c r="L29" s="125">
        <f t="shared" si="9"/>
        <v>1</v>
      </c>
      <c r="M29" s="125">
        <f t="shared" si="9"/>
        <v>21</v>
      </c>
      <c r="N29" s="125">
        <f t="shared" si="9"/>
        <v>1</v>
      </c>
      <c r="O29" s="125">
        <f t="shared" si="9"/>
        <v>21</v>
      </c>
      <c r="P29" s="125">
        <f t="shared" si="9"/>
        <v>1</v>
      </c>
      <c r="Q29" s="125">
        <f t="shared" si="9"/>
        <v>21</v>
      </c>
      <c r="R29" s="125">
        <f t="shared" si="9"/>
        <v>1</v>
      </c>
      <c r="S29" s="125">
        <f t="shared" si="9"/>
        <v>0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0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220</v>
      </c>
      <c r="I30" s="117">
        <f t="shared" si="10"/>
        <v>10</v>
      </c>
      <c r="J30" s="117">
        <f t="shared" si="10"/>
        <v>210</v>
      </c>
      <c r="K30" s="117">
        <f t="shared" si="10"/>
        <v>10</v>
      </c>
      <c r="L30" s="117">
        <f t="shared" si="10"/>
        <v>210</v>
      </c>
      <c r="M30" s="117">
        <f t="shared" si="10"/>
        <v>10</v>
      </c>
      <c r="N30" s="117">
        <f t="shared" si="10"/>
        <v>210</v>
      </c>
      <c r="O30" s="117">
        <f t="shared" si="10"/>
        <v>10</v>
      </c>
      <c r="P30" s="117">
        <f t="shared" si="10"/>
        <v>210</v>
      </c>
      <c r="Q30" s="117">
        <f t="shared" si="10"/>
        <v>10</v>
      </c>
      <c r="R30" s="117">
        <f>R$27*$B$30</f>
        <v>210</v>
      </c>
      <c r="S30" s="117">
        <f t="shared" si="10"/>
        <v>220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220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5510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114.29983964172132</v>
      </c>
      <c r="E33" s="124">
        <f>E$21*shipping_manufacturing!$D$27/100</f>
        <v>114.2998396417219</v>
      </c>
      <c r="F33" s="124">
        <f>F$21*shipping_manufacturing!$D$27/100</f>
        <v>114.2998396417219</v>
      </c>
      <c r="G33" s="124">
        <f>G$21*shipping_manufacturing!$D$27/100</f>
        <v>0</v>
      </c>
      <c r="H33" s="124">
        <f>H$21*shipping_manufacturing!$D$27/100</f>
        <v>114.2998396417219</v>
      </c>
      <c r="I33" s="124">
        <f>I$21*shipping_manufacturing!$D$27/100</f>
        <v>114.2998396417219</v>
      </c>
      <c r="J33" s="124">
        <f>J$21*shipping_manufacturing!$D$27/100</f>
        <v>114.2998396417219</v>
      </c>
      <c r="K33" s="124">
        <f>K$21*shipping_manufacturing!$D$27/100</f>
        <v>114.2998396417219</v>
      </c>
      <c r="L33" s="124">
        <f>L$21*shipping_manufacturing!$D$27/100</f>
        <v>114.2998396417219</v>
      </c>
      <c r="M33" s="124">
        <f>M$21*shipping_manufacturing!$D$27/100</f>
        <v>114.2998396417219</v>
      </c>
      <c r="N33" s="124">
        <f>N$21*shipping_manufacturing!$D$27/100</f>
        <v>114.2998396417219</v>
      </c>
      <c r="O33" s="124">
        <f>O$21*shipping_manufacturing!$D$27/100</f>
        <v>114.2998396417219</v>
      </c>
      <c r="P33" s="124">
        <f>P$21*shipping_manufacturing!$D$27/100</f>
        <v>114.2998396417219</v>
      </c>
      <c r="Q33" s="124">
        <f>Q$21*shipping_manufacturing!$D$27/100</f>
        <v>114.2998396417219</v>
      </c>
      <c r="R33" s="124">
        <f>R$21*shipping_manufacturing!$D$27/100</f>
        <v>0</v>
      </c>
      <c r="S33" s="124">
        <f>S$21*shipping_manufacturing!$D$27/100</f>
        <v>114.2998396417219</v>
      </c>
      <c r="T33" s="124">
        <f>T$21*shipping_manufacturing!$D$27/100</f>
        <v>114.2998396417219</v>
      </c>
      <c r="U33" s="124">
        <f>U$21*shipping_manufacturing!$D$27/100</f>
        <v>114.2998396417219</v>
      </c>
      <c r="V33" s="124">
        <f>V$21*shipping_manufacturing!$D$27/100</f>
        <v>114.2998396417219</v>
      </c>
      <c r="W33" s="124">
        <f>W$21*shipping_manufacturing!$D$27/100</f>
        <v>114.2998396417219</v>
      </c>
      <c r="X33" s="124">
        <f>X$21*shipping_manufacturing!$D$27/100</f>
        <v>114.2998396417219</v>
      </c>
      <c r="Y33" s="124">
        <f>Y$21*shipping_manufacturing!$D$27/100</f>
        <v>114.2998396417219</v>
      </c>
      <c r="Z33" s="124">
        <f>Z$21*shipping_manufacturing!$D$27/100</f>
        <v>114.2998396417219</v>
      </c>
      <c r="AA33" s="124">
        <f>AA$21*shipping_manufacturing!$D$27/100</f>
        <v>114.2998396417219</v>
      </c>
      <c r="AB33" s="124">
        <f>AB$21*shipping_manufacturing!$D$27/100</f>
        <v>114.2998396417219</v>
      </c>
      <c r="AC33" s="124">
        <f>AC$21*shipping_manufacturing!$D$27/100</f>
        <v>114.2998396417219</v>
      </c>
      <c r="AD33" s="124">
        <f>AD$21*shipping_manufacturing!$D$27/100</f>
        <v>114.2998396417219</v>
      </c>
      <c r="AE33" s="124">
        <f>AE$21*shipping_manufacturing!$D$27/100</f>
        <v>114.2998396417219</v>
      </c>
      <c r="AF33" s="124">
        <f>AF$21*shipping_manufacturing!$D$27/100</f>
        <v>114.2998396417219</v>
      </c>
      <c r="AG33" s="124">
        <f>AG$21*shipping_manufacturing!$D$27/100</f>
        <v>114.2998396417219</v>
      </c>
      <c r="AH33" s="124">
        <f>AH$21*shipping_manufacturing!$D$27/100</f>
        <v>114.2998396417219</v>
      </c>
      <c r="AI33" s="124">
        <f>AI$21*shipping_manufacturing!$D$27/100</f>
        <v>114.2998396417219</v>
      </c>
      <c r="AJ33" s="124">
        <f>AJ$21*shipping_manufacturing!$D$27/100</f>
        <v>0</v>
      </c>
      <c r="AK33" s="124">
        <f>AK$21*shipping_manufacturing!$D$27/100</f>
        <v>114.2998396417219</v>
      </c>
      <c r="AL33" s="124">
        <f>AL$21*shipping_manufacturing!$D$27/100</f>
        <v>114.2998396417219</v>
      </c>
      <c r="AM33" s="124">
        <f>AM$21*shipping_manufacturing!$D$27/100</f>
        <v>114.2998396417219</v>
      </c>
      <c r="AN33" s="124">
        <f>AN$21*shipping_manufacturing!$D$27/100</f>
        <v>114.2998396417219</v>
      </c>
      <c r="AO33" s="124">
        <f>AO$21*shipping_manufacturing!$D$27/100</f>
        <v>114.2998396417219</v>
      </c>
      <c r="AP33" s="124">
        <f>AP$21*shipping_manufacturing!$D$27/100</f>
        <v>114.2998396417219</v>
      </c>
      <c r="AQ33" s="124">
        <f>AQ$21*shipping_manufacturing!$D$27/100</f>
        <v>114.2998396417219</v>
      </c>
      <c r="AR33" s="124">
        <f>AR$21*shipping_manufacturing!$D$27/100</f>
        <v>114.2998396417219</v>
      </c>
      <c r="AS33" s="124">
        <f>AS$21*shipping_manufacturing!$D$27/100</f>
        <v>114.2998396417219</v>
      </c>
      <c r="AT33" s="124">
        <f>AT$21*shipping_manufacturing!$D$27/100</f>
        <v>114.2998396417219</v>
      </c>
      <c r="AU33" s="124">
        <f>AU$21*shipping_manufacturing!$D$27/100</f>
        <v>114.2998396417219</v>
      </c>
      <c r="AV33" s="124">
        <f>AV$21*shipping_manufacturing!$D$27/100</f>
        <v>114.2998396417219</v>
      </c>
      <c r="AW33" s="124">
        <f>AW$21*shipping_manufacturing!$D$27/100</f>
        <v>114.2998396417219</v>
      </c>
      <c r="AX33" s="124">
        <f>AX$21*shipping_manufacturing!$D$27/100</f>
        <v>114.2998396417219</v>
      </c>
      <c r="AY33" s="124">
        <f>AY$21*shipping_manufacturing!$D$27/100</f>
        <v>114.2998396417219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117.61917568396619</v>
      </c>
      <c r="E34" s="110">
        <f>E$22*shipping_manufacturing!$E$27/100</f>
        <v>117.61917568396677</v>
      </c>
      <c r="F34" s="110">
        <f>F$22*shipping_manufacturing!$E$27/100</f>
        <v>117.61917568396677</v>
      </c>
      <c r="G34" s="110">
        <f>G$22*shipping_manufacturing!$E$27/100</f>
        <v>0</v>
      </c>
      <c r="H34" s="110">
        <f>H$22*shipping_manufacturing!$E$27/100</f>
        <v>117.61917568396677</v>
      </c>
      <c r="I34" s="110">
        <f>I$22*shipping_manufacturing!$E$27/100</f>
        <v>117.61917568396677</v>
      </c>
      <c r="J34" s="110">
        <f>J$22*shipping_manufacturing!$E$27/100</f>
        <v>117.61917568396677</v>
      </c>
      <c r="K34" s="110">
        <f>K$22*shipping_manufacturing!$E$27/100</f>
        <v>117.61917568396677</v>
      </c>
      <c r="L34" s="110">
        <f>L$22*shipping_manufacturing!$E$27/100</f>
        <v>117.61917568396677</v>
      </c>
      <c r="M34" s="110">
        <f>M$22*shipping_manufacturing!$E$27/100</f>
        <v>117.61917568396677</v>
      </c>
      <c r="N34" s="110">
        <f>N$22*shipping_manufacturing!$E$27/100</f>
        <v>117.61917568396677</v>
      </c>
      <c r="O34" s="110">
        <f>O$22*shipping_manufacturing!$E$27/100</f>
        <v>117.61917568396677</v>
      </c>
      <c r="P34" s="110">
        <f>P$22*shipping_manufacturing!$E$27/100</f>
        <v>117.61917568396677</v>
      </c>
      <c r="Q34" s="110">
        <f>Q$22*shipping_manufacturing!$E$27/100</f>
        <v>117.61917568396677</v>
      </c>
      <c r="R34" s="110">
        <f>R$22*shipping_manufacturing!$E$27/100</f>
        <v>0</v>
      </c>
      <c r="S34" s="110">
        <f>S$22*shipping_manufacturing!$E$27/100</f>
        <v>117.61917568396677</v>
      </c>
      <c r="T34" s="110">
        <f>T$22*shipping_manufacturing!$E$27/100</f>
        <v>117.61917568396677</v>
      </c>
      <c r="U34" s="110">
        <f>U$22*shipping_manufacturing!$E$27/100</f>
        <v>117.61917568396677</v>
      </c>
      <c r="V34" s="110">
        <f>V$22*shipping_manufacturing!$E$27/100</f>
        <v>117.61917568396677</v>
      </c>
      <c r="W34" s="110">
        <f>W$22*shipping_manufacturing!$E$27/100</f>
        <v>117.61917568396677</v>
      </c>
      <c r="X34" s="110">
        <f>X$22*shipping_manufacturing!$E$27/100</f>
        <v>117.61917568396677</v>
      </c>
      <c r="Y34" s="110">
        <f>Y$22*shipping_manufacturing!$E$27/100</f>
        <v>117.61917568396677</v>
      </c>
      <c r="Z34" s="110">
        <f>Z$22*shipping_manufacturing!$E$27/100</f>
        <v>117.61917568396677</v>
      </c>
      <c r="AA34" s="110">
        <f>AA$22*shipping_manufacturing!$E$27/100</f>
        <v>117.61917568396677</v>
      </c>
      <c r="AB34" s="110">
        <f>AB$22*shipping_manufacturing!$E$27/100</f>
        <v>117.61917568396677</v>
      </c>
      <c r="AC34" s="110">
        <f>AC$22*shipping_manufacturing!$E$27/100</f>
        <v>117.61917568396677</v>
      </c>
      <c r="AD34" s="110">
        <f>AD$22*shipping_manufacturing!$E$27/100</f>
        <v>117.61917568396677</v>
      </c>
      <c r="AE34" s="110">
        <f>AE$22*shipping_manufacturing!$E$27/100</f>
        <v>117.61917568396677</v>
      </c>
      <c r="AF34" s="110">
        <f>AF$22*shipping_manufacturing!$E$27/100</f>
        <v>117.61917568396677</v>
      </c>
      <c r="AG34" s="110">
        <f>AG$22*shipping_manufacturing!$E$27/100</f>
        <v>117.61917568396677</v>
      </c>
      <c r="AH34" s="110">
        <f>AH$22*shipping_manufacturing!$E$27/100</f>
        <v>117.61917568396677</v>
      </c>
      <c r="AI34" s="110">
        <f>AI$22*shipping_manufacturing!$E$27/100</f>
        <v>117.61917568396677</v>
      </c>
      <c r="AJ34" s="110">
        <f>AJ$22*shipping_manufacturing!$E$27/100</f>
        <v>0</v>
      </c>
      <c r="AK34" s="110">
        <f>AK$22*shipping_manufacturing!$E$27/100</f>
        <v>117.61917568396677</v>
      </c>
      <c r="AL34" s="110">
        <f>AL$22*shipping_manufacturing!$E$27/100</f>
        <v>117.61917568396677</v>
      </c>
      <c r="AM34" s="110">
        <f>AM$22*shipping_manufacturing!$E$27/100</f>
        <v>117.61917568396677</v>
      </c>
      <c r="AN34" s="110">
        <f>AN$22*shipping_manufacturing!$E$27/100</f>
        <v>117.61917568396677</v>
      </c>
      <c r="AO34" s="110">
        <f>AO$22*shipping_manufacturing!$E$27/100</f>
        <v>117.61917568396677</v>
      </c>
      <c r="AP34" s="110">
        <f>AP$22*shipping_manufacturing!$E$27/100</f>
        <v>117.61917568396677</v>
      </c>
      <c r="AQ34" s="110">
        <f>AQ$22*shipping_manufacturing!$E$27/100</f>
        <v>117.61917568396677</v>
      </c>
      <c r="AR34" s="110">
        <f>AR$22*shipping_manufacturing!$E$27/100</f>
        <v>117.61917568396677</v>
      </c>
      <c r="AS34" s="110">
        <f>AS$22*shipping_manufacturing!$E$27/100</f>
        <v>117.61917568396677</v>
      </c>
      <c r="AT34" s="110">
        <f>AT$22*shipping_manufacturing!$E$27/100</f>
        <v>117.61917568396677</v>
      </c>
      <c r="AU34" s="110">
        <f>AU$22*shipping_manufacturing!$E$27/100</f>
        <v>117.61917568396677</v>
      </c>
      <c r="AV34" s="110">
        <f>AV$22*shipping_manufacturing!$E$27/100</f>
        <v>117.61917568396677</v>
      </c>
      <c r="AW34" s="110">
        <f>AW$22*shipping_manufacturing!$E$27/100</f>
        <v>117.61917568396677</v>
      </c>
      <c r="AX34" s="110">
        <f>AX$22*shipping_manufacturing!$E$27/100</f>
        <v>117.61917568396677</v>
      </c>
      <c r="AY34" s="110">
        <f>AY$22*shipping_manufacturing!$E$27/100</f>
        <v>117.61917568396677</v>
      </c>
    </row>
    <row r="35" spans="1:52">
      <c r="A35" s="110">
        <v>1225</v>
      </c>
      <c r="B35" s="165" t="s">
        <v>343</v>
      </c>
      <c r="C35" s="110"/>
      <c r="D35" s="110">
        <f>SUM(D33:D34)</f>
        <v>231.9190153256875</v>
      </c>
      <c r="E35" s="110">
        <f t="shared" ref="E35:AY35" si="11">SUM(E33:E34)</f>
        <v>231.91901532568869</v>
      </c>
      <c r="F35" s="110">
        <f t="shared" si="11"/>
        <v>231.91901532568869</v>
      </c>
      <c r="G35" s="110">
        <f t="shared" si="11"/>
        <v>0</v>
      </c>
      <c r="H35" s="110">
        <f t="shared" si="11"/>
        <v>231.91901532568869</v>
      </c>
      <c r="I35" s="110">
        <f t="shared" si="11"/>
        <v>231.91901532568869</v>
      </c>
      <c r="J35" s="110">
        <f t="shared" si="11"/>
        <v>231.91901532568869</v>
      </c>
      <c r="K35" s="110">
        <f t="shared" si="11"/>
        <v>231.91901532568869</v>
      </c>
      <c r="L35" s="110">
        <f t="shared" si="11"/>
        <v>231.91901532568869</v>
      </c>
      <c r="M35" s="110">
        <f t="shared" si="11"/>
        <v>231.91901532568869</v>
      </c>
      <c r="N35" s="110">
        <f t="shared" si="11"/>
        <v>231.91901532568869</v>
      </c>
      <c r="O35" s="110">
        <f t="shared" si="11"/>
        <v>231.91901532568869</v>
      </c>
      <c r="P35" s="110">
        <f t="shared" si="11"/>
        <v>231.91901532568869</v>
      </c>
      <c r="Q35" s="110">
        <f t="shared" si="11"/>
        <v>231.91901532568869</v>
      </c>
      <c r="R35" s="110">
        <f t="shared" si="11"/>
        <v>0</v>
      </c>
      <c r="S35" s="110">
        <f t="shared" si="11"/>
        <v>231.91901532568869</v>
      </c>
      <c r="T35" s="110">
        <f t="shared" si="11"/>
        <v>231.91901532568869</v>
      </c>
      <c r="U35" s="110">
        <f t="shared" si="11"/>
        <v>231.91901532568869</v>
      </c>
      <c r="V35" s="110">
        <f t="shared" si="11"/>
        <v>231.91901532568869</v>
      </c>
      <c r="W35" s="110">
        <f t="shared" si="11"/>
        <v>231.91901532568869</v>
      </c>
      <c r="X35" s="110">
        <f t="shared" si="11"/>
        <v>231.91901532568869</v>
      </c>
      <c r="Y35" s="110">
        <f t="shared" si="11"/>
        <v>231.91901532568869</v>
      </c>
      <c r="Z35" s="110">
        <f t="shared" si="11"/>
        <v>231.91901532568869</v>
      </c>
      <c r="AA35" s="110">
        <f t="shared" si="11"/>
        <v>231.91901532568869</v>
      </c>
      <c r="AB35" s="110">
        <f t="shared" si="11"/>
        <v>231.91901532568869</v>
      </c>
      <c r="AC35" s="110">
        <f t="shared" si="11"/>
        <v>231.91901532568869</v>
      </c>
      <c r="AD35" s="110">
        <f t="shared" si="11"/>
        <v>231.91901532568869</v>
      </c>
      <c r="AE35" s="110">
        <f t="shared" si="11"/>
        <v>231.91901532568869</v>
      </c>
      <c r="AF35" s="110">
        <f t="shared" si="11"/>
        <v>231.91901532568869</v>
      </c>
      <c r="AG35" s="110">
        <f t="shared" si="11"/>
        <v>231.91901532568869</v>
      </c>
      <c r="AH35" s="110">
        <f t="shared" si="11"/>
        <v>231.91901532568869</v>
      </c>
      <c r="AI35" s="110">
        <f t="shared" si="11"/>
        <v>231.91901532568869</v>
      </c>
      <c r="AJ35" s="110">
        <f t="shared" si="11"/>
        <v>0</v>
      </c>
      <c r="AK35" s="110">
        <f t="shared" si="11"/>
        <v>231.91901532568869</v>
      </c>
      <c r="AL35" s="110">
        <f t="shared" si="11"/>
        <v>231.91901532568869</v>
      </c>
      <c r="AM35" s="110">
        <f t="shared" si="11"/>
        <v>231.91901532568869</v>
      </c>
      <c r="AN35" s="110">
        <f t="shared" si="11"/>
        <v>231.91901532568869</v>
      </c>
      <c r="AO35" s="110">
        <f t="shared" si="11"/>
        <v>231.91901532568869</v>
      </c>
      <c r="AP35" s="110">
        <f t="shared" si="11"/>
        <v>231.91901532568869</v>
      </c>
      <c r="AQ35" s="110">
        <f t="shared" si="11"/>
        <v>231.91901532568869</v>
      </c>
      <c r="AR35" s="110">
        <f t="shared" si="11"/>
        <v>231.91901532568869</v>
      </c>
      <c r="AS35" s="110">
        <f t="shared" si="11"/>
        <v>231.91901532568869</v>
      </c>
      <c r="AT35" s="110">
        <f t="shared" si="11"/>
        <v>231.91901532568869</v>
      </c>
      <c r="AU35" s="110">
        <f t="shared" si="11"/>
        <v>231.91901532568869</v>
      </c>
      <c r="AV35" s="110">
        <f t="shared" si="11"/>
        <v>231.91901532568869</v>
      </c>
      <c r="AW35" s="110">
        <f t="shared" si="11"/>
        <v>231.91901532568869</v>
      </c>
      <c r="AX35" s="110">
        <f t="shared" si="11"/>
        <v>231.91901532568869</v>
      </c>
      <c r="AY35" s="110">
        <f t="shared" si="11"/>
        <v>231.91901532568869</v>
      </c>
    </row>
    <row r="36" spans="1:52">
      <c r="A36" s="110"/>
      <c r="B36" s="165" t="s">
        <v>344</v>
      </c>
      <c r="C36" s="110"/>
      <c r="D36" s="110"/>
      <c r="E36" s="110">
        <v>114.29983964172192</v>
      </c>
      <c r="F36" s="110"/>
      <c r="G36" s="110"/>
      <c r="H36" s="110">
        <v>114.29983964172192</v>
      </c>
      <c r="I36" s="110"/>
      <c r="J36" s="110">
        <v>114.29983964172192</v>
      </c>
      <c r="K36" s="110"/>
      <c r="L36" s="110">
        <v>114.29983964172192</v>
      </c>
      <c r="M36" s="110"/>
      <c r="N36" s="110">
        <v>114.29983964172192</v>
      </c>
      <c r="O36" s="110"/>
      <c r="P36" s="110">
        <v>114.29983964172192</v>
      </c>
      <c r="Q36" s="110"/>
      <c r="R36" s="110"/>
      <c r="S36" s="110">
        <v>114.29983964172192</v>
      </c>
      <c r="T36" s="110"/>
      <c r="U36" s="110">
        <v>114.29983964172192</v>
      </c>
      <c r="V36" s="110"/>
      <c r="W36" s="110">
        <v>114.29983964172192</v>
      </c>
      <c r="X36" s="110"/>
      <c r="Y36" s="110">
        <v>114.29983964172192</v>
      </c>
      <c r="Z36" s="110"/>
      <c r="AA36" s="110">
        <v>114.29983964172192</v>
      </c>
      <c r="AB36" s="110"/>
      <c r="AC36" s="110">
        <v>114.29983964172192</v>
      </c>
      <c r="AD36" s="110"/>
      <c r="AE36" s="110">
        <v>114.29983964172192</v>
      </c>
      <c r="AF36" s="110"/>
      <c r="AG36" s="110">
        <v>114.29983964172192</v>
      </c>
      <c r="AH36" s="110"/>
      <c r="AI36" s="110">
        <v>114.29983964172192</v>
      </c>
      <c r="AJ36" s="110"/>
      <c r="AK36" s="110">
        <v>114.29983964172192</v>
      </c>
      <c r="AL36" s="110"/>
      <c r="AM36" s="110">
        <v>114.29983964172192</v>
      </c>
      <c r="AN36" s="110"/>
      <c r="AO36" s="110">
        <v>114.29983964172192</v>
      </c>
      <c r="AP36" s="110"/>
      <c r="AQ36" s="110">
        <v>114.29983964172192</v>
      </c>
      <c r="AR36" s="110"/>
      <c r="AS36" s="110">
        <v>114.29983964172192</v>
      </c>
      <c r="AT36" s="110"/>
      <c r="AU36" s="110">
        <v>114.29983964172192</v>
      </c>
      <c r="AV36" s="110"/>
      <c r="AW36" s="110">
        <v>114.29983964172192</v>
      </c>
      <c r="AX36" s="110"/>
      <c r="AY36" s="110">
        <v>114.29983964172192</v>
      </c>
    </row>
    <row r="37" spans="1:52">
      <c r="A37" s="110"/>
      <c r="B37" s="165" t="s">
        <v>345</v>
      </c>
      <c r="C37" s="110"/>
      <c r="D37" s="110"/>
      <c r="E37" s="110">
        <v>117.61917568396677</v>
      </c>
      <c r="F37" s="110"/>
      <c r="G37" s="110"/>
      <c r="H37" s="110">
        <v>117.61917568396677</v>
      </c>
      <c r="I37" s="110"/>
      <c r="J37" s="110">
        <v>117.61917568396677</v>
      </c>
      <c r="K37" s="110"/>
      <c r="L37" s="110">
        <v>117.61917568396677</v>
      </c>
      <c r="M37" s="110"/>
      <c r="N37" s="110">
        <v>117.61917568396677</v>
      </c>
      <c r="O37" s="110"/>
      <c r="P37" s="110">
        <v>117.61917568396677</v>
      </c>
      <c r="Q37" s="110"/>
      <c r="R37" s="110"/>
      <c r="S37" s="110">
        <v>117.61917568396677</v>
      </c>
      <c r="T37" s="110"/>
      <c r="U37" s="110">
        <v>117.61917568396677</v>
      </c>
      <c r="V37" s="110"/>
      <c r="W37" s="110">
        <v>117.61917568396677</v>
      </c>
      <c r="X37" s="110"/>
      <c r="Y37" s="110">
        <v>117.61917568396677</v>
      </c>
      <c r="Z37" s="110"/>
      <c r="AA37" s="110">
        <v>117.61917568396677</v>
      </c>
      <c r="AB37" s="110"/>
      <c r="AC37" s="110">
        <v>117.61917568396677</v>
      </c>
      <c r="AD37" s="110"/>
      <c r="AE37" s="110">
        <v>117.61917568396677</v>
      </c>
      <c r="AF37" s="110"/>
      <c r="AG37" s="110">
        <v>117.61917568396677</v>
      </c>
      <c r="AH37" s="110"/>
      <c r="AI37" s="110">
        <v>117.61917568396677</v>
      </c>
      <c r="AJ37" s="110"/>
      <c r="AK37" s="110">
        <v>117.61917568396677</v>
      </c>
      <c r="AL37" s="110"/>
      <c r="AM37" s="110">
        <v>117.61917568396677</v>
      </c>
      <c r="AN37" s="110"/>
      <c r="AO37" s="110">
        <v>117.61917568396677</v>
      </c>
      <c r="AP37" s="110"/>
      <c r="AQ37" s="110">
        <v>117.61917568396677</v>
      </c>
      <c r="AR37" s="110"/>
      <c r="AS37" s="110">
        <v>117.61917568396677</v>
      </c>
      <c r="AT37" s="110"/>
      <c r="AU37" s="110">
        <v>117.61917568396677</v>
      </c>
      <c r="AV37" s="110"/>
      <c r="AW37" s="110">
        <v>117.61917568396677</v>
      </c>
      <c r="AX37" s="110"/>
      <c r="AY37" s="110">
        <v>117.61917568396677</v>
      </c>
    </row>
    <row r="38" spans="1:52">
      <c r="A38" s="110"/>
      <c r="B38" s="165" t="s">
        <v>346</v>
      </c>
      <c r="C38" s="110"/>
      <c r="D38" s="110"/>
      <c r="E38" s="110">
        <v>8</v>
      </c>
      <c r="F38" s="110"/>
      <c r="G38" s="110"/>
      <c r="H38" s="110">
        <v>8</v>
      </c>
      <c r="I38" s="110"/>
      <c r="J38" s="110">
        <v>8</v>
      </c>
      <c r="K38" s="110"/>
      <c r="L38" s="110">
        <v>8</v>
      </c>
      <c r="M38" s="110"/>
      <c r="N38" s="110">
        <v>8</v>
      </c>
      <c r="O38" s="110"/>
      <c r="P38" s="110">
        <v>8</v>
      </c>
      <c r="Q38" s="110"/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114.29983964172132</v>
      </c>
      <c r="E39" s="110">
        <f t="shared" ref="E39:AY39" si="12">E33-E36</f>
        <v>0</v>
      </c>
      <c r="F39" s="110">
        <f t="shared" si="12"/>
        <v>114.2998396417219</v>
      </c>
      <c r="G39" s="110">
        <f t="shared" si="12"/>
        <v>0</v>
      </c>
      <c r="H39" s="110">
        <f t="shared" si="12"/>
        <v>0</v>
      </c>
      <c r="I39" s="110">
        <f t="shared" si="12"/>
        <v>114.2998396417219</v>
      </c>
      <c r="J39" s="110">
        <f t="shared" si="12"/>
        <v>0</v>
      </c>
      <c r="K39" s="110">
        <f t="shared" si="12"/>
        <v>114.2998396417219</v>
      </c>
      <c r="L39" s="110">
        <f t="shared" si="12"/>
        <v>0</v>
      </c>
      <c r="M39" s="110">
        <f t="shared" si="12"/>
        <v>114.2998396417219</v>
      </c>
      <c r="N39" s="110">
        <f t="shared" si="12"/>
        <v>0</v>
      </c>
      <c r="O39" s="110">
        <f t="shared" si="12"/>
        <v>114.2998396417219</v>
      </c>
      <c r="P39" s="110">
        <f t="shared" si="12"/>
        <v>0</v>
      </c>
      <c r="Q39" s="110">
        <f t="shared" si="12"/>
        <v>114.2998396417219</v>
      </c>
      <c r="R39" s="110">
        <f t="shared" si="12"/>
        <v>0</v>
      </c>
      <c r="S39" s="110">
        <f t="shared" si="12"/>
        <v>0</v>
      </c>
      <c r="T39" s="110">
        <f t="shared" si="12"/>
        <v>114.2998396417219</v>
      </c>
      <c r="U39" s="110">
        <f t="shared" si="12"/>
        <v>0</v>
      </c>
      <c r="V39" s="110">
        <f t="shared" si="12"/>
        <v>114.2998396417219</v>
      </c>
      <c r="W39" s="110">
        <f t="shared" si="12"/>
        <v>0</v>
      </c>
      <c r="X39" s="110">
        <f t="shared" si="12"/>
        <v>114.2998396417219</v>
      </c>
      <c r="Y39" s="110">
        <f t="shared" si="12"/>
        <v>0</v>
      </c>
      <c r="Z39" s="110">
        <f t="shared" si="12"/>
        <v>114.2998396417219</v>
      </c>
      <c r="AA39" s="110">
        <f t="shared" si="12"/>
        <v>0</v>
      </c>
      <c r="AB39" s="110">
        <f t="shared" si="12"/>
        <v>114.2998396417219</v>
      </c>
      <c r="AC39" s="110">
        <f t="shared" si="12"/>
        <v>0</v>
      </c>
      <c r="AD39" s="110">
        <f t="shared" si="12"/>
        <v>114.2998396417219</v>
      </c>
      <c r="AE39" s="110">
        <f t="shared" si="12"/>
        <v>0</v>
      </c>
      <c r="AF39" s="110">
        <f t="shared" si="12"/>
        <v>114.2998396417219</v>
      </c>
      <c r="AG39" s="110">
        <f t="shared" si="12"/>
        <v>0</v>
      </c>
      <c r="AH39" s="110">
        <f t="shared" si="12"/>
        <v>114.2998396417219</v>
      </c>
      <c r="AI39" s="110">
        <f t="shared" si="12"/>
        <v>0</v>
      </c>
      <c r="AJ39" s="110">
        <f t="shared" si="12"/>
        <v>0</v>
      </c>
      <c r="AK39" s="110">
        <f t="shared" si="12"/>
        <v>0</v>
      </c>
      <c r="AL39" s="110">
        <f t="shared" si="12"/>
        <v>114.2998396417219</v>
      </c>
      <c r="AM39" s="110">
        <f t="shared" si="12"/>
        <v>0</v>
      </c>
      <c r="AN39" s="110">
        <f t="shared" si="12"/>
        <v>114.2998396417219</v>
      </c>
      <c r="AO39" s="110">
        <f t="shared" si="12"/>
        <v>0</v>
      </c>
      <c r="AP39" s="110">
        <f t="shared" si="12"/>
        <v>114.2998396417219</v>
      </c>
      <c r="AQ39" s="110">
        <f t="shared" si="12"/>
        <v>0</v>
      </c>
      <c r="AR39" s="110">
        <f t="shared" si="12"/>
        <v>114.2998396417219</v>
      </c>
      <c r="AS39" s="110">
        <f t="shared" si="12"/>
        <v>0</v>
      </c>
      <c r="AT39" s="110">
        <f t="shared" si="12"/>
        <v>114.2998396417219</v>
      </c>
      <c r="AU39" s="110">
        <f t="shared" si="12"/>
        <v>0</v>
      </c>
      <c r="AV39" s="110">
        <f t="shared" si="12"/>
        <v>114.2998396417219</v>
      </c>
      <c r="AW39" s="110">
        <f t="shared" si="12"/>
        <v>0</v>
      </c>
      <c r="AX39" s="110">
        <f t="shared" si="12"/>
        <v>114.2998396417219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117.61917568396619</v>
      </c>
      <c r="E40" s="110">
        <f t="shared" ref="E40:AY40" si="13">E34-E37</f>
        <v>0</v>
      </c>
      <c r="F40" s="110">
        <f t="shared" si="13"/>
        <v>117.61917568396677</v>
      </c>
      <c r="G40" s="110">
        <f t="shared" si="13"/>
        <v>0</v>
      </c>
      <c r="H40" s="110">
        <f t="shared" si="13"/>
        <v>0</v>
      </c>
      <c r="I40" s="110">
        <f t="shared" si="13"/>
        <v>117.61917568396677</v>
      </c>
      <c r="J40" s="110">
        <f t="shared" si="13"/>
        <v>0</v>
      </c>
      <c r="K40" s="110">
        <f t="shared" si="13"/>
        <v>117.61917568396677</v>
      </c>
      <c r="L40" s="110">
        <f t="shared" si="13"/>
        <v>0</v>
      </c>
      <c r="M40" s="110">
        <f t="shared" si="13"/>
        <v>117.61917568396677</v>
      </c>
      <c r="N40" s="110">
        <f t="shared" si="13"/>
        <v>0</v>
      </c>
      <c r="O40" s="110">
        <f t="shared" si="13"/>
        <v>117.61917568396677</v>
      </c>
      <c r="P40" s="110">
        <f t="shared" si="13"/>
        <v>0</v>
      </c>
      <c r="Q40" s="110">
        <f t="shared" si="13"/>
        <v>117.61917568396677</v>
      </c>
      <c r="R40" s="110">
        <f t="shared" si="13"/>
        <v>0</v>
      </c>
      <c r="S40" s="110">
        <f t="shared" si="13"/>
        <v>0</v>
      </c>
      <c r="T40" s="110">
        <f t="shared" si="13"/>
        <v>117.61917568396677</v>
      </c>
      <c r="U40" s="110">
        <f t="shared" si="13"/>
        <v>0</v>
      </c>
      <c r="V40" s="110">
        <f t="shared" si="13"/>
        <v>117.61917568396677</v>
      </c>
      <c r="W40" s="110">
        <f t="shared" si="13"/>
        <v>0</v>
      </c>
      <c r="X40" s="110">
        <f t="shared" si="13"/>
        <v>117.61917568396677</v>
      </c>
      <c r="Y40" s="110">
        <f t="shared" si="13"/>
        <v>0</v>
      </c>
      <c r="Z40" s="110">
        <f t="shared" si="13"/>
        <v>117.61917568396677</v>
      </c>
      <c r="AA40" s="110">
        <f t="shared" si="13"/>
        <v>0</v>
      </c>
      <c r="AB40" s="110">
        <f t="shared" si="13"/>
        <v>117.61917568396677</v>
      </c>
      <c r="AC40" s="110">
        <f t="shared" si="13"/>
        <v>0</v>
      </c>
      <c r="AD40" s="110">
        <f t="shared" si="13"/>
        <v>117.61917568396677</v>
      </c>
      <c r="AE40" s="110">
        <f t="shared" si="13"/>
        <v>0</v>
      </c>
      <c r="AF40" s="110">
        <f t="shared" si="13"/>
        <v>117.61917568396677</v>
      </c>
      <c r="AG40" s="110">
        <f t="shared" si="13"/>
        <v>0</v>
      </c>
      <c r="AH40" s="110">
        <f t="shared" si="13"/>
        <v>117.61917568396677</v>
      </c>
      <c r="AI40" s="110">
        <f t="shared" si="13"/>
        <v>0</v>
      </c>
      <c r="AJ40" s="110">
        <f t="shared" si="13"/>
        <v>0</v>
      </c>
      <c r="AK40" s="110">
        <f t="shared" si="13"/>
        <v>0</v>
      </c>
      <c r="AL40" s="110">
        <f t="shared" si="13"/>
        <v>117.61917568396677</v>
      </c>
      <c r="AM40" s="110">
        <f t="shared" si="13"/>
        <v>0</v>
      </c>
      <c r="AN40" s="110">
        <f t="shared" si="13"/>
        <v>117.61917568396677</v>
      </c>
      <c r="AO40" s="110">
        <f t="shared" si="13"/>
        <v>0</v>
      </c>
      <c r="AP40" s="110">
        <f t="shared" si="13"/>
        <v>117.61917568396677</v>
      </c>
      <c r="AQ40" s="110">
        <f t="shared" si="13"/>
        <v>0</v>
      </c>
      <c r="AR40" s="110">
        <f t="shared" si="13"/>
        <v>117.61917568396677</v>
      </c>
      <c r="AS40" s="110">
        <f t="shared" si="13"/>
        <v>0</v>
      </c>
      <c r="AT40" s="110">
        <f t="shared" si="13"/>
        <v>117.61917568396677</v>
      </c>
      <c r="AU40" s="110">
        <f t="shared" si="13"/>
        <v>0</v>
      </c>
      <c r="AV40" s="110">
        <f t="shared" si="13"/>
        <v>117.61917568396677</v>
      </c>
      <c r="AW40" s="110">
        <f t="shared" si="13"/>
        <v>0</v>
      </c>
      <c r="AX40" s="110">
        <f t="shared" si="13"/>
        <v>117.61917568396677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3</v>
      </c>
      <c r="G41" s="110">
        <v>2</v>
      </c>
      <c r="H41" s="110">
        <v>2</v>
      </c>
      <c r="I41" s="110">
        <v>1</v>
      </c>
      <c r="J41" s="110">
        <v>1</v>
      </c>
      <c r="K41" s="110">
        <v>1</v>
      </c>
      <c r="L41" s="110">
        <v>2</v>
      </c>
      <c r="M41" s="110">
        <v>3</v>
      </c>
      <c r="N41" s="110">
        <v>3</v>
      </c>
      <c r="O41" s="110">
        <v>1</v>
      </c>
      <c r="P41" s="110">
        <v>1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1</v>
      </c>
      <c r="W41" s="110">
        <v>1</v>
      </c>
      <c r="X41" s="110">
        <v>1</v>
      </c>
      <c r="Y41" s="110">
        <v>2</v>
      </c>
      <c r="Z41" s="110">
        <v>1</v>
      </c>
      <c r="AA41" s="110">
        <v>1</v>
      </c>
      <c r="AB41" s="110">
        <v>1</v>
      </c>
      <c r="AC41" s="110">
        <v>1</v>
      </c>
      <c r="AD41" s="110">
        <v>2</v>
      </c>
      <c r="AE41" s="110">
        <v>1</v>
      </c>
      <c r="AF41" s="110">
        <v>1</v>
      </c>
      <c r="AG41" s="110">
        <v>2</v>
      </c>
      <c r="AH41" s="110">
        <v>1</v>
      </c>
      <c r="AI41" s="110">
        <v>2</v>
      </c>
      <c r="AJ41" s="110">
        <v>1</v>
      </c>
      <c r="AK41" s="110">
        <v>1</v>
      </c>
      <c r="AL41" s="110">
        <v>1</v>
      </c>
      <c r="AM41" s="110">
        <v>1</v>
      </c>
      <c r="AN41" s="110">
        <v>1</v>
      </c>
      <c r="AO41" s="110">
        <v>1</v>
      </c>
      <c r="AP41" s="110">
        <v>2</v>
      </c>
      <c r="AQ41" s="110">
        <v>1</v>
      </c>
      <c r="AR41" s="110">
        <v>1</v>
      </c>
      <c r="AS41" s="110">
        <v>1</v>
      </c>
      <c r="AT41" s="110">
        <v>1</v>
      </c>
      <c r="AU41" s="110">
        <v>2</v>
      </c>
      <c r="AV41" s="110">
        <v>2</v>
      </c>
      <c r="AW41" s="110">
        <v>1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352800</v>
      </c>
      <c r="F42" s="110">
        <v>0</v>
      </c>
      <c r="G42" s="110">
        <v>0</v>
      </c>
      <c r="H42" s="110">
        <v>352800</v>
      </c>
      <c r="I42" s="110">
        <v>0</v>
      </c>
      <c r="J42" s="110">
        <v>352800</v>
      </c>
      <c r="K42" s="110">
        <v>0</v>
      </c>
      <c r="L42" s="110">
        <v>352800</v>
      </c>
      <c r="M42" s="110">
        <v>0</v>
      </c>
      <c r="N42" s="110">
        <v>352800</v>
      </c>
      <c r="O42" s="110">
        <v>0</v>
      </c>
      <c r="P42" s="110">
        <v>352800</v>
      </c>
      <c r="Q42" s="110">
        <v>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8114400</v>
      </c>
    </row>
    <row r="43" spans="1:52">
      <c r="A43" s="110"/>
      <c r="B43" s="178" t="s">
        <v>351</v>
      </c>
      <c r="C43" s="110"/>
      <c r="D43" s="110">
        <v>184665.51595307869</v>
      </c>
      <c r="E43" s="110">
        <v>0</v>
      </c>
      <c r="F43" s="110">
        <v>184665.51595307962</v>
      </c>
      <c r="G43" s="110">
        <v>0</v>
      </c>
      <c r="H43" s="110">
        <v>0</v>
      </c>
      <c r="I43" s="110">
        <v>184665.51595307962</v>
      </c>
      <c r="J43" s="110">
        <v>0</v>
      </c>
      <c r="K43" s="110">
        <v>184665.51595307962</v>
      </c>
      <c r="L43" s="110">
        <v>0</v>
      </c>
      <c r="M43" s="110">
        <v>184665.51595307962</v>
      </c>
      <c r="N43" s="110">
        <v>0</v>
      </c>
      <c r="O43" s="110">
        <v>184665.51595307962</v>
      </c>
      <c r="P43" s="110">
        <v>0</v>
      </c>
      <c r="Q43" s="110">
        <v>184665.51595307962</v>
      </c>
      <c r="R43" s="110">
        <v>0</v>
      </c>
      <c r="S43" s="110">
        <v>0</v>
      </c>
      <c r="T43" s="110">
        <v>184665.51595307962</v>
      </c>
      <c r="U43" s="110">
        <v>0</v>
      </c>
      <c r="V43" s="110">
        <v>184665.51595307962</v>
      </c>
      <c r="W43" s="110">
        <v>0</v>
      </c>
      <c r="X43" s="110">
        <v>184665.51595307962</v>
      </c>
      <c r="Y43" s="110">
        <v>0</v>
      </c>
      <c r="Z43" s="110">
        <v>184665.51595307962</v>
      </c>
      <c r="AA43" s="110">
        <v>0</v>
      </c>
      <c r="AB43" s="110">
        <v>184665.51595307962</v>
      </c>
      <c r="AC43" s="110">
        <v>0</v>
      </c>
      <c r="AD43" s="110">
        <v>184665.51595307962</v>
      </c>
      <c r="AE43" s="110">
        <v>0</v>
      </c>
      <c r="AF43" s="110">
        <v>184665.51595307962</v>
      </c>
      <c r="AG43" s="110">
        <v>0</v>
      </c>
      <c r="AH43" s="110">
        <v>184665.51595307962</v>
      </c>
      <c r="AI43" s="110">
        <v>0</v>
      </c>
      <c r="AJ43" s="110">
        <v>0</v>
      </c>
      <c r="AK43" s="110">
        <v>0</v>
      </c>
      <c r="AL43" s="110">
        <v>184665.51595307962</v>
      </c>
      <c r="AM43" s="110">
        <v>0</v>
      </c>
      <c r="AN43" s="110">
        <v>184665.51595307962</v>
      </c>
      <c r="AO43" s="110">
        <v>0</v>
      </c>
      <c r="AP43" s="110">
        <v>184665.51595307962</v>
      </c>
      <c r="AQ43" s="110">
        <v>0</v>
      </c>
      <c r="AR43" s="110">
        <v>184665.51595307962</v>
      </c>
      <c r="AS43" s="110">
        <v>0</v>
      </c>
      <c r="AT43" s="110">
        <v>184665.51595307962</v>
      </c>
      <c r="AU43" s="110">
        <v>0</v>
      </c>
      <c r="AV43" s="110">
        <v>184665.51595307962</v>
      </c>
      <c r="AW43" s="110">
        <v>0</v>
      </c>
      <c r="AX43" s="110">
        <v>184665.51595307962</v>
      </c>
      <c r="AY43" s="110">
        <v>0</v>
      </c>
      <c r="AZ43" s="100">
        <f>SUM($D$43:$AY$43)</f>
        <v>4062641.3509677523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153.19906578969074</v>
      </c>
      <c r="E44" s="124">
        <f>E$21*shipping_manufacturing!$D$28/100</f>
        <v>153.1990657896915</v>
      </c>
      <c r="F44" s="124">
        <f>F$21*shipping_manufacturing!$D$28/100</f>
        <v>153.1990657896915</v>
      </c>
      <c r="G44" s="124">
        <f>G$21*shipping_manufacturing!$D$28/100</f>
        <v>0</v>
      </c>
      <c r="H44" s="124">
        <f>H$21*shipping_manufacturing!$D$28/100</f>
        <v>153.1990657896915</v>
      </c>
      <c r="I44" s="124">
        <f>I$21*shipping_manufacturing!$D$28/100</f>
        <v>153.1990657896915</v>
      </c>
      <c r="J44" s="124">
        <f>J$21*shipping_manufacturing!$D$28/100</f>
        <v>153.1990657896915</v>
      </c>
      <c r="K44" s="124">
        <f>K$21*shipping_manufacturing!$D$28/100</f>
        <v>153.1990657896915</v>
      </c>
      <c r="L44" s="124">
        <f>L$21*shipping_manufacturing!$D$28/100</f>
        <v>153.1990657896915</v>
      </c>
      <c r="M44" s="124">
        <f>M$21*shipping_manufacturing!$D$28/100</f>
        <v>153.1990657896915</v>
      </c>
      <c r="N44" s="124">
        <f>N$21*shipping_manufacturing!$D$28/100</f>
        <v>153.1990657896915</v>
      </c>
      <c r="O44" s="124">
        <f>O$21*shipping_manufacturing!$D$28/100</f>
        <v>153.1990657896915</v>
      </c>
      <c r="P44" s="124">
        <f>P$21*shipping_manufacturing!$D$28/100</f>
        <v>153.1990657896915</v>
      </c>
      <c r="Q44" s="124">
        <f>Q$21*shipping_manufacturing!$D$28/100</f>
        <v>153.1990657896915</v>
      </c>
      <c r="R44" s="124">
        <f>R$21*shipping_manufacturing!$D$28/100</f>
        <v>0</v>
      </c>
      <c r="S44" s="124">
        <f>S$21*shipping_manufacturing!$D$28/100</f>
        <v>153.1990657896915</v>
      </c>
      <c r="T44" s="124">
        <f>T$21*shipping_manufacturing!$D$28/100</f>
        <v>153.1990657896915</v>
      </c>
      <c r="U44" s="124">
        <f>U$21*shipping_manufacturing!$D$28/100</f>
        <v>153.1990657896915</v>
      </c>
      <c r="V44" s="124">
        <f>V$21*shipping_manufacturing!$D$28/100</f>
        <v>153.1990657896915</v>
      </c>
      <c r="W44" s="124">
        <f>W$21*shipping_manufacturing!$D$28/100</f>
        <v>153.1990657896915</v>
      </c>
      <c r="X44" s="124">
        <f>X$21*shipping_manufacturing!$D$28/100</f>
        <v>153.1990657896915</v>
      </c>
      <c r="Y44" s="124">
        <f>Y$21*shipping_manufacturing!$D$28/100</f>
        <v>153.1990657896915</v>
      </c>
      <c r="Z44" s="124">
        <f>Z$21*shipping_manufacturing!$D$28/100</f>
        <v>153.1990657896915</v>
      </c>
      <c r="AA44" s="124">
        <f>AA$21*shipping_manufacturing!$D$28/100</f>
        <v>153.1990657896915</v>
      </c>
      <c r="AB44" s="124">
        <f>AB$21*shipping_manufacturing!$D$28/100</f>
        <v>153.1990657896915</v>
      </c>
      <c r="AC44" s="124">
        <f>AC$21*shipping_manufacturing!$D$28/100</f>
        <v>153.1990657896915</v>
      </c>
      <c r="AD44" s="124">
        <f>AD$21*shipping_manufacturing!$D$28/100</f>
        <v>153.1990657896915</v>
      </c>
      <c r="AE44" s="124">
        <f>AE$21*shipping_manufacturing!$D$28/100</f>
        <v>153.1990657896915</v>
      </c>
      <c r="AF44" s="124">
        <f>AF$21*shipping_manufacturing!$D$28/100</f>
        <v>153.1990657896915</v>
      </c>
      <c r="AG44" s="124">
        <f>AG$21*shipping_manufacturing!$D$28/100</f>
        <v>153.1990657896915</v>
      </c>
      <c r="AH44" s="124">
        <f>AH$21*shipping_manufacturing!$D$28/100</f>
        <v>153.1990657896915</v>
      </c>
      <c r="AI44" s="124">
        <f>AI$21*shipping_manufacturing!$D$28/100</f>
        <v>153.1990657896915</v>
      </c>
      <c r="AJ44" s="124">
        <f>AJ$21*shipping_manufacturing!$D$28/100</f>
        <v>0</v>
      </c>
      <c r="AK44" s="124">
        <f>AK$21*shipping_manufacturing!$D$28/100</f>
        <v>153.1990657896915</v>
      </c>
      <c r="AL44" s="124">
        <f>AL$21*shipping_manufacturing!$D$28/100</f>
        <v>153.1990657896915</v>
      </c>
      <c r="AM44" s="124">
        <f>AM$21*shipping_manufacturing!$D$28/100</f>
        <v>153.1990657896915</v>
      </c>
      <c r="AN44" s="124">
        <f>AN$21*shipping_manufacturing!$D$28/100</f>
        <v>153.1990657896915</v>
      </c>
      <c r="AO44" s="124">
        <f>AO$21*shipping_manufacturing!$D$28/100</f>
        <v>153.1990657896915</v>
      </c>
      <c r="AP44" s="124">
        <f>AP$21*shipping_manufacturing!$D$28/100</f>
        <v>153.1990657896915</v>
      </c>
      <c r="AQ44" s="124">
        <f>AQ$21*shipping_manufacturing!$D$28/100</f>
        <v>153.1990657896915</v>
      </c>
      <c r="AR44" s="124">
        <f>AR$21*shipping_manufacturing!$D$28/100</f>
        <v>153.1990657896915</v>
      </c>
      <c r="AS44" s="124">
        <f>AS$21*shipping_manufacturing!$D$28/100</f>
        <v>153.1990657896915</v>
      </c>
      <c r="AT44" s="124">
        <f>AT$21*shipping_manufacturing!$D$28/100</f>
        <v>153.1990657896915</v>
      </c>
      <c r="AU44" s="124">
        <f>AU$21*shipping_manufacturing!$D$28/100</f>
        <v>153.1990657896915</v>
      </c>
      <c r="AV44" s="124">
        <f>AV$21*shipping_manufacturing!$D$28/100</f>
        <v>153.1990657896915</v>
      </c>
      <c r="AW44" s="124">
        <f>AW$21*shipping_manufacturing!$D$28/100</f>
        <v>153.1990657896915</v>
      </c>
      <c r="AX44" s="124">
        <f>AX$21*shipping_manufacturing!$D$28/100</f>
        <v>153.1990657896915</v>
      </c>
      <c r="AY44" s="124">
        <f>AY$21*shipping_manufacturing!$D$28/100</f>
        <v>153.1990657896915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214.88191888461867</v>
      </c>
      <c r="E45" s="110">
        <f>E$22*shipping_manufacturing!$E$28/100</f>
        <v>214.88191888461978</v>
      </c>
      <c r="F45" s="110">
        <f>F$22*shipping_manufacturing!$E$28/100</f>
        <v>214.88191888461978</v>
      </c>
      <c r="G45" s="110">
        <f>G$22*shipping_manufacturing!$E$28/100</f>
        <v>0</v>
      </c>
      <c r="H45" s="110">
        <f>H$22*shipping_manufacturing!$E$28/100</f>
        <v>214.88191888461978</v>
      </c>
      <c r="I45" s="110">
        <f>I$22*shipping_manufacturing!$E$28/100</f>
        <v>214.88191888461978</v>
      </c>
      <c r="J45" s="110">
        <f>J$22*shipping_manufacturing!$E$28/100</f>
        <v>214.88191888461978</v>
      </c>
      <c r="K45" s="110">
        <f>K$22*shipping_manufacturing!$E$28/100</f>
        <v>214.88191888461978</v>
      </c>
      <c r="L45" s="110">
        <f>L$22*shipping_manufacturing!$E$28/100</f>
        <v>214.88191888461978</v>
      </c>
      <c r="M45" s="110">
        <f>M$22*shipping_manufacturing!$E$28/100</f>
        <v>214.88191888461978</v>
      </c>
      <c r="N45" s="110">
        <f>N$22*shipping_manufacturing!$E$28/100</f>
        <v>214.88191888461978</v>
      </c>
      <c r="O45" s="110">
        <f>O$22*shipping_manufacturing!$E$28/100</f>
        <v>214.88191888461978</v>
      </c>
      <c r="P45" s="110">
        <f>P$22*shipping_manufacturing!$E$28/100</f>
        <v>214.88191888461978</v>
      </c>
      <c r="Q45" s="110">
        <f>Q$22*shipping_manufacturing!$E$28/100</f>
        <v>214.88191888461978</v>
      </c>
      <c r="R45" s="110">
        <f>R$22*shipping_manufacturing!$E$28/100</f>
        <v>0</v>
      </c>
      <c r="S45" s="110">
        <f>S$22*shipping_manufacturing!$E$28/100</f>
        <v>214.88191888461978</v>
      </c>
      <c r="T45" s="110">
        <f>T$22*shipping_manufacturing!$E$28/100</f>
        <v>214.88191888461978</v>
      </c>
      <c r="U45" s="110">
        <f>U$22*shipping_manufacturing!$E$28/100</f>
        <v>214.88191888461978</v>
      </c>
      <c r="V45" s="110">
        <f>V$22*shipping_manufacturing!$E$28/100</f>
        <v>214.88191888461978</v>
      </c>
      <c r="W45" s="110">
        <f>W$22*shipping_manufacturing!$E$28/100</f>
        <v>214.88191888461978</v>
      </c>
      <c r="X45" s="110">
        <f>X$22*shipping_manufacturing!$E$28/100</f>
        <v>214.88191888461978</v>
      </c>
      <c r="Y45" s="110">
        <f>Y$22*shipping_manufacturing!$E$28/100</f>
        <v>214.88191888461978</v>
      </c>
      <c r="Z45" s="110">
        <f>Z$22*shipping_manufacturing!$E$28/100</f>
        <v>214.88191888461978</v>
      </c>
      <c r="AA45" s="110">
        <f>AA$22*shipping_manufacturing!$E$28/100</f>
        <v>214.88191888461978</v>
      </c>
      <c r="AB45" s="110">
        <f>AB$22*shipping_manufacturing!$E$28/100</f>
        <v>214.88191888461978</v>
      </c>
      <c r="AC45" s="110">
        <f>AC$22*shipping_manufacturing!$E$28/100</f>
        <v>214.88191888461978</v>
      </c>
      <c r="AD45" s="110">
        <f>AD$22*shipping_manufacturing!$E$28/100</f>
        <v>214.88191888461978</v>
      </c>
      <c r="AE45" s="110">
        <f>AE$22*shipping_manufacturing!$E$28/100</f>
        <v>214.88191888461978</v>
      </c>
      <c r="AF45" s="110">
        <f>AF$22*shipping_manufacturing!$E$28/100</f>
        <v>214.88191888461978</v>
      </c>
      <c r="AG45" s="110">
        <f>AG$22*shipping_manufacturing!$E$28/100</f>
        <v>214.88191888461978</v>
      </c>
      <c r="AH45" s="110">
        <f>AH$22*shipping_manufacturing!$E$28/100</f>
        <v>214.88191888461978</v>
      </c>
      <c r="AI45" s="110">
        <f>AI$22*shipping_manufacturing!$E$28/100</f>
        <v>214.88191888461978</v>
      </c>
      <c r="AJ45" s="110">
        <f>AJ$22*shipping_manufacturing!$E$28/100</f>
        <v>0</v>
      </c>
      <c r="AK45" s="110">
        <f>AK$22*shipping_manufacturing!$E$28/100</f>
        <v>214.88191888461978</v>
      </c>
      <c r="AL45" s="110">
        <f>AL$22*shipping_manufacturing!$E$28/100</f>
        <v>214.88191888461978</v>
      </c>
      <c r="AM45" s="110">
        <f>AM$22*shipping_manufacturing!$E$28/100</f>
        <v>214.88191888461978</v>
      </c>
      <c r="AN45" s="110">
        <f>AN$22*shipping_manufacturing!$E$28/100</f>
        <v>214.88191888461978</v>
      </c>
      <c r="AO45" s="110">
        <f>AO$22*shipping_manufacturing!$E$28/100</f>
        <v>214.88191888461978</v>
      </c>
      <c r="AP45" s="110">
        <f>AP$22*shipping_manufacturing!$E$28/100</f>
        <v>214.88191888461978</v>
      </c>
      <c r="AQ45" s="110">
        <f>AQ$22*shipping_manufacturing!$E$28/100</f>
        <v>214.88191888461978</v>
      </c>
      <c r="AR45" s="110">
        <f>AR$22*shipping_manufacturing!$E$28/100</f>
        <v>214.88191888461978</v>
      </c>
      <c r="AS45" s="110">
        <f>AS$22*shipping_manufacturing!$E$28/100</f>
        <v>214.88191888461978</v>
      </c>
      <c r="AT45" s="110">
        <f>AT$22*shipping_manufacturing!$E$28/100</f>
        <v>214.88191888461978</v>
      </c>
      <c r="AU45" s="110">
        <f>AU$22*shipping_manufacturing!$E$28/100</f>
        <v>214.88191888461978</v>
      </c>
      <c r="AV45" s="110">
        <f>AV$22*shipping_manufacturing!$E$28/100</f>
        <v>214.88191888461978</v>
      </c>
      <c r="AW45" s="110">
        <f>AW$22*shipping_manufacturing!$E$28/100</f>
        <v>214.88191888461978</v>
      </c>
      <c r="AX45" s="110">
        <f>AX$22*shipping_manufacturing!$E$28/100</f>
        <v>214.88191888461978</v>
      </c>
      <c r="AY45" s="110">
        <f>AY$22*shipping_manufacturing!$E$28/100</f>
        <v>214.88191888461978</v>
      </c>
    </row>
    <row r="46" spans="1:52">
      <c r="A46" s="110">
        <v>89</v>
      </c>
      <c r="B46" s="165" t="s">
        <v>343</v>
      </c>
      <c r="C46" s="110"/>
      <c r="D46" s="110">
        <f>SUM(D44:D45)</f>
        <v>368.08098467430943</v>
      </c>
      <c r="E46" s="110">
        <f t="shared" ref="E46:AY46" si="14">SUM(E44:E45)</f>
        <v>368.08098467431125</v>
      </c>
      <c r="F46" s="110">
        <f t="shared" si="14"/>
        <v>368.08098467431125</v>
      </c>
      <c r="G46" s="110">
        <f t="shared" si="14"/>
        <v>0</v>
      </c>
      <c r="H46" s="110">
        <f t="shared" si="14"/>
        <v>368.08098467431125</v>
      </c>
      <c r="I46" s="110">
        <f t="shared" si="14"/>
        <v>368.08098467431125</v>
      </c>
      <c r="J46" s="110">
        <f t="shared" si="14"/>
        <v>368.08098467431125</v>
      </c>
      <c r="K46" s="110">
        <f t="shared" si="14"/>
        <v>368.08098467431125</v>
      </c>
      <c r="L46" s="110">
        <f t="shared" si="14"/>
        <v>368.08098467431125</v>
      </c>
      <c r="M46" s="110">
        <f t="shared" si="14"/>
        <v>368.08098467431125</v>
      </c>
      <c r="N46" s="110">
        <f t="shared" si="14"/>
        <v>368.08098467431125</v>
      </c>
      <c r="O46" s="110">
        <f t="shared" si="14"/>
        <v>368.08098467431125</v>
      </c>
      <c r="P46" s="110">
        <f t="shared" si="14"/>
        <v>368.08098467431125</v>
      </c>
      <c r="Q46" s="110">
        <f t="shared" si="14"/>
        <v>368.08098467431125</v>
      </c>
      <c r="R46" s="110">
        <f t="shared" si="14"/>
        <v>0</v>
      </c>
      <c r="S46" s="110">
        <f t="shared" si="14"/>
        <v>368.08098467431125</v>
      </c>
      <c r="T46" s="110">
        <f t="shared" si="14"/>
        <v>368.08098467431125</v>
      </c>
      <c r="U46" s="110">
        <f t="shared" si="14"/>
        <v>368.08098467431125</v>
      </c>
      <c r="V46" s="110">
        <f t="shared" si="14"/>
        <v>368.08098467431125</v>
      </c>
      <c r="W46" s="110">
        <f t="shared" si="14"/>
        <v>368.08098467431125</v>
      </c>
      <c r="X46" s="110">
        <f t="shared" si="14"/>
        <v>368.08098467431125</v>
      </c>
      <c r="Y46" s="110">
        <f t="shared" si="14"/>
        <v>368.08098467431125</v>
      </c>
      <c r="Z46" s="110">
        <f t="shared" si="14"/>
        <v>368.08098467431125</v>
      </c>
      <c r="AA46" s="110">
        <f t="shared" si="14"/>
        <v>368.08098467431125</v>
      </c>
      <c r="AB46" s="110">
        <f t="shared" si="14"/>
        <v>368.08098467431125</v>
      </c>
      <c r="AC46" s="110">
        <f t="shared" si="14"/>
        <v>368.08098467431125</v>
      </c>
      <c r="AD46" s="110">
        <f t="shared" si="14"/>
        <v>368.08098467431125</v>
      </c>
      <c r="AE46" s="110">
        <f t="shared" si="14"/>
        <v>368.08098467431125</v>
      </c>
      <c r="AF46" s="110">
        <f t="shared" si="14"/>
        <v>368.08098467431125</v>
      </c>
      <c r="AG46" s="110">
        <f t="shared" si="14"/>
        <v>368.08098467431125</v>
      </c>
      <c r="AH46" s="110">
        <f t="shared" si="14"/>
        <v>368.08098467431125</v>
      </c>
      <c r="AI46" s="110">
        <f t="shared" si="14"/>
        <v>368.08098467431125</v>
      </c>
      <c r="AJ46" s="110">
        <f t="shared" si="14"/>
        <v>0</v>
      </c>
      <c r="AK46" s="110">
        <f t="shared" si="14"/>
        <v>368.08098467431125</v>
      </c>
      <c r="AL46" s="110">
        <f t="shared" si="14"/>
        <v>368.08098467431125</v>
      </c>
      <c r="AM46" s="110">
        <f t="shared" si="14"/>
        <v>368.08098467431125</v>
      </c>
      <c r="AN46" s="110">
        <f t="shared" si="14"/>
        <v>368.08098467431125</v>
      </c>
      <c r="AO46" s="110">
        <f t="shared" si="14"/>
        <v>368.08098467431125</v>
      </c>
      <c r="AP46" s="110">
        <f t="shared" si="14"/>
        <v>368.08098467431125</v>
      </c>
      <c r="AQ46" s="110">
        <f t="shared" si="14"/>
        <v>368.08098467431125</v>
      </c>
      <c r="AR46" s="110">
        <f t="shared" si="14"/>
        <v>368.08098467431125</v>
      </c>
      <c r="AS46" s="110">
        <f t="shared" si="14"/>
        <v>368.08098467431125</v>
      </c>
      <c r="AT46" s="110">
        <f t="shared" si="14"/>
        <v>368.08098467431125</v>
      </c>
      <c r="AU46" s="110">
        <f t="shared" si="14"/>
        <v>368.08098467431125</v>
      </c>
      <c r="AV46" s="110">
        <f t="shared" si="14"/>
        <v>368.08098467431125</v>
      </c>
      <c r="AW46" s="110">
        <f t="shared" si="14"/>
        <v>368.08098467431125</v>
      </c>
      <c r="AX46" s="110">
        <f t="shared" si="14"/>
        <v>368.08098467431125</v>
      </c>
      <c r="AY46" s="110">
        <f t="shared" si="14"/>
        <v>368.08098467431125</v>
      </c>
    </row>
    <row r="47" spans="1:52">
      <c r="A47" s="110"/>
      <c r="B47" s="165" t="s">
        <v>344</v>
      </c>
      <c r="C47" s="110"/>
      <c r="D47" s="110">
        <v>12.486306451710332</v>
      </c>
      <c r="E47" s="110">
        <v>153.1990657896915</v>
      </c>
      <c r="F47" s="110">
        <v>12.486306451710334</v>
      </c>
      <c r="G47" s="110"/>
      <c r="H47" s="110">
        <v>153.1990657896915</v>
      </c>
      <c r="I47" s="110">
        <v>12.486306451710334</v>
      </c>
      <c r="J47" s="110">
        <v>153.1990657896915</v>
      </c>
      <c r="K47" s="110">
        <v>12.486306451710334</v>
      </c>
      <c r="L47" s="110">
        <v>153.1990657896915</v>
      </c>
      <c r="M47" s="110">
        <v>12.486306451710334</v>
      </c>
      <c r="N47" s="110">
        <v>153.1990657896915</v>
      </c>
      <c r="O47" s="110">
        <v>12.486306451710334</v>
      </c>
      <c r="P47" s="110">
        <v>153.1990657896915</v>
      </c>
      <c r="Q47" s="110">
        <v>12.486306451710334</v>
      </c>
      <c r="R47" s="110"/>
      <c r="S47" s="110">
        <v>153.1990657896915</v>
      </c>
      <c r="T47" s="110">
        <v>12.486306451710334</v>
      </c>
      <c r="U47" s="110">
        <v>153.1990657896915</v>
      </c>
      <c r="V47" s="110">
        <v>12.486306451710334</v>
      </c>
      <c r="W47" s="110">
        <v>153.1990657896915</v>
      </c>
      <c r="X47" s="110">
        <v>12.486306451710334</v>
      </c>
      <c r="Y47" s="110">
        <v>153.1990657896915</v>
      </c>
      <c r="Z47" s="110">
        <v>12.486306451710334</v>
      </c>
      <c r="AA47" s="110">
        <v>153.1990657896915</v>
      </c>
      <c r="AB47" s="110">
        <v>12.486306451710334</v>
      </c>
      <c r="AC47" s="110">
        <v>153.1990657896915</v>
      </c>
      <c r="AD47" s="110">
        <v>12.486306451710334</v>
      </c>
      <c r="AE47" s="110">
        <v>153.1990657896915</v>
      </c>
      <c r="AF47" s="110">
        <v>12.486306451710334</v>
      </c>
      <c r="AG47" s="110">
        <v>153.1990657896915</v>
      </c>
      <c r="AH47" s="110">
        <v>12.486306451710334</v>
      </c>
      <c r="AI47" s="110">
        <v>153.1990657896915</v>
      </c>
      <c r="AJ47" s="110"/>
      <c r="AK47" s="110">
        <v>153.1990657896915</v>
      </c>
      <c r="AL47" s="110">
        <v>12.486306451710334</v>
      </c>
      <c r="AM47" s="110">
        <v>153.1990657896915</v>
      </c>
      <c r="AN47" s="110">
        <v>12.486306451710334</v>
      </c>
      <c r="AO47" s="110">
        <v>153.1990657896915</v>
      </c>
      <c r="AP47" s="110">
        <v>12.486306451710334</v>
      </c>
      <c r="AQ47" s="110">
        <v>153.1990657896915</v>
      </c>
      <c r="AR47" s="110">
        <v>12.486306451710334</v>
      </c>
      <c r="AS47" s="110">
        <v>153.1990657896915</v>
      </c>
      <c r="AT47" s="110">
        <v>12.486306451710334</v>
      </c>
      <c r="AU47" s="110">
        <v>153.1990657896915</v>
      </c>
      <c r="AV47" s="110">
        <v>12.486306451710334</v>
      </c>
      <c r="AW47" s="110">
        <v>153.1990657896915</v>
      </c>
      <c r="AX47" s="110">
        <v>12.486306451710334</v>
      </c>
      <c r="AY47" s="110">
        <v>153.1990657896915</v>
      </c>
    </row>
    <row r="48" spans="1:52">
      <c r="A48" s="110"/>
      <c r="B48" s="165" t="s">
        <v>345</v>
      </c>
      <c r="C48" s="110"/>
      <c r="D48" s="110">
        <v>17.513693548289666</v>
      </c>
      <c r="E48" s="110">
        <v>214.88191888461978</v>
      </c>
      <c r="F48" s="110">
        <v>17.51369354828967</v>
      </c>
      <c r="G48" s="110"/>
      <c r="H48" s="110">
        <v>214.88191888461978</v>
      </c>
      <c r="I48" s="110">
        <v>17.51369354828967</v>
      </c>
      <c r="J48" s="110">
        <v>214.88191888461978</v>
      </c>
      <c r="K48" s="110">
        <v>17.51369354828967</v>
      </c>
      <c r="L48" s="110">
        <v>214.88191888461978</v>
      </c>
      <c r="M48" s="110">
        <v>17.51369354828967</v>
      </c>
      <c r="N48" s="110">
        <v>214.88191888461978</v>
      </c>
      <c r="O48" s="110">
        <v>17.51369354828967</v>
      </c>
      <c r="P48" s="110">
        <v>214.88191888461978</v>
      </c>
      <c r="Q48" s="110">
        <v>17.51369354828967</v>
      </c>
      <c r="R48" s="110"/>
      <c r="S48" s="110">
        <v>214.88191888461978</v>
      </c>
      <c r="T48" s="110">
        <v>17.51369354828967</v>
      </c>
      <c r="U48" s="110">
        <v>214.88191888461978</v>
      </c>
      <c r="V48" s="110">
        <v>17.51369354828967</v>
      </c>
      <c r="W48" s="110">
        <v>214.88191888461978</v>
      </c>
      <c r="X48" s="110">
        <v>17.51369354828967</v>
      </c>
      <c r="Y48" s="110">
        <v>214.88191888461978</v>
      </c>
      <c r="Z48" s="110">
        <v>17.51369354828967</v>
      </c>
      <c r="AA48" s="110">
        <v>214.88191888461978</v>
      </c>
      <c r="AB48" s="110">
        <v>17.51369354828967</v>
      </c>
      <c r="AC48" s="110">
        <v>214.88191888461978</v>
      </c>
      <c r="AD48" s="110">
        <v>17.51369354828967</v>
      </c>
      <c r="AE48" s="110">
        <v>214.88191888461978</v>
      </c>
      <c r="AF48" s="110">
        <v>17.51369354828967</v>
      </c>
      <c r="AG48" s="110">
        <v>214.88191888461978</v>
      </c>
      <c r="AH48" s="110">
        <v>17.51369354828967</v>
      </c>
      <c r="AI48" s="110">
        <v>214.88191888461978</v>
      </c>
      <c r="AJ48" s="110"/>
      <c r="AK48" s="110">
        <v>214.88191888461978</v>
      </c>
      <c r="AL48" s="110">
        <v>17.51369354828967</v>
      </c>
      <c r="AM48" s="110">
        <v>214.88191888461978</v>
      </c>
      <c r="AN48" s="110">
        <v>17.51369354828967</v>
      </c>
      <c r="AO48" s="110">
        <v>214.88191888461978</v>
      </c>
      <c r="AP48" s="110">
        <v>17.51369354828967</v>
      </c>
      <c r="AQ48" s="110">
        <v>214.88191888461978</v>
      </c>
      <c r="AR48" s="110">
        <v>17.51369354828967</v>
      </c>
      <c r="AS48" s="110">
        <v>214.88191888461978</v>
      </c>
      <c r="AT48" s="110">
        <v>17.51369354828967</v>
      </c>
      <c r="AU48" s="110">
        <v>214.88191888461978</v>
      </c>
      <c r="AV48" s="110">
        <v>17.51369354828967</v>
      </c>
      <c r="AW48" s="110">
        <v>214.88191888461978</v>
      </c>
      <c r="AX48" s="110">
        <v>17.51369354828967</v>
      </c>
      <c r="AY48" s="110">
        <v>214.88191888461978</v>
      </c>
    </row>
    <row r="49" spans="1:52">
      <c r="A49" s="110"/>
      <c r="B49" s="165" t="s">
        <v>346</v>
      </c>
      <c r="C49" s="110"/>
      <c r="D49" s="110">
        <v>1</v>
      </c>
      <c r="E49" s="110">
        <v>13</v>
      </c>
      <c r="F49" s="110">
        <v>1</v>
      </c>
      <c r="G49" s="110"/>
      <c r="H49" s="110">
        <v>13</v>
      </c>
      <c r="I49" s="110">
        <v>1</v>
      </c>
      <c r="J49" s="110">
        <v>13</v>
      </c>
      <c r="K49" s="110">
        <v>1</v>
      </c>
      <c r="L49" s="110">
        <v>13</v>
      </c>
      <c r="M49" s="110">
        <v>1</v>
      </c>
      <c r="N49" s="110">
        <v>13</v>
      </c>
      <c r="O49" s="110">
        <v>1</v>
      </c>
      <c r="P49" s="110">
        <v>13</v>
      </c>
      <c r="Q49" s="110">
        <v>1</v>
      </c>
      <c r="R49" s="110"/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/>
      <c r="AK49" s="110">
        <v>13</v>
      </c>
      <c r="AL49" s="110">
        <v>1</v>
      </c>
      <c r="AM49" s="110">
        <v>13</v>
      </c>
      <c r="AN49" s="110">
        <v>1</v>
      </c>
      <c r="AO49" s="110">
        <v>13</v>
      </c>
      <c r="AP49" s="110">
        <v>1</v>
      </c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140.7127593379804</v>
      </c>
      <c r="E50" s="110">
        <f t="shared" ref="E50:AY50" si="15">E44-E47</f>
        <v>0</v>
      </c>
      <c r="F50" s="110">
        <f t="shared" si="15"/>
        <v>140.71275933798117</v>
      </c>
      <c r="G50" s="110">
        <f t="shared" si="15"/>
        <v>0</v>
      </c>
      <c r="H50" s="110">
        <f t="shared" si="15"/>
        <v>0</v>
      </c>
      <c r="I50" s="110">
        <f t="shared" si="15"/>
        <v>140.71275933798117</v>
      </c>
      <c r="J50" s="110">
        <f t="shared" si="15"/>
        <v>0</v>
      </c>
      <c r="K50" s="110">
        <f t="shared" si="15"/>
        <v>140.71275933798117</v>
      </c>
      <c r="L50" s="110">
        <f t="shared" si="15"/>
        <v>0</v>
      </c>
      <c r="M50" s="110">
        <f t="shared" si="15"/>
        <v>140.71275933798117</v>
      </c>
      <c r="N50" s="110">
        <f t="shared" si="15"/>
        <v>0</v>
      </c>
      <c r="O50" s="110">
        <f t="shared" si="15"/>
        <v>140.71275933798117</v>
      </c>
      <c r="P50" s="110">
        <f t="shared" si="15"/>
        <v>0</v>
      </c>
      <c r="Q50" s="110">
        <f t="shared" si="15"/>
        <v>140.71275933798117</v>
      </c>
      <c r="R50" s="110">
        <f t="shared" si="15"/>
        <v>0</v>
      </c>
      <c r="S50" s="110">
        <f t="shared" si="15"/>
        <v>0</v>
      </c>
      <c r="T50" s="110">
        <f t="shared" si="15"/>
        <v>140.71275933798117</v>
      </c>
      <c r="U50" s="110">
        <f t="shared" si="15"/>
        <v>0</v>
      </c>
      <c r="V50" s="110">
        <f t="shared" si="15"/>
        <v>140.71275933798117</v>
      </c>
      <c r="W50" s="110">
        <f t="shared" si="15"/>
        <v>0</v>
      </c>
      <c r="X50" s="110">
        <f t="shared" si="15"/>
        <v>140.71275933798117</v>
      </c>
      <c r="Y50" s="110">
        <f t="shared" si="15"/>
        <v>0</v>
      </c>
      <c r="Z50" s="110">
        <f t="shared" si="15"/>
        <v>140.71275933798117</v>
      </c>
      <c r="AA50" s="110">
        <f t="shared" si="15"/>
        <v>0</v>
      </c>
      <c r="AB50" s="110">
        <f t="shared" si="15"/>
        <v>140.71275933798117</v>
      </c>
      <c r="AC50" s="110">
        <f t="shared" si="15"/>
        <v>0</v>
      </c>
      <c r="AD50" s="110">
        <f t="shared" si="15"/>
        <v>140.71275933798117</v>
      </c>
      <c r="AE50" s="110">
        <f t="shared" si="15"/>
        <v>0</v>
      </c>
      <c r="AF50" s="110">
        <f t="shared" si="15"/>
        <v>140.71275933798117</v>
      </c>
      <c r="AG50" s="110">
        <f t="shared" si="15"/>
        <v>0</v>
      </c>
      <c r="AH50" s="110">
        <f t="shared" si="15"/>
        <v>140.71275933798117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140.71275933798117</v>
      </c>
      <c r="AM50" s="110">
        <f t="shared" si="15"/>
        <v>0</v>
      </c>
      <c r="AN50" s="110">
        <f t="shared" si="15"/>
        <v>140.71275933798117</v>
      </c>
      <c r="AO50" s="110">
        <f t="shared" si="15"/>
        <v>0</v>
      </c>
      <c r="AP50" s="110">
        <f t="shared" si="15"/>
        <v>140.71275933798117</v>
      </c>
      <c r="AQ50" s="110">
        <f t="shared" si="15"/>
        <v>0</v>
      </c>
      <c r="AR50" s="110">
        <f t="shared" si="15"/>
        <v>140.71275933798117</v>
      </c>
      <c r="AS50" s="110">
        <f t="shared" si="15"/>
        <v>0</v>
      </c>
      <c r="AT50" s="110">
        <f t="shared" si="15"/>
        <v>140.71275933798117</v>
      </c>
      <c r="AU50" s="110">
        <f t="shared" si="15"/>
        <v>0</v>
      </c>
      <c r="AV50" s="110">
        <f t="shared" si="15"/>
        <v>140.71275933798117</v>
      </c>
      <c r="AW50" s="110">
        <f t="shared" si="15"/>
        <v>0</v>
      </c>
      <c r="AX50" s="110">
        <f t="shared" si="15"/>
        <v>140.71275933798117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197.368225336329</v>
      </c>
      <c r="E51" s="110">
        <f t="shared" ref="E51:AY51" si="16">E45-E48</f>
        <v>0</v>
      </c>
      <c r="F51" s="110">
        <f t="shared" si="16"/>
        <v>197.36822533633011</v>
      </c>
      <c r="G51" s="110">
        <f t="shared" si="16"/>
        <v>0</v>
      </c>
      <c r="H51" s="110">
        <f t="shared" si="16"/>
        <v>0</v>
      </c>
      <c r="I51" s="110">
        <f t="shared" si="16"/>
        <v>197.36822533633011</v>
      </c>
      <c r="J51" s="110">
        <f t="shared" si="16"/>
        <v>0</v>
      </c>
      <c r="K51" s="110">
        <f t="shared" si="16"/>
        <v>197.36822533633011</v>
      </c>
      <c r="L51" s="110">
        <f t="shared" si="16"/>
        <v>0</v>
      </c>
      <c r="M51" s="110">
        <f t="shared" si="16"/>
        <v>197.36822533633011</v>
      </c>
      <c r="N51" s="110">
        <f t="shared" si="16"/>
        <v>0</v>
      </c>
      <c r="O51" s="110">
        <f t="shared" si="16"/>
        <v>197.36822533633011</v>
      </c>
      <c r="P51" s="110">
        <f t="shared" si="16"/>
        <v>0</v>
      </c>
      <c r="Q51" s="110">
        <f t="shared" si="16"/>
        <v>197.36822533633011</v>
      </c>
      <c r="R51" s="110">
        <f t="shared" si="16"/>
        <v>0</v>
      </c>
      <c r="S51" s="110">
        <f t="shared" si="16"/>
        <v>0</v>
      </c>
      <c r="T51" s="110">
        <f t="shared" si="16"/>
        <v>197.36822533633011</v>
      </c>
      <c r="U51" s="110">
        <f t="shared" si="16"/>
        <v>0</v>
      </c>
      <c r="V51" s="110">
        <f t="shared" si="16"/>
        <v>197.36822533633011</v>
      </c>
      <c r="W51" s="110">
        <f t="shared" si="16"/>
        <v>0</v>
      </c>
      <c r="X51" s="110">
        <f t="shared" si="16"/>
        <v>197.36822533633011</v>
      </c>
      <c r="Y51" s="110">
        <f t="shared" si="16"/>
        <v>0</v>
      </c>
      <c r="Z51" s="110">
        <f t="shared" si="16"/>
        <v>197.36822533633011</v>
      </c>
      <c r="AA51" s="110">
        <f t="shared" si="16"/>
        <v>0</v>
      </c>
      <c r="AB51" s="110">
        <f t="shared" si="16"/>
        <v>197.36822533633011</v>
      </c>
      <c r="AC51" s="110">
        <f t="shared" si="16"/>
        <v>0</v>
      </c>
      <c r="AD51" s="110">
        <f t="shared" si="16"/>
        <v>197.36822533633011</v>
      </c>
      <c r="AE51" s="110">
        <f t="shared" si="16"/>
        <v>0</v>
      </c>
      <c r="AF51" s="110">
        <f t="shared" si="16"/>
        <v>197.36822533633011</v>
      </c>
      <c r="AG51" s="110">
        <f t="shared" si="16"/>
        <v>0</v>
      </c>
      <c r="AH51" s="110">
        <f t="shared" si="16"/>
        <v>197.36822533633011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197.36822533633011</v>
      </c>
      <c r="AM51" s="110">
        <f t="shared" si="16"/>
        <v>0</v>
      </c>
      <c r="AN51" s="110">
        <f t="shared" si="16"/>
        <v>197.36822533633011</v>
      </c>
      <c r="AO51" s="110">
        <f t="shared" si="16"/>
        <v>0</v>
      </c>
      <c r="AP51" s="110">
        <f t="shared" si="16"/>
        <v>197.36822533633011</v>
      </c>
      <c r="AQ51" s="110">
        <f t="shared" si="16"/>
        <v>0</v>
      </c>
      <c r="AR51" s="110">
        <f t="shared" si="16"/>
        <v>197.36822533633011</v>
      </c>
      <c r="AS51" s="110">
        <f t="shared" si="16"/>
        <v>0</v>
      </c>
      <c r="AT51" s="110">
        <f t="shared" si="16"/>
        <v>197.36822533633011</v>
      </c>
      <c r="AU51" s="110">
        <f t="shared" si="16"/>
        <v>0</v>
      </c>
      <c r="AV51" s="110">
        <f t="shared" si="16"/>
        <v>197.36822533633011</v>
      </c>
      <c r="AW51" s="110">
        <f t="shared" si="16"/>
        <v>0</v>
      </c>
      <c r="AX51" s="110">
        <f t="shared" si="16"/>
        <v>197.36822533633011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3</v>
      </c>
      <c r="F52" s="110">
        <v>1</v>
      </c>
      <c r="G52" s="110">
        <v>1</v>
      </c>
      <c r="H52" s="110">
        <v>1</v>
      </c>
      <c r="I52" s="110">
        <v>1</v>
      </c>
      <c r="J52" s="110">
        <v>1</v>
      </c>
      <c r="K52" s="110">
        <v>2</v>
      </c>
      <c r="L52" s="110">
        <v>1</v>
      </c>
      <c r="M52" s="110">
        <v>3</v>
      </c>
      <c r="N52" s="110">
        <v>1</v>
      </c>
      <c r="O52" s="110">
        <v>1</v>
      </c>
      <c r="P52" s="110">
        <v>2</v>
      </c>
      <c r="Q52" s="110">
        <v>1</v>
      </c>
      <c r="R52" s="110">
        <v>2</v>
      </c>
      <c r="S52" s="110">
        <v>2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2</v>
      </c>
      <c r="AB52" s="110">
        <v>1</v>
      </c>
      <c r="AC52" s="110">
        <v>2</v>
      </c>
      <c r="AD52" s="110">
        <v>1</v>
      </c>
      <c r="AE52" s="110">
        <v>2</v>
      </c>
      <c r="AF52" s="110">
        <v>1</v>
      </c>
      <c r="AG52" s="110">
        <v>1</v>
      </c>
      <c r="AH52" s="110">
        <v>1</v>
      </c>
      <c r="AI52" s="110">
        <v>3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1</v>
      </c>
      <c r="AT52" s="110">
        <v>1</v>
      </c>
      <c r="AU52" s="110">
        <v>1</v>
      </c>
      <c r="AV52" s="110">
        <v>3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41652</v>
      </c>
      <c r="F53" s="110">
        <v>3204</v>
      </c>
      <c r="G53" s="110">
        <v>0</v>
      </c>
      <c r="H53" s="110">
        <v>41652</v>
      </c>
      <c r="I53" s="110">
        <v>3204</v>
      </c>
      <c r="J53" s="110">
        <v>41652</v>
      </c>
      <c r="K53" s="110">
        <v>3204</v>
      </c>
      <c r="L53" s="110">
        <v>41652</v>
      </c>
      <c r="M53" s="110">
        <v>3204</v>
      </c>
      <c r="N53" s="110">
        <v>41652</v>
      </c>
      <c r="O53" s="110">
        <v>3204</v>
      </c>
      <c r="P53" s="110">
        <v>41652</v>
      </c>
      <c r="Q53" s="110">
        <v>3204</v>
      </c>
      <c r="R53" s="110">
        <v>0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0</v>
      </c>
      <c r="AK53" s="110">
        <v>41652</v>
      </c>
      <c r="AL53" s="110">
        <v>3204</v>
      </c>
      <c r="AM53" s="110">
        <v>41652</v>
      </c>
      <c r="AN53" s="110">
        <v>3204</v>
      </c>
      <c r="AO53" s="110">
        <v>41652</v>
      </c>
      <c r="AP53" s="110">
        <v>3204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1028484</v>
      </c>
    </row>
    <row r="54" spans="1:52">
      <c r="A54" s="110"/>
      <c r="B54" s="178" t="s">
        <v>351</v>
      </c>
      <c r="C54" s="110"/>
      <c r="D54" s="110">
        <v>19557.984963408802</v>
      </c>
      <c r="E54" s="110">
        <v>0</v>
      </c>
      <c r="F54" s="110">
        <v>19557.984963408904</v>
      </c>
      <c r="G54" s="110">
        <v>0</v>
      </c>
      <c r="H54" s="110">
        <v>0</v>
      </c>
      <c r="I54" s="110">
        <v>19557.984963408904</v>
      </c>
      <c r="J54" s="110">
        <v>0</v>
      </c>
      <c r="K54" s="110">
        <v>19557.984963408904</v>
      </c>
      <c r="L54" s="110">
        <v>0</v>
      </c>
      <c r="M54" s="110">
        <v>19557.984963408904</v>
      </c>
      <c r="N54" s="110">
        <v>0</v>
      </c>
      <c r="O54" s="110">
        <v>19557.984963408904</v>
      </c>
      <c r="P54" s="110">
        <v>0</v>
      </c>
      <c r="Q54" s="110">
        <v>19557.984963408904</v>
      </c>
      <c r="R54" s="110">
        <v>0</v>
      </c>
      <c r="S54" s="110">
        <v>0</v>
      </c>
      <c r="T54" s="110">
        <v>19557.984963408904</v>
      </c>
      <c r="U54" s="110">
        <v>0</v>
      </c>
      <c r="V54" s="110">
        <v>19557.984963408904</v>
      </c>
      <c r="W54" s="110">
        <v>0</v>
      </c>
      <c r="X54" s="110">
        <v>19557.984963408904</v>
      </c>
      <c r="Y54" s="110">
        <v>0</v>
      </c>
      <c r="Z54" s="110">
        <v>19557.984963408904</v>
      </c>
      <c r="AA54" s="110">
        <v>0</v>
      </c>
      <c r="AB54" s="110">
        <v>19557.984963408904</v>
      </c>
      <c r="AC54" s="110">
        <v>0</v>
      </c>
      <c r="AD54" s="110">
        <v>19557.984963408904</v>
      </c>
      <c r="AE54" s="110">
        <v>0</v>
      </c>
      <c r="AF54" s="110">
        <v>19557.984963408904</v>
      </c>
      <c r="AG54" s="110">
        <v>0</v>
      </c>
      <c r="AH54" s="110">
        <v>19557.984963408904</v>
      </c>
      <c r="AI54" s="110">
        <v>0</v>
      </c>
      <c r="AJ54" s="110">
        <v>0</v>
      </c>
      <c r="AK54" s="110">
        <v>0</v>
      </c>
      <c r="AL54" s="110">
        <v>19557.984963408904</v>
      </c>
      <c r="AM54" s="110">
        <v>0</v>
      </c>
      <c r="AN54" s="110">
        <v>19557.984963408904</v>
      </c>
      <c r="AO54" s="110">
        <v>0</v>
      </c>
      <c r="AP54" s="110">
        <v>19557.984963408904</v>
      </c>
      <c r="AQ54" s="110">
        <v>0</v>
      </c>
      <c r="AR54" s="110">
        <v>19557.984963408904</v>
      </c>
      <c r="AS54" s="110">
        <v>0</v>
      </c>
      <c r="AT54" s="110">
        <v>19557.984963408904</v>
      </c>
      <c r="AU54" s="110">
        <v>0</v>
      </c>
      <c r="AV54" s="110">
        <v>19557.984963408904</v>
      </c>
      <c r="AW54" s="110">
        <v>0</v>
      </c>
      <c r="AX54" s="110">
        <v>19557.984963408904</v>
      </c>
      <c r="AY54" s="110">
        <v>0</v>
      </c>
      <c r="AZ54" s="100">
        <f>SUM($D$54:$AY$54)</f>
        <v>430275.66919499577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2</v>
      </c>
      <c r="G63" s="110">
        <v>2</v>
      </c>
      <c r="H63" s="110">
        <v>3</v>
      </c>
      <c r="I63" s="110">
        <v>2</v>
      </c>
      <c r="J63" s="110">
        <v>2</v>
      </c>
      <c r="K63" s="110">
        <v>2</v>
      </c>
      <c r="L63" s="110">
        <v>2</v>
      </c>
      <c r="M63" s="110">
        <v>3</v>
      </c>
      <c r="N63" s="110">
        <v>2</v>
      </c>
      <c r="O63" s="110">
        <v>2</v>
      </c>
      <c r="P63" s="110">
        <v>4</v>
      </c>
      <c r="Q63" s="110">
        <v>2</v>
      </c>
      <c r="R63" s="110">
        <v>2</v>
      </c>
      <c r="S63" s="110">
        <v>3</v>
      </c>
      <c r="T63" s="110">
        <v>2</v>
      </c>
      <c r="U63" s="110">
        <v>4</v>
      </c>
      <c r="V63" s="110">
        <v>3</v>
      </c>
      <c r="W63" s="110">
        <v>3</v>
      </c>
      <c r="X63" s="110">
        <v>3</v>
      </c>
      <c r="Y63" s="110">
        <v>2</v>
      </c>
      <c r="Z63" s="110">
        <v>3</v>
      </c>
      <c r="AA63" s="110">
        <v>3</v>
      </c>
      <c r="AB63" s="110">
        <v>3</v>
      </c>
      <c r="AC63" s="110">
        <v>3</v>
      </c>
      <c r="AD63" s="110">
        <v>2</v>
      </c>
      <c r="AE63" s="110">
        <v>2</v>
      </c>
      <c r="AF63" s="110">
        <v>3</v>
      </c>
      <c r="AG63" s="110">
        <v>2</v>
      </c>
      <c r="AH63" s="110">
        <v>2</v>
      </c>
      <c r="AI63" s="110">
        <v>2</v>
      </c>
      <c r="AJ63" s="110">
        <v>2</v>
      </c>
      <c r="AK63" s="110">
        <v>3</v>
      </c>
      <c r="AL63" s="110">
        <v>2</v>
      </c>
      <c r="AM63" s="110">
        <v>2</v>
      </c>
      <c r="AN63" s="110">
        <v>2</v>
      </c>
      <c r="AO63" s="110">
        <v>2</v>
      </c>
      <c r="AP63" s="110">
        <v>2</v>
      </c>
      <c r="AQ63" s="110">
        <v>3</v>
      </c>
      <c r="AR63" s="110">
        <v>2</v>
      </c>
      <c r="AS63" s="110">
        <v>2</v>
      </c>
      <c r="AT63" s="110">
        <v>2</v>
      </c>
      <c r="AU63" s="110">
        <v>4</v>
      </c>
      <c r="AV63" s="110">
        <v>3</v>
      </c>
      <c r="AW63" s="110">
        <v>2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1868.0713539377846</v>
      </c>
      <c r="E7" s="144">
        <v>1868.0713539377846</v>
      </c>
      <c r="F7" s="144">
        <v>1868.0713539377846</v>
      </c>
      <c r="G7" s="144">
        <v>1868.0713539377846</v>
      </c>
      <c r="H7" s="144">
        <v>1556.7340925305318</v>
      </c>
      <c r="I7" s="144">
        <v>1556.7340925305318</v>
      </c>
      <c r="J7" s="144">
        <v>1556.7340925305318</v>
      </c>
      <c r="K7" s="144">
        <v>1556.7340925305318</v>
      </c>
      <c r="L7" s="144">
        <v>1556.7340925305318</v>
      </c>
      <c r="M7" s="144">
        <v>1556.7340925305318</v>
      </c>
      <c r="N7" s="144">
        <v>1556.7340925305318</v>
      </c>
      <c r="O7" s="144">
        <v>1556.7340925305318</v>
      </c>
      <c r="P7" s="144">
        <v>1868.0713539377846</v>
      </c>
      <c r="Q7" s="144">
        <v>1868.0713539377846</v>
      </c>
      <c r="R7" s="144">
        <v>1868.0713539377846</v>
      </c>
      <c r="S7" s="144">
        <v>1868.0713539377846</v>
      </c>
      <c r="T7" s="144">
        <v>4.778549426778296E-2</v>
      </c>
      <c r="U7" s="144">
        <v>4.778549426778296E-2</v>
      </c>
      <c r="V7" s="144">
        <v>4.778549426778296E-2</v>
      </c>
      <c r="W7" s="144">
        <v>4.778549426778296E-2</v>
      </c>
      <c r="X7" s="144">
        <v>1868.0713539377846</v>
      </c>
      <c r="Y7" s="144">
        <v>1868.0713539377846</v>
      </c>
      <c r="Z7" s="144">
        <v>1868.0713539377846</v>
      </c>
      <c r="AA7" s="144">
        <v>1868.0713539377846</v>
      </c>
      <c r="AB7" s="144">
        <v>1556.7340925305318</v>
      </c>
      <c r="AC7" s="144">
        <v>1556.7340925305318</v>
      </c>
      <c r="AD7" s="144">
        <v>1556.7340925305318</v>
      </c>
      <c r="AE7" s="144">
        <v>1556.7340925305318</v>
      </c>
      <c r="AF7" s="144">
        <v>1556.7340925305318</v>
      </c>
      <c r="AG7" s="144">
        <v>1556.7340925305318</v>
      </c>
      <c r="AH7" s="144">
        <v>1556.7340925305318</v>
      </c>
      <c r="AI7" s="144">
        <v>1556.7340925305318</v>
      </c>
      <c r="AJ7" s="144">
        <v>1868.0713539377846</v>
      </c>
      <c r="AK7" s="144">
        <v>1868.0713539377846</v>
      </c>
      <c r="AL7" s="144">
        <v>1868.0713539377846</v>
      </c>
      <c r="AM7" s="144">
        <v>1868.0713539377846</v>
      </c>
      <c r="AN7" s="144">
        <v>1556.7340925305318</v>
      </c>
      <c r="AO7" s="144">
        <v>1556.7340925305318</v>
      </c>
      <c r="AP7" s="144">
        <v>1556.7340925305318</v>
      </c>
      <c r="AQ7" s="144">
        <v>1556.7340925305318</v>
      </c>
      <c r="AR7" s="144">
        <v>1556.7340925305318</v>
      </c>
      <c r="AS7" s="144">
        <v>1556.7340925305318</v>
      </c>
      <c r="AT7" s="144">
        <v>1556.7340925305318</v>
      </c>
      <c r="AU7" s="144">
        <v>1556.7340925305318</v>
      </c>
      <c r="AV7" s="144">
        <v>1556.7340925305318</v>
      </c>
      <c r="AW7" s="144">
        <v>1556.7340925305318</v>
      </c>
      <c r="AX7" s="144">
        <v>1556.7340925305318</v>
      </c>
      <c r="AY7" s="144">
        <v>1556.7340925305318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1554.86074270368</v>
      </c>
      <c r="D13" s="138">
        <f t="shared" ref="D13:AY13" si="1">D$7-D$10</f>
        <v>1868.0713539377846</v>
      </c>
      <c r="E13" s="138">
        <f t="shared" si="1"/>
        <v>1868.0713539377846</v>
      </c>
      <c r="F13" s="138">
        <f t="shared" si="1"/>
        <v>1868.0713539377846</v>
      </c>
      <c r="G13" s="138">
        <f t="shared" si="1"/>
        <v>1868.0713539377846</v>
      </c>
      <c r="H13" s="138">
        <f t="shared" si="1"/>
        <v>1556.7340925305318</v>
      </c>
      <c r="I13" s="138">
        <f t="shared" si="1"/>
        <v>1556.7340925305318</v>
      </c>
      <c r="J13" s="138">
        <f t="shared" si="1"/>
        <v>1556.7340925305318</v>
      </c>
      <c r="K13" s="138">
        <f t="shared" si="1"/>
        <v>1556.7340925305318</v>
      </c>
      <c r="L13" s="138">
        <f t="shared" si="1"/>
        <v>1556.7340925305318</v>
      </c>
      <c r="M13" s="138">
        <f t="shared" si="1"/>
        <v>1556.7340925305318</v>
      </c>
      <c r="N13" s="138">
        <f t="shared" si="1"/>
        <v>1556.7340925305318</v>
      </c>
      <c r="O13" s="138">
        <f t="shared" si="1"/>
        <v>1556.7340925305318</v>
      </c>
      <c r="P13" s="138">
        <f t="shared" si="1"/>
        <v>1868.0713539377846</v>
      </c>
      <c r="Q13" s="138">
        <f t="shared" si="1"/>
        <v>1868.0713539377846</v>
      </c>
      <c r="R13" s="138">
        <f t="shared" si="1"/>
        <v>1868.0713539377846</v>
      </c>
      <c r="S13" s="138">
        <f t="shared" si="1"/>
        <v>1868.0713539377846</v>
      </c>
      <c r="T13" s="138">
        <f t="shared" si="1"/>
        <v>4.778549426778296E-2</v>
      </c>
      <c r="U13" s="138">
        <f t="shared" si="1"/>
        <v>4.778549426778296E-2</v>
      </c>
      <c r="V13" s="138">
        <f t="shared" si="1"/>
        <v>4.778549426778296E-2</v>
      </c>
      <c r="W13" s="138">
        <f t="shared" si="1"/>
        <v>4.778549426778296E-2</v>
      </c>
      <c r="X13" s="138">
        <f t="shared" si="1"/>
        <v>1868.0713539377846</v>
      </c>
      <c r="Y13" s="138">
        <f t="shared" si="1"/>
        <v>1868.0713539377846</v>
      </c>
      <c r="Z13" s="138">
        <f t="shared" si="1"/>
        <v>1868.0713539377846</v>
      </c>
      <c r="AA13" s="138">
        <f t="shared" si="1"/>
        <v>1868.0713539377846</v>
      </c>
      <c r="AB13" s="138">
        <f t="shared" si="1"/>
        <v>1556.7340925305318</v>
      </c>
      <c r="AC13" s="138">
        <f t="shared" si="1"/>
        <v>1556.7340925305318</v>
      </c>
      <c r="AD13" s="138">
        <f t="shared" si="1"/>
        <v>1556.7340925305318</v>
      </c>
      <c r="AE13" s="138">
        <f t="shared" si="1"/>
        <v>1556.7340925305318</v>
      </c>
      <c r="AF13" s="138">
        <f t="shared" si="1"/>
        <v>1556.7340925305318</v>
      </c>
      <c r="AG13" s="138">
        <f t="shared" si="1"/>
        <v>1556.7340925305318</v>
      </c>
      <c r="AH13" s="138">
        <f t="shared" si="1"/>
        <v>1556.7340925305318</v>
      </c>
      <c r="AI13" s="138">
        <f t="shared" si="1"/>
        <v>1556.7340925305318</v>
      </c>
      <c r="AJ13" s="138">
        <f t="shared" si="1"/>
        <v>1868.0713539377846</v>
      </c>
      <c r="AK13" s="138">
        <f t="shared" si="1"/>
        <v>1868.0713539377846</v>
      </c>
      <c r="AL13" s="138">
        <f t="shared" si="1"/>
        <v>1868.0713539377846</v>
      </c>
      <c r="AM13" s="138">
        <f t="shared" si="1"/>
        <v>1868.0713539377846</v>
      </c>
      <c r="AN13" s="138">
        <f t="shared" si="1"/>
        <v>1556.7340925305318</v>
      </c>
      <c r="AO13" s="138">
        <f t="shared" si="1"/>
        <v>1556.7340925305318</v>
      </c>
      <c r="AP13" s="138">
        <f t="shared" si="1"/>
        <v>1556.7340925305318</v>
      </c>
      <c r="AQ13" s="138">
        <f t="shared" si="1"/>
        <v>1556.7340925305318</v>
      </c>
      <c r="AR13" s="138">
        <f t="shared" si="1"/>
        <v>1556.7340925305318</v>
      </c>
      <c r="AS13" s="138">
        <f t="shared" si="1"/>
        <v>1556.7340925305318</v>
      </c>
      <c r="AT13" s="138">
        <f t="shared" si="1"/>
        <v>1556.7340925305318</v>
      </c>
      <c r="AU13" s="138">
        <f t="shared" si="1"/>
        <v>1556.7340925305318</v>
      </c>
      <c r="AV13" s="138">
        <f t="shared" si="1"/>
        <v>1556.7340925305318</v>
      </c>
      <c r="AW13" s="138">
        <f t="shared" si="1"/>
        <v>1556.7340925305318</v>
      </c>
      <c r="AX13" s="138">
        <f t="shared" si="1"/>
        <v>1556.7340925305318</v>
      </c>
      <c r="AY13" s="138">
        <f t="shared" si="1"/>
        <v>1556.7340925305318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1556.7340925305318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1556.7340925305318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 t="s">
        <v>339</v>
      </c>
      <c r="AH20" s="117"/>
      <c r="AI20" s="117"/>
      <c r="AJ20" s="117"/>
      <c r="AK20" s="117"/>
      <c r="AL20" s="117"/>
      <c r="AM20" s="117"/>
      <c r="AN20" s="117"/>
      <c r="AO20" s="117"/>
      <c r="AP20" s="117"/>
      <c r="AQ20" s="117" t="s">
        <v>339</v>
      </c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0.42708495090982673</v>
      </c>
      <c r="C21" s="156" t="s">
        <v>293</v>
      </c>
      <c r="D21" s="106">
        <f>IF(C$20="Yes",0,SUM(C$13:C$16)*$B$21)</f>
        <v>664.05762396921796</v>
      </c>
      <c r="E21" s="106">
        <f t="shared" ref="E21:AY21" si="3">IF(D$20="Yes",0,SUM(D$13:D$16)*$B$21)</f>
        <v>797.8251624925723</v>
      </c>
      <c r="F21" s="106">
        <f t="shared" si="3"/>
        <v>797.8251624925723</v>
      </c>
      <c r="G21" s="106">
        <f t="shared" si="3"/>
        <v>797.8251624925723</v>
      </c>
      <c r="H21" s="106">
        <f t="shared" si="3"/>
        <v>797.8251624925723</v>
      </c>
      <c r="I21" s="106">
        <f t="shared" si="3"/>
        <v>664.8577034880559</v>
      </c>
      <c r="J21" s="106">
        <f t="shared" si="3"/>
        <v>664.8577034880559</v>
      </c>
      <c r="K21" s="106">
        <f t="shared" si="3"/>
        <v>664.8577034880559</v>
      </c>
      <c r="L21" s="106">
        <f t="shared" si="3"/>
        <v>664.8577034880559</v>
      </c>
      <c r="M21" s="106">
        <f t="shared" si="3"/>
        <v>664.8577034880559</v>
      </c>
      <c r="N21" s="106">
        <f t="shared" si="3"/>
        <v>664.8577034880559</v>
      </c>
      <c r="O21" s="106">
        <f t="shared" si="3"/>
        <v>664.8577034880559</v>
      </c>
      <c r="P21" s="106">
        <f t="shared" si="3"/>
        <v>664.8577034880559</v>
      </c>
      <c r="Q21" s="106">
        <f t="shared" si="3"/>
        <v>797.8251624925723</v>
      </c>
      <c r="R21" s="106">
        <f t="shared" si="3"/>
        <v>797.8251624925723</v>
      </c>
      <c r="S21" s="106">
        <f t="shared" si="3"/>
        <v>797.8251624925723</v>
      </c>
      <c r="T21" s="106">
        <f t="shared" si="3"/>
        <v>797.8251624925723</v>
      </c>
      <c r="U21" s="106">
        <f t="shared" si="3"/>
        <v>2.0408465473557891E-2</v>
      </c>
      <c r="V21" s="106">
        <f t="shared" si="3"/>
        <v>2.0408465473557891E-2</v>
      </c>
      <c r="W21" s="106">
        <f t="shared" si="3"/>
        <v>2.0408465473557891E-2</v>
      </c>
      <c r="X21" s="106">
        <f t="shared" si="3"/>
        <v>2.0408465473557891E-2</v>
      </c>
      <c r="Y21" s="106">
        <f t="shared" si="3"/>
        <v>797.8251624925723</v>
      </c>
      <c r="Z21" s="106">
        <f t="shared" si="3"/>
        <v>797.8251624925723</v>
      </c>
      <c r="AA21" s="106">
        <f t="shared" si="3"/>
        <v>797.8251624925723</v>
      </c>
      <c r="AB21" s="106">
        <f t="shared" si="3"/>
        <v>797.8251624925723</v>
      </c>
      <c r="AC21" s="106">
        <f t="shared" si="3"/>
        <v>664.8577034880559</v>
      </c>
      <c r="AD21" s="106">
        <f t="shared" si="3"/>
        <v>664.8577034880559</v>
      </c>
      <c r="AE21" s="106">
        <f t="shared" si="3"/>
        <v>664.8577034880559</v>
      </c>
      <c r="AF21" s="106">
        <f t="shared" si="3"/>
        <v>664.8577034880559</v>
      </c>
      <c r="AG21" s="106">
        <f t="shared" si="3"/>
        <v>664.8577034880559</v>
      </c>
      <c r="AH21" s="106">
        <f t="shared" si="3"/>
        <v>0</v>
      </c>
      <c r="AI21" s="106">
        <f t="shared" si="3"/>
        <v>1329.7154069761118</v>
      </c>
      <c r="AJ21" s="106">
        <f t="shared" si="3"/>
        <v>664.8577034880559</v>
      </c>
      <c r="AK21" s="106">
        <f t="shared" si="3"/>
        <v>797.8251624925723</v>
      </c>
      <c r="AL21" s="106">
        <f t="shared" si="3"/>
        <v>797.8251624925723</v>
      </c>
      <c r="AM21" s="106">
        <f t="shared" si="3"/>
        <v>797.8251624925723</v>
      </c>
      <c r="AN21" s="106">
        <f t="shared" si="3"/>
        <v>797.8251624925723</v>
      </c>
      <c r="AO21" s="106">
        <f t="shared" si="3"/>
        <v>664.8577034880559</v>
      </c>
      <c r="AP21" s="106">
        <f t="shared" si="3"/>
        <v>664.8577034880559</v>
      </c>
      <c r="AQ21" s="106">
        <f t="shared" si="3"/>
        <v>664.8577034880559</v>
      </c>
      <c r="AR21" s="106">
        <f t="shared" si="3"/>
        <v>0</v>
      </c>
      <c r="AS21" s="106">
        <f t="shared" si="3"/>
        <v>1329.7154069761118</v>
      </c>
      <c r="AT21" s="106">
        <f t="shared" si="3"/>
        <v>664.8577034880559</v>
      </c>
      <c r="AU21" s="106">
        <f t="shared" si="3"/>
        <v>664.8577034880559</v>
      </c>
      <c r="AV21" s="106">
        <f t="shared" si="3"/>
        <v>664.8577034880559</v>
      </c>
      <c r="AW21" s="106">
        <f t="shared" si="3"/>
        <v>664.8577034880559</v>
      </c>
      <c r="AX21" s="106">
        <f t="shared" si="3"/>
        <v>664.8577034880559</v>
      </c>
      <c r="AY21" s="106">
        <f t="shared" si="3"/>
        <v>664.8577034880559</v>
      </c>
      <c r="AZ21" s="157">
        <f>SUM($D21:$AY21)</f>
        <v>31380.49985188977</v>
      </c>
    </row>
    <row r="22" spans="1:52" s="110" customFormat="1">
      <c r="A22" s="158" t="s">
        <v>123</v>
      </c>
      <c r="B22" s="159">
        <f>1-$B$21</f>
        <v>0.57291504909017332</v>
      </c>
      <c r="C22" s="159" t="s">
        <v>293</v>
      </c>
      <c r="D22" s="114">
        <f>IF(C$20="Yes",0,SUM(C$13:C$16)*$B$22)</f>
        <v>890.80311873446215</v>
      </c>
      <c r="E22" s="114">
        <f t="shared" ref="E22:AY22" si="4">IF(D$20="Yes",0,SUM(D$13:D$16)*$B$22)</f>
        <v>1070.2461914452124</v>
      </c>
      <c r="F22" s="114">
        <f t="shared" si="4"/>
        <v>1070.2461914452124</v>
      </c>
      <c r="G22" s="114">
        <f t="shared" si="4"/>
        <v>1070.2461914452124</v>
      </c>
      <c r="H22" s="114">
        <f t="shared" si="4"/>
        <v>1070.2461914452124</v>
      </c>
      <c r="I22" s="114">
        <f t="shared" si="4"/>
        <v>891.87638904247603</v>
      </c>
      <c r="J22" s="114">
        <f t="shared" si="4"/>
        <v>891.87638904247603</v>
      </c>
      <c r="K22" s="114">
        <f t="shared" si="4"/>
        <v>891.87638904247603</v>
      </c>
      <c r="L22" s="114">
        <f t="shared" si="4"/>
        <v>891.87638904247603</v>
      </c>
      <c r="M22" s="114">
        <f t="shared" si="4"/>
        <v>891.87638904247603</v>
      </c>
      <c r="N22" s="114">
        <f t="shared" si="4"/>
        <v>891.87638904247603</v>
      </c>
      <c r="O22" s="114">
        <f t="shared" si="4"/>
        <v>891.87638904247603</v>
      </c>
      <c r="P22" s="114">
        <f t="shared" si="4"/>
        <v>891.87638904247603</v>
      </c>
      <c r="Q22" s="114">
        <f t="shared" si="4"/>
        <v>1070.2461914452124</v>
      </c>
      <c r="R22" s="114">
        <f t="shared" si="4"/>
        <v>1070.2461914452124</v>
      </c>
      <c r="S22" s="114">
        <f t="shared" si="4"/>
        <v>1070.2461914452124</v>
      </c>
      <c r="T22" s="114">
        <f t="shared" si="4"/>
        <v>1070.2461914452124</v>
      </c>
      <c r="U22" s="114">
        <f t="shared" si="4"/>
        <v>2.7377028794225072E-2</v>
      </c>
      <c r="V22" s="114">
        <f t="shared" si="4"/>
        <v>2.7377028794225072E-2</v>
      </c>
      <c r="W22" s="114">
        <f t="shared" si="4"/>
        <v>2.7377028794225072E-2</v>
      </c>
      <c r="X22" s="114">
        <f t="shared" si="4"/>
        <v>2.7377028794225072E-2</v>
      </c>
      <c r="Y22" s="114">
        <f t="shared" si="4"/>
        <v>1070.2461914452124</v>
      </c>
      <c r="Z22" s="114">
        <f t="shared" si="4"/>
        <v>1070.2461914452124</v>
      </c>
      <c r="AA22" s="114">
        <f t="shared" si="4"/>
        <v>1070.2461914452124</v>
      </c>
      <c r="AB22" s="114">
        <f t="shared" si="4"/>
        <v>1070.2461914452124</v>
      </c>
      <c r="AC22" s="114">
        <f t="shared" si="4"/>
        <v>891.87638904247603</v>
      </c>
      <c r="AD22" s="114">
        <f t="shared" si="4"/>
        <v>891.87638904247603</v>
      </c>
      <c r="AE22" s="114">
        <f t="shared" si="4"/>
        <v>891.87638904247603</v>
      </c>
      <c r="AF22" s="114">
        <f t="shared" si="4"/>
        <v>891.87638904247603</v>
      </c>
      <c r="AG22" s="114">
        <f t="shared" si="4"/>
        <v>891.87638904247603</v>
      </c>
      <c r="AH22" s="114">
        <f t="shared" si="4"/>
        <v>0</v>
      </c>
      <c r="AI22" s="114">
        <f t="shared" si="4"/>
        <v>1783.7527780849521</v>
      </c>
      <c r="AJ22" s="114">
        <f t="shared" si="4"/>
        <v>891.87638904247603</v>
      </c>
      <c r="AK22" s="114">
        <f t="shared" si="4"/>
        <v>1070.2461914452124</v>
      </c>
      <c r="AL22" s="114">
        <f t="shared" si="4"/>
        <v>1070.2461914452124</v>
      </c>
      <c r="AM22" s="114">
        <f t="shared" si="4"/>
        <v>1070.2461914452124</v>
      </c>
      <c r="AN22" s="114">
        <f t="shared" si="4"/>
        <v>1070.2461914452124</v>
      </c>
      <c r="AO22" s="114">
        <f t="shared" si="4"/>
        <v>891.87638904247603</v>
      </c>
      <c r="AP22" s="114">
        <f t="shared" si="4"/>
        <v>891.87638904247603</v>
      </c>
      <c r="AQ22" s="114">
        <f t="shared" si="4"/>
        <v>891.87638904247603</v>
      </c>
      <c r="AR22" s="114">
        <f t="shared" si="4"/>
        <v>0</v>
      </c>
      <c r="AS22" s="114">
        <f t="shared" si="4"/>
        <v>1783.7527780849521</v>
      </c>
      <c r="AT22" s="114">
        <f t="shared" si="4"/>
        <v>891.87638904247603</v>
      </c>
      <c r="AU22" s="114">
        <f t="shared" si="4"/>
        <v>891.87638904247603</v>
      </c>
      <c r="AV22" s="114">
        <f t="shared" si="4"/>
        <v>891.87638904247603</v>
      </c>
      <c r="AW22" s="114">
        <f t="shared" si="4"/>
        <v>891.87638904247603</v>
      </c>
      <c r="AX22" s="114">
        <f t="shared" si="4"/>
        <v>891.87638904247603</v>
      </c>
      <c r="AY22" s="114">
        <f t="shared" si="4"/>
        <v>891.87638904247603</v>
      </c>
      <c r="AZ22" s="141">
        <f t="shared" ref="AZ22:AZ30" si="5">SUM($D22:$AY22)</f>
        <v>42095.514194119867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1328115.247938436</v>
      </c>
      <c r="E23" s="100">
        <f t="shared" ref="E23:AY23" si="6">E$21*$B$23</f>
        <v>1595650.3249851447</v>
      </c>
      <c r="F23" s="100">
        <f t="shared" si="6"/>
        <v>1595650.3249851447</v>
      </c>
      <c r="G23" s="100">
        <f t="shared" si="6"/>
        <v>1595650.3249851447</v>
      </c>
      <c r="H23" s="100">
        <f t="shared" si="6"/>
        <v>1595650.3249851447</v>
      </c>
      <c r="I23" s="100">
        <f t="shared" si="6"/>
        <v>1329715.4069761117</v>
      </c>
      <c r="J23" s="100">
        <f t="shared" si="6"/>
        <v>1329715.4069761117</v>
      </c>
      <c r="K23" s="100">
        <f t="shared" si="6"/>
        <v>1329715.4069761117</v>
      </c>
      <c r="L23" s="100">
        <f t="shared" si="6"/>
        <v>1329715.4069761117</v>
      </c>
      <c r="M23" s="100">
        <f t="shared" si="6"/>
        <v>1329715.4069761117</v>
      </c>
      <c r="N23" s="100">
        <f t="shared" si="6"/>
        <v>1329715.4069761117</v>
      </c>
      <c r="O23" s="100">
        <f t="shared" si="6"/>
        <v>1329715.4069761117</v>
      </c>
      <c r="P23" s="100">
        <f t="shared" si="6"/>
        <v>1329715.4069761117</v>
      </c>
      <c r="Q23" s="100">
        <f t="shared" si="6"/>
        <v>1595650.3249851447</v>
      </c>
      <c r="R23" s="100">
        <f t="shared" si="6"/>
        <v>1595650.3249851447</v>
      </c>
      <c r="S23" s="100">
        <f t="shared" si="6"/>
        <v>1595650.3249851447</v>
      </c>
      <c r="T23" s="100">
        <f t="shared" si="6"/>
        <v>1595650.3249851447</v>
      </c>
      <c r="U23" s="100">
        <f t="shared" si="6"/>
        <v>40.816930947115786</v>
      </c>
      <c r="V23" s="100">
        <f t="shared" si="6"/>
        <v>40.816930947115786</v>
      </c>
      <c r="W23" s="100">
        <f t="shared" si="6"/>
        <v>40.816930947115786</v>
      </c>
      <c r="X23" s="100">
        <f t="shared" si="6"/>
        <v>40.816930947115786</v>
      </c>
      <c r="Y23" s="100">
        <f t="shared" si="6"/>
        <v>1595650.3249851447</v>
      </c>
      <c r="Z23" s="100">
        <f t="shared" si="6"/>
        <v>1595650.3249851447</v>
      </c>
      <c r="AA23" s="100">
        <f t="shared" si="6"/>
        <v>1595650.3249851447</v>
      </c>
      <c r="AB23" s="100">
        <f t="shared" si="6"/>
        <v>1595650.3249851447</v>
      </c>
      <c r="AC23" s="100">
        <f t="shared" si="6"/>
        <v>1329715.4069761117</v>
      </c>
      <c r="AD23" s="100">
        <f t="shared" si="6"/>
        <v>1329715.4069761117</v>
      </c>
      <c r="AE23" s="100">
        <f t="shared" si="6"/>
        <v>1329715.4069761117</v>
      </c>
      <c r="AF23" s="100">
        <f t="shared" si="6"/>
        <v>1329715.4069761117</v>
      </c>
      <c r="AG23" s="100">
        <f t="shared" si="6"/>
        <v>1329715.4069761117</v>
      </c>
      <c r="AH23" s="100">
        <f t="shared" si="6"/>
        <v>0</v>
      </c>
      <c r="AI23" s="100">
        <f t="shared" si="6"/>
        <v>2659430.8139522234</v>
      </c>
      <c r="AJ23" s="100">
        <f t="shared" si="6"/>
        <v>1329715.4069761117</v>
      </c>
      <c r="AK23" s="100">
        <f t="shared" si="6"/>
        <v>1595650.3249851447</v>
      </c>
      <c r="AL23" s="100">
        <f t="shared" si="6"/>
        <v>1595650.3249851447</v>
      </c>
      <c r="AM23" s="100">
        <f t="shared" si="6"/>
        <v>1595650.3249851447</v>
      </c>
      <c r="AN23" s="100">
        <f t="shared" si="6"/>
        <v>1595650.3249851447</v>
      </c>
      <c r="AO23" s="100">
        <f t="shared" si="6"/>
        <v>1329715.4069761117</v>
      </c>
      <c r="AP23" s="100">
        <f t="shared" si="6"/>
        <v>1329715.4069761117</v>
      </c>
      <c r="AQ23" s="100">
        <f t="shared" si="6"/>
        <v>1329715.4069761117</v>
      </c>
      <c r="AR23" s="100">
        <f t="shared" si="6"/>
        <v>0</v>
      </c>
      <c r="AS23" s="100">
        <f t="shared" si="6"/>
        <v>2659430.8139522234</v>
      </c>
      <c r="AT23" s="100">
        <f t="shared" si="6"/>
        <v>1329715.4069761117</v>
      </c>
      <c r="AU23" s="100">
        <f t="shared" si="6"/>
        <v>1329715.4069761117</v>
      </c>
      <c r="AV23" s="100">
        <f t="shared" si="6"/>
        <v>1329715.4069761117</v>
      </c>
      <c r="AW23" s="100">
        <f t="shared" si="6"/>
        <v>1329715.4069761117</v>
      </c>
      <c r="AX23" s="100">
        <f t="shared" si="6"/>
        <v>1329715.4069761117</v>
      </c>
      <c r="AY23" s="100">
        <f t="shared" si="6"/>
        <v>1329715.4069761117</v>
      </c>
      <c r="AZ23" s="139">
        <f t="shared" si="5"/>
        <v>62760999.703779556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890803.11873446219</v>
      </c>
      <c r="E24" s="106">
        <f t="shared" ref="E24:AY24" si="7">E$22*$B$24</f>
        <v>1070246.1914452123</v>
      </c>
      <c r="F24" s="106">
        <f t="shared" si="7"/>
        <v>1070246.1914452123</v>
      </c>
      <c r="G24" s="106">
        <f t="shared" si="7"/>
        <v>1070246.1914452123</v>
      </c>
      <c r="H24" s="106">
        <f t="shared" si="7"/>
        <v>1070246.1914452123</v>
      </c>
      <c r="I24" s="106">
        <f t="shared" si="7"/>
        <v>891876.38904247608</v>
      </c>
      <c r="J24" s="106">
        <f t="shared" si="7"/>
        <v>891876.38904247608</v>
      </c>
      <c r="K24" s="106">
        <f t="shared" si="7"/>
        <v>891876.38904247608</v>
      </c>
      <c r="L24" s="106">
        <f t="shared" si="7"/>
        <v>891876.38904247608</v>
      </c>
      <c r="M24" s="106">
        <f t="shared" si="7"/>
        <v>891876.38904247608</v>
      </c>
      <c r="N24" s="106">
        <f t="shared" si="7"/>
        <v>891876.38904247608</v>
      </c>
      <c r="O24" s="106">
        <f t="shared" si="7"/>
        <v>891876.38904247608</v>
      </c>
      <c r="P24" s="106">
        <f t="shared" si="7"/>
        <v>891876.38904247608</v>
      </c>
      <c r="Q24" s="106">
        <f t="shared" si="7"/>
        <v>1070246.1914452123</v>
      </c>
      <c r="R24" s="106">
        <f t="shared" si="7"/>
        <v>1070246.1914452123</v>
      </c>
      <c r="S24" s="106">
        <f t="shared" si="7"/>
        <v>1070246.1914452123</v>
      </c>
      <c r="T24" s="106">
        <f t="shared" si="7"/>
        <v>1070246.1914452123</v>
      </c>
      <c r="U24" s="106">
        <f t="shared" si="7"/>
        <v>27.377028794225073</v>
      </c>
      <c r="V24" s="106">
        <f t="shared" si="7"/>
        <v>27.377028794225073</v>
      </c>
      <c r="W24" s="106">
        <f t="shared" si="7"/>
        <v>27.377028794225073</v>
      </c>
      <c r="X24" s="106">
        <f t="shared" si="7"/>
        <v>27.377028794225073</v>
      </c>
      <c r="Y24" s="106">
        <f t="shared" si="7"/>
        <v>1070246.1914452123</v>
      </c>
      <c r="Z24" s="106">
        <f t="shared" si="7"/>
        <v>1070246.1914452123</v>
      </c>
      <c r="AA24" s="106">
        <f t="shared" si="7"/>
        <v>1070246.1914452123</v>
      </c>
      <c r="AB24" s="106">
        <f t="shared" si="7"/>
        <v>1070246.1914452123</v>
      </c>
      <c r="AC24" s="106">
        <f t="shared" si="7"/>
        <v>891876.38904247608</v>
      </c>
      <c r="AD24" s="106">
        <f t="shared" si="7"/>
        <v>891876.38904247608</v>
      </c>
      <c r="AE24" s="106">
        <f t="shared" si="7"/>
        <v>891876.38904247608</v>
      </c>
      <c r="AF24" s="106">
        <f t="shared" si="7"/>
        <v>891876.38904247608</v>
      </c>
      <c r="AG24" s="106">
        <f t="shared" si="7"/>
        <v>891876.38904247608</v>
      </c>
      <c r="AH24" s="106">
        <f t="shared" si="7"/>
        <v>0</v>
      </c>
      <c r="AI24" s="106">
        <f t="shared" si="7"/>
        <v>1783752.7780849522</v>
      </c>
      <c r="AJ24" s="106">
        <f t="shared" si="7"/>
        <v>891876.38904247608</v>
      </c>
      <c r="AK24" s="106">
        <f t="shared" si="7"/>
        <v>1070246.1914452123</v>
      </c>
      <c r="AL24" s="106">
        <f t="shared" si="7"/>
        <v>1070246.1914452123</v>
      </c>
      <c r="AM24" s="106">
        <f t="shared" si="7"/>
        <v>1070246.1914452123</v>
      </c>
      <c r="AN24" s="106">
        <f t="shared" si="7"/>
        <v>1070246.1914452123</v>
      </c>
      <c r="AO24" s="106">
        <f t="shared" si="7"/>
        <v>891876.38904247608</v>
      </c>
      <c r="AP24" s="106">
        <f t="shared" si="7"/>
        <v>891876.38904247608</v>
      </c>
      <c r="AQ24" s="106">
        <f t="shared" si="7"/>
        <v>891876.38904247608</v>
      </c>
      <c r="AR24" s="106">
        <f t="shared" si="7"/>
        <v>0</v>
      </c>
      <c r="AS24" s="106">
        <f t="shared" si="7"/>
        <v>1783752.7780849522</v>
      </c>
      <c r="AT24" s="106">
        <f t="shared" si="7"/>
        <v>891876.38904247608</v>
      </c>
      <c r="AU24" s="106">
        <f t="shared" si="7"/>
        <v>891876.38904247608</v>
      </c>
      <c r="AV24" s="106">
        <f t="shared" si="7"/>
        <v>891876.38904247608</v>
      </c>
      <c r="AW24" s="106">
        <f t="shared" si="7"/>
        <v>891876.38904247608</v>
      </c>
      <c r="AX24" s="106">
        <f t="shared" si="7"/>
        <v>891876.38904247608</v>
      </c>
      <c r="AY24" s="106">
        <f t="shared" si="7"/>
        <v>891876.38904247608</v>
      </c>
      <c r="AZ24" s="141">
        <f t="shared" si="5"/>
        <v>42095514.194119871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13</v>
      </c>
      <c r="X27" s="124">
        <f t="shared" si="8"/>
        <v>13</v>
      </c>
      <c r="Y27" s="124">
        <f t="shared" si="8"/>
        <v>13</v>
      </c>
      <c r="Z27" s="124">
        <f t="shared" si="8"/>
        <v>2</v>
      </c>
      <c r="AA27" s="124">
        <f t="shared" si="8"/>
        <v>13</v>
      </c>
      <c r="AB27" s="124">
        <f t="shared" si="8"/>
        <v>2</v>
      </c>
      <c r="AC27" s="124">
        <f t="shared" si="8"/>
        <v>13</v>
      </c>
      <c r="AD27" s="124">
        <f t="shared" si="8"/>
        <v>2</v>
      </c>
      <c r="AE27" s="124">
        <f t="shared" si="8"/>
        <v>13</v>
      </c>
      <c r="AF27" s="124">
        <f t="shared" si="8"/>
        <v>2</v>
      </c>
      <c r="AG27" s="124">
        <f t="shared" si="8"/>
        <v>13</v>
      </c>
      <c r="AH27" s="124">
        <f t="shared" si="8"/>
        <v>2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2</v>
      </c>
      <c r="W28" s="110">
        <v>2</v>
      </c>
      <c r="X28" s="110">
        <v>2</v>
      </c>
      <c r="Y28" s="110">
        <v>13</v>
      </c>
      <c r="Z28" s="110">
        <v>2</v>
      </c>
      <c r="AA28" s="110">
        <v>13</v>
      </c>
      <c r="AB28" s="110">
        <v>2</v>
      </c>
      <c r="AC28" s="110">
        <v>13</v>
      </c>
      <c r="AD28" s="110">
        <v>2</v>
      </c>
      <c r="AE28" s="110">
        <v>13</v>
      </c>
      <c r="AF28" s="110">
        <v>2</v>
      </c>
      <c r="AG28" s="110">
        <v>13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2</v>
      </c>
      <c r="X29" s="125">
        <f t="shared" si="9"/>
        <v>2</v>
      </c>
      <c r="Y29" s="125">
        <f t="shared" si="9"/>
        <v>2</v>
      </c>
      <c r="Z29" s="125">
        <f t="shared" si="9"/>
        <v>13</v>
      </c>
      <c r="AA29" s="125">
        <f t="shared" si="9"/>
        <v>2</v>
      </c>
      <c r="AB29" s="125">
        <f t="shared" si="9"/>
        <v>13</v>
      </c>
      <c r="AC29" s="125">
        <f t="shared" si="9"/>
        <v>2</v>
      </c>
      <c r="AD29" s="125">
        <f t="shared" si="9"/>
        <v>13</v>
      </c>
      <c r="AE29" s="125">
        <f t="shared" si="9"/>
        <v>2</v>
      </c>
      <c r="AF29" s="125">
        <f t="shared" si="9"/>
        <v>13</v>
      </c>
      <c r="AG29" s="125">
        <f t="shared" si="9"/>
        <v>2</v>
      </c>
      <c r="AH29" s="125">
        <f t="shared" si="9"/>
        <v>13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130</v>
      </c>
      <c r="X30" s="117">
        <f t="shared" si="10"/>
        <v>130</v>
      </c>
      <c r="Y30" s="117">
        <f t="shared" si="10"/>
        <v>130</v>
      </c>
      <c r="Z30" s="117">
        <f t="shared" si="10"/>
        <v>20</v>
      </c>
      <c r="AA30" s="117">
        <f t="shared" si="10"/>
        <v>130</v>
      </c>
      <c r="AB30" s="117">
        <f t="shared" si="10"/>
        <v>20</v>
      </c>
      <c r="AC30" s="117">
        <f t="shared" si="10"/>
        <v>130</v>
      </c>
      <c r="AD30" s="117">
        <f t="shared" si="10"/>
        <v>20</v>
      </c>
      <c r="AE30" s="117">
        <f>AE$27*$B$30</f>
        <v>130</v>
      </c>
      <c r="AF30" s="117">
        <f t="shared" si="10"/>
        <v>20</v>
      </c>
      <c r="AG30" s="117">
        <f t="shared" si="10"/>
        <v>130</v>
      </c>
      <c r="AH30" s="117">
        <f t="shared" si="10"/>
        <v>20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3860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56.877804114107931</v>
      </c>
      <c r="E33" s="124">
        <f>E$21*shipping_manufacturing!$F$27/100</f>
        <v>68.335249339238601</v>
      </c>
      <c r="F33" s="124">
        <f>F$21*shipping_manufacturing!$F$27/100</f>
        <v>68.335249339238601</v>
      </c>
      <c r="G33" s="124">
        <f>G$21*shipping_manufacturing!$F$27/100</f>
        <v>68.335249339238601</v>
      </c>
      <c r="H33" s="124">
        <f>H$21*shipping_manufacturing!$F$27/100</f>
        <v>68.335249339238601</v>
      </c>
      <c r="I33" s="124">
        <f>I$21*shipping_manufacturing!$F$27/100</f>
        <v>56.946332453374886</v>
      </c>
      <c r="J33" s="124">
        <f>J$21*shipping_manufacturing!$F$27/100</f>
        <v>56.946332453374886</v>
      </c>
      <c r="K33" s="124">
        <f>K$21*shipping_manufacturing!$F$27/100</f>
        <v>56.946332453374886</v>
      </c>
      <c r="L33" s="124">
        <f>L$21*shipping_manufacturing!$F$27/100</f>
        <v>56.946332453374886</v>
      </c>
      <c r="M33" s="124">
        <f>M$21*shipping_manufacturing!$F$27/100</f>
        <v>56.946332453374886</v>
      </c>
      <c r="N33" s="124">
        <f>N$21*shipping_manufacturing!$F$27/100</f>
        <v>56.946332453374886</v>
      </c>
      <c r="O33" s="124">
        <f>O$21*shipping_manufacturing!$F$27/100</f>
        <v>56.946332453374886</v>
      </c>
      <c r="P33" s="124">
        <f>P$21*shipping_manufacturing!$F$27/100</f>
        <v>56.946332453374886</v>
      </c>
      <c r="Q33" s="124">
        <f>Q$21*shipping_manufacturing!$F$27/100</f>
        <v>68.335249339238601</v>
      </c>
      <c r="R33" s="124">
        <f>R$21*shipping_manufacturing!$F$27/100</f>
        <v>68.335249339238601</v>
      </c>
      <c r="S33" s="124">
        <f>S$21*shipping_manufacturing!$F$27/100</f>
        <v>68.335249339238601</v>
      </c>
      <c r="T33" s="124">
        <f>T$21*shipping_manufacturing!$F$27/100</f>
        <v>68.335249339238601</v>
      </c>
      <c r="U33" s="124">
        <f>U$21*shipping_manufacturing!$F$27/100</f>
        <v>1.7480240563104632E-3</v>
      </c>
      <c r="V33" s="124">
        <f>V$21*shipping_manufacturing!$F$27/100</f>
        <v>1.7480240563104632E-3</v>
      </c>
      <c r="W33" s="124">
        <f>W$21*shipping_manufacturing!$F$27/100</f>
        <v>1.7480240563104632E-3</v>
      </c>
      <c r="X33" s="124">
        <f>X$21*shipping_manufacturing!$F$27/100</f>
        <v>1.7480240563104632E-3</v>
      </c>
      <c r="Y33" s="124">
        <f>Y$21*shipping_manufacturing!$F$27/100</f>
        <v>68.335249339238601</v>
      </c>
      <c r="Z33" s="124">
        <f>Z$21*shipping_manufacturing!$F$27/100</f>
        <v>68.335249339238601</v>
      </c>
      <c r="AA33" s="124">
        <f>AA$21*shipping_manufacturing!$F$27/100</f>
        <v>68.335249339238601</v>
      </c>
      <c r="AB33" s="124">
        <f>AB$21*shipping_manufacturing!$F$27/100</f>
        <v>68.335249339238601</v>
      </c>
      <c r="AC33" s="124">
        <f>AC$21*shipping_manufacturing!$F$27/100</f>
        <v>56.946332453374886</v>
      </c>
      <c r="AD33" s="124">
        <f>AD$21*shipping_manufacturing!$F$27/100</f>
        <v>56.946332453374886</v>
      </c>
      <c r="AE33" s="124">
        <f>AE$21*shipping_manufacturing!$F$27/100</f>
        <v>56.946332453374886</v>
      </c>
      <c r="AF33" s="124">
        <f>AF$21*shipping_manufacturing!$F$27/100</f>
        <v>56.946332453374886</v>
      </c>
      <c r="AG33" s="124">
        <f>AG$21*shipping_manufacturing!$F$27/100</f>
        <v>56.946332453374886</v>
      </c>
      <c r="AH33" s="124">
        <f>AH$21*shipping_manufacturing!$F$27/100</f>
        <v>0</v>
      </c>
      <c r="AI33" s="124">
        <f>AI$21*shipping_manufacturing!$F$27/100</f>
        <v>113.89266490674977</v>
      </c>
      <c r="AJ33" s="124">
        <f>AJ$21*shipping_manufacturing!$F$27/100</f>
        <v>56.946332453374886</v>
      </c>
      <c r="AK33" s="124">
        <f>AK$21*shipping_manufacturing!$F$27/100</f>
        <v>68.335249339238601</v>
      </c>
      <c r="AL33" s="124">
        <f>AL$21*shipping_manufacturing!$F$27/100</f>
        <v>68.335249339238601</v>
      </c>
      <c r="AM33" s="124">
        <f>AM$21*shipping_manufacturing!$F$27/100</f>
        <v>68.335249339238601</v>
      </c>
      <c r="AN33" s="124">
        <f>AN$21*shipping_manufacturing!$F$27/100</f>
        <v>68.335249339238601</v>
      </c>
      <c r="AO33" s="124">
        <f>AO$21*shipping_manufacturing!$F$27/100</f>
        <v>56.946332453374886</v>
      </c>
      <c r="AP33" s="124">
        <f>AP$21*shipping_manufacturing!$F$27/100</f>
        <v>56.946332453374886</v>
      </c>
      <c r="AQ33" s="124">
        <f>AQ$21*shipping_manufacturing!$F$27/100</f>
        <v>56.946332453374886</v>
      </c>
      <c r="AR33" s="124">
        <f>AR$21*shipping_manufacturing!$F$27/100</f>
        <v>0</v>
      </c>
      <c r="AS33" s="124">
        <f>AS$21*shipping_manufacturing!$F$27/100</f>
        <v>113.89266490674977</v>
      </c>
      <c r="AT33" s="124">
        <f>AT$21*shipping_manufacturing!$F$27/100</f>
        <v>56.946332453374886</v>
      </c>
      <c r="AU33" s="124">
        <f>AU$21*shipping_manufacturing!$F$27/100</f>
        <v>56.946332453374886</v>
      </c>
      <c r="AV33" s="124">
        <f>AV$21*shipping_manufacturing!$F$27/100</f>
        <v>56.946332453374886</v>
      </c>
      <c r="AW33" s="124">
        <f>AW$21*shipping_manufacturing!$F$27/100</f>
        <v>56.946332453374886</v>
      </c>
      <c r="AX33" s="124">
        <f>AX$21*shipping_manufacturing!$F$27/100</f>
        <v>56.946332453374886</v>
      </c>
      <c r="AY33" s="124">
        <f>AY$21*shipping_manufacturing!$F$27/100</f>
        <v>56.946332453374886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60.211247614193873</v>
      </c>
      <c r="E34" s="110">
        <f>E$22*shipping_manufacturing!$G$27/100</f>
        <v>72.340180547195274</v>
      </c>
      <c r="F34" s="110">
        <f>F$22*shipping_manufacturing!$G$27/100</f>
        <v>72.340180547195274</v>
      </c>
      <c r="G34" s="110">
        <f>G$22*shipping_manufacturing!$G$27/100</f>
        <v>72.340180547195274</v>
      </c>
      <c r="H34" s="110">
        <f>H$22*shipping_manufacturing!$G$27/100</f>
        <v>72.340180547195274</v>
      </c>
      <c r="I34" s="110">
        <f>I$22*shipping_manufacturing!$G$27/100</f>
        <v>60.283792201110664</v>
      </c>
      <c r="J34" s="110">
        <f>J$22*shipping_manufacturing!$G$27/100</f>
        <v>60.283792201110664</v>
      </c>
      <c r="K34" s="110">
        <f>K$22*shipping_manufacturing!$G$27/100</f>
        <v>60.283792201110664</v>
      </c>
      <c r="L34" s="110">
        <f>L$22*shipping_manufacturing!$G$27/100</f>
        <v>60.283792201110664</v>
      </c>
      <c r="M34" s="110">
        <f>M$22*shipping_manufacturing!$G$27/100</f>
        <v>60.283792201110664</v>
      </c>
      <c r="N34" s="110">
        <f>N$22*shipping_manufacturing!$G$27/100</f>
        <v>60.283792201110664</v>
      </c>
      <c r="O34" s="110">
        <f>O$22*shipping_manufacturing!$G$27/100</f>
        <v>60.283792201110664</v>
      </c>
      <c r="P34" s="110">
        <f>P$22*shipping_manufacturing!$G$27/100</f>
        <v>60.283792201110664</v>
      </c>
      <c r="Q34" s="110">
        <f>Q$22*shipping_manufacturing!$G$27/100</f>
        <v>72.340180547195274</v>
      </c>
      <c r="R34" s="110">
        <f>R$22*shipping_manufacturing!$G$27/100</f>
        <v>72.340180547195274</v>
      </c>
      <c r="S34" s="110">
        <f>S$22*shipping_manufacturing!$G$27/100</f>
        <v>72.340180547195274</v>
      </c>
      <c r="T34" s="110">
        <f>T$22*shipping_manufacturing!$G$27/100</f>
        <v>72.340180547195274</v>
      </c>
      <c r="U34" s="110">
        <f>U$22*shipping_manufacturing!$G$27/100</f>
        <v>1.850470687632798E-3</v>
      </c>
      <c r="V34" s="110">
        <f>V$22*shipping_manufacturing!$G$27/100</f>
        <v>1.850470687632798E-3</v>
      </c>
      <c r="W34" s="110">
        <f>W$22*shipping_manufacturing!$G$27/100</f>
        <v>1.850470687632798E-3</v>
      </c>
      <c r="X34" s="110">
        <f>X$22*shipping_manufacturing!$G$27/100</f>
        <v>1.850470687632798E-3</v>
      </c>
      <c r="Y34" s="110">
        <f>Y$22*shipping_manufacturing!$G$27/100</f>
        <v>72.340180547195274</v>
      </c>
      <c r="Z34" s="110">
        <f>Z$22*shipping_manufacturing!$G$27/100</f>
        <v>72.340180547195274</v>
      </c>
      <c r="AA34" s="110">
        <f>AA$22*shipping_manufacturing!$G$27/100</f>
        <v>72.340180547195274</v>
      </c>
      <c r="AB34" s="110">
        <f>AB$22*shipping_manufacturing!$G$27/100</f>
        <v>72.340180547195274</v>
      </c>
      <c r="AC34" s="110">
        <f>AC$22*shipping_manufacturing!$G$27/100</f>
        <v>60.283792201110664</v>
      </c>
      <c r="AD34" s="110">
        <f>AD$22*shipping_manufacturing!$G$27/100</f>
        <v>60.283792201110664</v>
      </c>
      <c r="AE34" s="110">
        <f>AE$22*shipping_manufacturing!$G$27/100</f>
        <v>60.283792201110664</v>
      </c>
      <c r="AF34" s="110">
        <f>AF$22*shipping_manufacturing!$G$27/100</f>
        <v>60.283792201110664</v>
      </c>
      <c r="AG34" s="110">
        <f>AG$22*shipping_manufacturing!$G$27/100</f>
        <v>60.283792201110664</v>
      </c>
      <c r="AH34" s="110">
        <f>AH$22*shipping_manufacturing!$G$27/100</f>
        <v>0</v>
      </c>
      <c r="AI34" s="110">
        <f>AI$22*shipping_manufacturing!$G$27/100</f>
        <v>120.56758440222133</v>
      </c>
      <c r="AJ34" s="110">
        <f>AJ$22*shipping_manufacturing!$G$27/100</f>
        <v>60.283792201110664</v>
      </c>
      <c r="AK34" s="110">
        <f>AK$22*shipping_manufacturing!$G$27/100</f>
        <v>72.340180547195274</v>
      </c>
      <c r="AL34" s="110">
        <f>AL$22*shipping_manufacturing!$G$27/100</f>
        <v>72.340180547195274</v>
      </c>
      <c r="AM34" s="110">
        <f>AM$22*shipping_manufacturing!$G$27/100</f>
        <v>72.340180547195274</v>
      </c>
      <c r="AN34" s="110">
        <f>AN$22*shipping_manufacturing!$G$27/100</f>
        <v>72.340180547195274</v>
      </c>
      <c r="AO34" s="110">
        <f>AO$22*shipping_manufacturing!$G$27/100</f>
        <v>60.283792201110664</v>
      </c>
      <c r="AP34" s="110">
        <f>AP$22*shipping_manufacturing!$G$27/100</f>
        <v>60.283792201110664</v>
      </c>
      <c r="AQ34" s="110">
        <f>AQ$22*shipping_manufacturing!$G$27/100</f>
        <v>60.283792201110664</v>
      </c>
      <c r="AR34" s="110">
        <f>AR$22*shipping_manufacturing!$G$27/100</f>
        <v>0</v>
      </c>
      <c r="AS34" s="110">
        <f>AS$22*shipping_manufacturing!$G$27/100</f>
        <v>120.56758440222133</v>
      </c>
      <c r="AT34" s="110">
        <f>AT$22*shipping_manufacturing!$G$27/100</f>
        <v>60.283792201110664</v>
      </c>
      <c r="AU34" s="110">
        <f>AU$22*shipping_manufacturing!$G$27/100</f>
        <v>60.283792201110664</v>
      </c>
      <c r="AV34" s="110">
        <f>AV$22*shipping_manufacturing!$G$27/100</f>
        <v>60.283792201110664</v>
      </c>
      <c r="AW34" s="110">
        <f>AW$22*shipping_manufacturing!$G$27/100</f>
        <v>60.283792201110664</v>
      </c>
      <c r="AX34" s="110">
        <f>AX$22*shipping_manufacturing!$G$27/100</f>
        <v>60.283792201110664</v>
      </c>
      <c r="AY34" s="110">
        <f>AY$22*shipping_manufacturing!$G$27/100</f>
        <v>60.283792201110664</v>
      </c>
    </row>
    <row r="35" spans="1:52">
      <c r="A35" s="110">
        <v>1245</v>
      </c>
      <c r="B35" s="165" t="s">
        <v>343</v>
      </c>
      <c r="C35" s="110"/>
      <c r="D35" s="110">
        <f>SUM(D33:D34)</f>
        <v>117.0890517283018</v>
      </c>
      <c r="E35" s="110">
        <f t="shared" ref="E35:AY35" si="11">SUM(E33:E34)</f>
        <v>140.67542988643388</v>
      </c>
      <c r="F35" s="110">
        <f t="shared" si="11"/>
        <v>140.67542988643388</v>
      </c>
      <c r="G35" s="110">
        <f t="shared" si="11"/>
        <v>140.67542988643388</v>
      </c>
      <c r="H35" s="110">
        <f t="shared" si="11"/>
        <v>140.67542988643388</v>
      </c>
      <c r="I35" s="110">
        <f t="shared" si="11"/>
        <v>117.23012465448555</v>
      </c>
      <c r="J35" s="110">
        <f t="shared" si="11"/>
        <v>117.23012465448555</v>
      </c>
      <c r="K35" s="110">
        <f t="shared" si="11"/>
        <v>117.23012465448555</v>
      </c>
      <c r="L35" s="110">
        <f t="shared" si="11"/>
        <v>117.23012465448555</v>
      </c>
      <c r="M35" s="110">
        <f t="shared" si="11"/>
        <v>117.23012465448555</v>
      </c>
      <c r="N35" s="110">
        <f t="shared" si="11"/>
        <v>117.23012465448555</v>
      </c>
      <c r="O35" s="110">
        <f t="shared" si="11"/>
        <v>117.23012465448555</v>
      </c>
      <c r="P35" s="110">
        <f t="shared" si="11"/>
        <v>117.23012465448555</v>
      </c>
      <c r="Q35" s="110">
        <f t="shared" si="11"/>
        <v>140.67542988643388</v>
      </c>
      <c r="R35" s="110">
        <f t="shared" si="11"/>
        <v>140.67542988643388</v>
      </c>
      <c r="S35" s="110">
        <f t="shared" si="11"/>
        <v>140.67542988643388</v>
      </c>
      <c r="T35" s="110">
        <f t="shared" si="11"/>
        <v>140.67542988643388</v>
      </c>
      <c r="U35" s="110">
        <f t="shared" si="11"/>
        <v>3.598494743943261E-3</v>
      </c>
      <c r="V35" s="110">
        <f t="shared" si="11"/>
        <v>3.598494743943261E-3</v>
      </c>
      <c r="W35" s="110">
        <f t="shared" si="11"/>
        <v>3.598494743943261E-3</v>
      </c>
      <c r="X35" s="110">
        <f t="shared" si="11"/>
        <v>3.598494743943261E-3</v>
      </c>
      <c r="Y35" s="110">
        <f t="shared" si="11"/>
        <v>140.67542988643388</v>
      </c>
      <c r="Z35" s="110">
        <f t="shared" si="11"/>
        <v>140.67542988643388</v>
      </c>
      <c r="AA35" s="110">
        <f t="shared" si="11"/>
        <v>140.67542988643388</v>
      </c>
      <c r="AB35" s="110">
        <f t="shared" si="11"/>
        <v>140.67542988643388</v>
      </c>
      <c r="AC35" s="110">
        <f t="shared" si="11"/>
        <v>117.23012465448555</v>
      </c>
      <c r="AD35" s="110">
        <f t="shared" si="11"/>
        <v>117.23012465448555</v>
      </c>
      <c r="AE35" s="110">
        <f t="shared" si="11"/>
        <v>117.23012465448555</v>
      </c>
      <c r="AF35" s="110">
        <f t="shared" si="11"/>
        <v>117.23012465448555</v>
      </c>
      <c r="AG35" s="110">
        <f t="shared" si="11"/>
        <v>117.23012465448555</v>
      </c>
      <c r="AH35" s="110">
        <f t="shared" si="11"/>
        <v>0</v>
      </c>
      <c r="AI35" s="110">
        <f t="shared" si="11"/>
        <v>234.4602493089711</v>
      </c>
      <c r="AJ35" s="110">
        <f t="shared" si="11"/>
        <v>117.23012465448555</v>
      </c>
      <c r="AK35" s="110">
        <f t="shared" si="11"/>
        <v>140.67542988643388</v>
      </c>
      <c r="AL35" s="110">
        <f t="shared" si="11"/>
        <v>140.67542988643388</v>
      </c>
      <c r="AM35" s="110">
        <f t="shared" si="11"/>
        <v>140.67542988643388</v>
      </c>
      <c r="AN35" s="110">
        <f t="shared" si="11"/>
        <v>140.67542988643388</v>
      </c>
      <c r="AO35" s="110">
        <f t="shared" si="11"/>
        <v>117.23012465448555</v>
      </c>
      <c r="AP35" s="110">
        <f t="shared" si="11"/>
        <v>117.23012465448555</v>
      </c>
      <c r="AQ35" s="110">
        <f t="shared" si="11"/>
        <v>117.23012465448555</v>
      </c>
      <c r="AR35" s="110">
        <f t="shared" si="11"/>
        <v>0</v>
      </c>
      <c r="AS35" s="110">
        <f t="shared" si="11"/>
        <v>234.4602493089711</v>
      </c>
      <c r="AT35" s="110">
        <f t="shared" si="11"/>
        <v>117.23012465448555</v>
      </c>
      <c r="AU35" s="110">
        <f t="shared" si="11"/>
        <v>117.23012465448555</v>
      </c>
      <c r="AV35" s="110">
        <f t="shared" si="11"/>
        <v>117.23012465448555</v>
      </c>
      <c r="AW35" s="110">
        <f t="shared" si="11"/>
        <v>117.23012465448555</v>
      </c>
      <c r="AX35" s="110">
        <f t="shared" si="11"/>
        <v>117.23012465448555</v>
      </c>
      <c r="AY35" s="110">
        <f t="shared" si="11"/>
        <v>117.23012465448555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>
        <v>1.7480240563104632E-3</v>
      </c>
      <c r="W36" s="110">
        <v>1.7480240563104632E-3</v>
      </c>
      <c r="X36" s="110">
        <v>1.7480240563104632E-3</v>
      </c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>
        <v>1.850470687632798E-3</v>
      </c>
      <c r="W37" s="110">
        <v>1.850470687632798E-3</v>
      </c>
      <c r="X37" s="110">
        <v>1.850470687632798E-3</v>
      </c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>
        <v>1</v>
      </c>
      <c r="W38" s="110">
        <v>1</v>
      </c>
      <c r="X38" s="110">
        <v>1</v>
      </c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56.877804114107931</v>
      </c>
      <c r="E39" s="110">
        <f t="shared" ref="E39:AY39" si="12">E33-E36</f>
        <v>68.335249339238601</v>
      </c>
      <c r="F39" s="110">
        <f t="shared" si="12"/>
        <v>68.335249339238601</v>
      </c>
      <c r="G39" s="110">
        <f t="shared" si="12"/>
        <v>68.335249339238601</v>
      </c>
      <c r="H39" s="110">
        <f t="shared" si="12"/>
        <v>68.335249339238601</v>
      </c>
      <c r="I39" s="110">
        <f t="shared" si="12"/>
        <v>56.946332453374886</v>
      </c>
      <c r="J39" s="110">
        <f t="shared" si="12"/>
        <v>56.946332453374886</v>
      </c>
      <c r="K39" s="110">
        <f t="shared" si="12"/>
        <v>56.946332453374886</v>
      </c>
      <c r="L39" s="110">
        <f t="shared" si="12"/>
        <v>56.946332453374886</v>
      </c>
      <c r="M39" s="110">
        <f t="shared" si="12"/>
        <v>56.946332453374886</v>
      </c>
      <c r="N39" s="110">
        <f t="shared" si="12"/>
        <v>56.946332453374886</v>
      </c>
      <c r="O39" s="110">
        <f t="shared" si="12"/>
        <v>56.946332453374886</v>
      </c>
      <c r="P39" s="110">
        <f t="shared" si="12"/>
        <v>56.946332453374886</v>
      </c>
      <c r="Q39" s="110">
        <f t="shared" si="12"/>
        <v>68.335249339238601</v>
      </c>
      <c r="R39" s="110">
        <f t="shared" si="12"/>
        <v>68.335249339238601</v>
      </c>
      <c r="S39" s="110">
        <f t="shared" si="12"/>
        <v>68.335249339238601</v>
      </c>
      <c r="T39" s="110">
        <f t="shared" si="12"/>
        <v>68.335249339238601</v>
      </c>
      <c r="U39" s="110">
        <f t="shared" si="12"/>
        <v>1.7480240563104632E-3</v>
      </c>
      <c r="V39" s="110">
        <f t="shared" si="12"/>
        <v>0</v>
      </c>
      <c r="W39" s="110">
        <f t="shared" si="12"/>
        <v>0</v>
      </c>
      <c r="X39" s="110">
        <f t="shared" si="12"/>
        <v>0</v>
      </c>
      <c r="Y39" s="110">
        <f t="shared" si="12"/>
        <v>68.335249339238601</v>
      </c>
      <c r="Z39" s="110">
        <f t="shared" si="12"/>
        <v>68.335249339238601</v>
      </c>
      <c r="AA39" s="110">
        <f t="shared" si="12"/>
        <v>68.335249339238601</v>
      </c>
      <c r="AB39" s="110">
        <f t="shared" si="12"/>
        <v>68.335249339238601</v>
      </c>
      <c r="AC39" s="110">
        <f t="shared" si="12"/>
        <v>56.946332453374886</v>
      </c>
      <c r="AD39" s="110">
        <f t="shared" si="12"/>
        <v>56.946332453374886</v>
      </c>
      <c r="AE39" s="110">
        <f t="shared" si="12"/>
        <v>56.946332453374886</v>
      </c>
      <c r="AF39" s="110">
        <f t="shared" si="12"/>
        <v>56.946332453374886</v>
      </c>
      <c r="AG39" s="110">
        <f t="shared" si="12"/>
        <v>56.946332453374886</v>
      </c>
      <c r="AH39" s="110">
        <f t="shared" si="12"/>
        <v>0</v>
      </c>
      <c r="AI39" s="110">
        <f t="shared" si="12"/>
        <v>113.89266490674977</v>
      </c>
      <c r="AJ39" s="110">
        <f t="shared" si="12"/>
        <v>56.946332453374886</v>
      </c>
      <c r="AK39" s="110">
        <f t="shared" si="12"/>
        <v>68.335249339238601</v>
      </c>
      <c r="AL39" s="110">
        <f t="shared" si="12"/>
        <v>68.335249339238601</v>
      </c>
      <c r="AM39" s="110">
        <f t="shared" si="12"/>
        <v>68.335249339238601</v>
      </c>
      <c r="AN39" s="110">
        <f t="shared" si="12"/>
        <v>68.335249339238601</v>
      </c>
      <c r="AO39" s="110">
        <f t="shared" si="12"/>
        <v>56.946332453374886</v>
      </c>
      <c r="AP39" s="110">
        <f t="shared" si="12"/>
        <v>56.946332453374886</v>
      </c>
      <c r="AQ39" s="110">
        <f t="shared" si="12"/>
        <v>56.946332453374886</v>
      </c>
      <c r="AR39" s="110">
        <f t="shared" si="12"/>
        <v>0</v>
      </c>
      <c r="AS39" s="110">
        <f t="shared" si="12"/>
        <v>113.89266490674977</v>
      </c>
      <c r="AT39" s="110">
        <f t="shared" si="12"/>
        <v>56.946332453374886</v>
      </c>
      <c r="AU39" s="110">
        <f t="shared" si="12"/>
        <v>56.946332453374886</v>
      </c>
      <c r="AV39" s="110">
        <f t="shared" si="12"/>
        <v>56.946332453374886</v>
      </c>
      <c r="AW39" s="110">
        <f t="shared" si="12"/>
        <v>56.946332453374886</v>
      </c>
      <c r="AX39" s="110">
        <f t="shared" si="12"/>
        <v>56.946332453374886</v>
      </c>
      <c r="AY39" s="110">
        <f t="shared" si="12"/>
        <v>56.946332453374886</v>
      </c>
    </row>
    <row r="40" spans="1:52">
      <c r="A40" s="110"/>
      <c r="B40" s="165" t="s">
        <v>348</v>
      </c>
      <c r="C40" s="110"/>
      <c r="D40" s="110">
        <f>D34-D37</f>
        <v>60.211247614193873</v>
      </c>
      <c r="E40" s="110">
        <f t="shared" ref="E40:AY40" si="13">E34-E37</f>
        <v>72.340180547195274</v>
      </c>
      <c r="F40" s="110">
        <f t="shared" si="13"/>
        <v>72.340180547195274</v>
      </c>
      <c r="G40" s="110">
        <f t="shared" si="13"/>
        <v>72.340180547195274</v>
      </c>
      <c r="H40" s="110">
        <f t="shared" si="13"/>
        <v>72.340180547195274</v>
      </c>
      <c r="I40" s="110">
        <f t="shared" si="13"/>
        <v>60.283792201110664</v>
      </c>
      <c r="J40" s="110">
        <f t="shared" si="13"/>
        <v>60.283792201110664</v>
      </c>
      <c r="K40" s="110">
        <f t="shared" si="13"/>
        <v>60.283792201110664</v>
      </c>
      <c r="L40" s="110">
        <f t="shared" si="13"/>
        <v>60.283792201110664</v>
      </c>
      <c r="M40" s="110">
        <f t="shared" si="13"/>
        <v>60.283792201110664</v>
      </c>
      <c r="N40" s="110">
        <f t="shared" si="13"/>
        <v>60.283792201110664</v>
      </c>
      <c r="O40" s="110">
        <f t="shared" si="13"/>
        <v>60.283792201110664</v>
      </c>
      <c r="P40" s="110">
        <f t="shared" si="13"/>
        <v>60.283792201110664</v>
      </c>
      <c r="Q40" s="110">
        <f t="shared" si="13"/>
        <v>72.340180547195274</v>
      </c>
      <c r="R40" s="110">
        <f t="shared" si="13"/>
        <v>72.340180547195274</v>
      </c>
      <c r="S40" s="110">
        <f t="shared" si="13"/>
        <v>72.340180547195274</v>
      </c>
      <c r="T40" s="110">
        <f t="shared" si="13"/>
        <v>72.340180547195274</v>
      </c>
      <c r="U40" s="110">
        <f t="shared" si="13"/>
        <v>1.850470687632798E-3</v>
      </c>
      <c r="V40" s="110">
        <f t="shared" si="13"/>
        <v>0</v>
      </c>
      <c r="W40" s="110">
        <f t="shared" si="13"/>
        <v>0</v>
      </c>
      <c r="X40" s="110">
        <f t="shared" si="13"/>
        <v>0</v>
      </c>
      <c r="Y40" s="110">
        <f t="shared" si="13"/>
        <v>72.340180547195274</v>
      </c>
      <c r="Z40" s="110">
        <f t="shared" si="13"/>
        <v>72.340180547195274</v>
      </c>
      <c r="AA40" s="110">
        <f t="shared" si="13"/>
        <v>72.340180547195274</v>
      </c>
      <c r="AB40" s="110">
        <f t="shared" si="13"/>
        <v>72.340180547195274</v>
      </c>
      <c r="AC40" s="110">
        <f t="shared" si="13"/>
        <v>60.283792201110664</v>
      </c>
      <c r="AD40" s="110">
        <f t="shared" si="13"/>
        <v>60.283792201110664</v>
      </c>
      <c r="AE40" s="110">
        <f t="shared" si="13"/>
        <v>60.283792201110664</v>
      </c>
      <c r="AF40" s="110">
        <f t="shared" si="13"/>
        <v>60.283792201110664</v>
      </c>
      <c r="AG40" s="110">
        <f t="shared" si="13"/>
        <v>60.283792201110664</v>
      </c>
      <c r="AH40" s="110">
        <f t="shared" si="13"/>
        <v>0</v>
      </c>
      <c r="AI40" s="110">
        <f t="shared" si="13"/>
        <v>120.56758440222133</v>
      </c>
      <c r="AJ40" s="110">
        <f t="shared" si="13"/>
        <v>60.283792201110664</v>
      </c>
      <c r="AK40" s="110">
        <f t="shared" si="13"/>
        <v>72.340180547195274</v>
      </c>
      <c r="AL40" s="110">
        <f t="shared" si="13"/>
        <v>72.340180547195274</v>
      </c>
      <c r="AM40" s="110">
        <f t="shared" si="13"/>
        <v>72.340180547195274</v>
      </c>
      <c r="AN40" s="110">
        <f t="shared" si="13"/>
        <v>72.340180547195274</v>
      </c>
      <c r="AO40" s="110">
        <f t="shared" si="13"/>
        <v>60.283792201110664</v>
      </c>
      <c r="AP40" s="110">
        <f t="shared" si="13"/>
        <v>60.283792201110664</v>
      </c>
      <c r="AQ40" s="110">
        <f t="shared" si="13"/>
        <v>60.283792201110664</v>
      </c>
      <c r="AR40" s="110">
        <f t="shared" si="13"/>
        <v>0</v>
      </c>
      <c r="AS40" s="110">
        <f t="shared" si="13"/>
        <v>120.56758440222133</v>
      </c>
      <c r="AT40" s="110">
        <f t="shared" si="13"/>
        <v>60.283792201110664</v>
      </c>
      <c r="AU40" s="110">
        <f t="shared" si="13"/>
        <v>60.283792201110664</v>
      </c>
      <c r="AV40" s="110">
        <f t="shared" si="13"/>
        <v>60.283792201110664</v>
      </c>
      <c r="AW40" s="110">
        <f t="shared" si="13"/>
        <v>60.283792201110664</v>
      </c>
      <c r="AX40" s="110">
        <f t="shared" si="13"/>
        <v>60.283792201110664</v>
      </c>
      <c r="AY40" s="110">
        <f t="shared" si="13"/>
        <v>60.283792201110664</v>
      </c>
    </row>
    <row r="41" spans="1:52">
      <c r="A41" s="110"/>
      <c r="B41" s="165" t="s">
        <v>349</v>
      </c>
      <c r="C41" s="110"/>
      <c r="D41" s="110">
        <v>2</v>
      </c>
      <c r="E41" s="110">
        <v>3</v>
      </c>
      <c r="F41" s="110">
        <v>1</v>
      </c>
      <c r="G41" s="110">
        <v>2</v>
      </c>
      <c r="H41" s="110">
        <v>1</v>
      </c>
      <c r="I41" s="110">
        <v>2</v>
      </c>
      <c r="J41" s="110">
        <v>1</v>
      </c>
      <c r="K41" s="110">
        <v>1</v>
      </c>
      <c r="L41" s="110">
        <v>2</v>
      </c>
      <c r="M41" s="110">
        <v>1</v>
      </c>
      <c r="N41" s="110">
        <v>1</v>
      </c>
      <c r="O41" s="110">
        <v>1</v>
      </c>
      <c r="P41" s="110">
        <v>2</v>
      </c>
      <c r="Q41" s="110">
        <v>1</v>
      </c>
      <c r="R41" s="110">
        <v>1</v>
      </c>
      <c r="S41" s="110">
        <v>1</v>
      </c>
      <c r="T41" s="110">
        <v>2</v>
      </c>
      <c r="U41" s="110">
        <v>2</v>
      </c>
      <c r="V41" s="110">
        <v>1</v>
      </c>
      <c r="W41" s="110">
        <v>1</v>
      </c>
      <c r="X41" s="110">
        <v>1</v>
      </c>
      <c r="Y41" s="110">
        <v>2</v>
      </c>
      <c r="Z41" s="110">
        <v>3</v>
      </c>
      <c r="AA41" s="110">
        <v>1</v>
      </c>
      <c r="AB41" s="110">
        <v>2</v>
      </c>
      <c r="AC41" s="110">
        <v>2</v>
      </c>
      <c r="AD41" s="110">
        <v>2</v>
      </c>
      <c r="AE41" s="110">
        <v>1</v>
      </c>
      <c r="AF41" s="110">
        <v>2</v>
      </c>
      <c r="AG41" s="110">
        <v>1</v>
      </c>
      <c r="AH41" s="110">
        <v>3</v>
      </c>
      <c r="AI41" s="110">
        <v>2</v>
      </c>
      <c r="AJ41" s="110">
        <v>2</v>
      </c>
      <c r="AK41" s="110">
        <v>1</v>
      </c>
      <c r="AL41" s="110">
        <v>2</v>
      </c>
      <c r="AM41" s="110">
        <v>2</v>
      </c>
      <c r="AN41" s="110">
        <v>2</v>
      </c>
      <c r="AO41" s="110">
        <v>1</v>
      </c>
      <c r="AP41" s="110">
        <v>1</v>
      </c>
      <c r="AQ41" s="110">
        <v>3</v>
      </c>
      <c r="AR41" s="110">
        <v>3</v>
      </c>
      <c r="AS41" s="110">
        <v>1</v>
      </c>
      <c r="AT41" s="110">
        <v>2</v>
      </c>
      <c r="AU41" s="110">
        <v>2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44820</v>
      </c>
      <c r="W42" s="110">
        <v>44820</v>
      </c>
      <c r="X42" s="110">
        <v>44820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134460</v>
      </c>
    </row>
    <row r="43" spans="1:52">
      <c r="A43" s="110"/>
      <c r="B43" s="178" t="s">
        <v>351</v>
      </c>
      <c r="C43" s="110"/>
      <c r="D43" s="110">
        <v>94754.315111128235</v>
      </c>
      <c r="E43" s="110">
        <v>113841.59163559662</v>
      </c>
      <c r="F43" s="110">
        <v>113841.59163559662</v>
      </c>
      <c r="G43" s="110">
        <v>113841.59163559662</v>
      </c>
      <c r="H43" s="110">
        <v>113841.59163559662</v>
      </c>
      <c r="I43" s="110">
        <v>94868.478376642437</v>
      </c>
      <c r="J43" s="110">
        <v>94868.478376642437</v>
      </c>
      <c r="K43" s="110">
        <v>94868.478376642437</v>
      </c>
      <c r="L43" s="110">
        <v>94868.478376642437</v>
      </c>
      <c r="M43" s="110">
        <v>94868.478376642437</v>
      </c>
      <c r="N43" s="110">
        <v>94868.478376642437</v>
      </c>
      <c r="O43" s="110">
        <v>94868.478376642437</v>
      </c>
      <c r="P43" s="110">
        <v>94868.478376642437</v>
      </c>
      <c r="Q43" s="110">
        <v>113841.59163559662</v>
      </c>
      <c r="R43" s="110">
        <v>113841.59163559662</v>
      </c>
      <c r="S43" s="110">
        <v>113841.59163559662</v>
      </c>
      <c r="T43" s="110">
        <v>113841.59163559662</v>
      </c>
      <c r="U43" s="110">
        <v>2.9120818715360839</v>
      </c>
      <c r="V43" s="110">
        <v>0</v>
      </c>
      <c r="W43" s="110">
        <v>0</v>
      </c>
      <c r="X43" s="110">
        <v>0</v>
      </c>
      <c r="Y43" s="110">
        <v>113841.59163559662</v>
      </c>
      <c r="Z43" s="110">
        <v>113841.59163559662</v>
      </c>
      <c r="AA43" s="110">
        <v>113841.59163559662</v>
      </c>
      <c r="AB43" s="110">
        <v>113841.59163559662</v>
      </c>
      <c r="AC43" s="110">
        <v>94868.478376642437</v>
      </c>
      <c r="AD43" s="110">
        <v>94868.478376642437</v>
      </c>
      <c r="AE43" s="110">
        <v>94868.478376642437</v>
      </c>
      <c r="AF43" s="110">
        <v>94868.478376642437</v>
      </c>
      <c r="AG43" s="110">
        <v>94868.478376642437</v>
      </c>
      <c r="AH43" s="110">
        <v>0</v>
      </c>
      <c r="AI43" s="110">
        <v>189736.95675328487</v>
      </c>
      <c r="AJ43" s="110">
        <v>94868.478376642437</v>
      </c>
      <c r="AK43" s="110">
        <v>113841.59163559662</v>
      </c>
      <c r="AL43" s="110">
        <v>113841.59163559662</v>
      </c>
      <c r="AM43" s="110">
        <v>113841.59163559662</v>
      </c>
      <c r="AN43" s="110">
        <v>113841.59163559662</v>
      </c>
      <c r="AO43" s="110">
        <v>94868.478376642437</v>
      </c>
      <c r="AP43" s="110">
        <v>94868.478376642437</v>
      </c>
      <c r="AQ43" s="110">
        <v>94868.478376642437</v>
      </c>
      <c r="AR43" s="110">
        <v>0</v>
      </c>
      <c r="AS43" s="110">
        <v>189736.95675328487</v>
      </c>
      <c r="AT43" s="110">
        <v>94868.478376642437</v>
      </c>
      <c r="AU43" s="110">
        <v>94868.478376642437</v>
      </c>
      <c r="AV43" s="110">
        <v>94868.478376642437</v>
      </c>
      <c r="AW43" s="110">
        <v>94868.478376642437</v>
      </c>
      <c r="AX43" s="110">
        <v>94868.478376642437</v>
      </c>
      <c r="AY43" s="110">
        <v>94868.478376642437</v>
      </c>
      <c r="AZ43" s="100">
        <f>SUM($D$43:$AY$43)</f>
        <v>4477671.6095318906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1</v>
      </c>
      <c r="F52" s="110">
        <v>1</v>
      </c>
      <c r="G52" s="110">
        <v>1</v>
      </c>
      <c r="H52" s="110">
        <v>3</v>
      </c>
      <c r="I52" s="110">
        <v>1</v>
      </c>
      <c r="J52" s="110">
        <v>2</v>
      </c>
      <c r="K52" s="110">
        <v>1</v>
      </c>
      <c r="L52" s="110">
        <v>1</v>
      </c>
      <c r="M52" s="110">
        <v>1</v>
      </c>
      <c r="N52" s="110">
        <v>1</v>
      </c>
      <c r="O52" s="110">
        <v>1</v>
      </c>
      <c r="P52" s="110">
        <v>2</v>
      </c>
      <c r="Q52" s="110">
        <v>3</v>
      </c>
      <c r="R52" s="110">
        <v>3</v>
      </c>
      <c r="S52" s="110">
        <v>1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2</v>
      </c>
      <c r="AA52" s="110">
        <v>3</v>
      </c>
      <c r="AB52" s="110">
        <v>1</v>
      </c>
      <c r="AC52" s="110">
        <v>1</v>
      </c>
      <c r="AD52" s="110">
        <v>1</v>
      </c>
      <c r="AE52" s="110">
        <v>1</v>
      </c>
      <c r="AF52" s="110">
        <v>1</v>
      </c>
      <c r="AG52" s="110">
        <v>1</v>
      </c>
      <c r="AH52" s="110">
        <v>2</v>
      </c>
      <c r="AI52" s="110">
        <v>1</v>
      </c>
      <c r="AJ52" s="110">
        <v>1</v>
      </c>
      <c r="AK52" s="110">
        <v>3</v>
      </c>
      <c r="AL52" s="110">
        <v>1</v>
      </c>
      <c r="AM52" s="110">
        <v>2</v>
      </c>
      <c r="AN52" s="110">
        <v>2</v>
      </c>
      <c r="AO52" s="110">
        <v>1</v>
      </c>
      <c r="AP52" s="110">
        <v>1</v>
      </c>
      <c r="AQ52" s="110">
        <v>1</v>
      </c>
      <c r="AR52" s="110">
        <v>1</v>
      </c>
      <c r="AS52" s="110">
        <v>1</v>
      </c>
      <c r="AT52" s="110">
        <v>1</v>
      </c>
      <c r="AU52" s="110">
        <v>1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607.17981985511005</v>
      </c>
      <c r="E55" s="124">
        <f>E$21*shipping_manufacturing!$F$29/100</f>
        <v>729.48991315333365</v>
      </c>
      <c r="F55" s="124">
        <f>F$21*shipping_manufacturing!$F$29/100</f>
        <v>729.48991315333365</v>
      </c>
      <c r="G55" s="124">
        <f>G$21*shipping_manufacturing!$F$29/100</f>
        <v>729.48991315333365</v>
      </c>
      <c r="H55" s="124">
        <f>H$21*shipping_manufacturing!$F$29/100</f>
        <v>729.48991315333365</v>
      </c>
      <c r="I55" s="124">
        <f>I$21*shipping_manufacturing!$F$29/100</f>
        <v>607.911371034681</v>
      </c>
      <c r="J55" s="124">
        <f>J$21*shipping_manufacturing!$F$29/100</f>
        <v>607.911371034681</v>
      </c>
      <c r="K55" s="124">
        <f>K$21*shipping_manufacturing!$F$29/100</f>
        <v>607.911371034681</v>
      </c>
      <c r="L55" s="124">
        <f>L$21*shipping_manufacturing!$F$29/100</f>
        <v>607.911371034681</v>
      </c>
      <c r="M55" s="124">
        <f>M$21*shipping_manufacturing!$F$29/100</f>
        <v>607.911371034681</v>
      </c>
      <c r="N55" s="124">
        <f>N$21*shipping_manufacturing!$F$29/100</f>
        <v>607.911371034681</v>
      </c>
      <c r="O55" s="124">
        <f>O$21*shipping_manufacturing!$F$29/100</f>
        <v>607.911371034681</v>
      </c>
      <c r="P55" s="124">
        <f>P$21*shipping_manufacturing!$F$29/100</f>
        <v>607.911371034681</v>
      </c>
      <c r="Q55" s="124">
        <f>Q$21*shipping_manufacturing!$F$29/100</f>
        <v>729.48991315333365</v>
      </c>
      <c r="R55" s="124">
        <f>R$21*shipping_manufacturing!$F$29/100</f>
        <v>729.48991315333365</v>
      </c>
      <c r="S55" s="124">
        <f>S$21*shipping_manufacturing!$F$29/100</f>
        <v>729.48991315333365</v>
      </c>
      <c r="T55" s="124">
        <f>T$21*shipping_manufacturing!$F$29/100</f>
        <v>729.48991315333365</v>
      </c>
      <c r="U55" s="124">
        <f>U$21*shipping_manufacturing!$F$29/100</f>
        <v>1.8660441417247427E-2</v>
      </c>
      <c r="V55" s="124">
        <f>V$21*shipping_manufacturing!$F$29/100</f>
        <v>1.8660441417247427E-2</v>
      </c>
      <c r="W55" s="124">
        <f>W$21*shipping_manufacturing!$F$29/100</f>
        <v>1.8660441417247427E-2</v>
      </c>
      <c r="X55" s="124">
        <f>X$21*shipping_manufacturing!$F$29/100</f>
        <v>1.8660441417247427E-2</v>
      </c>
      <c r="Y55" s="124">
        <f>Y$21*shipping_manufacturing!$F$29/100</f>
        <v>729.48991315333365</v>
      </c>
      <c r="Z55" s="124">
        <f>Z$21*shipping_manufacturing!$F$29/100</f>
        <v>729.48991315333365</v>
      </c>
      <c r="AA55" s="124">
        <f>AA$21*shipping_manufacturing!$F$29/100</f>
        <v>729.48991315333365</v>
      </c>
      <c r="AB55" s="124">
        <f>AB$21*shipping_manufacturing!$F$29/100</f>
        <v>729.48991315333365</v>
      </c>
      <c r="AC55" s="124">
        <f>AC$21*shipping_manufacturing!$F$29/100</f>
        <v>607.911371034681</v>
      </c>
      <c r="AD55" s="124">
        <f>AD$21*shipping_manufacturing!$F$29/100</f>
        <v>607.911371034681</v>
      </c>
      <c r="AE55" s="124">
        <f>AE$21*shipping_manufacturing!$F$29/100</f>
        <v>607.911371034681</v>
      </c>
      <c r="AF55" s="124">
        <f>AF$21*shipping_manufacturing!$F$29/100</f>
        <v>607.911371034681</v>
      </c>
      <c r="AG55" s="124">
        <f>AG$21*shipping_manufacturing!$F$29/100</f>
        <v>607.911371034681</v>
      </c>
      <c r="AH55" s="124">
        <f>AH$21*shipping_manufacturing!$F$29/100</f>
        <v>0</v>
      </c>
      <c r="AI55" s="124">
        <f>AI$21*shipping_manufacturing!$F$29/100</f>
        <v>1215.822742069362</v>
      </c>
      <c r="AJ55" s="124">
        <f>AJ$21*shipping_manufacturing!$F$29/100</f>
        <v>607.911371034681</v>
      </c>
      <c r="AK55" s="124">
        <f>AK$21*shipping_manufacturing!$F$29/100</f>
        <v>729.48991315333365</v>
      </c>
      <c r="AL55" s="124">
        <f>AL$21*shipping_manufacturing!$F$29/100</f>
        <v>729.48991315333365</v>
      </c>
      <c r="AM55" s="124">
        <f>AM$21*shipping_manufacturing!$F$29/100</f>
        <v>729.48991315333365</v>
      </c>
      <c r="AN55" s="124">
        <f>AN$21*shipping_manufacturing!$F$29/100</f>
        <v>729.48991315333365</v>
      </c>
      <c r="AO55" s="124">
        <f>AO$21*shipping_manufacturing!$F$29/100</f>
        <v>607.911371034681</v>
      </c>
      <c r="AP55" s="124">
        <f>AP$21*shipping_manufacturing!$F$29/100</f>
        <v>607.911371034681</v>
      </c>
      <c r="AQ55" s="124">
        <f>AQ$21*shipping_manufacturing!$F$29/100</f>
        <v>607.911371034681</v>
      </c>
      <c r="AR55" s="124">
        <f>AR$21*shipping_manufacturing!$F$29/100</f>
        <v>0</v>
      </c>
      <c r="AS55" s="124">
        <f>AS$21*shipping_manufacturing!$F$29/100</f>
        <v>1215.822742069362</v>
      </c>
      <c r="AT55" s="124">
        <f>AT$21*shipping_manufacturing!$F$29/100</f>
        <v>607.911371034681</v>
      </c>
      <c r="AU55" s="124">
        <f>AU$21*shipping_manufacturing!$F$29/100</f>
        <v>607.911371034681</v>
      </c>
      <c r="AV55" s="124">
        <f>AV$21*shipping_manufacturing!$F$29/100</f>
        <v>607.911371034681</v>
      </c>
      <c r="AW55" s="124">
        <f>AW$21*shipping_manufacturing!$F$29/100</f>
        <v>607.911371034681</v>
      </c>
      <c r="AX55" s="124">
        <f>AX$21*shipping_manufacturing!$F$29/100</f>
        <v>607.911371034681</v>
      </c>
      <c r="AY55" s="124">
        <f>AY$21*shipping_manufacturing!$F$29/100</f>
        <v>607.911371034681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830.59187112026837</v>
      </c>
      <c r="E56" s="110">
        <f>E$22*shipping_manufacturing!$G$29/100</f>
        <v>997.90601089801714</v>
      </c>
      <c r="F56" s="110">
        <f>F$22*shipping_manufacturing!$G$29/100</f>
        <v>997.90601089801714</v>
      </c>
      <c r="G56" s="110">
        <f>G$22*shipping_manufacturing!$G$29/100</f>
        <v>997.90601089801714</v>
      </c>
      <c r="H56" s="110">
        <f>H$22*shipping_manufacturing!$G$29/100</f>
        <v>997.90601089801714</v>
      </c>
      <c r="I56" s="110">
        <f>I$22*shipping_manufacturing!$G$29/100</f>
        <v>831.59259684136543</v>
      </c>
      <c r="J56" s="110">
        <f>J$22*shipping_manufacturing!$G$29/100</f>
        <v>831.59259684136543</v>
      </c>
      <c r="K56" s="110">
        <f>K$22*shipping_manufacturing!$G$29/100</f>
        <v>831.59259684136543</v>
      </c>
      <c r="L56" s="110">
        <f>L$22*shipping_manufacturing!$G$29/100</f>
        <v>831.59259684136543</v>
      </c>
      <c r="M56" s="110">
        <f>M$22*shipping_manufacturing!$G$29/100</f>
        <v>831.59259684136543</v>
      </c>
      <c r="N56" s="110">
        <f>N$22*shipping_manufacturing!$G$29/100</f>
        <v>831.59259684136543</v>
      </c>
      <c r="O56" s="110">
        <f>O$22*shipping_manufacturing!$G$29/100</f>
        <v>831.59259684136543</v>
      </c>
      <c r="P56" s="110">
        <f>P$22*shipping_manufacturing!$G$29/100</f>
        <v>831.59259684136543</v>
      </c>
      <c r="Q56" s="110">
        <f>Q$22*shipping_manufacturing!$G$29/100</f>
        <v>997.90601089801714</v>
      </c>
      <c r="R56" s="110">
        <f>R$22*shipping_manufacturing!$G$29/100</f>
        <v>997.90601089801714</v>
      </c>
      <c r="S56" s="110">
        <f>S$22*shipping_manufacturing!$G$29/100</f>
        <v>997.90601089801714</v>
      </c>
      <c r="T56" s="110">
        <f>T$22*shipping_manufacturing!$G$29/100</f>
        <v>997.90601089801714</v>
      </c>
      <c r="U56" s="110">
        <f>U$22*shipping_manufacturing!$G$29/100</f>
        <v>2.5526558106592274E-2</v>
      </c>
      <c r="V56" s="110">
        <f>V$22*shipping_manufacturing!$G$29/100</f>
        <v>2.5526558106592274E-2</v>
      </c>
      <c r="W56" s="110">
        <f>W$22*shipping_manufacturing!$G$29/100</f>
        <v>2.5526558106592274E-2</v>
      </c>
      <c r="X56" s="110">
        <f>X$22*shipping_manufacturing!$G$29/100</f>
        <v>2.5526558106592274E-2</v>
      </c>
      <c r="Y56" s="110">
        <f>Y$22*shipping_manufacturing!$G$29/100</f>
        <v>997.90601089801714</v>
      </c>
      <c r="Z56" s="110">
        <f>Z$22*shipping_manufacturing!$G$29/100</f>
        <v>997.90601089801714</v>
      </c>
      <c r="AA56" s="110">
        <f>AA$22*shipping_manufacturing!$G$29/100</f>
        <v>997.90601089801714</v>
      </c>
      <c r="AB56" s="110">
        <f>AB$22*shipping_manufacturing!$G$29/100</f>
        <v>997.90601089801714</v>
      </c>
      <c r="AC56" s="110">
        <f>AC$22*shipping_manufacturing!$G$29/100</f>
        <v>831.59259684136543</v>
      </c>
      <c r="AD56" s="110">
        <f>AD$22*shipping_manufacturing!$G$29/100</f>
        <v>831.59259684136543</v>
      </c>
      <c r="AE56" s="110">
        <f>AE$22*shipping_manufacturing!$G$29/100</f>
        <v>831.59259684136543</v>
      </c>
      <c r="AF56" s="110">
        <f>AF$22*shipping_manufacturing!$G$29/100</f>
        <v>831.59259684136543</v>
      </c>
      <c r="AG56" s="110">
        <f>AG$22*shipping_manufacturing!$G$29/100</f>
        <v>831.59259684136543</v>
      </c>
      <c r="AH56" s="110">
        <f>AH$22*shipping_manufacturing!$G$29/100</f>
        <v>0</v>
      </c>
      <c r="AI56" s="110">
        <f>AI$22*shipping_manufacturing!$G$29/100</f>
        <v>1663.1851936827309</v>
      </c>
      <c r="AJ56" s="110">
        <f>AJ$22*shipping_manufacturing!$G$29/100</f>
        <v>831.59259684136543</v>
      </c>
      <c r="AK56" s="110">
        <f>AK$22*shipping_manufacturing!$G$29/100</f>
        <v>997.90601089801714</v>
      </c>
      <c r="AL56" s="110">
        <f>AL$22*shipping_manufacturing!$G$29/100</f>
        <v>997.90601089801714</v>
      </c>
      <c r="AM56" s="110">
        <f>AM$22*shipping_manufacturing!$G$29/100</f>
        <v>997.90601089801714</v>
      </c>
      <c r="AN56" s="110">
        <f>AN$22*shipping_manufacturing!$G$29/100</f>
        <v>997.90601089801714</v>
      </c>
      <c r="AO56" s="110">
        <f>AO$22*shipping_manufacturing!$G$29/100</f>
        <v>831.59259684136543</v>
      </c>
      <c r="AP56" s="110">
        <f>AP$22*shipping_manufacturing!$G$29/100</f>
        <v>831.59259684136543</v>
      </c>
      <c r="AQ56" s="110">
        <f>AQ$22*shipping_manufacturing!$G$29/100</f>
        <v>831.59259684136543</v>
      </c>
      <c r="AR56" s="110">
        <f>AR$22*shipping_manufacturing!$G$29/100</f>
        <v>0</v>
      </c>
      <c r="AS56" s="110">
        <f>AS$22*shipping_manufacturing!$G$29/100</f>
        <v>1663.1851936827309</v>
      </c>
      <c r="AT56" s="110">
        <f>AT$22*shipping_manufacturing!$G$29/100</f>
        <v>831.59259684136543</v>
      </c>
      <c r="AU56" s="110">
        <f>AU$22*shipping_manufacturing!$G$29/100</f>
        <v>831.59259684136543</v>
      </c>
      <c r="AV56" s="110">
        <f>AV$22*shipping_manufacturing!$G$29/100</f>
        <v>831.59259684136543</v>
      </c>
      <c r="AW56" s="110">
        <f>AW$22*shipping_manufacturing!$G$29/100</f>
        <v>831.59259684136543</v>
      </c>
      <c r="AX56" s="110">
        <f>AX$22*shipping_manufacturing!$G$29/100</f>
        <v>831.59259684136543</v>
      </c>
      <c r="AY56" s="110">
        <f>AY$22*shipping_manufacturing!$G$29/100</f>
        <v>831.59259684136543</v>
      </c>
    </row>
    <row r="57" spans="1:52">
      <c r="A57" s="110">
        <v>495</v>
      </c>
      <c r="B57" s="165" t="s">
        <v>343</v>
      </c>
      <c r="C57" s="110"/>
      <c r="D57" s="110">
        <f>SUM(D55:D56)</f>
        <v>1437.7716909753785</v>
      </c>
      <c r="E57" s="110">
        <f t="shared" ref="E57:AY57" si="17">SUM(E55:E56)</f>
        <v>1727.3959240513509</v>
      </c>
      <c r="F57" s="110">
        <f t="shared" si="17"/>
        <v>1727.3959240513509</v>
      </c>
      <c r="G57" s="110">
        <f t="shared" si="17"/>
        <v>1727.3959240513509</v>
      </c>
      <c r="H57" s="110">
        <f t="shared" si="17"/>
        <v>1727.3959240513509</v>
      </c>
      <c r="I57" s="110">
        <f t="shared" si="17"/>
        <v>1439.5039678760463</v>
      </c>
      <c r="J57" s="110">
        <f t="shared" si="17"/>
        <v>1439.5039678760463</v>
      </c>
      <c r="K57" s="110">
        <f t="shared" si="17"/>
        <v>1439.5039678760463</v>
      </c>
      <c r="L57" s="110">
        <f t="shared" si="17"/>
        <v>1439.5039678760463</v>
      </c>
      <c r="M57" s="110">
        <f t="shared" si="17"/>
        <v>1439.5039678760463</v>
      </c>
      <c r="N57" s="110">
        <f t="shared" si="17"/>
        <v>1439.5039678760463</v>
      </c>
      <c r="O57" s="110">
        <f t="shared" si="17"/>
        <v>1439.5039678760463</v>
      </c>
      <c r="P57" s="110">
        <f t="shared" si="17"/>
        <v>1439.5039678760463</v>
      </c>
      <c r="Q57" s="110">
        <f t="shared" si="17"/>
        <v>1727.3959240513509</v>
      </c>
      <c r="R57" s="110">
        <f t="shared" si="17"/>
        <v>1727.3959240513509</v>
      </c>
      <c r="S57" s="110">
        <f t="shared" si="17"/>
        <v>1727.3959240513509</v>
      </c>
      <c r="T57" s="110">
        <f t="shared" si="17"/>
        <v>1727.3959240513509</v>
      </c>
      <c r="U57" s="110">
        <f t="shared" si="17"/>
        <v>4.4186999523839698E-2</v>
      </c>
      <c r="V57" s="110">
        <f t="shared" si="17"/>
        <v>4.4186999523839698E-2</v>
      </c>
      <c r="W57" s="110">
        <f t="shared" si="17"/>
        <v>4.4186999523839698E-2</v>
      </c>
      <c r="X57" s="110">
        <f t="shared" si="17"/>
        <v>4.4186999523839698E-2</v>
      </c>
      <c r="Y57" s="110">
        <f t="shared" si="17"/>
        <v>1727.3959240513509</v>
      </c>
      <c r="Z57" s="110">
        <f t="shared" si="17"/>
        <v>1727.3959240513509</v>
      </c>
      <c r="AA57" s="110">
        <f t="shared" si="17"/>
        <v>1727.3959240513509</v>
      </c>
      <c r="AB57" s="110">
        <f t="shared" si="17"/>
        <v>1727.3959240513509</v>
      </c>
      <c r="AC57" s="110">
        <f t="shared" si="17"/>
        <v>1439.5039678760463</v>
      </c>
      <c r="AD57" s="110">
        <f t="shared" si="17"/>
        <v>1439.5039678760463</v>
      </c>
      <c r="AE57" s="110">
        <f t="shared" si="17"/>
        <v>1439.5039678760463</v>
      </c>
      <c r="AF57" s="110">
        <f t="shared" si="17"/>
        <v>1439.5039678760463</v>
      </c>
      <c r="AG57" s="110">
        <f t="shared" si="17"/>
        <v>1439.5039678760463</v>
      </c>
      <c r="AH57" s="110">
        <f t="shared" si="17"/>
        <v>0</v>
      </c>
      <c r="AI57" s="110">
        <f t="shared" si="17"/>
        <v>2879.0079357520926</v>
      </c>
      <c r="AJ57" s="110">
        <f t="shared" si="17"/>
        <v>1439.5039678760463</v>
      </c>
      <c r="AK57" s="110">
        <f t="shared" si="17"/>
        <v>1727.3959240513509</v>
      </c>
      <c r="AL57" s="110">
        <f t="shared" si="17"/>
        <v>1727.3959240513509</v>
      </c>
      <c r="AM57" s="110">
        <f t="shared" si="17"/>
        <v>1727.3959240513509</v>
      </c>
      <c r="AN57" s="110">
        <f t="shared" si="17"/>
        <v>1727.3959240513509</v>
      </c>
      <c r="AO57" s="110">
        <f t="shared" si="17"/>
        <v>1439.5039678760463</v>
      </c>
      <c r="AP57" s="110">
        <f t="shared" si="17"/>
        <v>1439.5039678760463</v>
      </c>
      <c r="AQ57" s="110">
        <f t="shared" si="17"/>
        <v>1439.5039678760463</v>
      </c>
      <c r="AR57" s="110">
        <f t="shared" si="17"/>
        <v>0</v>
      </c>
      <c r="AS57" s="110">
        <f t="shared" si="17"/>
        <v>2879.0079357520926</v>
      </c>
      <c r="AT57" s="110">
        <f t="shared" si="17"/>
        <v>1439.5039678760463</v>
      </c>
      <c r="AU57" s="110">
        <f t="shared" si="17"/>
        <v>1439.5039678760463</v>
      </c>
      <c r="AV57" s="110">
        <f t="shared" si="17"/>
        <v>1439.5039678760463</v>
      </c>
      <c r="AW57" s="110">
        <f t="shared" si="17"/>
        <v>1439.5039678760463</v>
      </c>
      <c r="AX57" s="110">
        <f t="shared" si="17"/>
        <v>1439.5039678760463</v>
      </c>
      <c r="AY57" s="110">
        <f t="shared" si="17"/>
        <v>1439.5039678760463</v>
      </c>
    </row>
    <row r="58" spans="1:52">
      <c r="A58" s="110"/>
      <c r="B58" s="165" t="s">
        <v>344</v>
      </c>
      <c r="C58" s="110"/>
      <c r="D58" s="110">
        <v>190.03776514019467</v>
      </c>
      <c r="E58" s="110"/>
      <c r="F58" s="110">
        <v>190.03776514019467</v>
      </c>
      <c r="G58" s="110"/>
      <c r="H58" s="110">
        <v>190.03776514019467</v>
      </c>
      <c r="I58" s="110"/>
      <c r="J58" s="110">
        <v>190.03776514019469</v>
      </c>
      <c r="K58" s="110"/>
      <c r="L58" s="110">
        <v>190.03776514019469</v>
      </c>
      <c r="M58" s="110"/>
      <c r="N58" s="110">
        <v>190.03776514019469</v>
      </c>
      <c r="O58" s="110"/>
      <c r="P58" s="110">
        <v>190.03776514019469</v>
      </c>
      <c r="Q58" s="110"/>
      <c r="R58" s="110">
        <v>190.03776514019467</v>
      </c>
      <c r="S58" s="110"/>
      <c r="T58" s="110">
        <v>190.03776514019467</v>
      </c>
      <c r="U58" s="110"/>
      <c r="V58" s="110">
        <v>1.8660441417247427E-2</v>
      </c>
      <c r="W58" s="110">
        <v>1.8660441417247427E-2</v>
      </c>
      <c r="X58" s="110">
        <v>1.8660441417247427E-2</v>
      </c>
      <c r="Y58" s="110">
        <v>164.69939645483538</v>
      </c>
      <c r="Z58" s="110">
        <v>25.338368685359288</v>
      </c>
      <c r="AA58" s="110">
        <v>164.69939645483538</v>
      </c>
      <c r="AB58" s="110">
        <v>25.338368685359288</v>
      </c>
      <c r="AC58" s="110">
        <v>164.69939645483541</v>
      </c>
      <c r="AD58" s="110">
        <v>25.338368685359292</v>
      </c>
      <c r="AE58" s="110">
        <v>164.69939645483541</v>
      </c>
      <c r="AF58" s="110">
        <v>25.338368685359292</v>
      </c>
      <c r="AG58" s="110">
        <v>164.69939645483541</v>
      </c>
      <c r="AH58" s="110"/>
      <c r="AI58" s="110">
        <v>190.03776514019464</v>
      </c>
      <c r="AJ58" s="110"/>
      <c r="AK58" s="110">
        <v>190.03776514019467</v>
      </c>
      <c r="AL58" s="110"/>
      <c r="AM58" s="110">
        <v>190.03776514019467</v>
      </c>
      <c r="AN58" s="110"/>
      <c r="AO58" s="110">
        <v>190.03776514019469</v>
      </c>
      <c r="AP58" s="110"/>
      <c r="AQ58" s="110">
        <v>190.03776514019469</v>
      </c>
      <c r="AR58" s="110"/>
      <c r="AS58" s="110">
        <v>190.03776514019464</v>
      </c>
      <c r="AT58" s="110"/>
      <c r="AU58" s="110">
        <v>190.03776514019469</v>
      </c>
      <c r="AV58" s="110"/>
      <c r="AW58" s="110">
        <v>190.03776514019469</v>
      </c>
      <c r="AX58" s="110"/>
      <c r="AY58" s="110">
        <v>190.03776514019469</v>
      </c>
    </row>
    <row r="59" spans="1:52">
      <c r="A59" s="110"/>
      <c r="B59" s="165" t="s">
        <v>345</v>
      </c>
      <c r="C59" s="110"/>
      <c r="D59" s="110">
        <v>259.96223485980522</v>
      </c>
      <c r="E59" s="110"/>
      <c r="F59" s="110">
        <v>259.96223485980533</v>
      </c>
      <c r="G59" s="110"/>
      <c r="H59" s="110">
        <v>259.96223485980533</v>
      </c>
      <c r="I59" s="110"/>
      <c r="J59" s="110">
        <v>259.96223485980533</v>
      </c>
      <c r="K59" s="110"/>
      <c r="L59" s="110">
        <v>259.96223485980533</v>
      </c>
      <c r="M59" s="110"/>
      <c r="N59" s="110">
        <v>259.96223485980533</v>
      </c>
      <c r="O59" s="110"/>
      <c r="P59" s="110">
        <v>259.96223485980533</v>
      </c>
      <c r="Q59" s="110"/>
      <c r="R59" s="110">
        <v>259.96223485980533</v>
      </c>
      <c r="S59" s="110"/>
      <c r="T59" s="110">
        <v>259.96223485980533</v>
      </c>
      <c r="U59" s="110"/>
      <c r="V59" s="110">
        <v>2.5526558106592274E-2</v>
      </c>
      <c r="W59" s="110">
        <v>2.5526558106592274E-2</v>
      </c>
      <c r="X59" s="110">
        <v>2.5526558106592274E-2</v>
      </c>
      <c r="Y59" s="110">
        <v>225.30060354516462</v>
      </c>
      <c r="Z59" s="110">
        <v>34.661631314640708</v>
      </c>
      <c r="AA59" s="110">
        <v>225.30060354516462</v>
      </c>
      <c r="AB59" s="110">
        <v>34.661631314640708</v>
      </c>
      <c r="AC59" s="110">
        <v>225.30060354516465</v>
      </c>
      <c r="AD59" s="110">
        <v>34.661631314640715</v>
      </c>
      <c r="AE59" s="110">
        <v>225.30060354516465</v>
      </c>
      <c r="AF59" s="110">
        <v>34.661631314640715</v>
      </c>
      <c r="AG59" s="110">
        <v>225.30060354516465</v>
      </c>
      <c r="AH59" s="110"/>
      <c r="AI59" s="110">
        <v>259.96223485980539</v>
      </c>
      <c r="AJ59" s="110"/>
      <c r="AK59" s="110">
        <v>259.96223485980533</v>
      </c>
      <c r="AL59" s="110"/>
      <c r="AM59" s="110">
        <v>259.96223485980533</v>
      </c>
      <c r="AN59" s="110"/>
      <c r="AO59" s="110">
        <v>259.96223485980533</v>
      </c>
      <c r="AP59" s="110"/>
      <c r="AQ59" s="110">
        <v>259.96223485980533</v>
      </c>
      <c r="AR59" s="110"/>
      <c r="AS59" s="110">
        <v>259.96223485980539</v>
      </c>
      <c r="AT59" s="110"/>
      <c r="AU59" s="110">
        <v>259.96223485980533</v>
      </c>
      <c r="AV59" s="110"/>
      <c r="AW59" s="110">
        <v>259.96223485980533</v>
      </c>
      <c r="AX59" s="110"/>
      <c r="AY59" s="110">
        <v>259.96223485980533</v>
      </c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</v>
      </c>
      <c r="W60" s="110">
        <v>1</v>
      </c>
      <c r="X60" s="110">
        <v>1</v>
      </c>
      <c r="Y60" s="110">
        <v>13</v>
      </c>
      <c r="Z60" s="110">
        <v>2</v>
      </c>
      <c r="AA60" s="110">
        <v>13</v>
      </c>
      <c r="AB60" s="110">
        <v>2</v>
      </c>
      <c r="AC60" s="110">
        <v>13</v>
      </c>
      <c r="AD60" s="110">
        <v>2</v>
      </c>
      <c r="AE60" s="110">
        <v>13</v>
      </c>
      <c r="AF60" s="110">
        <v>2</v>
      </c>
      <c r="AG60" s="110">
        <v>13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417.14205471491539</v>
      </c>
      <c r="E61" s="110">
        <f t="shared" ref="E61:AY61" si="18">E55-E58</f>
        <v>729.48991315333365</v>
      </c>
      <c r="F61" s="110">
        <f t="shared" si="18"/>
        <v>539.45214801313898</v>
      </c>
      <c r="G61" s="110">
        <f t="shared" si="18"/>
        <v>729.48991315333365</v>
      </c>
      <c r="H61" s="110">
        <f t="shared" si="18"/>
        <v>539.45214801313898</v>
      </c>
      <c r="I61" s="110">
        <f t="shared" si="18"/>
        <v>607.911371034681</v>
      </c>
      <c r="J61" s="110">
        <f t="shared" si="18"/>
        <v>417.87360589448633</v>
      </c>
      <c r="K61" s="110">
        <f t="shared" si="18"/>
        <v>607.911371034681</v>
      </c>
      <c r="L61" s="110">
        <f t="shared" si="18"/>
        <v>417.87360589448633</v>
      </c>
      <c r="M61" s="110">
        <f t="shared" si="18"/>
        <v>607.911371034681</v>
      </c>
      <c r="N61" s="110">
        <f t="shared" si="18"/>
        <v>417.87360589448633</v>
      </c>
      <c r="O61" s="110">
        <f t="shared" si="18"/>
        <v>607.911371034681</v>
      </c>
      <c r="P61" s="110">
        <f t="shared" si="18"/>
        <v>417.87360589448633</v>
      </c>
      <c r="Q61" s="110">
        <f t="shared" si="18"/>
        <v>729.48991315333365</v>
      </c>
      <c r="R61" s="110">
        <f t="shared" si="18"/>
        <v>539.45214801313898</v>
      </c>
      <c r="S61" s="110">
        <f t="shared" si="18"/>
        <v>729.48991315333365</v>
      </c>
      <c r="T61" s="110">
        <f t="shared" si="18"/>
        <v>539.45214801313898</v>
      </c>
      <c r="U61" s="110">
        <f t="shared" si="18"/>
        <v>1.8660441417247427E-2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564.79051669849832</v>
      </c>
      <c r="Z61" s="110">
        <f t="shared" si="18"/>
        <v>704.1515444679743</v>
      </c>
      <c r="AA61" s="110">
        <f t="shared" si="18"/>
        <v>564.79051669849832</v>
      </c>
      <c r="AB61" s="110">
        <f t="shared" si="18"/>
        <v>704.1515444679743</v>
      </c>
      <c r="AC61" s="110">
        <f t="shared" si="18"/>
        <v>443.21197457984556</v>
      </c>
      <c r="AD61" s="110">
        <f t="shared" si="18"/>
        <v>582.57300234932165</v>
      </c>
      <c r="AE61" s="110">
        <f t="shared" si="18"/>
        <v>443.21197457984556</v>
      </c>
      <c r="AF61" s="110">
        <f t="shared" si="18"/>
        <v>582.57300234932165</v>
      </c>
      <c r="AG61" s="110">
        <f t="shared" si="18"/>
        <v>443.21197457984556</v>
      </c>
      <c r="AH61" s="110">
        <f t="shared" si="18"/>
        <v>0</v>
      </c>
      <c r="AI61" s="110">
        <f t="shared" si="18"/>
        <v>1025.7849769291674</v>
      </c>
      <c r="AJ61" s="110">
        <f t="shared" si="18"/>
        <v>607.911371034681</v>
      </c>
      <c r="AK61" s="110">
        <f t="shared" si="18"/>
        <v>539.45214801313898</v>
      </c>
      <c r="AL61" s="110">
        <f t="shared" si="18"/>
        <v>729.48991315333365</v>
      </c>
      <c r="AM61" s="110">
        <f t="shared" si="18"/>
        <v>539.45214801313898</v>
      </c>
      <c r="AN61" s="110">
        <f t="shared" si="18"/>
        <v>729.48991315333365</v>
      </c>
      <c r="AO61" s="110">
        <f t="shared" si="18"/>
        <v>417.87360589448633</v>
      </c>
      <c r="AP61" s="110">
        <f t="shared" si="18"/>
        <v>607.911371034681</v>
      </c>
      <c r="AQ61" s="110">
        <f t="shared" si="18"/>
        <v>417.87360589448633</v>
      </c>
      <c r="AR61" s="110">
        <f t="shared" si="18"/>
        <v>0</v>
      </c>
      <c r="AS61" s="110">
        <f t="shared" si="18"/>
        <v>1025.7849769291674</v>
      </c>
      <c r="AT61" s="110">
        <f t="shared" si="18"/>
        <v>607.911371034681</v>
      </c>
      <c r="AU61" s="110">
        <f t="shared" si="18"/>
        <v>417.87360589448633</v>
      </c>
      <c r="AV61" s="110">
        <f t="shared" si="18"/>
        <v>607.911371034681</v>
      </c>
      <c r="AW61" s="110">
        <f t="shared" si="18"/>
        <v>417.87360589448633</v>
      </c>
      <c r="AX61" s="110">
        <f t="shared" si="18"/>
        <v>607.911371034681</v>
      </c>
      <c r="AY61" s="110">
        <f t="shared" si="18"/>
        <v>417.87360589448633</v>
      </c>
    </row>
    <row r="62" spans="1:52">
      <c r="A62" s="110"/>
      <c r="B62" s="165" t="s">
        <v>348</v>
      </c>
      <c r="C62" s="110"/>
      <c r="D62" s="110">
        <f>D56-D59</f>
        <v>570.62963626046314</v>
      </c>
      <c r="E62" s="110">
        <f t="shared" ref="E62:AY62" si="19">E56-E59</f>
        <v>997.90601089801714</v>
      </c>
      <c r="F62" s="110">
        <f t="shared" si="19"/>
        <v>737.94377603821181</v>
      </c>
      <c r="G62" s="110">
        <f t="shared" si="19"/>
        <v>997.90601089801714</v>
      </c>
      <c r="H62" s="110">
        <f t="shared" si="19"/>
        <v>737.94377603821181</v>
      </c>
      <c r="I62" s="110">
        <f t="shared" si="19"/>
        <v>831.59259684136543</v>
      </c>
      <c r="J62" s="110">
        <f t="shared" si="19"/>
        <v>571.6303619815601</v>
      </c>
      <c r="K62" s="110">
        <f t="shared" si="19"/>
        <v>831.59259684136543</v>
      </c>
      <c r="L62" s="110">
        <f t="shared" si="19"/>
        <v>571.6303619815601</v>
      </c>
      <c r="M62" s="110">
        <f t="shared" si="19"/>
        <v>831.59259684136543</v>
      </c>
      <c r="N62" s="110">
        <f t="shared" si="19"/>
        <v>571.6303619815601</v>
      </c>
      <c r="O62" s="110">
        <f t="shared" si="19"/>
        <v>831.59259684136543</v>
      </c>
      <c r="P62" s="110">
        <f t="shared" si="19"/>
        <v>571.6303619815601</v>
      </c>
      <c r="Q62" s="110">
        <f t="shared" si="19"/>
        <v>997.90601089801714</v>
      </c>
      <c r="R62" s="110">
        <f t="shared" si="19"/>
        <v>737.94377603821181</v>
      </c>
      <c r="S62" s="110">
        <f t="shared" si="19"/>
        <v>997.90601089801714</v>
      </c>
      <c r="T62" s="110">
        <f t="shared" si="19"/>
        <v>737.94377603821181</v>
      </c>
      <c r="U62" s="110">
        <f t="shared" si="19"/>
        <v>2.5526558106592274E-2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772.60540735285258</v>
      </c>
      <c r="Z62" s="110">
        <f t="shared" si="19"/>
        <v>963.24437958337649</v>
      </c>
      <c r="AA62" s="110">
        <f t="shared" si="19"/>
        <v>772.60540735285258</v>
      </c>
      <c r="AB62" s="110">
        <f t="shared" si="19"/>
        <v>963.24437958337649</v>
      </c>
      <c r="AC62" s="110">
        <f t="shared" si="19"/>
        <v>606.29199329620076</v>
      </c>
      <c r="AD62" s="110">
        <f t="shared" si="19"/>
        <v>796.93096552672478</v>
      </c>
      <c r="AE62" s="110">
        <f t="shared" si="19"/>
        <v>606.29199329620076</v>
      </c>
      <c r="AF62" s="110">
        <f t="shared" si="19"/>
        <v>796.93096552672478</v>
      </c>
      <c r="AG62" s="110">
        <f t="shared" si="19"/>
        <v>606.29199329620076</v>
      </c>
      <c r="AH62" s="110">
        <f t="shared" si="19"/>
        <v>0</v>
      </c>
      <c r="AI62" s="110">
        <f t="shared" si="19"/>
        <v>1403.2229588229254</v>
      </c>
      <c r="AJ62" s="110">
        <f t="shared" si="19"/>
        <v>831.59259684136543</v>
      </c>
      <c r="AK62" s="110">
        <f t="shared" si="19"/>
        <v>737.94377603821181</v>
      </c>
      <c r="AL62" s="110">
        <f t="shared" si="19"/>
        <v>997.90601089801714</v>
      </c>
      <c r="AM62" s="110">
        <f t="shared" si="19"/>
        <v>737.94377603821181</v>
      </c>
      <c r="AN62" s="110">
        <f t="shared" si="19"/>
        <v>997.90601089801714</v>
      </c>
      <c r="AO62" s="110">
        <f t="shared" si="19"/>
        <v>571.6303619815601</v>
      </c>
      <c r="AP62" s="110">
        <f t="shared" si="19"/>
        <v>831.59259684136543</v>
      </c>
      <c r="AQ62" s="110">
        <f t="shared" si="19"/>
        <v>571.6303619815601</v>
      </c>
      <c r="AR62" s="110">
        <f t="shared" si="19"/>
        <v>0</v>
      </c>
      <c r="AS62" s="110">
        <f t="shared" si="19"/>
        <v>1403.2229588229254</v>
      </c>
      <c r="AT62" s="110">
        <f t="shared" si="19"/>
        <v>831.59259684136543</v>
      </c>
      <c r="AU62" s="110">
        <f t="shared" si="19"/>
        <v>571.6303619815601</v>
      </c>
      <c r="AV62" s="110">
        <f t="shared" si="19"/>
        <v>831.59259684136543</v>
      </c>
      <c r="AW62" s="110">
        <f t="shared" si="19"/>
        <v>571.6303619815601</v>
      </c>
      <c r="AX62" s="110">
        <f t="shared" si="19"/>
        <v>831.59259684136543</v>
      </c>
      <c r="AY62" s="110">
        <f t="shared" si="19"/>
        <v>571.6303619815601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1</v>
      </c>
      <c r="G63" s="110">
        <v>1</v>
      </c>
      <c r="H63" s="110">
        <v>3</v>
      </c>
      <c r="I63" s="110">
        <v>1</v>
      </c>
      <c r="J63" s="110">
        <v>1</v>
      </c>
      <c r="K63" s="110">
        <v>2</v>
      </c>
      <c r="L63" s="110">
        <v>2</v>
      </c>
      <c r="M63" s="110">
        <v>1</v>
      </c>
      <c r="N63" s="110">
        <v>1</v>
      </c>
      <c r="O63" s="110">
        <v>1</v>
      </c>
      <c r="P63" s="110">
        <v>2</v>
      </c>
      <c r="Q63" s="110">
        <v>2</v>
      </c>
      <c r="R63" s="110">
        <v>2</v>
      </c>
      <c r="S63" s="110">
        <v>3</v>
      </c>
      <c r="T63" s="110">
        <v>1</v>
      </c>
      <c r="U63" s="110">
        <v>1</v>
      </c>
      <c r="V63" s="110">
        <v>2</v>
      </c>
      <c r="W63" s="110">
        <v>1</v>
      </c>
      <c r="X63" s="110">
        <v>2</v>
      </c>
      <c r="Y63" s="110">
        <v>1</v>
      </c>
      <c r="Z63" s="110">
        <v>2</v>
      </c>
      <c r="AA63" s="110">
        <v>2</v>
      </c>
      <c r="AB63" s="110">
        <v>2</v>
      </c>
      <c r="AC63" s="110">
        <v>2</v>
      </c>
      <c r="AD63" s="110">
        <v>1</v>
      </c>
      <c r="AE63" s="110">
        <v>1</v>
      </c>
      <c r="AF63" s="110">
        <v>1</v>
      </c>
      <c r="AG63" s="110">
        <v>1</v>
      </c>
      <c r="AH63" s="110">
        <v>2</v>
      </c>
      <c r="AI63" s="110">
        <v>1</v>
      </c>
      <c r="AJ63" s="110">
        <v>1</v>
      </c>
      <c r="AK63" s="110">
        <v>3</v>
      </c>
      <c r="AL63" s="110">
        <v>2</v>
      </c>
      <c r="AM63" s="110">
        <v>1</v>
      </c>
      <c r="AN63" s="110">
        <v>1</v>
      </c>
      <c r="AO63" s="110">
        <v>1</v>
      </c>
      <c r="AP63" s="110">
        <v>1</v>
      </c>
      <c r="AQ63" s="110">
        <v>1</v>
      </c>
      <c r="AR63" s="110">
        <v>1</v>
      </c>
      <c r="AS63" s="110">
        <v>2</v>
      </c>
      <c r="AT63" s="110">
        <v>1</v>
      </c>
      <c r="AU63" s="110">
        <v>1</v>
      </c>
      <c r="AV63" s="110">
        <v>3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17820</v>
      </c>
      <c r="W64" s="110">
        <v>17820</v>
      </c>
      <c r="X64" s="110">
        <v>17820</v>
      </c>
      <c r="Y64" s="110">
        <v>231660</v>
      </c>
      <c r="Z64" s="110">
        <v>35640</v>
      </c>
      <c r="AA64" s="110">
        <v>231660</v>
      </c>
      <c r="AB64" s="110">
        <v>35640</v>
      </c>
      <c r="AC64" s="110">
        <v>231660</v>
      </c>
      <c r="AD64" s="110">
        <v>35640</v>
      </c>
      <c r="AE64" s="110">
        <v>231660</v>
      </c>
      <c r="AF64" s="110">
        <v>35640</v>
      </c>
      <c r="AG64" s="110">
        <v>231660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6165720</v>
      </c>
    </row>
    <row r="65" spans="1:52">
      <c r="A65" s="125"/>
      <c r="B65" s="140" t="s">
        <v>351</v>
      </c>
      <c r="C65" s="125"/>
      <c r="D65" s="125">
        <v>317815.54157132807</v>
      </c>
      <c r="E65" s="125">
        <v>555789.63856352214</v>
      </c>
      <c r="F65" s="125">
        <v>411002.13856352214</v>
      </c>
      <c r="G65" s="125">
        <v>555789.63856352214</v>
      </c>
      <c r="H65" s="125">
        <v>411002.13856352214</v>
      </c>
      <c r="I65" s="125">
        <v>463160.40166411793</v>
      </c>
      <c r="J65" s="125">
        <v>318372.90166411793</v>
      </c>
      <c r="K65" s="125">
        <v>463160.40166411793</v>
      </c>
      <c r="L65" s="125">
        <v>318372.90166411793</v>
      </c>
      <c r="M65" s="125">
        <v>463160.40166411793</v>
      </c>
      <c r="N65" s="125">
        <v>318372.90166411793</v>
      </c>
      <c r="O65" s="125">
        <v>463160.40166411793</v>
      </c>
      <c r="P65" s="125">
        <v>318372.90166411793</v>
      </c>
      <c r="Q65" s="125">
        <v>555789.63856352214</v>
      </c>
      <c r="R65" s="125">
        <v>411002.13856352214</v>
      </c>
      <c r="S65" s="125">
        <v>555789.63856352214</v>
      </c>
      <c r="T65" s="125">
        <v>411002.13856352214</v>
      </c>
      <c r="U65" s="125">
        <v>14.217167096795425</v>
      </c>
      <c r="V65" s="125">
        <v>0</v>
      </c>
      <c r="W65" s="125">
        <v>0</v>
      </c>
      <c r="X65" s="125">
        <v>0</v>
      </c>
      <c r="Y65" s="125">
        <v>430307.13856352214</v>
      </c>
      <c r="Z65" s="125">
        <v>536484.63856352214</v>
      </c>
      <c r="AA65" s="125">
        <v>430307.13856352214</v>
      </c>
      <c r="AB65" s="125">
        <v>536484.63856352214</v>
      </c>
      <c r="AC65" s="125">
        <v>337677.90166411793</v>
      </c>
      <c r="AD65" s="125">
        <v>443855.40166411793</v>
      </c>
      <c r="AE65" s="125">
        <v>337677.90166411793</v>
      </c>
      <c r="AF65" s="125">
        <v>443855.40166411793</v>
      </c>
      <c r="AG65" s="125">
        <v>337677.90166411793</v>
      </c>
      <c r="AH65" s="125">
        <v>0</v>
      </c>
      <c r="AI65" s="125">
        <v>781533.30332823587</v>
      </c>
      <c r="AJ65" s="125">
        <v>463160.40166411793</v>
      </c>
      <c r="AK65" s="125">
        <v>411002.13856352214</v>
      </c>
      <c r="AL65" s="125">
        <v>555789.63856352214</v>
      </c>
      <c r="AM65" s="125">
        <v>411002.13856352214</v>
      </c>
      <c r="AN65" s="125">
        <v>555789.63856352214</v>
      </c>
      <c r="AO65" s="125">
        <v>318372.90166411793</v>
      </c>
      <c r="AP65" s="125">
        <v>463160.40166411793</v>
      </c>
      <c r="AQ65" s="125">
        <v>318372.90166411793</v>
      </c>
      <c r="AR65" s="125">
        <v>0</v>
      </c>
      <c r="AS65" s="125">
        <v>781533.30332823587</v>
      </c>
      <c r="AT65" s="125">
        <v>463160.40166411793</v>
      </c>
      <c r="AU65" s="125">
        <v>318372.90166411793</v>
      </c>
      <c r="AV65" s="125">
        <v>463160.40166411793</v>
      </c>
      <c r="AW65" s="125">
        <v>318372.90166411793</v>
      </c>
      <c r="AX65" s="125">
        <v>463160.40166411793</v>
      </c>
      <c r="AY65" s="125">
        <v>318372.90166411793</v>
      </c>
      <c r="AZ65" s="100">
        <f>SUM($D$65:$AY$65)</f>
        <v>18549774.82068596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197.02015937187835</v>
      </c>
      <c r="E9" s="117">
        <v>197.02015937187835</v>
      </c>
      <c r="F9" s="117">
        <v>197.02015937187835</v>
      </c>
      <c r="G9" s="117">
        <v>197.02015937187835</v>
      </c>
      <c r="H9" s="117">
        <v>197.02015937187835</v>
      </c>
      <c r="I9" s="117">
        <v>197.02015937187835</v>
      </c>
      <c r="J9" s="117">
        <v>197.02015937187835</v>
      </c>
      <c r="K9" s="117">
        <v>197.02015937187835</v>
      </c>
      <c r="L9" s="117">
        <v>197.02015937187835</v>
      </c>
      <c r="M9" s="117">
        <v>197.02015937187835</v>
      </c>
      <c r="N9" s="117">
        <v>197.02015937187835</v>
      </c>
      <c r="O9" s="117">
        <v>197.02015937187835</v>
      </c>
      <c r="P9" s="117">
        <v>197.02015937187835</v>
      </c>
      <c r="Q9" s="117">
        <v>197.02015937187835</v>
      </c>
      <c r="R9" s="117">
        <v>197.02015937187835</v>
      </c>
      <c r="S9" s="117">
        <v>197.02015937187835</v>
      </c>
      <c r="T9" s="117">
        <v>197.02015937187835</v>
      </c>
      <c r="U9" s="117">
        <v>197.02015937187835</v>
      </c>
      <c r="V9" s="117">
        <v>197.02015937187835</v>
      </c>
      <c r="W9" s="117">
        <v>197.02015937187835</v>
      </c>
      <c r="X9" s="117">
        <v>157.6161274975027</v>
      </c>
      <c r="Y9" s="117">
        <v>157.6161274975027</v>
      </c>
      <c r="Z9" s="117">
        <v>157.6161274975027</v>
      </c>
      <c r="AA9" s="117">
        <v>157.6161274975027</v>
      </c>
      <c r="AB9" s="117">
        <v>197.02015937187835</v>
      </c>
      <c r="AC9" s="117">
        <v>197.02015937187835</v>
      </c>
      <c r="AD9" s="117">
        <v>197.02015937187835</v>
      </c>
      <c r="AE9" s="117">
        <v>197.02015937187835</v>
      </c>
      <c r="AF9" s="117">
        <v>197.02015937187835</v>
      </c>
      <c r="AG9" s="117">
        <v>197.02015937187835</v>
      </c>
      <c r="AH9" s="117">
        <v>197.02015937187835</v>
      </c>
      <c r="AI9" s="117">
        <v>197.02015937187835</v>
      </c>
      <c r="AJ9" s="117">
        <v>197.02015937187835</v>
      </c>
      <c r="AK9" s="117">
        <v>197.02015937187835</v>
      </c>
      <c r="AL9" s="117">
        <v>197.02015937187835</v>
      </c>
      <c r="AM9" s="117">
        <v>197.02015937187835</v>
      </c>
      <c r="AN9" s="117">
        <v>157.6161274975027</v>
      </c>
      <c r="AO9" s="117">
        <v>157.6161274975027</v>
      </c>
      <c r="AP9" s="117">
        <v>157.6161274975027</v>
      </c>
      <c r="AQ9" s="117">
        <v>157.6161274975027</v>
      </c>
      <c r="AR9" s="117">
        <v>197.02015937187835</v>
      </c>
      <c r="AS9" s="117">
        <v>197.02015937187835</v>
      </c>
      <c r="AT9" s="117">
        <v>197.02015937187835</v>
      </c>
      <c r="AU9" s="117">
        <v>197.02015937187835</v>
      </c>
      <c r="AV9" s="117">
        <v>197.02015937187835</v>
      </c>
      <c r="AW9" s="117">
        <v>197.02015937187835</v>
      </c>
      <c r="AX9" s="117">
        <v>197.02015937187835</v>
      </c>
      <c r="AY9" s="117">
        <v>197.02015937187835</v>
      </c>
    </row>
    <row r="10" spans="1:53">
      <c r="A10" s="118" t="s">
        <v>133</v>
      </c>
      <c r="B10" s="119">
        <v>1</v>
      </c>
      <c r="C10" s="106" t="s">
        <v>293</v>
      </c>
      <c r="D10" s="100">
        <v>113.78573438528754</v>
      </c>
      <c r="E10" s="100">
        <v>114.29983964172132</v>
      </c>
      <c r="F10" s="100">
        <v>114.29983964172192</v>
      </c>
      <c r="G10" s="100">
        <v>68.335249339238601</v>
      </c>
      <c r="H10" s="100">
        <v>0</v>
      </c>
      <c r="I10" s="100">
        <v>182.63508898096052</v>
      </c>
      <c r="J10" s="100">
        <v>114.2998396417219</v>
      </c>
      <c r="K10" s="100">
        <v>171.2461720950968</v>
      </c>
      <c r="L10" s="100">
        <v>171.2461720950968</v>
      </c>
      <c r="M10" s="100">
        <v>114.29983964172192</v>
      </c>
      <c r="N10" s="100">
        <v>56.946332453374886</v>
      </c>
      <c r="O10" s="100">
        <v>171.2461720950968</v>
      </c>
      <c r="P10" s="100">
        <v>171.2461720950968</v>
      </c>
      <c r="Q10" s="100">
        <v>114.29983964172192</v>
      </c>
      <c r="R10" s="100">
        <v>182.63508898096052</v>
      </c>
      <c r="S10" s="100">
        <v>68.335249339238601</v>
      </c>
      <c r="T10" s="100">
        <v>182.63508898096052</v>
      </c>
      <c r="U10" s="100">
        <v>0</v>
      </c>
      <c r="V10" s="100">
        <v>114.29983964172192</v>
      </c>
      <c r="W10" s="100">
        <v>114.30158766577821</v>
      </c>
      <c r="X10" s="100">
        <v>114.30158766577823</v>
      </c>
      <c r="Y10" s="100">
        <v>114.30158766577821</v>
      </c>
      <c r="Z10" s="100">
        <v>114.29983964172192</v>
      </c>
      <c r="AA10" s="100">
        <v>114.2998396417219</v>
      </c>
      <c r="AB10" s="100">
        <v>182.63508898096052</v>
      </c>
      <c r="AC10" s="100">
        <v>114.2998396417219</v>
      </c>
      <c r="AD10" s="100">
        <v>114.29983964172192</v>
      </c>
      <c r="AE10" s="100">
        <v>0</v>
      </c>
      <c r="AF10" s="100">
        <v>171.2461720950968</v>
      </c>
      <c r="AG10" s="100">
        <v>114.2998396417219</v>
      </c>
      <c r="AH10" s="100">
        <v>171.2461720950968</v>
      </c>
      <c r="AI10" s="100">
        <v>114.2998396417219</v>
      </c>
      <c r="AJ10" s="100">
        <v>114.29983964172192</v>
      </c>
      <c r="AK10" s="100">
        <v>0</v>
      </c>
      <c r="AL10" s="100">
        <v>182.63508898096052</v>
      </c>
      <c r="AM10" s="100">
        <v>114.2998396417219</v>
      </c>
      <c r="AN10" s="100">
        <v>114.29983964172192</v>
      </c>
      <c r="AO10" s="100">
        <v>114.2998396417219</v>
      </c>
      <c r="AP10" s="100">
        <v>171.2461720950968</v>
      </c>
      <c r="AQ10" s="100">
        <v>56.946332453374886</v>
      </c>
      <c r="AR10" s="100">
        <v>114.29983964172192</v>
      </c>
      <c r="AS10" s="100">
        <v>114.2998396417219</v>
      </c>
      <c r="AT10" s="100">
        <v>228.19250454847167</v>
      </c>
      <c r="AU10" s="100">
        <v>114.2998396417219</v>
      </c>
      <c r="AV10" s="100">
        <v>114.29983964172192</v>
      </c>
      <c r="AW10" s="100">
        <v>56.946332453374886</v>
      </c>
      <c r="AX10" s="100">
        <v>171.2461720950968</v>
      </c>
      <c r="AY10" s="100">
        <v>171.2461720950968</v>
      </c>
      <c r="AZ10" s="100">
        <v>171.2461720950968</v>
      </c>
    </row>
    <row r="11" spans="1:53">
      <c r="B11" s="119">
        <v>2</v>
      </c>
      <c r="C11" s="106" t="s">
        <v>293</v>
      </c>
      <c r="E11" s="100">
        <v>56.348780569014792</v>
      </c>
      <c r="F11" s="100">
        <v>56.877804114107931</v>
      </c>
      <c r="I11" s="100">
        <v>68.335249339238601</v>
      </c>
      <c r="J11" s="100">
        <v>0</v>
      </c>
      <c r="K11" s="100">
        <v>56.946332453374886</v>
      </c>
      <c r="N11" s="100">
        <v>56.946332453374886</v>
      </c>
      <c r="R11" s="100">
        <v>56.946332453374886</v>
      </c>
      <c r="U11" s="100">
        <v>0</v>
      </c>
      <c r="V11" s="100">
        <v>68.335249339238601</v>
      </c>
      <c r="W11" s="100">
        <v>1.7480240563104632E-3</v>
      </c>
      <c r="AA11" s="100">
        <v>68.335249339238601</v>
      </c>
      <c r="AD11" s="100">
        <v>68.335249339238601</v>
      </c>
      <c r="AE11" s="100">
        <v>56.946332453374886</v>
      </c>
      <c r="AF11" s="100">
        <v>171.2461720950968</v>
      </c>
      <c r="AH11" s="100">
        <v>56.946332453374886</v>
      </c>
      <c r="AI11" s="100">
        <v>0</v>
      </c>
      <c r="AK11" s="100">
        <v>113.89266490674977</v>
      </c>
      <c r="AL11" s="100">
        <v>56.946332453374886</v>
      </c>
      <c r="AN11" s="100">
        <v>68.335249339238601</v>
      </c>
      <c r="AO11" s="100">
        <v>68.335249339238601</v>
      </c>
      <c r="AP11" s="100">
        <v>68.335249339238601</v>
      </c>
      <c r="AR11" s="100">
        <v>114.2998396417219</v>
      </c>
      <c r="AV11" s="100">
        <v>56.946332453374886</v>
      </c>
      <c r="AW11" s="100">
        <v>56.946332453374886</v>
      </c>
      <c r="AX11" s="100">
        <v>114.2998396417219</v>
      </c>
      <c r="BA11" s="100">
        <v>0</v>
      </c>
    </row>
    <row r="12" spans="1:53">
      <c r="B12" s="120">
        <v>3</v>
      </c>
      <c r="C12" s="106" t="s">
        <v>293</v>
      </c>
      <c r="F12" s="100">
        <v>0</v>
      </c>
      <c r="H12" s="100">
        <v>68.335249339238601</v>
      </c>
      <c r="I12" s="100">
        <v>114.2998396417219</v>
      </c>
      <c r="P12" s="100">
        <v>114.2998396417219</v>
      </c>
      <c r="Q12" s="100">
        <v>0</v>
      </c>
      <c r="W12" s="100">
        <v>114.2998396417219</v>
      </c>
      <c r="AC12" s="100">
        <v>68.335249339238601</v>
      </c>
      <c r="AK12" s="100">
        <v>0</v>
      </c>
      <c r="AT12" s="100">
        <v>56.946332453374886</v>
      </c>
      <c r="AU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71.741619442491597</v>
      </c>
      <c r="E14" s="117">
        <f t="shared" ref="E14:AZ14" si="0">D$172*SUM(D$122:D$169)</f>
        <v>51.782470054813608</v>
      </c>
      <c r="F14" s="117">
        <f t="shared" si="0"/>
        <v>72.17990074198346</v>
      </c>
      <c r="G14" s="117">
        <f t="shared" si="0"/>
        <v>72.037780149179341</v>
      </c>
      <c r="H14" s="117">
        <f t="shared" si="0"/>
        <v>29.308032804459486</v>
      </c>
      <c r="I14" s="117">
        <f t="shared" si="0"/>
        <v>29.308032804459486</v>
      </c>
      <c r="J14" s="117">
        <f t="shared" si="0"/>
        <v>153.89541278063297</v>
      </c>
      <c r="K14" s="117">
        <f t="shared" si="0"/>
        <v>83.134042122767767</v>
      </c>
      <c r="L14" s="117">
        <f t="shared" si="0"/>
        <v>104.62951917198991</v>
      </c>
      <c r="M14" s="117">
        <f t="shared" si="0"/>
        <v>80.847823575778676</v>
      </c>
      <c r="N14" s="117">
        <f t="shared" si="0"/>
        <v>58.077925641424549</v>
      </c>
      <c r="O14" s="117">
        <f t="shared" si="0"/>
        <v>48.842965401798423</v>
      </c>
      <c r="P14" s="117">
        <f t="shared" si="0"/>
        <v>72.06716496989209</v>
      </c>
      <c r="Q14" s="117">
        <f t="shared" si="0"/>
        <v>121.26957716829651</v>
      </c>
      <c r="R14" s="117">
        <f t="shared" si="0"/>
        <v>73.215200875888399</v>
      </c>
      <c r="S14" s="117">
        <f t="shared" si="0"/>
        <v>101.3691890912157</v>
      </c>
      <c r="T14" s="117">
        <f t="shared" si="0"/>
        <v>30.478163906123378</v>
      </c>
      <c r="U14" s="117">
        <f t="shared" si="0"/>
        <v>76.950710731884428</v>
      </c>
      <c r="V14" s="117">
        <f t="shared" si="0"/>
        <v>6.0086831358658055E-3</v>
      </c>
      <c r="W14" s="117">
        <f t="shared" si="0"/>
        <v>76.950710731884428</v>
      </c>
      <c r="X14" s="117">
        <f t="shared" si="0"/>
        <v>95.292863636724903</v>
      </c>
      <c r="Y14" s="117">
        <f t="shared" si="0"/>
        <v>47.705339759783207</v>
      </c>
      <c r="Z14" s="117">
        <f t="shared" si="0"/>
        <v>47.649436159930382</v>
      </c>
      <c r="AA14" s="117">
        <f t="shared" si="0"/>
        <v>47.648686610560802</v>
      </c>
      <c r="AB14" s="117">
        <f t="shared" si="0"/>
        <v>76.950710731884428</v>
      </c>
      <c r="AC14" s="117">
        <f t="shared" si="0"/>
        <v>76.950710731884428</v>
      </c>
      <c r="AD14" s="117">
        <f t="shared" si="0"/>
        <v>76.950710731884428</v>
      </c>
      <c r="AE14" s="117">
        <f t="shared" si="0"/>
        <v>76.950710731884428</v>
      </c>
      <c r="AF14" s="117">
        <f t="shared" si="0"/>
        <v>24.424487042467142</v>
      </c>
      <c r="AG14" s="117">
        <f t="shared" si="0"/>
        <v>144.12832125664832</v>
      </c>
      <c r="AH14" s="117">
        <f t="shared" si="0"/>
        <v>61.440889053593239</v>
      </c>
      <c r="AI14" s="117">
        <f t="shared" si="0"/>
        <v>96.485643329223365</v>
      </c>
      <c r="AJ14" s="117">
        <f t="shared" si="0"/>
        <v>47.648686610560802</v>
      </c>
      <c r="AK14" s="117">
        <f t="shared" si="0"/>
        <v>47.648686610560802</v>
      </c>
      <c r="AL14" s="117">
        <f t="shared" si="0"/>
        <v>48.842965401798416</v>
      </c>
      <c r="AM14" s="117">
        <f t="shared" si="0"/>
        <v>101.3691890912157</v>
      </c>
      <c r="AN14" s="117">
        <f t="shared" si="0"/>
        <v>47.648686610560809</v>
      </c>
      <c r="AO14" s="117">
        <f t="shared" si="0"/>
        <v>76.950710731884428</v>
      </c>
      <c r="AP14" s="117">
        <f t="shared" si="0"/>
        <v>76.950710731884428</v>
      </c>
      <c r="AQ14" s="117">
        <f t="shared" si="0"/>
        <v>106.64446364184407</v>
      </c>
      <c r="AR14" s="117">
        <f t="shared" si="0"/>
        <v>32.228990998573131</v>
      </c>
      <c r="AS14" s="117">
        <f t="shared" si="0"/>
        <v>95.291364537985743</v>
      </c>
      <c r="AT14" s="117">
        <f t="shared" si="0"/>
        <v>64.582597855517506</v>
      </c>
      <c r="AU14" s="117">
        <f t="shared" si="0"/>
        <v>120.90412168855465</v>
      </c>
      <c r="AV14" s="117">
        <f t="shared" si="0"/>
        <v>65.301659824722663</v>
      </c>
      <c r="AW14" s="117">
        <f t="shared" si="0"/>
        <v>72.06716496989209</v>
      </c>
      <c r="AX14" s="117">
        <f t="shared" si="0"/>
        <v>48.842965401798423</v>
      </c>
      <c r="AY14" s="117">
        <f t="shared" si="0"/>
        <v>119.709842897317</v>
      </c>
      <c r="AZ14" s="110">
        <f t="shared" si="0"/>
        <v>79.694719304267011</v>
      </c>
      <c r="BA14" s="107">
        <f>SUM($E14:$AZ14)</f>
        <v>3461.256668093014</v>
      </c>
    </row>
    <row r="15" spans="1:53">
      <c r="A15" s="122" t="s">
        <v>123</v>
      </c>
      <c r="B15" s="123">
        <v>1</v>
      </c>
      <c r="C15" s="124" t="s">
        <v>293</v>
      </c>
      <c r="D15" s="124">
        <v>118.00923878718373</v>
      </c>
      <c r="E15" s="124">
        <v>117.63400978624867</v>
      </c>
      <c r="F15" s="124">
        <v>117.63400978624925</v>
      </c>
      <c r="G15" s="124">
        <v>72.355014649477752</v>
      </c>
      <c r="H15" s="124">
        <v>1.4834102282480312E-2</v>
      </c>
      <c r="I15" s="124">
        <v>189.97419033344454</v>
      </c>
      <c r="J15" s="124">
        <v>117.63400978624925</v>
      </c>
      <c r="K15" s="124">
        <v>177.91780198735992</v>
      </c>
      <c r="L15" s="124">
        <v>177.91780198735992</v>
      </c>
      <c r="M15" s="124">
        <v>117.63400978624925</v>
      </c>
      <c r="N15" s="124">
        <v>60.298626303393142</v>
      </c>
      <c r="O15" s="124">
        <v>177.91780198735992</v>
      </c>
      <c r="P15" s="124">
        <v>177.91780198735992</v>
      </c>
      <c r="Q15" s="124">
        <v>117.63400978624925</v>
      </c>
      <c r="R15" s="124">
        <v>189.97419033344454</v>
      </c>
      <c r="S15" s="124">
        <v>72.355014649477752</v>
      </c>
      <c r="T15" s="124">
        <v>189.97419033344454</v>
      </c>
      <c r="U15" s="124">
        <v>1.4834102282480312E-2</v>
      </c>
      <c r="V15" s="124">
        <v>117.63400978624925</v>
      </c>
      <c r="W15" s="124">
        <v>117.63586025693688</v>
      </c>
      <c r="X15" s="124">
        <v>117.63586025693688</v>
      </c>
      <c r="Y15" s="124">
        <v>117.63586025693688</v>
      </c>
      <c r="Z15" s="124">
        <v>117.63400978624925</v>
      </c>
      <c r="AA15" s="124">
        <v>117.63400978624925</v>
      </c>
      <c r="AB15" s="124">
        <v>189.97419033344454</v>
      </c>
      <c r="AC15" s="124">
        <v>117.63400978624925</v>
      </c>
      <c r="AD15" s="124">
        <v>117.63400978624925</v>
      </c>
      <c r="AE15" s="124">
        <v>1.4834102282480312E-2</v>
      </c>
      <c r="AF15" s="124">
        <v>177.91780198735992</v>
      </c>
      <c r="AG15" s="124">
        <v>117.63400978624925</v>
      </c>
      <c r="AH15" s="124">
        <v>177.91780198735992</v>
      </c>
      <c r="AI15" s="124">
        <v>117.63400978624925</v>
      </c>
      <c r="AJ15" s="124">
        <v>117.63400978624925</v>
      </c>
      <c r="AK15" s="124">
        <v>1.4834102282480312E-2</v>
      </c>
      <c r="AL15" s="124">
        <v>189.97419033344454</v>
      </c>
      <c r="AM15" s="124">
        <v>117.63400978624925</v>
      </c>
      <c r="AN15" s="124">
        <v>117.63400978624925</v>
      </c>
      <c r="AO15" s="124">
        <v>117.63400978624925</v>
      </c>
      <c r="AP15" s="124">
        <v>177.91780198735992</v>
      </c>
      <c r="AQ15" s="124">
        <v>60.298626303393142</v>
      </c>
      <c r="AR15" s="124">
        <v>117.63400978624925</v>
      </c>
      <c r="AS15" s="124">
        <v>117.63400978624925</v>
      </c>
      <c r="AT15" s="124">
        <v>238.20159418847058</v>
      </c>
      <c r="AU15" s="124">
        <v>117.63400978624925</v>
      </c>
      <c r="AV15" s="124">
        <v>117.63400978624925</v>
      </c>
      <c r="AW15" s="124">
        <v>60.298626303393142</v>
      </c>
      <c r="AX15" s="124">
        <v>177.91780198735992</v>
      </c>
      <c r="AY15" s="124">
        <v>177.91780198735992</v>
      </c>
      <c r="AZ15" s="100">
        <v>177.90296788507743</v>
      </c>
    </row>
    <row r="16" spans="1:53">
      <c r="A16" s="110"/>
      <c r="B16" s="119">
        <v>2</v>
      </c>
      <c r="C16" s="109" t="s">
        <v>293</v>
      </c>
      <c r="D16" s="106"/>
      <c r="E16" s="110">
        <v>60.56211174905274</v>
      </c>
      <c r="F16" s="110">
        <v>60.211247614193873</v>
      </c>
      <c r="G16" s="110"/>
      <c r="H16" s="110"/>
      <c r="I16" s="110">
        <v>72.340180547195274</v>
      </c>
      <c r="J16" s="110">
        <v>0</v>
      </c>
      <c r="K16" s="110">
        <v>60.283792201110664</v>
      </c>
      <c r="L16" s="110"/>
      <c r="M16" s="110"/>
      <c r="N16" s="110">
        <v>60.283792201110664</v>
      </c>
      <c r="O16" s="110"/>
      <c r="P16" s="110"/>
      <c r="Q16" s="110"/>
      <c r="R16" s="110">
        <v>60.283792201110664</v>
      </c>
      <c r="S16" s="110"/>
      <c r="T16" s="110"/>
      <c r="U16" s="110">
        <v>0</v>
      </c>
      <c r="V16" s="110">
        <v>72.340180547195274</v>
      </c>
      <c r="W16" s="110">
        <v>1.850470687632798E-3</v>
      </c>
      <c r="X16" s="110"/>
      <c r="Y16" s="110"/>
      <c r="Z16" s="110"/>
      <c r="AA16" s="110">
        <v>72.340180547195274</v>
      </c>
      <c r="AB16" s="110"/>
      <c r="AC16" s="110"/>
      <c r="AD16" s="110">
        <v>72.340180547195274</v>
      </c>
      <c r="AE16" s="110">
        <v>60.283792201110664</v>
      </c>
      <c r="AF16" s="110">
        <v>177.90296788507743</v>
      </c>
      <c r="AG16" s="110"/>
      <c r="AH16" s="110">
        <v>60.283792201110664</v>
      </c>
      <c r="AI16" s="110">
        <v>0</v>
      </c>
      <c r="AJ16" s="110"/>
      <c r="AK16" s="110">
        <v>120.56758440222133</v>
      </c>
      <c r="AL16" s="110">
        <v>60.283792201110664</v>
      </c>
      <c r="AM16" s="110"/>
      <c r="AN16" s="110">
        <v>72.340180547195274</v>
      </c>
      <c r="AO16" s="110">
        <v>72.340180547195274</v>
      </c>
      <c r="AP16" s="110">
        <v>72.340180547195274</v>
      </c>
      <c r="AQ16" s="110"/>
      <c r="AR16" s="110">
        <v>117.61917568396677</v>
      </c>
      <c r="AS16" s="110"/>
      <c r="AT16" s="110"/>
      <c r="AU16" s="110"/>
      <c r="AV16" s="110">
        <v>60.283792201110664</v>
      </c>
      <c r="AW16" s="110">
        <v>60.283792201110664</v>
      </c>
      <c r="AX16" s="110">
        <v>117.61917568396677</v>
      </c>
      <c r="AY16" s="110"/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>
        <v>72.340180547195274</v>
      </c>
      <c r="I17" s="110">
        <v>117.61917568396677</v>
      </c>
      <c r="J17" s="110"/>
      <c r="K17" s="110"/>
      <c r="L17" s="110"/>
      <c r="M17" s="110"/>
      <c r="N17" s="110"/>
      <c r="O17" s="110"/>
      <c r="P17" s="110">
        <v>117.61917568396677</v>
      </c>
      <c r="Q17" s="110">
        <v>0</v>
      </c>
      <c r="R17" s="110"/>
      <c r="S17" s="110"/>
      <c r="T17" s="110"/>
      <c r="U17" s="110"/>
      <c r="V17" s="110"/>
      <c r="W17" s="110">
        <v>117.61917568396677</v>
      </c>
      <c r="X17" s="110"/>
      <c r="Y17" s="110"/>
      <c r="Z17" s="110"/>
      <c r="AA17" s="110"/>
      <c r="AB17" s="110"/>
      <c r="AC17" s="110">
        <v>72.340180547195274</v>
      </c>
      <c r="AD17" s="110"/>
      <c r="AE17" s="110"/>
      <c r="AF17" s="110"/>
      <c r="AG17" s="110"/>
      <c r="AH17" s="110"/>
      <c r="AI17" s="110"/>
      <c r="AJ17" s="110"/>
      <c r="AK17" s="110">
        <v>0</v>
      </c>
      <c r="AL17" s="110"/>
      <c r="AM17" s="110"/>
      <c r="AN17" s="110"/>
      <c r="AO17" s="110"/>
      <c r="AP17" s="110"/>
      <c r="AQ17" s="110"/>
      <c r="AR17" s="110"/>
      <c r="AS17" s="110"/>
      <c r="AT17" s="110">
        <v>60.283792201110664</v>
      </c>
      <c r="AU17" s="110">
        <v>0</v>
      </c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150.00000000000003</v>
      </c>
      <c r="D95" s="110">
        <v>197.02015937187835</v>
      </c>
      <c r="E95" s="110">
        <v>197.02015937187835</v>
      </c>
      <c r="F95" s="110">
        <v>197.02015937187835</v>
      </c>
      <c r="G95" s="110">
        <v>197.02015937187835</v>
      </c>
      <c r="H95" s="110">
        <v>197.02015937187835</v>
      </c>
      <c r="I95" s="110">
        <v>197.02015937187835</v>
      </c>
      <c r="J95" s="110">
        <v>197.02015937187835</v>
      </c>
      <c r="K95" s="110">
        <v>197.02015937187835</v>
      </c>
      <c r="L95" s="110">
        <v>197.02015937187835</v>
      </c>
      <c r="M95" s="110">
        <v>197.02015937187835</v>
      </c>
      <c r="N95" s="110">
        <v>197.02015937187835</v>
      </c>
      <c r="O95" s="110">
        <v>197.02015937187835</v>
      </c>
      <c r="P95" s="110">
        <v>197.02015937187835</v>
      </c>
      <c r="Q95" s="110">
        <v>197.02015937187835</v>
      </c>
      <c r="R95" s="110">
        <v>197.02015937187835</v>
      </c>
      <c r="S95" s="110">
        <v>197.02015937187835</v>
      </c>
      <c r="T95" s="110">
        <v>197.02015937187835</v>
      </c>
      <c r="U95" s="110">
        <v>197.02015937187835</v>
      </c>
      <c r="V95" s="110">
        <v>197.02015937187835</v>
      </c>
      <c r="W95" s="110">
        <v>197.02015937187835</v>
      </c>
      <c r="X95" s="110">
        <v>157.6161274975027</v>
      </c>
      <c r="Y95" s="110">
        <v>157.6161274975027</v>
      </c>
      <c r="Z95" s="110">
        <v>157.6161274975027</v>
      </c>
      <c r="AA95" s="110">
        <v>157.6161274975027</v>
      </c>
      <c r="AB95" s="110">
        <v>197.02015937187835</v>
      </c>
      <c r="AC95" s="110">
        <v>197.02015937187835</v>
      </c>
      <c r="AD95" s="110">
        <v>197.02015937187835</v>
      </c>
      <c r="AE95" s="110">
        <v>197.02015937187835</v>
      </c>
      <c r="AF95" s="110">
        <v>197.02015937187835</v>
      </c>
      <c r="AG95" s="110">
        <v>197.02015937187835</v>
      </c>
      <c r="AH95" s="110">
        <v>197.02015937187835</v>
      </c>
      <c r="AI95" s="110">
        <v>197.02015937187835</v>
      </c>
      <c r="AJ95" s="110">
        <v>197.02015937187835</v>
      </c>
      <c r="AK95" s="110">
        <v>197.02015937187835</v>
      </c>
      <c r="AL95" s="110">
        <v>197.02015937187835</v>
      </c>
      <c r="AM95" s="110">
        <v>197.02015937187835</v>
      </c>
      <c r="AN95" s="110">
        <v>157.6161274975027</v>
      </c>
      <c r="AO95" s="110">
        <v>157.6161274975027</v>
      </c>
      <c r="AP95" s="110">
        <v>157.6161274975027</v>
      </c>
      <c r="AQ95" s="110">
        <v>157.6161274975027</v>
      </c>
      <c r="AR95" s="110">
        <v>197.02015937187835</v>
      </c>
      <c r="AS95" s="110">
        <v>197.02015937187835</v>
      </c>
      <c r="AT95" s="110">
        <v>197.02015937187835</v>
      </c>
      <c r="AU95" s="110">
        <v>197.02015937187835</v>
      </c>
      <c r="AV95" s="110">
        <v>197.02015937187835</v>
      </c>
      <c r="AW95" s="110">
        <v>197.02015937187835</v>
      </c>
      <c r="AX95" s="110">
        <v>197.02015937187835</v>
      </c>
      <c r="AY95" s="110">
        <v>197.02015937187835</v>
      </c>
    </row>
    <row r="96" spans="1:52">
      <c r="A96" s="109"/>
      <c r="B96" s="120">
        <v>2</v>
      </c>
      <c r="C96" s="110">
        <v>150.00000000000003</v>
      </c>
      <c r="D96" s="110">
        <v>150.00000000000003</v>
      </c>
      <c r="E96" s="110">
        <v>197.02015937187835</v>
      </c>
      <c r="F96" s="110">
        <v>197.02015937187835</v>
      </c>
      <c r="G96" s="110">
        <v>197.02015937187835</v>
      </c>
      <c r="H96" s="110">
        <v>197.02015937187835</v>
      </c>
      <c r="I96" s="110">
        <v>197.02015937187835</v>
      </c>
      <c r="J96" s="110">
        <v>197.02015937187835</v>
      </c>
      <c r="K96" s="110">
        <v>197.02015937187835</v>
      </c>
      <c r="L96" s="110">
        <v>197.02015937187835</v>
      </c>
      <c r="M96" s="110">
        <v>197.02015937187835</v>
      </c>
      <c r="N96" s="110">
        <v>197.02015937187835</v>
      </c>
      <c r="O96" s="110">
        <v>197.02015937187835</v>
      </c>
      <c r="P96" s="110">
        <v>197.02015937187835</v>
      </c>
      <c r="Q96" s="110">
        <v>197.02015937187835</v>
      </c>
      <c r="R96" s="110">
        <v>197.02015937187835</v>
      </c>
      <c r="S96" s="110">
        <v>197.02015937187835</v>
      </c>
      <c r="T96" s="110">
        <v>197.02015937187835</v>
      </c>
      <c r="U96" s="110">
        <v>197.02015937187835</v>
      </c>
      <c r="V96" s="110">
        <v>197.02015937187835</v>
      </c>
      <c r="W96" s="110">
        <v>197.02015937187835</v>
      </c>
      <c r="X96" s="110">
        <v>197.02015937187835</v>
      </c>
      <c r="Y96" s="110">
        <v>157.6161274975027</v>
      </c>
      <c r="Z96" s="110">
        <v>157.6161274975027</v>
      </c>
      <c r="AA96" s="110">
        <v>157.6161274975027</v>
      </c>
      <c r="AB96" s="110">
        <v>157.6161274975027</v>
      </c>
      <c r="AC96" s="110">
        <v>197.02015937187835</v>
      </c>
      <c r="AD96" s="110">
        <v>197.02015937187835</v>
      </c>
      <c r="AE96" s="110">
        <v>197.02015937187835</v>
      </c>
      <c r="AF96" s="110">
        <v>197.02015937187835</v>
      </c>
      <c r="AG96" s="110">
        <v>197.02015937187835</v>
      </c>
      <c r="AH96" s="110">
        <v>197.02015937187835</v>
      </c>
      <c r="AI96" s="110">
        <v>197.02015937187835</v>
      </c>
      <c r="AJ96" s="110">
        <v>197.02015937187835</v>
      </c>
      <c r="AK96" s="110">
        <v>197.02015937187835</v>
      </c>
      <c r="AL96" s="110">
        <v>197.02015937187835</v>
      </c>
      <c r="AM96" s="110">
        <v>197.02015937187835</v>
      </c>
      <c r="AN96" s="110">
        <v>197.02015937187835</v>
      </c>
      <c r="AO96" s="110">
        <v>157.6161274975027</v>
      </c>
      <c r="AP96" s="110">
        <v>157.6161274975027</v>
      </c>
      <c r="AQ96" s="110">
        <v>157.6161274975027</v>
      </c>
      <c r="AR96" s="110">
        <v>157.6161274975027</v>
      </c>
      <c r="AS96" s="110">
        <v>197.02015937187835</v>
      </c>
      <c r="AT96" s="110">
        <v>197.02015937187835</v>
      </c>
      <c r="AU96" s="110">
        <v>197.02015937187835</v>
      </c>
      <c r="AV96" s="110">
        <v>197.02015937187835</v>
      </c>
      <c r="AW96" s="110">
        <v>197.02015937187835</v>
      </c>
      <c r="AX96" s="110">
        <v>197.02015937187835</v>
      </c>
      <c r="AY96" s="110">
        <v>197.02015937187835</v>
      </c>
    </row>
    <row r="97" spans="1:52">
      <c r="A97" s="109"/>
      <c r="B97" s="127">
        <v>3</v>
      </c>
      <c r="C97" s="110">
        <v>72.000000000000512</v>
      </c>
      <c r="D97" s="110">
        <v>27.00000000000054</v>
      </c>
      <c r="E97" s="110">
        <v>12.000000000000568</v>
      </c>
      <c r="F97" s="110">
        <v>92.020159371878918</v>
      </c>
      <c r="G97" s="110">
        <v>170.04031874375727</v>
      </c>
      <c r="H97" s="110">
        <v>197.02015937187835</v>
      </c>
      <c r="I97" s="110">
        <v>197.02015937187835</v>
      </c>
      <c r="J97" s="110">
        <v>197.02015937187835</v>
      </c>
      <c r="K97" s="110">
        <v>197.02015937187835</v>
      </c>
      <c r="L97" s="110">
        <v>197.02015937187835</v>
      </c>
      <c r="M97" s="110">
        <v>197.02015937187835</v>
      </c>
      <c r="N97" s="110">
        <v>197.02015937187835</v>
      </c>
      <c r="O97" s="110">
        <v>197.02015937187835</v>
      </c>
      <c r="P97" s="110">
        <v>197.02015937187835</v>
      </c>
      <c r="Q97" s="110">
        <v>197.02015937187835</v>
      </c>
      <c r="R97" s="110">
        <v>197.02015937187835</v>
      </c>
      <c r="S97" s="110">
        <v>197.02015937187835</v>
      </c>
      <c r="T97" s="110">
        <v>197.02015937187835</v>
      </c>
      <c r="U97" s="110">
        <v>197.02015937187835</v>
      </c>
      <c r="V97" s="110">
        <v>197.02015937187835</v>
      </c>
      <c r="W97" s="110">
        <v>197.02015937187835</v>
      </c>
      <c r="X97" s="110">
        <v>197.02015937187835</v>
      </c>
      <c r="Y97" s="110">
        <v>197.02015937187835</v>
      </c>
      <c r="Z97" s="110">
        <v>157.6161274975027</v>
      </c>
      <c r="AA97" s="110">
        <v>157.6161274975027</v>
      </c>
      <c r="AB97" s="110">
        <v>157.6161274975027</v>
      </c>
      <c r="AC97" s="110">
        <v>157.6161274975027</v>
      </c>
      <c r="AD97" s="110">
        <v>197.02015937187835</v>
      </c>
      <c r="AE97" s="110">
        <v>197.02015937187835</v>
      </c>
      <c r="AF97" s="110">
        <v>197.02015937187835</v>
      </c>
      <c r="AG97" s="110">
        <v>197.02015937187835</v>
      </c>
      <c r="AH97" s="110">
        <v>197.02015937187835</v>
      </c>
      <c r="AI97" s="110">
        <v>197.02015937187835</v>
      </c>
      <c r="AJ97" s="110">
        <v>197.02015937187835</v>
      </c>
      <c r="AK97" s="110">
        <v>197.02015937187835</v>
      </c>
      <c r="AL97" s="110">
        <v>197.02015937187835</v>
      </c>
      <c r="AM97" s="110">
        <v>197.02015937187835</v>
      </c>
      <c r="AN97" s="110">
        <v>197.02015937187835</v>
      </c>
      <c r="AO97" s="110">
        <v>197.02015937187835</v>
      </c>
      <c r="AP97" s="110">
        <v>157.6161274975027</v>
      </c>
      <c r="AQ97" s="110">
        <v>157.6161274975027</v>
      </c>
      <c r="AR97" s="110">
        <v>157.6161274975027</v>
      </c>
      <c r="AS97" s="110">
        <v>157.6161274975027</v>
      </c>
      <c r="AT97" s="110">
        <v>197.02015937187835</v>
      </c>
      <c r="AU97" s="110">
        <v>197.02015937187835</v>
      </c>
      <c r="AV97" s="110">
        <v>197.02015937187835</v>
      </c>
      <c r="AW97" s="110">
        <v>197.02015937187835</v>
      </c>
      <c r="AX97" s="110">
        <v>197.02015937187835</v>
      </c>
      <c r="AY97" s="110">
        <v>197.02015937187835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54.040318743757268</v>
      </c>
      <c r="I98" s="110">
        <v>130.06047811563562</v>
      </c>
      <c r="J98" s="110">
        <v>161.08063748751397</v>
      </c>
      <c r="K98" s="110">
        <v>189.10079685939232</v>
      </c>
      <c r="L98" s="110">
        <v>197.02015937187835</v>
      </c>
      <c r="M98" s="110">
        <v>197.02015937187835</v>
      </c>
      <c r="N98" s="110">
        <v>197.02015937187835</v>
      </c>
      <c r="O98" s="110">
        <v>197.02015937187835</v>
      </c>
      <c r="P98" s="110">
        <v>197.02015937187835</v>
      </c>
      <c r="Q98" s="110">
        <v>197.02015937187835</v>
      </c>
      <c r="R98" s="110">
        <v>197.02015937187835</v>
      </c>
      <c r="S98" s="110">
        <v>197.02015937187835</v>
      </c>
      <c r="T98" s="110">
        <v>197.02015937187835</v>
      </c>
      <c r="U98" s="110">
        <v>197.02015937187835</v>
      </c>
      <c r="V98" s="110">
        <v>197.02015937187835</v>
      </c>
      <c r="W98" s="110">
        <v>197.02015937187835</v>
      </c>
      <c r="X98" s="110">
        <v>197.02015937187835</v>
      </c>
      <c r="Y98" s="110">
        <v>197.02015937187835</v>
      </c>
      <c r="Z98" s="110">
        <v>197.02015937187835</v>
      </c>
      <c r="AA98" s="110">
        <v>157.6161274975027</v>
      </c>
      <c r="AB98" s="110">
        <v>127.23225499500541</v>
      </c>
      <c r="AC98" s="110">
        <v>153.84838249250811</v>
      </c>
      <c r="AD98" s="110">
        <v>124.46450999001081</v>
      </c>
      <c r="AE98" s="110">
        <v>158.48466936188916</v>
      </c>
      <c r="AF98" s="110">
        <v>197.02015937187835</v>
      </c>
      <c r="AG98" s="110">
        <v>197.02015937187835</v>
      </c>
      <c r="AH98" s="110">
        <v>197.02015937187835</v>
      </c>
      <c r="AI98" s="110">
        <v>197.02015937187835</v>
      </c>
      <c r="AJ98" s="110">
        <v>197.02015937187835</v>
      </c>
      <c r="AK98" s="110">
        <v>197.02015937187835</v>
      </c>
      <c r="AL98" s="110">
        <v>197.02015937187835</v>
      </c>
      <c r="AM98" s="110">
        <v>197.02015937187835</v>
      </c>
      <c r="AN98" s="110">
        <v>197.02015937187835</v>
      </c>
      <c r="AO98" s="110">
        <v>197.02015937187835</v>
      </c>
      <c r="AP98" s="110">
        <v>197.02015937187835</v>
      </c>
      <c r="AQ98" s="110">
        <v>157.6161274975027</v>
      </c>
      <c r="AR98" s="110">
        <v>157.6161274975027</v>
      </c>
      <c r="AS98" s="110">
        <v>157.6161274975027</v>
      </c>
      <c r="AT98" s="110">
        <v>157.6161274975027</v>
      </c>
      <c r="AU98" s="110">
        <v>197.02015937187835</v>
      </c>
      <c r="AV98" s="110">
        <v>197.02015937187835</v>
      </c>
      <c r="AW98" s="110">
        <v>197.02015937187835</v>
      </c>
      <c r="AX98" s="110">
        <v>197.02015937187835</v>
      </c>
      <c r="AY98" s="110">
        <v>197.02015937187835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75.100796859392318</v>
      </c>
      <c r="M99" s="125">
        <v>66.02015937187835</v>
      </c>
      <c r="N99" s="125">
        <v>82.02015937187835</v>
      </c>
      <c r="O99" s="125">
        <v>61.02015937187835</v>
      </c>
      <c r="P99" s="125">
        <v>41.02015937187835</v>
      </c>
      <c r="Q99" s="125">
        <v>72.02015937187835</v>
      </c>
      <c r="R99" s="125">
        <v>61.02015937187835</v>
      </c>
      <c r="S99" s="125">
        <v>54.02015937187835</v>
      </c>
      <c r="T99" s="125">
        <v>30.02015937187835</v>
      </c>
      <c r="U99" s="125">
        <v>70.02015937187835</v>
      </c>
      <c r="V99" s="125">
        <v>64.02015937187835</v>
      </c>
      <c r="W99" s="125">
        <v>92.02015937187835</v>
      </c>
      <c r="X99" s="125">
        <v>86.02015937187835</v>
      </c>
      <c r="Y99" s="125">
        <v>27.02015937187835</v>
      </c>
      <c r="Z99" s="125">
        <v>14.02015937187835</v>
      </c>
      <c r="AA99" s="125">
        <v>59.02015937187835</v>
      </c>
      <c r="AB99" s="125">
        <v>0</v>
      </c>
      <c r="AC99" s="125">
        <v>0</v>
      </c>
      <c r="AD99" s="125">
        <v>0</v>
      </c>
      <c r="AE99" s="125">
        <v>0</v>
      </c>
      <c r="AF99" s="125">
        <v>38.484669361889161</v>
      </c>
      <c r="AG99" s="125">
        <v>20.02015937187835</v>
      </c>
      <c r="AH99" s="125">
        <v>55.02015937187835</v>
      </c>
      <c r="AI99" s="125">
        <v>13.02015937187835</v>
      </c>
      <c r="AJ99" s="125">
        <v>34.02015937187835</v>
      </c>
      <c r="AK99" s="125">
        <v>54.02015937187835</v>
      </c>
      <c r="AL99" s="125">
        <v>58.02015937187835</v>
      </c>
      <c r="AM99" s="125">
        <v>39.02015937187835</v>
      </c>
      <c r="AN99" s="125">
        <v>23.02015937187835</v>
      </c>
      <c r="AO99" s="125">
        <v>40.02015937187835</v>
      </c>
      <c r="AP99" s="125">
        <v>59.02015937187835</v>
      </c>
      <c r="AQ99" s="125">
        <v>17.02015937187835</v>
      </c>
      <c r="AR99" s="125">
        <v>3.6161274975027027</v>
      </c>
      <c r="AS99" s="125">
        <v>44.616127497502703</v>
      </c>
      <c r="AT99" s="125">
        <v>44.616127497502703</v>
      </c>
      <c r="AU99" s="125">
        <v>9.6161274975027027</v>
      </c>
      <c r="AV99" s="125">
        <v>38.02015937187835</v>
      </c>
      <c r="AW99" s="125">
        <v>36.02015937187835</v>
      </c>
      <c r="AX99" s="125">
        <v>34.02015937187835</v>
      </c>
      <c r="AY99" s="125">
        <v>31.02015937187835</v>
      </c>
      <c r="AZ99" s="107">
        <f>SUM($D99:$AY99)</f>
        <v>1646.6547573676435</v>
      </c>
    </row>
    <row r="100" spans="1:52">
      <c r="A100" s="131" t="s">
        <v>133</v>
      </c>
      <c r="B100" s="119">
        <v>1</v>
      </c>
      <c r="C100" s="106">
        <v>170.13451495430232</v>
      </c>
      <c r="D100" s="106">
        <v>113.78573438528754</v>
      </c>
      <c r="E100" s="106">
        <v>114.29983964172132</v>
      </c>
      <c r="F100" s="106">
        <v>114.29983964172192</v>
      </c>
      <c r="G100" s="106">
        <v>68.335249339238601</v>
      </c>
      <c r="H100" s="106">
        <v>0</v>
      </c>
      <c r="I100" s="106">
        <v>182.63508898096052</v>
      </c>
      <c r="J100" s="106">
        <v>114.2998396417219</v>
      </c>
      <c r="K100" s="106">
        <v>171.2461720950968</v>
      </c>
      <c r="L100" s="106">
        <v>171.2461720950968</v>
      </c>
      <c r="M100" s="106">
        <v>114.29983964172192</v>
      </c>
      <c r="N100" s="106">
        <v>56.946332453374886</v>
      </c>
      <c r="O100" s="106">
        <v>171.2461720950968</v>
      </c>
      <c r="P100" s="106">
        <v>171.2461720950968</v>
      </c>
      <c r="Q100" s="106">
        <v>114.29983964172192</v>
      </c>
      <c r="R100" s="106">
        <v>182.63508898096052</v>
      </c>
      <c r="S100" s="106">
        <v>68.335249339238601</v>
      </c>
      <c r="T100" s="106">
        <v>182.63508898096052</v>
      </c>
      <c r="U100" s="106">
        <v>0</v>
      </c>
      <c r="V100" s="106">
        <v>114.29983964172192</v>
      </c>
      <c r="W100" s="106">
        <v>114.30158766577821</v>
      </c>
      <c r="X100" s="106">
        <v>114.30158766577823</v>
      </c>
      <c r="Y100" s="106">
        <v>114.30158766577821</v>
      </c>
      <c r="Z100" s="106">
        <v>114.29983964172192</v>
      </c>
      <c r="AA100" s="106">
        <v>114.2998396417219</v>
      </c>
      <c r="AB100" s="106">
        <v>182.63508898096052</v>
      </c>
      <c r="AC100" s="106">
        <v>114.2998396417219</v>
      </c>
      <c r="AD100" s="106">
        <v>114.29983964172192</v>
      </c>
      <c r="AE100" s="106">
        <v>0</v>
      </c>
      <c r="AF100" s="106">
        <v>171.2461720950968</v>
      </c>
      <c r="AG100" s="106">
        <v>114.2998396417219</v>
      </c>
      <c r="AH100" s="106">
        <v>171.2461720950968</v>
      </c>
      <c r="AI100" s="106">
        <v>114.2998396417219</v>
      </c>
      <c r="AJ100" s="106">
        <v>114.29983964172192</v>
      </c>
      <c r="AK100" s="106">
        <v>0</v>
      </c>
      <c r="AL100" s="106">
        <v>182.63508898096052</v>
      </c>
      <c r="AM100" s="106">
        <v>114.2998396417219</v>
      </c>
      <c r="AN100" s="106">
        <v>114.29983964172192</v>
      </c>
      <c r="AO100" s="106">
        <v>114.2998396417219</v>
      </c>
      <c r="AP100" s="106">
        <v>171.2461720950968</v>
      </c>
      <c r="AQ100" s="106">
        <v>56.946332453374886</v>
      </c>
      <c r="AR100" s="106">
        <v>114.29983964172192</v>
      </c>
      <c r="AS100" s="106">
        <v>114.2998396417219</v>
      </c>
      <c r="AT100" s="106">
        <v>228.19250454847167</v>
      </c>
      <c r="AU100" s="106">
        <v>114.2998396417219</v>
      </c>
      <c r="AV100" s="106">
        <v>114.29983964172192</v>
      </c>
      <c r="AW100" s="106">
        <v>56.946332453374886</v>
      </c>
      <c r="AX100" s="106">
        <v>171.2461720950968</v>
      </c>
      <c r="AY100" s="106">
        <v>171.2461720950968</v>
      </c>
    </row>
    <row r="101" spans="1:52">
      <c r="A101" s="109"/>
      <c r="B101" s="119">
        <v>2</v>
      </c>
      <c r="C101" s="106">
        <v>111.31085139687576</v>
      </c>
      <c r="D101" s="106">
        <v>114.44536635117808</v>
      </c>
      <c r="E101" s="106">
        <v>133.57988130548043</v>
      </c>
      <c r="F101" s="106">
        <v>171.17764375582925</v>
      </c>
      <c r="G101" s="106">
        <v>114.29983964172192</v>
      </c>
      <c r="H101" s="106">
        <v>56.392614042270196</v>
      </c>
      <c r="I101" s="106">
        <v>68.335249339238601</v>
      </c>
      <c r="J101" s="106">
        <v>138.27017796192101</v>
      </c>
      <c r="K101" s="106">
        <v>65.516350057017803</v>
      </c>
      <c r="L101" s="106">
        <v>83.762522152114599</v>
      </c>
      <c r="M101" s="106">
        <v>113.00869424721139</v>
      </c>
      <c r="N101" s="106">
        <v>130.25486634230819</v>
      </c>
      <c r="O101" s="106">
        <v>7.1054273576010019E-15</v>
      </c>
      <c r="P101" s="106">
        <v>26.246172095096796</v>
      </c>
      <c r="Q101" s="106">
        <v>113.79218383191551</v>
      </c>
      <c r="R101" s="106">
        <v>56.946332453374879</v>
      </c>
      <c r="S101" s="106">
        <v>57.581421434335397</v>
      </c>
      <c r="T101" s="106">
        <v>0</v>
      </c>
      <c r="U101" s="106">
        <v>0</v>
      </c>
      <c r="V101" s="106">
        <v>68.335249339238601</v>
      </c>
      <c r="W101" s="106">
        <v>30.636837005016829</v>
      </c>
      <c r="X101" s="106">
        <v>31.238264312516961</v>
      </c>
      <c r="Y101" s="106">
        <v>0</v>
      </c>
      <c r="Z101" s="106">
        <v>0</v>
      </c>
      <c r="AA101" s="106">
        <v>68.335249339238601</v>
      </c>
      <c r="AB101" s="106">
        <v>0</v>
      </c>
      <c r="AC101" s="106">
        <v>14.635088980960518</v>
      </c>
      <c r="AD101" s="106">
        <v>68.335249339238615</v>
      </c>
      <c r="AE101" s="106">
        <v>90.581421434335411</v>
      </c>
      <c r="AF101" s="106">
        <v>171.2461720950968</v>
      </c>
      <c r="AG101" s="106">
        <v>154.49234419019359</v>
      </c>
      <c r="AH101" s="106">
        <v>168.73851628529039</v>
      </c>
      <c r="AI101" s="106">
        <v>155.98468838038718</v>
      </c>
      <c r="AJ101" s="106">
        <v>85.284528022109086</v>
      </c>
      <c r="AK101" s="106">
        <v>115.47703257058076</v>
      </c>
      <c r="AL101" s="106">
        <v>56.946332453374886</v>
      </c>
      <c r="AM101" s="106">
        <v>31.581421434335397</v>
      </c>
      <c r="AN101" s="106">
        <v>68.335249339238629</v>
      </c>
      <c r="AO101" s="106">
        <v>68.335249339238601</v>
      </c>
      <c r="AP101" s="106">
        <v>97.970338320199119</v>
      </c>
      <c r="AQ101" s="106">
        <v>82.216510415295915</v>
      </c>
      <c r="AR101" s="106">
        <v>114.29983964172192</v>
      </c>
      <c r="AS101" s="106">
        <v>40.599679283443834</v>
      </c>
      <c r="AT101" s="106">
        <v>0</v>
      </c>
      <c r="AU101" s="106">
        <v>133.13883700184655</v>
      </c>
      <c r="AV101" s="106">
        <v>68.38500909694335</v>
      </c>
      <c r="AW101" s="106">
        <v>56.946332453374879</v>
      </c>
      <c r="AX101" s="106">
        <v>114.29983964172192</v>
      </c>
      <c r="AY101" s="106">
        <v>56.546011736818713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6.579881305480427</v>
      </c>
      <c r="G102" s="106">
        <v>5.7575250613096784</v>
      </c>
      <c r="H102" s="106">
        <v>68.335249339238601</v>
      </c>
      <c r="I102" s="106">
        <v>114.29983964172189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114.29983964172192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114.29983964172192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68.335249339238601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56.946332453374879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79.801295785301122</v>
      </c>
      <c r="D109" s="106">
        <v>71.741619442491597</v>
      </c>
      <c r="E109" s="106">
        <v>51.782470054813608</v>
      </c>
      <c r="F109" s="106">
        <v>72.17990074198346</v>
      </c>
      <c r="G109" s="106">
        <v>72.037780149179341</v>
      </c>
      <c r="H109" s="106">
        <v>29.308032804459486</v>
      </c>
      <c r="I109" s="106">
        <v>29.308032804459486</v>
      </c>
      <c r="J109" s="106">
        <v>153.89541278063297</v>
      </c>
      <c r="K109" s="106">
        <v>83.134042122767767</v>
      </c>
      <c r="L109" s="106">
        <v>104.62951917198991</v>
      </c>
      <c r="M109" s="106">
        <v>80.847823575778676</v>
      </c>
      <c r="N109" s="106">
        <v>58.077925641424549</v>
      </c>
      <c r="O109" s="106">
        <v>48.842965401798423</v>
      </c>
      <c r="P109" s="106">
        <v>72.06716496989209</v>
      </c>
      <c r="Q109" s="106">
        <v>121.26957716829651</v>
      </c>
      <c r="R109" s="106">
        <v>73.215200875888399</v>
      </c>
      <c r="S109" s="106">
        <v>101.3691890912157</v>
      </c>
      <c r="T109" s="106">
        <v>30.478163906123378</v>
      </c>
      <c r="U109" s="106">
        <v>76.950710731884428</v>
      </c>
      <c r="V109" s="106">
        <v>6.0086831358658055E-3</v>
      </c>
      <c r="W109" s="106">
        <v>76.950710731884428</v>
      </c>
      <c r="X109" s="106">
        <v>95.292863636724903</v>
      </c>
      <c r="Y109" s="106">
        <v>47.705339759783207</v>
      </c>
      <c r="Z109" s="106">
        <v>47.649436159930382</v>
      </c>
      <c r="AA109" s="106">
        <v>47.648686610560802</v>
      </c>
      <c r="AB109" s="106">
        <v>76.950710731884428</v>
      </c>
      <c r="AC109" s="106">
        <v>76.950710731884428</v>
      </c>
      <c r="AD109" s="106">
        <v>76.950710731884428</v>
      </c>
      <c r="AE109" s="106">
        <v>76.950710731884428</v>
      </c>
      <c r="AF109" s="106">
        <v>24.424487042467142</v>
      </c>
      <c r="AG109" s="106">
        <v>144.12832125664832</v>
      </c>
      <c r="AH109" s="106">
        <v>61.440889053593239</v>
      </c>
      <c r="AI109" s="106">
        <v>96.485643329223365</v>
      </c>
      <c r="AJ109" s="106">
        <v>47.648686610560802</v>
      </c>
      <c r="AK109" s="106">
        <v>47.648686610560802</v>
      </c>
      <c r="AL109" s="106">
        <v>48.842965401798416</v>
      </c>
      <c r="AM109" s="106">
        <v>101.3691890912157</v>
      </c>
      <c r="AN109" s="106">
        <v>47.648686610560809</v>
      </c>
      <c r="AO109" s="106">
        <v>76.950710731884428</v>
      </c>
      <c r="AP109" s="106">
        <v>76.950710731884428</v>
      </c>
      <c r="AQ109" s="106">
        <v>106.64446364184407</v>
      </c>
      <c r="AR109" s="106">
        <v>32.228990998573131</v>
      </c>
      <c r="AS109" s="106">
        <v>95.291364537985743</v>
      </c>
      <c r="AT109" s="106">
        <v>64.582597855517506</v>
      </c>
      <c r="AU109" s="106">
        <v>120.90412168855465</v>
      </c>
      <c r="AV109" s="106">
        <v>65.301659824722663</v>
      </c>
      <c r="AW109" s="106">
        <v>72.06716496989209</v>
      </c>
      <c r="AX109" s="106">
        <v>48.842965401798423</v>
      </c>
      <c r="AY109" s="106">
        <v>119.709842897317</v>
      </c>
    </row>
    <row r="110" spans="1:52">
      <c r="A110" s="109"/>
      <c r="B110" s="119">
        <v>2</v>
      </c>
      <c r="C110" s="106">
        <v>64.175209181034489</v>
      </c>
      <c r="D110" s="106">
        <v>48.976504966335611</v>
      </c>
      <c r="E110" s="106">
        <v>44.718124408827208</v>
      </c>
      <c r="F110" s="106">
        <v>22.500594463640816</v>
      </c>
      <c r="G110" s="106">
        <v>30.680495205624275</v>
      </c>
      <c r="H110" s="106">
        <v>44.718275354803616</v>
      </c>
      <c r="I110" s="106">
        <v>7.0282220302062441</v>
      </c>
      <c r="J110" s="106">
        <v>0</v>
      </c>
      <c r="K110" s="106">
        <v>63.895412780632967</v>
      </c>
      <c r="L110" s="106">
        <v>55.029454903400733</v>
      </c>
      <c r="M110" s="106">
        <v>94.658974075390645</v>
      </c>
      <c r="N110" s="106">
        <v>78.506797651169322</v>
      </c>
      <c r="O110" s="106">
        <v>58.077925641424549</v>
      </c>
      <c r="P110" s="106">
        <v>2.0295191064763642</v>
      </c>
      <c r="Q110" s="106">
        <v>13.096684076368454</v>
      </c>
      <c r="R110" s="106">
        <v>56.282058778501352</v>
      </c>
      <c r="S110" s="106">
        <v>47.497259654389751</v>
      </c>
      <c r="T110" s="106">
        <v>40.53812256959128</v>
      </c>
      <c r="U110" s="106">
        <v>7.1054273576010019E-15</v>
      </c>
      <c r="V110" s="106">
        <v>0</v>
      </c>
      <c r="W110" s="106">
        <v>0</v>
      </c>
      <c r="X110" s="106">
        <v>0</v>
      </c>
      <c r="Y110" s="106">
        <v>20.571608877969126</v>
      </c>
      <c r="Z110" s="106">
        <v>7.1054273576010019E-15</v>
      </c>
      <c r="AA110" s="106">
        <v>0</v>
      </c>
      <c r="AB110" s="106">
        <v>0</v>
      </c>
      <c r="AC110" s="106">
        <v>0</v>
      </c>
      <c r="AD110" s="106">
        <v>0</v>
      </c>
      <c r="AE110" s="106">
        <v>10.950710731884428</v>
      </c>
      <c r="AF110" s="106">
        <v>13.665509807232269</v>
      </c>
      <c r="AG110" s="106">
        <v>0</v>
      </c>
      <c r="AH110" s="106">
        <v>47.12832125664832</v>
      </c>
      <c r="AI110" s="106">
        <v>40.569210310241559</v>
      </c>
      <c r="AJ110" s="106">
        <v>36.054853639464923</v>
      </c>
      <c r="AK110" s="106">
        <v>29.703540250025725</v>
      </c>
      <c r="AL110" s="106">
        <v>0</v>
      </c>
      <c r="AM110" s="106">
        <v>0</v>
      </c>
      <c r="AN110" s="106">
        <v>4.2885956111328056</v>
      </c>
      <c r="AO110" s="106">
        <v>0</v>
      </c>
      <c r="AP110" s="106">
        <v>2.9507107318844277</v>
      </c>
      <c r="AQ110" s="106">
        <v>0</v>
      </c>
      <c r="AR110" s="106">
        <v>8.1158703505392111</v>
      </c>
      <c r="AS110" s="106">
        <v>0</v>
      </c>
      <c r="AT110" s="106">
        <v>24.911508012827781</v>
      </c>
      <c r="AU110" s="106">
        <v>1.4941058683452866</v>
      </c>
      <c r="AV110" s="106">
        <v>39.39822755689994</v>
      </c>
      <c r="AW110" s="106">
        <v>8.3126601478557944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0.10862806325339136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178.57178237837689</v>
      </c>
      <c r="D122" s="106">
        <v>118.00923878718373</v>
      </c>
      <c r="E122" s="106">
        <v>117.63400978624867</v>
      </c>
      <c r="F122" s="106">
        <v>117.63400978624925</v>
      </c>
      <c r="G122" s="106">
        <v>72.355014649477752</v>
      </c>
      <c r="H122" s="106">
        <v>1.4834102282480312E-2</v>
      </c>
      <c r="I122" s="106">
        <v>189.97419033344454</v>
      </c>
      <c r="J122" s="106">
        <v>117.63400978624925</v>
      </c>
      <c r="K122" s="106">
        <v>177.91780198735992</v>
      </c>
      <c r="L122" s="106">
        <v>177.91780198735992</v>
      </c>
      <c r="M122" s="106">
        <v>117.63400978624925</v>
      </c>
      <c r="N122" s="106">
        <v>60.298626303393142</v>
      </c>
      <c r="O122" s="106">
        <v>177.91780198735992</v>
      </c>
      <c r="P122" s="106">
        <v>177.91780198735992</v>
      </c>
      <c r="Q122" s="106">
        <v>117.63400978624925</v>
      </c>
      <c r="R122" s="106">
        <v>189.97419033344454</v>
      </c>
      <c r="S122" s="106">
        <v>72.355014649477752</v>
      </c>
      <c r="T122" s="106">
        <v>189.97419033344454</v>
      </c>
      <c r="U122" s="106">
        <v>1.4834102282480312E-2</v>
      </c>
      <c r="V122" s="106">
        <v>117.63400978624925</v>
      </c>
      <c r="W122" s="106">
        <v>117.63586025693688</v>
      </c>
      <c r="X122" s="106">
        <v>117.63586025693688</v>
      </c>
      <c r="Y122" s="106">
        <v>117.63586025693688</v>
      </c>
      <c r="Z122" s="106">
        <v>117.63400978624925</v>
      </c>
      <c r="AA122" s="106">
        <v>117.63400978624925</v>
      </c>
      <c r="AB122" s="106">
        <v>189.97419033344454</v>
      </c>
      <c r="AC122" s="106">
        <v>117.63400978624925</v>
      </c>
      <c r="AD122" s="106">
        <v>117.63400978624925</v>
      </c>
      <c r="AE122" s="106">
        <v>1.4834102282480312E-2</v>
      </c>
      <c r="AF122" s="106">
        <v>177.91780198735992</v>
      </c>
      <c r="AG122" s="106">
        <v>117.63400978624925</v>
      </c>
      <c r="AH122" s="106">
        <v>177.91780198735992</v>
      </c>
      <c r="AI122" s="106">
        <v>117.63400978624925</v>
      </c>
      <c r="AJ122" s="106">
        <v>117.63400978624925</v>
      </c>
      <c r="AK122" s="106">
        <v>1.4834102282480312E-2</v>
      </c>
      <c r="AL122" s="106">
        <v>189.97419033344454</v>
      </c>
      <c r="AM122" s="106">
        <v>117.63400978624925</v>
      </c>
      <c r="AN122" s="106">
        <v>117.63400978624925</v>
      </c>
      <c r="AO122" s="106">
        <v>117.63400978624925</v>
      </c>
      <c r="AP122" s="106">
        <v>177.91780198735992</v>
      </c>
      <c r="AQ122" s="106">
        <v>60.298626303393142</v>
      </c>
      <c r="AR122" s="106">
        <v>117.63400978624925</v>
      </c>
      <c r="AS122" s="106">
        <v>117.63400978624925</v>
      </c>
      <c r="AT122" s="106">
        <v>238.20159418847058</v>
      </c>
      <c r="AU122" s="106">
        <v>117.63400978624925</v>
      </c>
      <c r="AV122" s="106">
        <v>117.63400978624925</v>
      </c>
      <c r="AW122" s="106">
        <v>60.298626303393142</v>
      </c>
      <c r="AX122" s="106">
        <v>177.91780198735992</v>
      </c>
      <c r="AY122" s="106">
        <v>177.91780198735992</v>
      </c>
    </row>
    <row r="123" spans="1:52">
      <c r="A123" s="109"/>
      <c r="B123" s="119">
        <v>2</v>
      </c>
      <c r="C123" s="106">
        <v>0</v>
      </c>
      <c r="D123" s="106">
        <v>9.8301629358852978</v>
      </c>
      <c r="E123" s="106">
        <v>60.562111749052747</v>
      </c>
      <c r="F123" s="106">
        <v>60.21124761419388</v>
      </c>
      <c r="G123" s="106">
        <v>0</v>
      </c>
      <c r="H123" s="106">
        <v>0</v>
      </c>
      <c r="I123" s="106">
        <v>72.340180547195274</v>
      </c>
      <c r="J123" s="106">
        <v>87.605450528122319</v>
      </c>
      <c r="K123" s="106">
        <v>80.38921039271446</v>
      </c>
      <c r="L123" s="106">
        <v>21.677493208084471</v>
      </c>
      <c r="M123" s="106">
        <v>25.747471619665703</v>
      </c>
      <c r="N123" s="106">
        <v>60.283792201110671</v>
      </c>
      <c r="O123" s="106">
        <v>7.1054273576010019E-15</v>
      </c>
      <c r="P123" s="106">
        <v>3.8506370174678324</v>
      </c>
      <c r="Q123" s="106">
        <v>63.118037520498007</v>
      </c>
      <c r="R123" s="106">
        <v>60.283792201110657</v>
      </c>
      <c r="S123" s="106">
        <v>2.8887934433394662</v>
      </c>
      <c r="T123" s="106">
        <v>7.1054273576010019E-15</v>
      </c>
      <c r="U123" s="106">
        <v>0</v>
      </c>
      <c r="V123" s="106">
        <v>72.340180547195274</v>
      </c>
      <c r="W123" s="106">
        <v>1.8504706876285582E-3</v>
      </c>
      <c r="X123" s="106">
        <v>0.13801355462159393</v>
      </c>
      <c r="Y123" s="106">
        <v>0</v>
      </c>
      <c r="Z123" s="106">
        <v>0</v>
      </c>
      <c r="AA123" s="106">
        <v>72.340180547195274</v>
      </c>
      <c r="AB123" s="106">
        <v>0</v>
      </c>
      <c r="AC123" s="106">
        <v>0</v>
      </c>
      <c r="AD123" s="106">
        <v>72.340180547195274</v>
      </c>
      <c r="AE123" s="106">
        <v>60.283792201110657</v>
      </c>
      <c r="AF123" s="106">
        <v>177.90296788507743</v>
      </c>
      <c r="AG123" s="106">
        <v>34.049880333910693</v>
      </c>
      <c r="AH123" s="106">
        <v>60.283792201110657</v>
      </c>
      <c r="AI123" s="106">
        <v>0</v>
      </c>
      <c r="AJ123" s="106">
        <v>0</v>
      </c>
      <c r="AK123" s="106">
        <v>120.56758440222131</v>
      </c>
      <c r="AL123" s="106">
        <v>60.283792201110664</v>
      </c>
      <c r="AM123" s="106">
        <v>1.4210854715202004E-14</v>
      </c>
      <c r="AN123" s="106">
        <v>72.340180547195288</v>
      </c>
      <c r="AO123" s="106">
        <v>72.340180547195274</v>
      </c>
      <c r="AP123" s="106">
        <v>85.363660148755372</v>
      </c>
      <c r="AQ123" s="106">
        <v>19.267584482505171</v>
      </c>
      <c r="AR123" s="106">
        <v>117.61917568396679</v>
      </c>
      <c r="AS123" s="106">
        <v>41.806060624286076</v>
      </c>
      <c r="AT123" s="106">
        <v>1.4210854715202004E-14</v>
      </c>
      <c r="AU123" s="106">
        <v>43.581264701026612</v>
      </c>
      <c r="AV123" s="106">
        <v>60.283792201110685</v>
      </c>
      <c r="AW123" s="106">
        <v>60.283792201110657</v>
      </c>
      <c r="AX123" s="106">
        <v>117.61917568396677</v>
      </c>
      <c r="AY123" s="106">
        <v>18.830735221485412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72.340180547195274</v>
      </c>
      <c r="I124" s="106">
        <v>117.61917568396677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117.61917568396677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117.61917568396677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72.340180547195274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60.283792201110671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0.40175227287857729</v>
      </c>
      <c r="D172" s="134">
        <v>0.40505876401852164</v>
      </c>
      <c r="E172" s="134">
        <v>0.40505876401852164</v>
      </c>
      <c r="F172" s="134">
        <v>0.40505876401852164</v>
      </c>
      <c r="G172" s="134">
        <v>0.40505876401852164</v>
      </c>
      <c r="H172" s="134">
        <v>0.40505876401852164</v>
      </c>
      <c r="I172" s="134">
        <v>0.40505876401852164</v>
      </c>
      <c r="J172" s="134">
        <v>0.40505876401852164</v>
      </c>
      <c r="K172" s="134">
        <v>0.40505876401852164</v>
      </c>
      <c r="L172" s="134">
        <v>0.40505876401852164</v>
      </c>
      <c r="M172" s="134">
        <v>0.40505876401852164</v>
      </c>
      <c r="N172" s="134">
        <v>0.40505876401852164</v>
      </c>
      <c r="O172" s="134">
        <v>0.40505876401852164</v>
      </c>
      <c r="P172" s="134">
        <v>0.40505876401852164</v>
      </c>
      <c r="Q172" s="134">
        <v>0.40505876401852164</v>
      </c>
      <c r="R172" s="134">
        <v>0.40505876401852164</v>
      </c>
      <c r="S172" s="134">
        <v>0.40505876401852164</v>
      </c>
      <c r="T172" s="134">
        <v>0.40505876401852164</v>
      </c>
      <c r="U172" s="134">
        <v>0.40505876401852164</v>
      </c>
      <c r="V172" s="134">
        <v>0.40505876401852164</v>
      </c>
      <c r="W172" s="134">
        <v>0.40505876401852164</v>
      </c>
      <c r="X172" s="134">
        <v>0.40505876401852164</v>
      </c>
      <c r="Y172" s="134">
        <v>0.40505876401852164</v>
      </c>
      <c r="Z172" s="134">
        <v>0.40505876401852164</v>
      </c>
      <c r="AA172" s="134">
        <v>0.40505876401852164</v>
      </c>
      <c r="AB172" s="134">
        <v>0.40505876401852164</v>
      </c>
      <c r="AC172" s="134">
        <v>0.40505876401852164</v>
      </c>
      <c r="AD172" s="134">
        <v>0.40505876401852164</v>
      </c>
      <c r="AE172" s="134">
        <v>0.40505876401852164</v>
      </c>
      <c r="AF172" s="134">
        <v>0.40505876401852164</v>
      </c>
      <c r="AG172" s="134">
        <v>0.40505876401852164</v>
      </c>
      <c r="AH172" s="134">
        <v>0.40505876401852164</v>
      </c>
      <c r="AI172" s="134">
        <v>0.40505876401852164</v>
      </c>
      <c r="AJ172" s="134">
        <v>0.40505876401852164</v>
      </c>
      <c r="AK172" s="134">
        <v>0.40505876401852164</v>
      </c>
      <c r="AL172" s="134">
        <v>0.40505876401852164</v>
      </c>
      <c r="AM172" s="134">
        <v>0.40505876401852164</v>
      </c>
      <c r="AN172" s="134">
        <v>0.40505876401852164</v>
      </c>
      <c r="AO172" s="134">
        <v>0.40505876401852164</v>
      </c>
      <c r="AP172" s="134">
        <v>0.40505876401852164</v>
      </c>
      <c r="AQ172" s="134">
        <v>0.40505876401852164</v>
      </c>
      <c r="AR172" s="134">
        <v>0.40505876401852164</v>
      </c>
      <c r="AS172" s="134">
        <v>0.40505876401852164</v>
      </c>
      <c r="AT172" s="134">
        <v>0.40505876401852164</v>
      </c>
      <c r="AU172" s="134">
        <v>0.40505876401852164</v>
      </c>
      <c r="AV172" s="134">
        <v>0.40505876401852164</v>
      </c>
      <c r="AW172" s="134">
        <v>0.40505876401852164</v>
      </c>
      <c r="AX172" s="134">
        <v>0.40505876401852164</v>
      </c>
      <c r="AY172" s="134">
        <v>0.40505876401852164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374.02015937187889</v>
      </c>
      <c r="E175" s="124">
        <f t="shared" si="1"/>
        <v>406.04031874375727</v>
      </c>
      <c r="F175" s="124">
        <f t="shared" si="1"/>
        <v>486.06047811563565</v>
      </c>
      <c r="G175" s="124">
        <f t="shared" si="1"/>
        <v>564.08063748751397</v>
      </c>
      <c r="H175" s="124">
        <f t="shared" si="1"/>
        <v>645.1007968593924</v>
      </c>
      <c r="I175" s="124">
        <f t="shared" si="1"/>
        <v>721.12095623127072</v>
      </c>
      <c r="J175" s="124">
        <f t="shared" si="1"/>
        <v>752.14111560314905</v>
      </c>
      <c r="K175" s="124">
        <f t="shared" si="1"/>
        <v>780.16127497502737</v>
      </c>
      <c r="L175" s="124">
        <f t="shared" si="1"/>
        <v>788.0806374875134</v>
      </c>
      <c r="M175" s="124">
        <f t="shared" si="1"/>
        <v>788.0806374875134</v>
      </c>
      <c r="N175" s="124">
        <f t="shared" si="1"/>
        <v>788.0806374875134</v>
      </c>
      <c r="O175" s="124">
        <f t="shared" si="1"/>
        <v>788.0806374875134</v>
      </c>
      <c r="P175" s="124">
        <f t="shared" si="1"/>
        <v>788.0806374875134</v>
      </c>
      <c r="Q175" s="124">
        <f t="shared" si="1"/>
        <v>788.0806374875134</v>
      </c>
      <c r="R175" s="124">
        <f t="shared" si="1"/>
        <v>788.0806374875134</v>
      </c>
      <c r="S175" s="124">
        <f t="shared" si="1"/>
        <v>788.0806374875134</v>
      </c>
      <c r="T175" s="124">
        <f t="shared" si="1"/>
        <v>788.0806374875134</v>
      </c>
      <c r="U175" s="124">
        <f t="shared" si="1"/>
        <v>788.0806374875134</v>
      </c>
      <c r="V175" s="124">
        <f t="shared" si="1"/>
        <v>788.0806374875134</v>
      </c>
      <c r="W175" s="124">
        <f t="shared" si="1"/>
        <v>788.0806374875134</v>
      </c>
      <c r="X175" s="124">
        <f t="shared" si="1"/>
        <v>748.67660561313767</v>
      </c>
      <c r="Y175" s="124">
        <f t="shared" si="1"/>
        <v>709.27257373876205</v>
      </c>
      <c r="Z175" s="124">
        <f t="shared" si="1"/>
        <v>669.86854186438643</v>
      </c>
      <c r="AA175" s="124">
        <f t="shared" si="1"/>
        <v>630.46450999001081</v>
      </c>
      <c r="AB175" s="124">
        <f t="shared" si="1"/>
        <v>639.48466936188913</v>
      </c>
      <c r="AC175" s="124">
        <f t="shared" si="1"/>
        <v>705.50482873376745</v>
      </c>
      <c r="AD175" s="124">
        <f t="shared" si="1"/>
        <v>715.52498810564589</v>
      </c>
      <c r="AE175" s="124">
        <f t="shared" si="1"/>
        <v>749.54514747752421</v>
      </c>
      <c r="AF175" s="124">
        <f t="shared" si="1"/>
        <v>788.0806374875134</v>
      </c>
      <c r="AG175" s="124">
        <f t="shared" si="1"/>
        <v>788.0806374875134</v>
      </c>
      <c r="AH175" s="124">
        <f t="shared" si="1"/>
        <v>788.0806374875134</v>
      </c>
      <c r="AI175" s="124">
        <f t="shared" si="1"/>
        <v>788.0806374875134</v>
      </c>
      <c r="AJ175" s="124">
        <f t="shared" si="1"/>
        <v>788.0806374875134</v>
      </c>
      <c r="AK175" s="124">
        <f t="shared" si="1"/>
        <v>788.0806374875134</v>
      </c>
      <c r="AL175" s="124">
        <f t="shared" si="1"/>
        <v>788.0806374875134</v>
      </c>
      <c r="AM175" s="124">
        <f t="shared" si="1"/>
        <v>788.0806374875134</v>
      </c>
      <c r="AN175" s="124">
        <f t="shared" si="1"/>
        <v>748.67660561313767</v>
      </c>
      <c r="AO175" s="124">
        <f t="shared" si="1"/>
        <v>709.27257373876205</v>
      </c>
      <c r="AP175" s="124">
        <f t="shared" si="1"/>
        <v>669.86854186438643</v>
      </c>
      <c r="AQ175" s="124">
        <f t="shared" si="1"/>
        <v>630.46450999001081</v>
      </c>
      <c r="AR175" s="124">
        <f t="shared" si="1"/>
        <v>669.86854186438643</v>
      </c>
      <c r="AS175" s="124">
        <f t="shared" si="1"/>
        <v>709.27257373876205</v>
      </c>
      <c r="AT175" s="124">
        <f t="shared" si="1"/>
        <v>748.67660561313778</v>
      </c>
      <c r="AU175" s="124">
        <f t="shared" si="1"/>
        <v>788.0806374875134</v>
      </c>
      <c r="AV175" s="124">
        <f t="shared" si="1"/>
        <v>788.0806374875134</v>
      </c>
      <c r="AW175" s="124">
        <f t="shared" si="1"/>
        <v>788.0806374875134</v>
      </c>
      <c r="AX175" s="124">
        <f t="shared" si="1"/>
        <v>788.0806374875134</v>
      </c>
      <c r="AY175" s="124">
        <f t="shared" si="1"/>
        <v>788.0806374875134</v>
      </c>
    </row>
    <row r="176" spans="1:52">
      <c r="A176" s="125"/>
      <c r="B176" s="136" t="s">
        <v>299</v>
      </c>
      <c r="C176" s="125" t="s">
        <v>293</v>
      </c>
      <c r="D176" s="125">
        <v>165</v>
      </c>
      <c r="E176" s="125">
        <v>117</v>
      </c>
      <c r="F176" s="125">
        <v>119</v>
      </c>
      <c r="G176" s="125">
        <v>116</v>
      </c>
      <c r="H176" s="125">
        <v>121</v>
      </c>
      <c r="I176" s="125">
        <v>166</v>
      </c>
      <c r="J176" s="125">
        <v>169</v>
      </c>
      <c r="K176" s="125">
        <v>114</v>
      </c>
      <c r="L176" s="125">
        <v>131</v>
      </c>
      <c r="M176" s="125">
        <v>115</v>
      </c>
      <c r="N176" s="125">
        <v>136</v>
      </c>
      <c r="O176" s="125">
        <v>156</v>
      </c>
      <c r="P176" s="125">
        <v>125</v>
      </c>
      <c r="Q176" s="125">
        <v>136</v>
      </c>
      <c r="R176" s="125">
        <v>143</v>
      </c>
      <c r="S176" s="125">
        <v>167</v>
      </c>
      <c r="T176" s="125">
        <v>127</v>
      </c>
      <c r="U176" s="125">
        <v>133</v>
      </c>
      <c r="V176" s="125">
        <v>105</v>
      </c>
      <c r="W176" s="125">
        <v>111</v>
      </c>
      <c r="X176" s="125">
        <v>170</v>
      </c>
      <c r="Y176" s="125">
        <v>183</v>
      </c>
      <c r="Z176" s="125">
        <v>138</v>
      </c>
      <c r="AA176" s="125">
        <v>188</v>
      </c>
      <c r="AB176" s="125">
        <v>131</v>
      </c>
      <c r="AC176" s="125">
        <v>187</v>
      </c>
      <c r="AD176" s="125">
        <v>163</v>
      </c>
      <c r="AE176" s="125">
        <v>120</v>
      </c>
      <c r="AF176" s="125">
        <v>177</v>
      </c>
      <c r="AG176" s="125">
        <v>142</v>
      </c>
      <c r="AH176" s="125">
        <v>184</v>
      </c>
      <c r="AI176" s="125">
        <v>163</v>
      </c>
      <c r="AJ176" s="125">
        <v>143</v>
      </c>
      <c r="AK176" s="125">
        <v>139</v>
      </c>
      <c r="AL176" s="125">
        <v>158</v>
      </c>
      <c r="AM176" s="125">
        <v>174</v>
      </c>
      <c r="AN176" s="125">
        <v>157</v>
      </c>
      <c r="AO176" s="125">
        <v>138</v>
      </c>
      <c r="AP176" s="125">
        <v>180</v>
      </c>
      <c r="AQ176" s="125">
        <v>154</v>
      </c>
      <c r="AR176" s="125">
        <v>113</v>
      </c>
      <c r="AS176" s="125">
        <v>113</v>
      </c>
      <c r="AT176" s="125">
        <v>148</v>
      </c>
      <c r="AU176" s="125">
        <v>159</v>
      </c>
      <c r="AV176" s="125">
        <v>161</v>
      </c>
      <c r="AW176" s="125">
        <v>163</v>
      </c>
      <c r="AX176" s="125">
        <v>166</v>
      </c>
      <c r="AY176" s="125">
        <v>118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228.23110073646563</v>
      </c>
      <c r="E177" s="124">
        <f t="shared" si="2"/>
        <v>247.87972094720175</v>
      </c>
      <c r="F177" s="124">
        <f t="shared" si="2"/>
        <v>292.05736470303157</v>
      </c>
      <c r="G177" s="124">
        <f t="shared" si="2"/>
        <v>188.3926140422702</v>
      </c>
      <c r="H177" s="124">
        <f t="shared" si="2"/>
        <v>124.7278633815088</v>
      </c>
      <c r="I177" s="124">
        <f t="shared" si="2"/>
        <v>365.27017796192104</v>
      </c>
      <c r="J177" s="124">
        <f t="shared" si="2"/>
        <v>252.5700176036429</v>
      </c>
      <c r="K177" s="124">
        <f t="shared" si="2"/>
        <v>236.7625221521146</v>
      </c>
      <c r="L177" s="124">
        <f t="shared" si="2"/>
        <v>255.00869424721139</v>
      </c>
      <c r="M177" s="124">
        <f t="shared" si="2"/>
        <v>227.30853388893331</v>
      </c>
      <c r="N177" s="124">
        <f t="shared" si="2"/>
        <v>187.20119879568307</v>
      </c>
      <c r="O177" s="124">
        <f t="shared" si="2"/>
        <v>171.2461720950968</v>
      </c>
      <c r="P177" s="124">
        <f t="shared" si="2"/>
        <v>311.79218383191551</v>
      </c>
      <c r="Q177" s="124">
        <f t="shared" si="2"/>
        <v>228.09202347363743</v>
      </c>
      <c r="R177" s="124">
        <f t="shared" si="2"/>
        <v>239.5814214343354</v>
      </c>
      <c r="S177" s="124">
        <f t="shared" si="2"/>
        <v>125.916670773574</v>
      </c>
      <c r="T177" s="124">
        <f t="shared" si="2"/>
        <v>182.63508898096052</v>
      </c>
      <c r="U177" s="124">
        <f t="shared" si="2"/>
        <v>0</v>
      </c>
      <c r="V177" s="124">
        <f t="shared" si="2"/>
        <v>182.63508898096052</v>
      </c>
      <c r="W177" s="124">
        <f t="shared" si="2"/>
        <v>259.23826431251695</v>
      </c>
      <c r="X177" s="124">
        <f t="shared" si="2"/>
        <v>145.53985197829519</v>
      </c>
      <c r="Y177" s="124">
        <f t="shared" si="2"/>
        <v>114.30158766577821</v>
      </c>
      <c r="Z177" s="124">
        <f t="shared" si="2"/>
        <v>114.29983964172192</v>
      </c>
      <c r="AA177" s="124">
        <f t="shared" si="2"/>
        <v>182.63508898096052</v>
      </c>
      <c r="AB177" s="124">
        <f t="shared" si="2"/>
        <v>182.63508898096052</v>
      </c>
      <c r="AC177" s="124">
        <f t="shared" si="2"/>
        <v>197.27017796192104</v>
      </c>
      <c r="AD177" s="124">
        <f t="shared" si="2"/>
        <v>182.63508898096052</v>
      </c>
      <c r="AE177" s="124">
        <f t="shared" si="2"/>
        <v>90.581421434335411</v>
      </c>
      <c r="AF177" s="124">
        <f t="shared" si="2"/>
        <v>342.49234419019359</v>
      </c>
      <c r="AG177" s="124">
        <f t="shared" si="2"/>
        <v>268.79218383191551</v>
      </c>
      <c r="AH177" s="124">
        <f t="shared" si="2"/>
        <v>339.98468838038718</v>
      </c>
      <c r="AI177" s="124">
        <f t="shared" si="2"/>
        <v>270.2845280221091</v>
      </c>
      <c r="AJ177" s="124">
        <f t="shared" si="2"/>
        <v>199.58436766383102</v>
      </c>
      <c r="AK177" s="124">
        <f t="shared" si="2"/>
        <v>115.47703257058076</v>
      </c>
      <c r="AL177" s="124">
        <f t="shared" si="2"/>
        <v>239.5814214343354</v>
      </c>
      <c r="AM177" s="124">
        <f t="shared" si="2"/>
        <v>145.88126107605729</v>
      </c>
      <c r="AN177" s="124">
        <f t="shared" si="2"/>
        <v>182.63508898096055</v>
      </c>
      <c r="AO177" s="124">
        <f t="shared" si="2"/>
        <v>182.63508898096052</v>
      </c>
      <c r="AP177" s="124">
        <f t="shared" si="2"/>
        <v>269.21651041529594</v>
      </c>
      <c r="AQ177" s="124">
        <f t="shared" si="2"/>
        <v>139.16284286867079</v>
      </c>
      <c r="AR177" s="124">
        <f t="shared" si="2"/>
        <v>228.59967928344383</v>
      </c>
      <c r="AS177" s="124">
        <f t="shared" si="2"/>
        <v>154.89951892516575</v>
      </c>
      <c r="AT177" s="124">
        <f t="shared" si="2"/>
        <v>285.13883700184658</v>
      </c>
      <c r="AU177" s="124">
        <f t="shared" si="2"/>
        <v>247.43867664356844</v>
      </c>
      <c r="AV177" s="124">
        <f t="shared" si="2"/>
        <v>182.68484873866527</v>
      </c>
      <c r="AW177" s="124">
        <f t="shared" si="2"/>
        <v>113.89266490674976</v>
      </c>
      <c r="AX177" s="124">
        <f t="shared" si="2"/>
        <v>285.54601173681874</v>
      </c>
      <c r="AY177" s="124">
        <f t="shared" si="2"/>
        <v>227.79218383191551</v>
      </c>
    </row>
    <row r="178" spans="1:51">
      <c r="A178" s="125"/>
      <c r="B178" s="136" t="s">
        <v>299</v>
      </c>
      <c r="C178" s="125" t="s">
        <v>293</v>
      </c>
      <c r="D178" s="125">
        <v>151</v>
      </c>
      <c r="E178" s="125">
        <v>127</v>
      </c>
      <c r="F178" s="125">
        <v>172</v>
      </c>
      <c r="G178" s="125">
        <v>132</v>
      </c>
      <c r="H178" s="125">
        <v>124.7278633815088</v>
      </c>
      <c r="I178" s="125">
        <v>227</v>
      </c>
      <c r="J178" s="125">
        <v>244</v>
      </c>
      <c r="K178" s="125">
        <v>153</v>
      </c>
      <c r="L178" s="125">
        <v>142</v>
      </c>
      <c r="M178" s="125">
        <v>154</v>
      </c>
      <c r="N178" s="125">
        <v>187.20119879568307</v>
      </c>
      <c r="O178" s="125">
        <v>145</v>
      </c>
      <c r="P178" s="125">
        <v>198</v>
      </c>
      <c r="Q178" s="125">
        <v>228.09202347363743</v>
      </c>
      <c r="R178" s="125">
        <v>182</v>
      </c>
      <c r="S178" s="125">
        <v>125.916670773574</v>
      </c>
      <c r="T178" s="125">
        <v>182.63508898096052</v>
      </c>
      <c r="U178" s="125">
        <v>0</v>
      </c>
      <c r="V178" s="125">
        <v>152</v>
      </c>
      <c r="W178" s="125">
        <v>228</v>
      </c>
      <c r="X178" s="125">
        <v>145.53985197829519</v>
      </c>
      <c r="Y178" s="125">
        <v>114.30158766577821</v>
      </c>
      <c r="Z178" s="125">
        <v>114.29983964172192</v>
      </c>
      <c r="AA178" s="125">
        <v>182.63508898096052</v>
      </c>
      <c r="AB178" s="125">
        <v>168</v>
      </c>
      <c r="AC178" s="125">
        <v>197.27017796192104</v>
      </c>
      <c r="AD178" s="125">
        <v>149</v>
      </c>
      <c r="AE178" s="125">
        <v>90.581421434335411</v>
      </c>
      <c r="AF178" s="125">
        <v>188</v>
      </c>
      <c r="AG178" s="125">
        <v>157</v>
      </c>
      <c r="AH178" s="125">
        <v>184</v>
      </c>
      <c r="AI178" s="125">
        <v>185</v>
      </c>
      <c r="AJ178" s="125">
        <v>198</v>
      </c>
      <c r="AK178" s="125">
        <v>115.47703257058076</v>
      </c>
      <c r="AL178" s="125">
        <v>208</v>
      </c>
      <c r="AM178" s="125">
        <v>145.88126107605729</v>
      </c>
      <c r="AN178" s="125">
        <v>182.63508898096055</v>
      </c>
      <c r="AO178" s="125">
        <v>153</v>
      </c>
      <c r="AP178" s="125">
        <v>187</v>
      </c>
      <c r="AQ178" s="125">
        <v>139.16284286867079</v>
      </c>
      <c r="AR178" s="125">
        <v>188</v>
      </c>
      <c r="AS178" s="125">
        <v>154.89951892516575</v>
      </c>
      <c r="AT178" s="125">
        <v>152</v>
      </c>
      <c r="AU178" s="125">
        <v>236</v>
      </c>
      <c r="AV178" s="125">
        <v>182.68484873866527</v>
      </c>
      <c r="AW178" s="125">
        <v>113.89266490674976</v>
      </c>
      <c r="AX178" s="125">
        <v>229</v>
      </c>
      <c r="AY178" s="125">
        <v>227.79218383191551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120.71812440882721</v>
      </c>
      <c r="E179" s="124">
        <f t="shared" si="3"/>
        <v>96.500594463640823</v>
      </c>
      <c r="F179" s="124">
        <f t="shared" si="3"/>
        <v>94.680495205624283</v>
      </c>
      <c r="G179" s="124">
        <f t="shared" si="3"/>
        <v>102.71827535480361</v>
      </c>
      <c r="H179" s="124">
        <f t="shared" si="3"/>
        <v>74.026308159263095</v>
      </c>
      <c r="I179" s="124">
        <f t="shared" si="3"/>
        <v>36.336254834665731</v>
      </c>
      <c r="J179" s="124">
        <f t="shared" si="3"/>
        <v>153.89541278063297</v>
      </c>
      <c r="K179" s="124">
        <f t="shared" si="3"/>
        <v>147.02945490340073</v>
      </c>
      <c r="L179" s="124">
        <f t="shared" si="3"/>
        <v>159.65897407539063</v>
      </c>
      <c r="M179" s="124">
        <f t="shared" si="3"/>
        <v>175.50679765116934</v>
      </c>
      <c r="N179" s="124">
        <f t="shared" si="3"/>
        <v>136.58472329259388</v>
      </c>
      <c r="O179" s="124">
        <f t="shared" si="3"/>
        <v>107.02951910647637</v>
      </c>
      <c r="P179" s="124">
        <f t="shared" si="3"/>
        <v>74.096684076368462</v>
      </c>
      <c r="Q179" s="124">
        <f t="shared" si="3"/>
        <v>134.36626124466497</v>
      </c>
      <c r="R179" s="124">
        <f t="shared" si="3"/>
        <v>129.49725965438975</v>
      </c>
      <c r="S179" s="124">
        <f t="shared" si="3"/>
        <v>148.86644874560545</v>
      </c>
      <c r="T179" s="124">
        <f t="shared" si="3"/>
        <v>71.016286475714651</v>
      </c>
      <c r="U179" s="124">
        <f t="shared" si="3"/>
        <v>76.950710731884442</v>
      </c>
      <c r="V179" s="124">
        <f t="shared" si="3"/>
        <v>6.0086831358658055E-3</v>
      </c>
      <c r="W179" s="124">
        <f t="shared" si="3"/>
        <v>76.950710731884428</v>
      </c>
      <c r="X179" s="124">
        <f t="shared" si="3"/>
        <v>95.292863636724903</v>
      </c>
      <c r="Y179" s="124">
        <f t="shared" si="3"/>
        <v>68.276948637752326</v>
      </c>
      <c r="Z179" s="124">
        <f t="shared" si="3"/>
        <v>47.649436159930389</v>
      </c>
      <c r="AA179" s="124">
        <f t="shared" si="3"/>
        <v>47.648686610560802</v>
      </c>
      <c r="AB179" s="124">
        <f t="shared" si="3"/>
        <v>76.950710731884428</v>
      </c>
      <c r="AC179" s="124">
        <f t="shared" si="3"/>
        <v>76.950710731884428</v>
      </c>
      <c r="AD179" s="124">
        <f t="shared" si="3"/>
        <v>76.950710731884428</v>
      </c>
      <c r="AE179" s="124">
        <f t="shared" si="3"/>
        <v>87.901421463768855</v>
      </c>
      <c r="AF179" s="124">
        <f t="shared" si="3"/>
        <v>38.089996849699411</v>
      </c>
      <c r="AG179" s="124">
        <f t="shared" si="3"/>
        <v>144.12832125664832</v>
      </c>
      <c r="AH179" s="124">
        <f t="shared" si="3"/>
        <v>108.56921031024156</v>
      </c>
      <c r="AI179" s="124">
        <f t="shared" si="3"/>
        <v>137.05485363946491</v>
      </c>
      <c r="AJ179" s="124">
        <f t="shared" si="3"/>
        <v>83.703540250025725</v>
      </c>
      <c r="AK179" s="124">
        <f t="shared" si="3"/>
        <v>77.352226860586526</v>
      </c>
      <c r="AL179" s="124">
        <f t="shared" si="3"/>
        <v>48.842965401798416</v>
      </c>
      <c r="AM179" s="124">
        <f t="shared" si="3"/>
        <v>101.3691890912157</v>
      </c>
      <c r="AN179" s="124">
        <f t="shared" si="3"/>
        <v>51.937282221693614</v>
      </c>
      <c r="AO179" s="124">
        <f t="shared" si="3"/>
        <v>76.950710731884428</v>
      </c>
      <c r="AP179" s="124">
        <f t="shared" si="3"/>
        <v>79.901421463768855</v>
      </c>
      <c r="AQ179" s="124">
        <f t="shared" si="3"/>
        <v>106.64446364184407</v>
      </c>
      <c r="AR179" s="124">
        <f t="shared" si="3"/>
        <v>40.344861349112342</v>
      </c>
      <c r="AS179" s="124">
        <f t="shared" si="3"/>
        <v>95.291364537985743</v>
      </c>
      <c r="AT179" s="124">
        <f t="shared" si="3"/>
        <v>89.494105868345287</v>
      </c>
      <c r="AU179" s="124">
        <f t="shared" si="3"/>
        <v>122.39822755689994</v>
      </c>
      <c r="AV179" s="124">
        <f t="shared" si="3"/>
        <v>104.6998873816226</v>
      </c>
      <c r="AW179" s="124">
        <f t="shared" si="3"/>
        <v>80.379825117747885</v>
      </c>
      <c r="AX179" s="124">
        <f t="shared" si="3"/>
        <v>48.842965401798423</v>
      </c>
      <c r="AY179" s="124">
        <f t="shared" si="3"/>
        <v>119.709842897317</v>
      </c>
    </row>
    <row r="180" spans="1:51">
      <c r="A180" s="125"/>
      <c r="B180" s="136" t="s">
        <v>299</v>
      </c>
      <c r="C180" s="125" t="s">
        <v>293</v>
      </c>
      <c r="D180" s="125">
        <v>76</v>
      </c>
      <c r="E180" s="125">
        <v>74</v>
      </c>
      <c r="F180" s="125">
        <v>64</v>
      </c>
      <c r="G180" s="125">
        <v>58</v>
      </c>
      <c r="H180" s="125">
        <v>66.998086129056858</v>
      </c>
      <c r="I180" s="125">
        <v>36.336254834665731</v>
      </c>
      <c r="J180" s="125">
        <v>90</v>
      </c>
      <c r="K180" s="125">
        <v>92</v>
      </c>
      <c r="L180" s="125">
        <v>65</v>
      </c>
      <c r="M180" s="125">
        <v>97</v>
      </c>
      <c r="N180" s="125">
        <v>78.39816958791593</v>
      </c>
      <c r="O180" s="125">
        <v>105</v>
      </c>
      <c r="P180" s="125">
        <v>61</v>
      </c>
      <c r="Q180" s="125">
        <v>78.084202466163603</v>
      </c>
      <c r="R180" s="125">
        <v>82</v>
      </c>
      <c r="S180" s="125">
        <v>108.32832617601417</v>
      </c>
      <c r="T180" s="125">
        <v>71.016286475714651</v>
      </c>
      <c r="U180" s="125">
        <v>76.950710731884442</v>
      </c>
      <c r="V180" s="125">
        <v>6.0086831358658055E-3</v>
      </c>
      <c r="W180" s="125">
        <v>76.950710731884428</v>
      </c>
      <c r="X180" s="125">
        <v>74.721254758755776</v>
      </c>
      <c r="Y180" s="125">
        <v>68.276948637752326</v>
      </c>
      <c r="Z180" s="125">
        <v>47.649436159930389</v>
      </c>
      <c r="AA180" s="125">
        <v>47.648686610560802</v>
      </c>
      <c r="AB180" s="125">
        <v>76.950710731884428</v>
      </c>
      <c r="AC180" s="125">
        <v>76.950710731884428</v>
      </c>
      <c r="AD180" s="125">
        <v>66</v>
      </c>
      <c r="AE180" s="125">
        <v>74.235911656536587</v>
      </c>
      <c r="AF180" s="125">
        <v>38.089996849699411</v>
      </c>
      <c r="AG180" s="125">
        <v>97</v>
      </c>
      <c r="AH180" s="125">
        <v>68</v>
      </c>
      <c r="AI180" s="125">
        <v>101</v>
      </c>
      <c r="AJ180" s="125">
        <v>54</v>
      </c>
      <c r="AK180" s="125">
        <v>77.352226860586526</v>
      </c>
      <c r="AL180" s="125">
        <v>48.842965401798416</v>
      </c>
      <c r="AM180" s="125">
        <v>97.080593480082896</v>
      </c>
      <c r="AN180" s="125">
        <v>51.937282221693614</v>
      </c>
      <c r="AO180" s="125">
        <v>74</v>
      </c>
      <c r="AP180" s="125">
        <v>79.901421463768855</v>
      </c>
      <c r="AQ180" s="125">
        <v>98.528593291304858</v>
      </c>
      <c r="AR180" s="125">
        <v>40.344861349112342</v>
      </c>
      <c r="AS180" s="125">
        <v>70.379856525157962</v>
      </c>
      <c r="AT180" s="125">
        <v>88</v>
      </c>
      <c r="AU180" s="125">
        <v>83</v>
      </c>
      <c r="AV180" s="125">
        <v>96.387227233766808</v>
      </c>
      <c r="AW180" s="125">
        <v>80.379825117747885</v>
      </c>
      <c r="AX180" s="125">
        <v>48.842965401798423</v>
      </c>
      <c r="AY180" s="125">
        <v>107.0361554679388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76.056931668255416</v>
      </c>
      <c r="E181" s="124">
        <f t="shared" si="4"/>
        <v>106.01622079331794</v>
      </c>
      <c r="F181" s="124">
        <f t="shared" si="4"/>
        <v>105.80747725126379</v>
      </c>
      <c r="G181" s="124">
        <f t="shared" si="4"/>
        <v>43.046981845018266</v>
      </c>
      <c r="H181" s="124">
        <f t="shared" si="4"/>
        <v>43.046981845018266</v>
      </c>
      <c r="I181" s="124">
        <f t="shared" si="4"/>
        <v>226.03813378397356</v>
      </c>
      <c r="J181" s="124">
        <f t="shared" si="4"/>
        <v>122.10541819160379</v>
      </c>
      <c r="K181" s="124">
        <f t="shared" si="4"/>
        <v>153.67749320808448</v>
      </c>
      <c r="L181" s="124">
        <f t="shared" si="4"/>
        <v>118.74747161966572</v>
      </c>
      <c r="M181" s="124">
        <f t="shared" si="4"/>
        <v>85.303555764490383</v>
      </c>
      <c r="N181" s="124">
        <f t="shared" si="4"/>
        <v>71.739453102705369</v>
      </c>
      <c r="O181" s="124">
        <f t="shared" si="4"/>
        <v>105.85063701746783</v>
      </c>
      <c r="P181" s="124">
        <f t="shared" si="4"/>
        <v>178.11803752049801</v>
      </c>
      <c r="Q181" s="124">
        <f t="shared" si="4"/>
        <v>107.53684643085886</v>
      </c>
      <c r="R181" s="124">
        <f t="shared" si="4"/>
        <v>148.88879344333947</v>
      </c>
      <c r="S181" s="124">
        <f t="shared" si="4"/>
        <v>44.765644186693834</v>
      </c>
      <c r="T181" s="124">
        <f t="shared" si="4"/>
        <v>113.0234796015601</v>
      </c>
      <c r="U181" s="124">
        <f t="shared" si="4"/>
        <v>8.8254191466145045E-3</v>
      </c>
      <c r="V181" s="124">
        <f t="shared" si="4"/>
        <v>113.0234796015601</v>
      </c>
      <c r="W181" s="124">
        <f t="shared" si="4"/>
        <v>139.96402277486635</v>
      </c>
      <c r="X181" s="124">
        <f t="shared" si="4"/>
        <v>70.068534051775259</v>
      </c>
      <c r="Y181" s="124">
        <f t="shared" si="4"/>
        <v>69.986424097006491</v>
      </c>
      <c r="Z181" s="124">
        <f t="shared" si="4"/>
        <v>69.98532317568845</v>
      </c>
      <c r="AA181" s="124">
        <f t="shared" si="4"/>
        <v>113.0234796015601</v>
      </c>
      <c r="AB181" s="124">
        <f t="shared" si="4"/>
        <v>113.0234796015601</v>
      </c>
      <c r="AC181" s="124">
        <f t="shared" si="4"/>
        <v>113.0234796015601</v>
      </c>
      <c r="AD181" s="124">
        <f t="shared" si="4"/>
        <v>113.0234796015601</v>
      </c>
      <c r="AE181" s="124">
        <f t="shared" si="4"/>
        <v>35.874139260925993</v>
      </c>
      <c r="AF181" s="124">
        <f t="shared" si="4"/>
        <v>211.69244861578906</v>
      </c>
      <c r="AG181" s="124">
        <f t="shared" si="4"/>
        <v>90.243001066566706</v>
      </c>
      <c r="AH181" s="124">
        <f t="shared" si="4"/>
        <v>141.71595085924722</v>
      </c>
      <c r="AI181" s="124">
        <f t="shared" si="4"/>
        <v>69.98532317568845</v>
      </c>
      <c r="AJ181" s="124">
        <f t="shared" si="4"/>
        <v>69.98532317568845</v>
      </c>
      <c r="AK181" s="124">
        <f t="shared" si="4"/>
        <v>71.739453102705369</v>
      </c>
      <c r="AL181" s="124">
        <f t="shared" si="4"/>
        <v>148.88879344333947</v>
      </c>
      <c r="AM181" s="124">
        <f t="shared" si="4"/>
        <v>69.98532317568845</v>
      </c>
      <c r="AN181" s="124">
        <f t="shared" si="4"/>
        <v>113.0234796015601</v>
      </c>
      <c r="AO181" s="124">
        <f t="shared" si="4"/>
        <v>113.0234796015601</v>
      </c>
      <c r="AP181" s="124">
        <f t="shared" si="4"/>
        <v>156.63699849427121</v>
      </c>
      <c r="AQ181" s="124">
        <f t="shared" si="4"/>
        <v>47.337219787325168</v>
      </c>
      <c r="AR181" s="124">
        <f t="shared" si="4"/>
        <v>139.9618209322303</v>
      </c>
      <c r="AS181" s="124">
        <f t="shared" si="4"/>
        <v>94.857472555017807</v>
      </c>
      <c r="AT181" s="124">
        <f t="shared" si="4"/>
        <v>177.58126470102661</v>
      </c>
      <c r="AU181" s="124">
        <f t="shared" si="4"/>
        <v>95.913614662553172</v>
      </c>
      <c r="AV181" s="124">
        <f t="shared" si="4"/>
        <v>105.85063701746785</v>
      </c>
      <c r="AW181" s="124">
        <f t="shared" si="4"/>
        <v>71.739453102705369</v>
      </c>
      <c r="AX181" s="124">
        <f t="shared" si="4"/>
        <v>175.82713477400964</v>
      </c>
      <c r="AY181" s="124">
        <f t="shared" si="4"/>
        <v>117.05381790457831</v>
      </c>
    </row>
    <row r="182" spans="1:51">
      <c r="A182" s="125"/>
      <c r="B182" s="136" t="s">
        <v>299</v>
      </c>
      <c r="C182" s="125" t="s">
        <v>293</v>
      </c>
      <c r="D182" s="125">
        <v>76.056931668255416</v>
      </c>
      <c r="E182" s="125">
        <v>106.01622079331794</v>
      </c>
      <c r="F182" s="125">
        <v>105.80747725126379</v>
      </c>
      <c r="G182" s="125">
        <v>43.046981845018266</v>
      </c>
      <c r="H182" s="125">
        <v>43.046981845018266</v>
      </c>
      <c r="I182" s="125">
        <v>138.43268325585126</v>
      </c>
      <c r="J182" s="125">
        <v>102</v>
      </c>
      <c r="K182" s="125">
        <v>132</v>
      </c>
      <c r="L182" s="125">
        <v>93</v>
      </c>
      <c r="M182" s="125">
        <v>85.303555764490383</v>
      </c>
      <c r="N182" s="125">
        <v>71.739453102705369</v>
      </c>
      <c r="O182" s="125">
        <v>102</v>
      </c>
      <c r="P182" s="125">
        <v>115</v>
      </c>
      <c r="Q182" s="125">
        <v>107.53684643085886</v>
      </c>
      <c r="R182" s="125">
        <v>146</v>
      </c>
      <c r="S182" s="125">
        <v>44.765644186693834</v>
      </c>
      <c r="T182" s="125">
        <v>113.0234796015601</v>
      </c>
      <c r="U182" s="125">
        <v>8.8254191466145045E-3</v>
      </c>
      <c r="V182" s="125">
        <v>113.0234796015601</v>
      </c>
      <c r="W182" s="125">
        <v>139.82600922024477</v>
      </c>
      <c r="X182" s="125">
        <v>70.068534051775259</v>
      </c>
      <c r="Y182" s="125">
        <v>69.986424097006491</v>
      </c>
      <c r="Z182" s="125">
        <v>69.98532317568845</v>
      </c>
      <c r="AA182" s="125">
        <v>113.0234796015601</v>
      </c>
      <c r="AB182" s="125">
        <v>113.0234796015601</v>
      </c>
      <c r="AC182" s="125">
        <v>113.0234796015601</v>
      </c>
      <c r="AD182" s="125">
        <v>113.0234796015601</v>
      </c>
      <c r="AE182" s="125">
        <v>35.874139260925993</v>
      </c>
      <c r="AF182" s="125">
        <v>177.64256828187834</v>
      </c>
      <c r="AG182" s="125">
        <v>90.243001066566706</v>
      </c>
      <c r="AH182" s="125">
        <v>141.71595085924722</v>
      </c>
      <c r="AI182" s="125">
        <v>69.98532317568845</v>
      </c>
      <c r="AJ182" s="125">
        <v>69.98532317568845</v>
      </c>
      <c r="AK182" s="125">
        <v>71.739453102705369</v>
      </c>
      <c r="AL182" s="125">
        <v>148.88879344333947</v>
      </c>
      <c r="AM182" s="125">
        <v>69.98532317568845</v>
      </c>
      <c r="AN182" s="125">
        <v>113.0234796015601</v>
      </c>
      <c r="AO182" s="125">
        <v>100</v>
      </c>
      <c r="AP182" s="125">
        <v>137.36941401176605</v>
      </c>
      <c r="AQ182" s="125">
        <v>47.337219787325168</v>
      </c>
      <c r="AR182" s="125">
        <v>98.155760307944206</v>
      </c>
      <c r="AS182" s="125">
        <v>94.857472555017807</v>
      </c>
      <c r="AT182" s="125">
        <v>134</v>
      </c>
      <c r="AU182" s="125">
        <v>95.913614662553172</v>
      </c>
      <c r="AV182" s="125">
        <v>105.85063701746785</v>
      </c>
      <c r="AW182" s="125">
        <v>71.739453102705369</v>
      </c>
      <c r="AX182" s="125">
        <v>156.99639955252425</v>
      </c>
      <c r="AY182" s="125">
        <v>117.05381790457831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122.99999999999949</v>
      </c>
      <c r="D186" s="106">
        <v>137.99999999999946</v>
      </c>
      <c r="E186" s="106">
        <v>104.99999999999943</v>
      </c>
      <c r="F186" s="106">
        <v>26.979840628121082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72.000000000000512</v>
      </c>
      <c r="D187" s="106">
        <v>27.00000000000054</v>
      </c>
      <c r="E187" s="106">
        <v>12.000000000000568</v>
      </c>
      <c r="F187" s="106">
        <v>92.020159371878918</v>
      </c>
      <c r="G187" s="106">
        <v>116</v>
      </c>
      <c r="H187" s="106">
        <v>66.959681256242732</v>
      </c>
      <c r="I187" s="106">
        <v>35.939521884364382</v>
      </c>
      <c r="J187" s="106">
        <v>7.9193625124860318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30.383872502497297</v>
      </c>
      <c r="AB187" s="106">
        <v>3.7677450049945946</v>
      </c>
      <c r="AC187" s="106">
        <v>33.151617507491892</v>
      </c>
      <c r="AD187" s="106">
        <v>38.535490009989189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54.040318743757268</v>
      </c>
      <c r="I188" s="106">
        <v>130.06047811563562</v>
      </c>
      <c r="J188" s="106">
        <v>161.08063748751397</v>
      </c>
      <c r="K188" s="106">
        <v>114</v>
      </c>
      <c r="L188" s="106">
        <v>131</v>
      </c>
      <c r="M188" s="106">
        <v>115</v>
      </c>
      <c r="N188" s="106">
        <v>136</v>
      </c>
      <c r="O188" s="106">
        <v>156</v>
      </c>
      <c r="P188" s="106">
        <v>125</v>
      </c>
      <c r="Q188" s="106">
        <v>136</v>
      </c>
      <c r="R188" s="106">
        <v>143</v>
      </c>
      <c r="S188" s="106">
        <v>167</v>
      </c>
      <c r="T188" s="106">
        <v>127</v>
      </c>
      <c r="U188" s="106">
        <v>133</v>
      </c>
      <c r="V188" s="106">
        <v>105</v>
      </c>
      <c r="W188" s="106">
        <v>111</v>
      </c>
      <c r="X188" s="106">
        <v>170</v>
      </c>
      <c r="Y188" s="106">
        <v>183</v>
      </c>
      <c r="Z188" s="106">
        <v>138</v>
      </c>
      <c r="AA188" s="106">
        <v>157.6161274975027</v>
      </c>
      <c r="AB188" s="106">
        <v>127.23225499500541</v>
      </c>
      <c r="AC188" s="106">
        <v>153.84838249250811</v>
      </c>
      <c r="AD188" s="106">
        <v>124.46450999001081</v>
      </c>
      <c r="AE188" s="106">
        <v>120</v>
      </c>
      <c r="AF188" s="106">
        <v>177</v>
      </c>
      <c r="AG188" s="106">
        <v>142</v>
      </c>
      <c r="AH188" s="106">
        <v>184</v>
      </c>
      <c r="AI188" s="106">
        <v>163</v>
      </c>
      <c r="AJ188" s="106">
        <v>143</v>
      </c>
      <c r="AK188" s="106">
        <v>139</v>
      </c>
      <c r="AL188" s="106">
        <v>158</v>
      </c>
      <c r="AM188" s="106">
        <v>174</v>
      </c>
      <c r="AN188" s="106">
        <v>157</v>
      </c>
      <c r="AO188" s="106">
        <v>138</v>
      </c>
      <c r="AP188" s="106">
        <v>180</v>
      </c>
      <c r="AQ188" s="106">
        <v>154</v>
      </c>
      <c r="AR188" s="106">
        <v>113</v>
      </c>
      <c r="AS188" s="106">
        <v>113</v>
      </c>
      <c r="AT188" s="106">
        <v>148</v>
      </c>
      <c r="AU188" s="106">
        <v>159</v>
      </c>
      <c r="AV188" s="106">
        <v>161</v>
      </c>
      <c r="AW188" s="106">
        <v>163</v>
      </c>
      <c r="AX188" s="106">
        <v>166</v>
      </c>
      <c r="AY188" s="106">
        <v>118</v>
      </c>
    </row>
    <row r="189" spans="1:51">
      <c r="A189" s="126" t="s">
        <v>133</v>
      </c>
      <c r="B189" s="123">
        <v>1</v>
      </c>
      <c r="C189" s="124">
        <v>55.689148603124238</v>
      </c>
      <c r="D189" s="124">
        <v>36.55463364882192</v>
      </c>
      <c r="E189" s="124">
        <v>0</v>
      </c>
      <c r="F189" s="124">
        <v>0</v>
      </c>
      <c r="G189" s="124">
        <v>11.942635296968405</v>
      </c>
      <c r="H189" s="124">
        <v>0</v>
      </c>
      <c r="I189" s="124">
        <v>44.364911019039511</v>
      </c>
      <c r="J189" s="124">
        <v>105.72982203807899</v>
      </c>
      <c r="K189" s="124">
        <v>87.483649942982197</v>
      </c>
      <c r="L189" s="124">
        <v>58.237477847885401</v>
      </c>
      <c r="M189" s="124">
        <v>40.991305752788605</v>
      </c>
      <c r="N189" s="124">
        <v>56.946332453374879</v>
      </c>
      <c r="O189" s="124">
        <v>145</v>
      </c>
      <c r="P189" s="124">
        <v>57.453988263181287</v>
      </c>
      <c r="Q189" s="124">
        <v>114.29983964172192</v>
      </c>
      <c r="R189" s="124">
        <v>125.05366754662512</v>
      </c>
      <c r="S189" s="124">
        <v>68.335249339238601</v>
      </c>
      <c r="T189" s="124">
        <v>182.63508898096052</v>
      </c>
      <c r="U189" s="124">
        <v>0</v>
      </c>
      <c r="V189" s="124">
        <v>83.664750660761399</v>
      </c>
      <c r="W189" s="124">
        <v>83.063323353261254</v>
      </c>
      <c r="X189" s="124">
        <v>114.30158766577823</v>
      </c>
      <c r="Y189" s="124">
        <v>114.30158766577821</v>
      </c>
      <c r="Z189" s="124">
        <v>114.29983964172192</v>
      </c>
      <c r="AA189" s="124">
        <v>114.2998396417219</v>
      </c>
      <c r="AB189" s="124">
        <v>168</v>
      </c>
      <c r="AC189" s="124">
        <v>114.2998396417219</v>
      </c>
      <c r="AD189" s="124">
        <v>80.664750660761385</v>
      </c>
      <c r="AE189" s="124">
        <v>0</v>
      </c>
      <c r="AF189" s="124">
        <v>16.753827904903204</v>
      </c>
      <c r="AG189" s="124">
        <v>2.5076558098064083</v>
      </c>
      <c r="AH189" s="124">
        <v>15.261483714709613</v>
      </c>
      <c r="AI189" s="124">
        <v>29.015311619612817</v>
      </c>
      <c r="AJ189" s="124">
        <v>112.71547197789091</v>
      </c>
      <c r="AK189" s="124">
        <v>0</v>
      </c>
      <c r="AL189" s="124">
        <v>151.05366754662512</v>
      </c>
      <c r="AM189" s="124">
        <v>114.29983964172189</v>
      </c>
      <c r="AN189" s="124">
        <v>114.29983964172192</v>
      </c>
      <c r="AO189" s="124">
        <v>84.664750660761399</v>
      </c>
      <c r="AP189" s="124">
        <v>89.029661679800881</v>
      </c>
      <c r="AQ189" s="124">
        <v>56.946332453374879</v>
      </c>
      <c r="AR189" s="124">
        <v>73.700160358278083</v>
      </c>
      <c r="AS189" s="124">
        <v>114.2998396417219</v>
      </c>
      <c r="AT189" s="124">
        <v>95.053667546625121</v>
      </c>
      <c r="AU189" s="124">
        <v>102.86116299815345</v>
      </c>
      <c r="AV189" s="124">
        <v>114.29983964172192</v>
      </c>
      <c r="AW189" s="124">
        <v>56.946332453374879</v>
      </c>
      <c r="AX189" s="124">
        <v>114.70016035827808</v>
      </c>
      <c r="AY189" s="124">
        <v>171.2461720950968</v>
      </c>
    </row>
    <row r="190" spans="1:51">
      <c r="A190" s="109"/>
      <c r="B190" s="119">
        <v>2</v>
      </c>
      <c r="C190" s="106">
        <v>111.31085139687576</v>
      </c>
      <c r="D190" s="106">
        <v>114.44536635117808</v>
      </c>
      <c r="E190" s="106">
        <v>127</v>
      </c>
      <c r="F190" s="106">
        <v>165.42011869451957</v>
      </c>
      <c r="G190" s="106">
        <v>114.29983964172192</v>
      </c>
      <c r="H190" s="106">
        <v>56.392614042270196</v>
      </c>
      <c r="I190" s="106">
        <v>68.335249339238601</v>
      </c>
      <c r="J190" s="106">
        <v>138.27017796192101</v>
      </c>
      <c r="K190" s="106">
        <v>65.516350057017803</v>
      </c>
      <c r="L190" s="106">
        <v>83.762522152114599</v>
      </c>
      <c r="M190" s="106">
        <v>113.00869424721139</v>
      </c>
      <c r="N190" s="106">
        <v>130.25486634230819</v>
      </c>
      <c r="O190" s="106">
        <v>7.1054273576010019E-15</v>
      </c>
      <c r="P190" s="106">
        <v>26.246172095096796</v>
      </c>
      <c r="Q190" s="106">
        <v>113.79218383191551</v>
      </c>
      <c r="R190" s="106">
        <v>56.946332453374879</v>
      </c>
      <c r="S190" s="106">
        <v>57.581421434335397</v>
      </c>
      <c r="T190" s="106">
        <v>0</v>
      </c>
      <c r="U190" s="106">
        <v>0</v>
      </c>
      <c r="V190" s="106">
        <v>68.335249339238601</v>
      </c>
      <c r="W190" s="106">
        <v>30.636837005016829</v>
      </c>
      <c r="X190" s="106">
        <v>31.238264312516961</v>
      </c>
      <c r="Y190" s="106">
        <v>0</v>
      </c>
      <c r="Z190" s="106">
        <v>0</v>
      </c>
      <c r="AA190" s="106">
        <v>68.335249339238601</v>
      </c>
      <c r="AB190" s="106">
        <v>0</v>
      </c>
      <c r="AC190" s="106">
        <v>14.635088980960518</v>
      </c>
      <c r="AD190" s="106">
        <v>68.335249339238615</v>
      </c>
      <c r="AE190" s="106">
        <v>90.581421434335411</v>
      </c>
      <c r="AF190" s="106">
        <v>171.2461720950968</v>
      </c>
      <c r="AG190" s="106">
        <v>154.49234419019359</v>
      </c>
      <c r="AH190" s="106">
        <v>168.73851628529039</v>
      </c>
      <c r="AI190" s="106">
        <v>155.98468838038718</v>
      </c>
      <c r="AJ190" s="106">
        <v>85.284528022109086</v>
      </c>
      <c r="AK190" s="106">
        <v>115.47703257058076</v>
      </c>
      <c r="AL190" s="106">
        <v>56.946332453374886</v>
      </c>
      <c r="AM190" s="106">
        <v>31.581421434335397</v>
      </c>
      <c r="AN190" s="106">
        <v>68.335249339238629</v>
      </c>
      <c r="AO190" s="106">
        <v>68.335249339238601</v>
      </c>
      <c r="AP190" s="106">
        <v>97.970338320199119</v>
      </c>
      <c r="AQ190" s="106">
        <v>82.216510415295915</v>
      </c>
      <c r="AR190" s="106">
        <v>114.29983964172192</v>
      </c>
      <c r="AS190" s="106">
        <v>40.599679283443834</v>
      </c>
      <c r="AT190" s="106">
        <v>0</v>
      </c>
      <c r="AU190" s="106">
        <v>133.13883700184655</v>
      </c>
      <c r="AV190" s="106">
        <v>68.38500909694335</v>
      </c>
      <c r="AW190" s="106">
        <v>56.946332453374879</v>
      </c>
      <c r="AX190" s="106">
        <v>114.29983964172192</v>
      </c>
      <c r="AY190" s="106">
        <v>56.546011736818713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6.579881305480427</v>
      </c>
      <c r="G191" s="106">
        <v>5.7575250613096784</v>
      </c>
      <c r="H191" s="106">
        <v>68.335249339238601</v>
      </c>
      <c r="I191" s="106">
        <v>114.29983964172189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114.29983964172192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114.29983964172192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68.335249339238601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56.946332453374879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30.824790818965511</v>
      </c>
      <c r="D197" s="106">
        <v>27.023495033664389</v>
      </c>
      <c r="E197" s="106">
        <v>29.281875591172792</v>
      </c>
      <c r="F197" s="106">
        <v>41.499405536359184</v>
      </c>
      <c r="G197" s="106">
        <v>27.319504794375725</v>
      </c>
      <c r="H197" s="106">
        <v>22.279810774253242</v>
      </c>
      <c r="I197" s="106">
        <v>29.308032804459486</v>
      </c>
      <c r="J197" s="106">
        <v>90</v>
      </c>
      <c r="K197" s="106">
        <v>28.104587219367033</v>
      </c>
      <c r="L197" s="106">
        <v>9.9705450965992668</v>
      </c>
      <c r="M197" s="106">
        <v>2.3410259246093545</v>
      </c>
      <c r="N197" s="106">
        <v>0</v>
      </c>
      <c r="O197" s="106">
        <v>46.813446295322059</v>
      </c>
      <c r="P197" s="106">
        <v>58.970480893523636</v>
      </c>
      <c r="Q197" s="106">
        <v>64.987518389795156</v>
      </c>
      <c r="R197" s="106">
        <v>25.717941221498648</v>
      </c>
      <c r="S197" s="106">
        <v>60.831066521624422</v>
      </c>
      <c r="T197" s="106">
        <v>30.47816390612337</v>
      </c>
      <c r="U197" s="106">
        <v>76.950710731884428</v>
      </c>
      <c r="V197" s="106">
        <v>6.0086831358658055E-3</v>
      </c>
      <c r="W197" s="106">
        <v>76.950710731884428</v>
      </c>
      <c r="X197" s="106">
        <v>74.721254758755776</v>
      </c>
      <c r="Y197" s="106">
        <v>47.7053397597832</v>
      </c>
      <c r="Z197" s="106">
        <v>47.649436159930382</v>
      </c>
      <c r="AA197" s="106">
        <v>47.648686610560802</v>
      </c>
      <c r="AB197" s="106">
        <v>76.950710731884428</v>
      </c>
      <c r="AC197" s="106">
        <v>76.950710731884428</v>
      </c>
      <c r="AD197" s="106">
        <v>66</v>
      </c>
      <c r="AE197" s="106">
        <v>63.285200924652159</v>
      </c>
      <c r="AF197" s="106">
        <v>24.424487042467142</v>
      </c>
      <c r="AG197" s="106">
        <v>97</v>
      </c>
      <c r="AH197" s="106">
        <v>20.87167874335168</v>
      </c>
      <c r="AI197" s="106">
        <v>60.430789689758441</v>
      </c>
      <c r="AJ197" s="106">
        <v>17.945146360535077</v>
      </c>
      <c r="AK197" s="106">
        <v>47.648686610560802</v>
      </c>
      <c r="AL197" s="106">
        <v>48.842965401798416</v>
      </c>
      <c r="AM197" s="106">
        <v>97.080593480082896</v>
      </c>
      <c r="AN197" s="106">
        <v>47.648686610560809</v>
      </c>
      <c r="AO197" s="106">
        <v>74</v>
      </c>
      <c r="AP197" s="106">
        <v>76.950710731884428</v>
      </c>
      <c r="AQ197" s="106">
        <v>98.528593291304858</v>
      </c>
      <c r="AR197" s="106">
        <v>32.228990998573131</v>
      </c>
      <c r="AS197" s="106">
        <v>70.379856525157962</v>
      </c>
      <c r="AT197" s="106">
        <v>63.088491987172219</v>
      </c>
      <c r="AU197" s="106">
        <v>81.505894131654713</v>
      </c>
      <c r="AV197" s="106">
        <v>56.988999676866868</v>
      </c>
      <c r="AW197" s="106">
        <v>72.06716496989209</v>
      </c>
      <c r="AX197" s="106">
        <v>48.842965401798423</v>
      </c>
      <c r="AY197" s="106">
        <v>107.0361554679388</v>
      </c>
    </row>
    <row r="198" spans="1:51">
      <c r="A198" s="109"/>
      <c r="B198" s="119">
        <v>2</v>
      </c>
      <c r="C198" s="106">
        <v>64.175209181034489</v>
      </c>
      <c r="D198" s="106">
        <v>48.976504966335611</v>
      </c>
      <c r="E198" s="106">
        <v>44.718124408827208</v>
      </c>
      <c r="F198" s="106">
        <v>22.500594463640816</v>
      </c>
      <c r="G198" s="106">
        <v>30.680495205624275</v>
      </c>
      <c r="H198" s="106">
        <v>44.718275354803616</v>
      </c>
      <c r="I198" s="106">
        <v>7.0282220302062441</v>
      </c>
      <c r="J198" s="106">
        <v>0</v>
      </c>
      <c r="K198" s="106">
        <v>63.895412780632967</v>
      </c>
      <c r="L198" s="106">
        <v>55.029454903400733</v>
      </c>
      <c r="M198" s="106">
        <v>94.658974075390645</v>
      </c>
      <c r="N198" s="106">
        <v>78.39816958791593</v>
      </c>
      <c r="O198" s="106">
        <v>58.077925641424549</v>
      </c>
      <c r="P198" s="106">
        <v>2.0295191064763642</v>
      </c>
      <c r="Q198" s="106">
        <v>13.096684076368454</v>
      </c>
      <c r="R198" s="106">
        <v>56.282058778501352</v>
      </c>
      <c r="S198" s="106">
        <v>47.497259654389751</v>
      </c>
      <c r="T198" s="106">
        <v>40.53812256959128</v>
      </c>
      <c r="U198" s="106">
        <v>7.1054273576010019E-15</v>
      </c>
      <c r="V198" s="106">
        <v>0</v>
      </c>
      <c r="W198" s="106">
        <v>0</v>
      </c>
      <c r="X198" s="106">
        <v>0</v>
      </c>
      <c r="Y198" s="106">
        <v>20.571608877969126</v>
      </c>
      <c r="Z198" s="106">
        <v>7.1054273576010019E-15</v>
      </c>
      <c r="AA198" s="106">
        <v>0</v>
      </c>
      <c r="AB198" s="106">
        <v>0</v>
      </c>
      <c r="AC198" s="106">
        <v>0</v>
      </c>
      <c r="AD198" s="106">
        <v>0</v>
      </c>
      <c r="AE198" s="106">
        <v>10.950710731884428</v>
      </c>
      <c r="AF198" s="106">
        <v>13.665509807232269</v>
      </c>
      <c r="AG198" s="106">
        <v>0</v>
      </c>
      <c r="AH198" s="106">
        <v>47.12832125664832</v>
      </c>
      <c r="AI198" s="106">
        <v>40.569210310241559</v>
      </c>
      <c r="AJ198" s="106">
        <v>36.054853639464923</v>
      </c>
      <c r="AK198" s="106">
        <v>29.703540250025725</v>
      </c>
      <c r="AL198" s="106">
        <v>0</v>
      </c>
      <c r="AM198" s="106">
        <v>0</v>
      </c>
      <c r="AN198" s="106">
        <v>4.2885956111328056</v>
      </c>
      <c r="AO198" s="106">
        <v>0</v>
      </c>
      <c r="AP198" s="106">
        <v>2.9507107318844277</v>
      </c>
      <c r="AQ198" s="106">
        <v>0</v>
      </c>
      <c r="AR198" s="106">
        <v>8.1158703505392111</v>
      </c>
      <c r="AS198" s="106">
        <v>0</v>
      </c>
      <c r="AT198" s="106">
        <v>24.911508012827781</v>
      </c>
      <c r="AU198" s="106">
        <v>1.4941058683452866</v>
      </c>
      <c r="AV198" s="106">
        <v>39.39822755689994</v>
      </c>
      <c r="AW198" s="106">
        <v>8.3126601478557944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0.10862806325339136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97</v>
      </c>
      <c r="D209" s="124">
        <v>70.208562381280501</v>
      </c>
      <c r="E209" s="124">
        <v>69.985323175688094</v>
      </c>
      <c r="F209" s="124">
        <v>69.98532317568845</v>
      </c>
      <c r="G209" s="124">
        <v>43.046981845018266</v>
      </c>
      <c r="H209" s="124">
        <v>8.8254191466145045E-3</v>
      </c>
      <c r="I209" s="124">
        <v>25.418029073437779</v>
      </c>
      <c r="J209" s="124">
        <v>49.879904984084654</v>
      </c>
      <c r="K209" s="124">
        <v>84.173143809383362</v>
      </c>
      <c r="L209" s="124">
        <v>80.10316539780213</v>
      </c>
      <c r="M209" s="124">
        <v>69.985323175688436</v>
      </c>
      <c r="N209" s="124">
        <v>35.874139260925986</v>
      </c>
      <c r="O209" s="124">
        <v>102</v>
      </c>
      <c r="P209" s="124">
        <v>42.732599496969826</v>
      </c>
      <c r="Q209" s="124">
        <v>69.98532317568845</v>
      </c>
      <c r="R209" s="124">
        <v>110.13468615822063</v>
      </c>
      <c r="S209" s="124">
        <v>43.046981845018259</v>
      </c>
      <c r="T209" s="124">
        <v>113.0234796015601</v>
      </c>
      <c r="U209" s="124">
        <v>8.8254191466145045E-3</v>
      </c>
      <c r="V209" s="124">
        <v>69.98532317568845</v>
      </c>
      <c r="W209" s="124">
        <v>69.848410542384897</v>
      </c>
      <c r="X209" s="124">
        <v>69.986424097006491</v>
      </c>
      <c r="Y209" s="124">
        <v>69.986424097006491</v>
      </c>
      <c r="Z209" s="124">
        <v>69.98532317568845</v>
      </c>
      <c r="AA209" s="124">
        <v>69.98532317568845</v>
      </c>
      <c r="AB209" s="124">
        <v>113.0234796015601</v>
      </c>
      <c r="AC209" s="124">
        <v>69.98532317568845</v>
      </c>
      <c r="AD209" s="124">
        <v>69.98532317568845</v>
      </c>
      <c r="AE209" s="124">
        <v>8.8254191466145045E-3</v>
      </c>
      <c r="AF209" s="124">
        <v>71.80075668355714</v>
      </c>
      <c r="AG209" s="124">
        <v>69.98532317568845</v>
      </c>
      <c r="AH209" s="124">
        <v>105.85063701746783</v>
      </c>
      <c r="AI209" s="124">
        <v>69.98532317568845</v>
      </c>
      <c r="AJ209" s="124">
        <v>69.98532317568845</v>
      </c>
      <c r="AK209" s="124">
        <v>8.8254191466145045E-3</v>
      </c>
      <c r="AL209" s="124">
        <v>113.02347960156008</v>
      </c>
      <c r="AM209" s="124">
        <v>69.985323175688436</v>
      </c>
      <c r="AN209" s="124">
        <v>69.98532317568845</v>
      </c>
      <c r="AO209" s="124">
        <v>56.961843574128352</v>
      </c>
      <c r="AP209" s="124">
        <v>86.583052534962661</v>
      </c>
      <c r="AQ209" s="124">
        <v>35.874139260925986</v>
      </c>
      <c r="AR209" s="124">
        <v>28.179262551402374</v>
      </c>
      <c r="AS209" s="124">
        <v>69.985323175688436</v>
      </c>
      <c r="AT209" s="124">
        <v>98.134686158220603</v>
      </c>
      <c r="AU209" s="124">
        <v>69.985323175688421</v>
      </c>
      <c r="AV209" s="124">
        <v>69.98532317568845</v>
      </c>
      <c r="AW209" s="124">
        <v>35.874139260925993</v>
      </c>
      <c r="AX209" s="124">
        <v>87.01990179598242</v>
      </c>
      <c r="AY209" s="124">
        <v>105.85063701746782</v>
      </c>
    </row>
    <row r="210" spans="1:51">
      <c r="A210" s="109"/>
      <c r="B210" s="119">
        <v>2</v>
      </c>
      <c r="C210" s="106">
        <v>0</v>
      </c>
      <c r="D210" s="110">
        <v>5.8483692869749166</v>
      </c>
      <c r="E210" s="110">
        <v>36.030897617629847</v>
      </c>
      <c r="F210" s="110">
        <v>35.822154075575341</v>
      </c>
      <c r="G210" s="110">
        <v>0</v>
      </c>
      <c r="H210" s="110">
        <v>0</v>
      </c>
      <c r="I210" s="110">
        <v>43.038156425871648</v>
      </c>
      <c r="J210" s="110">
        <v>52.120095015915346</v>
      </c>
      <c r="K210" s="110">
        <v>47.826856190616638</v>
      </c>
      <c r="L210" s="110">
        <v>12.896834602197876</v>
      </c>
      <c r="M210" s="110">
        <v>15.318232588801948</v>
      </c>
      <c r="N210" s="110">
        <v>35.865313841779383</v>
      </c>
      <c r="O210" s="110">
        <v>4.2273117343077494E-15</v>
      </c>
      <c r="P210" s="110">
        <v>2.2909027464883454</v>
      </c>
      <c r="Q210" s="110">
        <v>37.551523255170409</v>
      </c>
      <c r="R210" s="110">
        <v>35.865313841779376</v>
      </c>
      <c r="S210" s="110">
        <v>1.7186623416755726</v>
      </c>
      <c r="T210" s="110">
        <v>4.2273117343077494E-15</v>
      </c>
      <c r="U210" s="110">
        <v>0</v>
      </c>
      <c r="V210" s="110">
        <v>43.038156425871648</v>
      </c>
      <c r="W210" s="110">
        <v>1.1009213180452305E-3</v>
      </c>
      <c r="X210" s="110">
        <v>8.2109954768768353E-2</v>
      </c>
      <c r="Y210" s="110">
        <v>0</v>
      </c>
      <c r="Z210" s="110">
        <v>0</v>
      </c>
      <c r="AA210" s="110">
        <v>43.038156425871648</v>
      </c>
      <c r="AB210" s="110">
        <v>0</v>
      </c>
      <c r="AC210" s="110">
        <v>0</v>
      </c>
      <c r="AD210" s="110">
        <v>43.038156425871648</v>
      </c>
      <c r="AE210" s="110">
        <v>35.865313841779376</v>
      </c>
      <c r="AF210" s="110">
        <v>105.8418115983212</v>
      </c>
      <c r="AG210" s="110">
        <v>20.257677890878259</v>
      </c>
      <c r="AH210" s="110">
        <v>35.865313841779376</v>
      </c>
      <c r="AI210" s="110">
        <v>0</v>
      </c>
      <c r="AJ210" s="110">
        <v>0</v>
      </c>
      <c r="AK210" s="110">
        <v>71.730627683558751</v>
      </c>
      <c r="AL210" s="110">
        <v>35.865313841779383</v>
      </c>
      <c r="AM210" s="110">
        <v>8.4546234686154989E-15</v>
      </c>
      <c r="AN210" s="110">
        <v>43.038156425871655</v>
      </c>
      <c r="AO210" s="110">
        <v>43.038156425871648</v>
      </c>
      <c r="AP210" s="110">
        <v>50.786361476803386</v>
      </c>
      <c r="AQ210" s="110">
        <v>11.463080526399178</v>
      </c>
      <c r="AR210" s="110">
        <v>69.976497756541832</v>
      </c>
      <c r="AS210" s="110">
        <v>24.872149379329372</v>
      </c>
      <c r="AT210" s="110">
        <v>8.4546234686154989E-15</v>
      </c>
      <c r="AU210" s="110">
        <v>25.928291486864744</v>
      </c>
      <c r="AV210" s="110">
        <v>35.865313841779397</v>
      </c>
      <c r="AW210" s="110">
        <v>35.865313841779376</v>
      </c>
      <c r="AX210" s="110">
        <v>69.976497756541832</v>
      </c>
      <c r="AY210" s="110">
        <v>11.203180887110488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43.038156425871648</v>
      </c>
      <c r="I211" s="110">
        <v>69.976497756541832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69.976497756541832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69.976497756541832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43.038156425871648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35.865313841779383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33658.605535628842</v>
      </c>
      <c r="E259" s="124">
        <f t="shared" ref="E259:AX259" si="5">F$14*$B$259</f>
        <v>46916.935482289249</v>
      </c>
      <c r="F259" s="124">
        <f t="shared" si="5"/>
        <v>46824.557096966571</v>
      </c>
      <c r="G259" s="124">
        <f t="shared" si="5"/>
        <v>19050.221322898666</v>
      </c>
      <c r="H259" s="124">
        <f t="shared" si="5"/>
        <v>19050.221322898666</v>
      </c>
      <c r="I259" s="124">
        <f t="shared" si="5"/>
        <v>100032.01830741143</v>
      </c>
      <c r="J259" s="124">
        <f t="shared" si="5"/>
        <v>54037.127379799051</v>
      </c>
      <c r="K259" s="124">
        <f t="shared" si="5"/>
        <v>68009.187461793437</v>
      </c>
      <c r="L259" s="124">
        <f t="shared" si="5"/>
        <v>52551.085324256142</v>
      </c>
      <c r="M259" s="124">
        <f t="shared" si="5"/>
        <v>37750.651666925958</v>
      </c>
      <c r="N259" s="124">
        <f t="shared" si="5"/>
        <v>31747.927511168975</v>
      </c>
      <c r="O259" s="124">
        <f t="shared" si="5"/>
        <v>46843.657230429861</v>
      </c>
      <c r="P259" s="124">
        <f t="shared" si="5"/>
        <v>78825.225159392736</v>
      </c>
      <c r="Q259" s="124">
        <f t="shared" si="5"/>
        <v>47589.880569327463</v>
      </c>
      <c r="R259" s="124">
        <f t="shared" si="5"/>
        <v>65889.972909290213</v>
      </c>
      <c r="S259" s="124">
        <f t="shared" si="5"/>
        <v>19810.806538980196</v>
      </c>
      <c r="T259" s="124">
        <f t="shared" si="5"/>
        <v>50017.96197572488</v>
      </c>
      <c r="U259" s="124">
        <f t="shared" si="5"/>
        <v>3.9056440383127735</v>
      </c>
      <c r="V259" s="124">
        <f t="shared" si="5"/>
        <v>50017.96197572488</v>
      </c>
      <c r="W259" s="124">
        <f t="shared" si="5"/>
        <v>61940.361363871183</v>
      </c>
      <c r="X259" s="124">
        <f t="shared" si="5"/>
        <v>31008.470843859086</v>
      </c>
      <c r="Y259" s="124">
        <f t="shared" si="5"/>
        <v>30972.133503954748</v>
      </c>
      <c r="Z259" s="124">
        <f t="shared" si="5"/>
        <v>30971.646296864521</v>
      </c>
      <c r="AA259" s="124">
        <f t="shared" si="5"/>
        <v>50017.96197572488</v>
      </c>
      <c r="AB259" s="124">
        <f t="shared" si="5"/>
        <v>50017.96197572488</v>
      </c>
      <c r="AC259" s="124">
        <f t="shared" si="5"/>
        <v>50017.96197572488</v>
      </c>
      <c r="AD259" s="124">
        <f t="shared" si="5"/>
        <v>50017.96197572488</v>
      </c>
      <c r="AE259" s="124">
        <f t="shared" si="5"/>
        <v>15875.916577603643</v>
      </c>
      <c r="AF259" s="124">
        <f t="shared" si="5"/>
        <v>93683.408816821408</v>
      </c>
      <c r="AG259" s="124">
        <f t="shared" si="5"/>
        <v>39936.577884835606</v>
      </c>
      <c r="AH259" s="124">
        <f t="shared" si="5"/>
        <v>62715.668163995186</v>
      </c>
      <c r="AI259" s="124">
        <f t="shared" si="5"/>
        <v>30971.646296864521</v>
      </c>
      <c r="AJ259" s="124">
        <f t="shared" si="5"/>
        <v>30971.646296864521</v>
      </c>
      <c r="AK259" s="124">
        <f t="shared" si="5"/>
        <v>31747.927511168971</v>
      </c>
      <c r="AL259" s="124">
        <f t="shared" si="5"/>
        <v>65889.972909290213</v>
      </c>
      <c r="AM259" s="124">
        <f t="shared" si="5"/>
        <v>30971.646296864525</v>
      </c>
      <c r="AN259" s="124">
        <f t="shared" si="5"/>
        <v>50017.96197572488</v>
      </c>
      <c r="AO259" s="124">
        <f t="shared" si="5"/>
        <v>50017.96197572488</v>
      </c>
      <c r="AP259" s="124">
        <f t="shared" si="5"/>
        <v>69318.901367198647</v>
      </c>
      <c r="AQ259" s="124">
        <f t="shared" si="5"/>
        <v>20948.844149072534</v>
      </c>
      <c r="AR259" s="124">
        <f t="shared" si="5"/>
        <v>61939.386949690735</v>
      </c>
      <c r="AS259" s="124">
        <f t="shared" si="5"/>
        <v>41978.688606086376</v>
      </c>
      <c r="AT259" s="124">
        <f t="shared" si="5"/>
        <v>78587.679097560525</v>
      </c>
      <c r="AU259" s="124">
        <f t="shared" si="5"/>
        <v>42446.078886069728</v>
      </c>
      <c r="AV259" s="124">
        <f t="shared" si="5"/>
        <v>46843.657230429861</v>
      </c>
      <c r="AW259" s="124">
        <f t="shared" si="5"/>
        <v>31747.927511168975</v>
      </c>
      <c r="AX259" s="124">
        <f t="shared" si="5"/>
        <v>77811.397883256053</v>
      </c>
      <c r="AY259" s="124">
        <f>AZ$14*$B$259</f>
        <v>51801.567547773557</v>
      </c>
      <c r="AZ259" s="139">
        <f>SUM($D259:$AY259)</f>
        <v>2249816.83426046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19858.163071030307</v>
      </c>
      <c r="E260" s="125">
        <f t="shared" ref="E260:AY260" si="6">(E$175-E$176+E$177-E$178+E$179-E$180+E$181-E$182)*$B$260</f>
        <v>25945.238049275995</v>
      </c>
      <c r="F260" s="125">
        <f t="shared" si="6"/>
        <v>31067.900281457492</v>
      </c>
      <c r="G260" s="125">
        <f t="shared" si="6"/>
        <v>32951.491613075268</v>
      </c>
      <c r="H260" s="125">
        <f t="shared" si="6"/>
        <v>31867.741133375916</v>
      </c>
      <c r="I260" s="125">
        <f t="shared" si="6"/>
        <v>46859.795083278848</v>
      </c>
      <c r="J260" s="125">
        <f t="shared" si="6"/>
        <v>40542.717850741719</v>
      </c>
      <c r="K260" s="125">
        <f t="shared" si="6"/>
        <v>49597.844714317631</v>
      </c>
      <c r="L260" s="125">
        <f t="shared" si="6"/>
        <v>53429.746645786865</v>
      </c>
      <c r="M260" s="125">
        <f t="shared" si="6"/>
        <v>49493.758141656959</v>
      </c>
      <c r="N260" s="125">
        <f t="shared" si="6"/>
        <v>42616.031471531489</v>
      </c>
      <c r="O260" s="125">
        <f t="shared" si="6"/>
        <v>39852.417942393266</v>
      </c>
      <c r="P260" s="125">
        <f t="shared" si="6"/>
        <v>51185.25257497772</v>
      </c>
      <c r="Q260" s="125">
        <f t="shared" si="6"/>
        <v>42501.761775960884</v>
      </c>
      <c r="R260" s="125">
        <f t="shared" si="6"/>
        <v>45182.886721174676</v>
      </c>
      <c r="S260" s="125">
        <f t="shared" si="6"/>
        <v>39697.125603426284</v>
      </c>
      <c r="T260" s="125">
        <f t="shared" si="6"/>
        <v>39664.838249250803</v>
      </c>
      <c r="U260" s="125">
        <f t="shared" si="6"/>
        <v>39304.838249250803</v>
      </c>
      <c r="V260" s="125">
        <f t="shared" si="6"/>
        <v>42822.943588108436</v>
      </c>
      <c r="W260" s="125">
        <f t="shared" si="6"/>
        <v>42507.414921279116</v>
      </c>
      <c r="X260" s="125">
        <f t="shared" si="6"/>
        <v>35954.892869466399</v>
      </c>
      <c r="Y260" s="125">
        <f t="shared" si="6"/>
        <v>31576.354424325724</v>
      </c>
      <c r="Z260" s="125">
        <f t="shared" si="6"/>
        <v>31912.112511863179</v>
      </c>
      <c r="AA260" s="125">
        <f t="shared" si="6"/>
        <v>26547.870599400649</v>
      </c>
      <c r="AB260" s="125">
        <f t="shared" si="6"/>
        <v>31387.18550057098</v>
      </c>
      <c r="AC260" s="125">
        <f t="shared" si="6"/>
        <v>31110.289724026046</v>
      </c>
      <c r="AD260" s="125">
        <f t="shared" si="6"/>
        <v>35826.647269109453</v>
      </c>
      <c r="AE260" s="125">
        <f t="shared" si="6"/>
        <v>38592.639437085389</v>
      </c>
      <c r="AF260" s="125">
        <f t="shared" si="6"/>
        <v>47977.371720697069</v>
      </c>
      <c r="AG260" s="125">
        <f t="shared" si="6"/>
        <v>48300.068554564634</v>
      </c>
      <c r="AH260" s="125">
        <f t="shared" si="6"/>
        <v>48038.072170688531</v>
      </c>
      <c r="AI260" s="125">
        <f t="shared" si="6"/>
        <v>44785.201148945249</v>
      </c>
      <c r="AJ260" s="125">
        <f t="shared" si="6"/>
        <v>40582.11272408221</v>
      </c>
      <c r="AK260" s="125">
        <f t="shared" si="6"/>
        <v>38944.838249250803</v>
      </c>
      <c r="AL260" s="125">
        <f t="shared" si="6"/>
        <v>39699.723535310935</v>
      </c>
      <c r="AM260" s="125">
        <f t="shared" si="6"/>
        <v>37102.153985918769</v>
      </c>
      <c r="AN260" s="125">
        <f t="shared" si="6"/>
        <v>35500.596336788258</v>
      </c>
      <c r="AO260" s="125">
        <f t="shared" si="6"/>
        <v>37012.911183190023</v>
      </c>
      <c r="AP260" s="125">
        <f t="shared" si="6"/>
        <v>35481.158205731255</v>
      </c>
      <c r="AQ260" s="125">
        <f t="shared" si="6"/>
        <v>29074.822820433008</v>
      </c>
      <c r="AR260" s="125">
        <f t="shared" si="6"/>
        <v>38356.456906326981</v>
      </c>
      <c r="AS260" s="125">
        <f t="shared" si="6"/>
        <v>37271.04490509539</v>
      </c>
      <c r="AT260" s="125">
        <f t="shared" si="6"/>
        <v>46733.448791061375</v>
      </c>
      <c r="AU260" s="125">
        <f t="shared" si="6"/>
        <v>40795.052501278908</v>
      </c>
      <c r="AV260" s="125">
        <f t="shared" si="6"/>
        <v>38123.597858122142</v>
      </c>
      <c r="AW260" s="125">
        <f t="shared" si="6"/>
        <v>37504.838249250795</v>
      </c>
      <c r="AX260" s="125">
        <f t="shared" si="6"/>
        <v>41847.443066749052</v>
      </c>
      <c r="AY260" s="125">
        <f t="shared" si="6"/>
        <v>40965.259495013495</v>
      </c>
      <c r="AZ260" s="141">
        <f>SUM($D260:$AY260)</f>
        <v>1873954.0724256968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152.25378896796394</v>
      </c>
      <c r="E10" s="100">
        <v>12.486306451710332</v>
      </c>
      <c r="F10" s="100">
        <v>153.1990657896915</v>
      </c>
      <c r="G10" s="100">
        <v>153.1990657896915</v>
      </c>
      <c r="H10" s="100">
        <v>0</v>
      </c>
      <c r="I10" s="100">
        <v>153.1990657896915</v>
      </c>
      <c r="J10" s="100">
        <v>153.1990657896915</v>
      </c>
      <c r="K10" s="100">
        <v>153.1990657896915</v>
      </c>
      <c r="L10" s="100">
        <v>12.486306451710334</v>
      </c>
      <c r="M10" s="100">
        <v>153.1990657896915</v>
      </c>
      <c r="N10" s="100">
        <v>12.486306451710334</v>
      </c>
      <c r="O10" s="100">
        <v>153.1990657896915</v>
      </c>
      <c r="P10" s="100">
        <v>153.1990657896915</v>
      </c>
      <c r="Q10" s="100">
        <v>153.1990657896915</v>
      </c>
      <c r="R10" s="100">
        <v>153.1990657896915</v>
      </c>
      <c r="S10" s="100">
        <v>0</v>
      </c>
      <c r="T10" s="100">
        <v>153.1990657896915</v>
      </c>
      <c r="U10" s="100">
        <v>153.1990657896915</v>
      </c>
      <c r="V10" s="100">
        <v>153.1990657896915</v>
      </c>
      <c r="W10" s="100">
        <v>153.1990657896915</v>
      </c>
      <c r="X10" s="100">
        <v>153.1990657896915</v>
      </c>
      <c r="Y10" s="100">
        <v>153.1990657896915</v>
      </c>
      <c r="Z10" s="100">
        <v>153.1990657896915</v>
      </c>
      <c r="AA10" s="100">
        <v>153.1990657896915</v>
      </c>
      <c r="AB10" s="100">
        <v>153.1990657896915</v>
      </c>
      <c r="AC10" s="100">
        <v>153.1990657896915</v>
      </c>
      <c r="AD10" s="100">
        <v>153.1990657896915</v>
      </c>
      <c r="AE10" s="100">
        <v>153.1990657896915</v>
      </c>
      <c r="AF10" s="100">
        <v>153.1990657896915</v>
      </c>
      <c r="AG10" s="100">
        <v>153.1990657896915</v>
      </c>
      <c r="AH10" s="100">
        <v>153.1990657896915</v>
      </c>
      <c r="AI10" s="100">
        <v>153.1990657896915</v>
      </c>
      <c r="AJ10" s="100">
        <v>153.1990657896915</v>
      </c>
      <c r="AK10" s="100">
        <v>0</v>
      </c>
      <c r="AL10" s="100">
        <v>153.1990657896915</v>
      </c>
      <c r="AM10" s="100">
        <v>153.1990657896915</v>
      </c>
      <c r="AN10" s="100">
        <v>153.1990657896915</v>
      </c>
      <c r="AO10" s="100">
        <v>153.1990657896915</v>
      </c>
      <c r="AP10" s="100">
        <v>153.1990657896915</v>
      </c>
      <c r="AQ10" s="100">
        <v>12.486306451710334</v>
      </c>
      <c r="AR10" s="100">
        <v>153.1990657896915</v>
      </c>
      <c r="AS10" s="100">
        <v>153.1990657896915</v>
      </c>
      <c r="AT10" s="100">
        <v>153.1990657896915</v>
      </c>
      <c r="AU10" s="100">
        <v>153.1990657896915</v>
      </c>
      <c r="AV10" s="100">
        <v>153.1990657896915</v>
      </c>
      <c r="AW10" s="100">
        <v>12.486306451710334</v>
      </c>
      <c r="AX10" s="100">
        <v>153.1990657896915</v>
      </c>
      <c r="AY10" s="100">
        <v>12.486306451710334</v>
      </c>
      <c r="AZ10" s="100">
        <v>153.1990657896915</v>
      </c>
    </row>
    <row r="11" spans="1:53">
      <c r="B11" s="119">
        <v>2</v>
      </c>
      <c r="C11" s="106" t="s">
        <v>293</v>
      </c>
      <c r="D11" s="100">
        <v>139.84920639736319</v>
      </c>
      <c r="F11" s="100">
        <v>140.7127593379804</v>
      </c>
      <c r="L11" s="100">
        <v>0</v>
      </c>
      <c r="M11" s="100">
        <v>140.71275933798117</v>
      </c>
      <c r="R11" s="100">
        <v>0</v>
      </c>
      <c r="T11" s="100">
        <v>0</v>
      </c>
      <c r="U11" s="100">
        <v>0</v>
      </c>
      <c r="AA11" s="100">
        <v>0</v>
      </c>
      <c r="AB11" s="100">
        <v>0</v>
      </c>
      <c r="AC11" s="100">
        <v>0</v>
      </c>
      <c r="AE11" s="100">
        <v>0</v>
      </c>
      <c r="AG11" s="100">
        <v>0</v>
      </c>
      <c r="AJ11" s="100">
        <v>0</v>
      </c>
      <c r="AM11" s="100">
        <v>0</v>
      </c>
      <c r="AO11" s="100">
        <v>0</v>
      </c>
      <c r="AP11" s="100">
        <v>0</v>
      </c>
      <c r="AR11" s="100">
        <v>140.71275933798117</v>
      </c>
      <c r="AY11" s="100">
        <v>0</v>
      </c>
      <c r="AZ11" s="100">
        <v>140.71275933798117</v>
      </c>
      <c r="BA11" s="100">
        <v>0</v>
      </c>
    </row>
    <row r="12" spans="1:53">
      <c r="B12" s="120">
        <v>3</v>
      </c>
      <c r="C12" s="106" t="s">
        <v>293</v>
      </c>
      <c r="D12" s="100">
        <v>0</v>
      </c>
      <c r="H12" s="100">
        <v>0</v>
      </c>
      <c r="K12" s="100">
        <v>0</v>
      </c>
      <c r="P12" s="100">
        <v>140.71275933798117</v>
      </c>
      <c r="T12" s="100">
        <v>0</v>
      </c>
      <c r="U12" s="100">
        <v>0</v>
      </c>
      <c r="AD12" s="100">
        <v>0</v>
      </c>
      <c r="AL12" s="100">
        <v>0</v>
      </c>
      <c r="AN12" s="100">
        <v>0</v>
      </c>
      <c r="AY12" s="100">
        <v>140.71275933798117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30.142045275680395</v>
      </c>
      <c r="E14" s="117">
        <f t="shared" ref="E14:AZ14" si="0">D$172*SUM(D$122:D$169)</f>
        <v>168.58190206500569</v>
      </c>
      <c r="F14" s="117">
        <f t="shared" si="0"/>
        <v>32.605979819308438</v>
      </c>
      <c r="G14" s="117">
        <f t="shared" si="0"/>
        <v>167.73296743006316</v>
      </c>
      <c r="H14" s="117">
        <f t="shared" si="0"/>
        <v>123.64623709960335</v>
      </c>
      <c r="I14" s="117">
        <f t="shared" si="0"/>
        <v>19.642797151805876</v>
      </c>
      <c r="J14" s="117">
        <f t="shared" si="0"/>
        <v>87.432887981515094</v>
      </c>
      <c r="K14" s="117">
        <f t="shared" si="0"/>
        <v>87.432887981515094</v>
      </c>
      <c r="L14" s="117">
        <f t="shared" si="0"/>
        <v>87.432887981515094</v>
      </c>
      <c r="M14" s="117">
        <f t="shared" si="0"/>
        <v>7.1328085329665676</v>
      </c>
      <c r="N14" s="117">
        <f t="shared" si="0"/>
        <v>167.73296743006361</v>
      </c>
      <c r="O14" s="117">
        <f t="shared" si="0"/>
        <v>44.515099042218182</v>
      </c>
      <c r="P14" s="117">
        <f t="shared" si="0"/>
        <v>87.432887981515094</v>
      </c>
      <c r="Q14" s="117">
        <f t="shared" si="0"/>
        <v>167.73296743006361</v>
      </c>
      <c r="R14" s="117">
        <f t="shared" si="0"/>
        <v>112.2204956016941</v>
      </c>
      <c r="S14" s="117">
        <f t="shared" si="0"/>
        <v>97.850139204679024</v>
      </c>
      <c r="T14" s="117">
        <f t="shared" si="0"/>
        <v>7.2898180434109207E-3</v>
      </c>
      <c r="U14" s="117">
        <f t="shared" si="0"/>
        <v>87.432887981515094</v>
      </c>
      <c r="V14" s="117">
        <f t="shared" si="0"/>
        <v>87.432887981515094</v>
      </c>
      <c r="W14" s="117">
        <f t="shared" si="0"/>
        <v>87.432887981515094</v>
      </c>
      <c r="X14" s="117">
        <f t="shared" si="0"/>
        <v>87.432887981515094</v>
      </c>
      <c r="Y14" s="117">
        <f t="shared" si="0"/>
        <v>87.432887981515094</v>
      </c>
      <c r="Z14" s="117">
        <f t="shared" si="0"/>
        <v>87.432887981515094</v>
      </c>
      <c r="AA14" s="117">
        <f t="shared" si="0"/>
        <v>87.432887981515094</v>
      </c>
      <c r="AB14" s="117">
        <f t="shared" si="0"/>
        <v>87.432887981515094</v>
      </c>
      <c r="AC14" s="117">
        <f t="shared" si="0"/>
        <v>87.432887981515094</v>
      </c>
      <c r="AD14" s="117">
        <f t="shared" si="0"/>
        <v>87.432887981515094</v>
      </c>
      <c r="AE14" s="117">
        <f t="shared" si="0"/>
        <v>87.432887981515094</v>
      </c>
      <c r="AF14" s="117">
        <f t="shared" si="0"/>
        <v>87.432887981515094</v>
      </c>
      <c r="AG14" s="117">
        <f t="shared" si="0"/>
        <v>87.432887981515094</v>
      </c>
      <c r="AH14" s="117">
        <f t="shared" si="0"/>
        <v>87.432887981515094</v>
      </c>
      <c r="AI14" s="117">
        <f t="shared" si="0"/>
        <v>87.432887981515094</v>
      </c>
      <c r="AJ14" s="117">
        <f t="shared" si="0"/>
        <v>87.432887981515094</v>
      </c>
      <c r="AK14" s="117">
        <f t="shared" si="0"/>
        <v>87.432887981515094</v>
      </c>
      <c r="AL14" s="117">
        <f t="shared" si="0"/>
        <v>7.2898180434051389E-3</v>
      </c>
      <c r="AM14" s="117">
        <f t="shared" si="0"/>
        <v>87.432887981515094</v>
      </c>
      <c r="AN14" s="117">
        <f t="shared" si="0"/>
        <v>87.432887981515094</v>
      </c>
      <c r="AO14" s="117">
        <f t="shared" si="0"/>
        <v>87.432887981515094</v>
      </c>
      <c r="AP14" s="117">
        <f t="shared" si="0"/>
        <v>87.432887981515094</v>
      </c>
      <c r="AQ14" s="117">
        <f t="shared" si="0"/>
        <v>87.432887981515094</v>
      </c>
      <c r="AR14" s="117">
        <f t="shared" si="0"/>
        <v>7.1328085329665676</v>
      </c>
      <c r="AS14" s="117">
        <f t="shared" si="0"/>
        <v>167.73296743006361</v>
      </c>
      <c r="AT14" s="117">
        <f t="shared" si="0"/>
        <v>115.00800912351686</v>
      </c>
      <c r="AU14" s="117">
        <f t="shared" si="0"/>
        <v>93.390623395298377</v>
      </c>
      <c r="AV14" s="117">
        <f t="shared" si="0"/>
        <v>87.901840866306387</v>
      </c>
      <c r="AW14" s="117">
        <f t="shared" si="0"/>
        <v>87.432887981515094</v>
      </c>
      <c r="AX14" s="117">
        <f t="shared" si="0"/>
        <v>7.1328085329665676</v>
      </c>
      <c r="AY14" s="117">
        <f t="shared" si="0"/>
        <v>87.432887981515094</v>
      </c>
      <c r="AZ14" s="110">
        <f t="shared" si="0"/>
        <v>87.432887981515094</v>
      </c>
      <c r="BA14" s="107">
        <f>SUM($E14:$AZ14)</f>
        <v>4123.2617497886158</v>
      </c>
    </row>
    <row r="15" spans="1:53">
      <c r="A15" s="122" t="s">
        <v>123</v>
      </c>
      <c r="B15" s="123">
        <v>1</v>
      </c>
      <c r="C15" s="124" t="s">
        <v>293</v>
      </c>
      <c r="D15" s="124">
        <v>215.9839894839703</v>
      </c>
      <c r="E15" s="124">
        <v>17.531611070415824</v>
      </c>
      <c r="F15" s="124">
        <v>214.89983640674595</v>
      </c>
      <c r="G15" s="124">
        <v>214.89983640674595</v>
      </c>
      <c r="H15" s="124">
        <v>1.7917522126158214E-2</v>
      </c>
      <c r="I15" s="124">
        <v>214.89983640674595</v>
      </c>
      <c r="J15" s="124">
        <v>214.89983640674595</v>
      </c>
      <c r="K15" s="124">
        <v>214.89983640674595</v>
      </c>
      <c r="L15" s="124">
        <v>17.531611070415828</v>
      </c>
      <c r="M15" s="124">
        <v>214.89983640674595</v>
      </c>
      <c r="N15" s="124">
        <v>17.531611070415828</v>
      </c>
      <c r="O15" s="124">
        <v>214.89983640674595</v>
      </c>
      <c r="P15" s="124">
        <v>214.89983640674595</v>
      </c>
      <c r="Q15" s="124">
        <v>214.89983640674595</v>
      </c>
      <c r="R15" s="124">
        <v>214.89983640674595</v>
      </c>
      <c r="S15" s="124">
        <v>1.7917522126158214E-2</v>
      </c>
      <c r="T15" s="124">
        <v>214.89983640674595</v>
      </c>
      <c r="U15" s="124">
        <v>214.89983640674595</v>
      </c>
      <c r="V15" s="124">
        <v>214.89983640674595</v>
      </c>
      <c r="W15" s="124">
        <v>214.89983640674595</v>
      </c>
      <c r="X15" s="124">
        <v>214.89983640674595</v>
      </c>
      <c r="Y15" s="124">
        <v>214.89983640674595</v>
      </c>
      <c r="Z15" s="124">
        <v>214.89983640674595</v>
      </c>
      <c r="AA15" s="124">
        <v>214.89983640674595</v>
      </c>
      <c r="AB15" s="124">
        <v>214.89983640674595</v>
      </c>
      <c r="AC15" s="124">
        <v>214.89983640674595</v>
      </c>
      <c r="AD15" s="124">
        <v>214.89983640674595</v>
      </c>
      <c r="AE15" s="124">
        <v>214.89983640674595</v>
      </c>
      <c r="AF15" s="124">
        <v>214.89983640674595</v>
      </c>
      <c r="AG15" s="124">
        <v>214.89983640674595</v>
      </c>
      <c r="AH15" s="124">
        <v>214.89983640674595</v>
      </c>
      <c r="AI15" s="124">
        <v>214.89983640674595</v>
      </c>
      <c r="AJ15" s="124">
        <v>214.89983640674595</v>
      </c>
      <c r="AK15" s="124">
        <v>1.7917522126158214E-2</v>
      </c>
      <c r="AL15" s="124">
        <v>214.89983640674595</v>
      </c>
      <c r="AM15" s="124">
        <v>214.89983640674595</v>
      </c>
      <c r="AN15" s="124">
        <v>214.89983640674595</v>
      </c>
      <c r="AO15" s="124">
        <v>214.89983640674595</v>
      </c>
      <c r="AP15" s="124">
        <v>214.89983640674595</v>
      </c>
      <c r="AQ15" s="124">
        <v>17.531611070415828</v>
      </c>
      <c r="AR15" s="124">
        <v>214.89983640674595</v>
      </c>
      <c r="AS15" s="124">
        <v>214.89983640674595</v>
      </c>
      <c r="AT15" s="124">
        <v>214.89983640674595</v>
      </c>
      <c r="AU15" s="124">
        <v>214.89983640674595</v>
      </c>
      <c r="AV15" s="124">
        <v>214.89983640674595</v>
      </c>
      <c r="AW15" s="124">
        <v>17.531611070415828</v>
      </c>
      <c r="AX15" s="124">
        <v>214.89983640674595</v>
      </c>
      <c r="AY15" s="124">
        <v>17.531611070415828</v>
      </c>
      <c r="AZ15" s="100">
        <v>214.88191888461978</v>
      </c>
    </row>
    <row r="16" spans="1:53">
      <c r="A16" s="110"/>
      <c r="B16" s="119">
        <v>2</v>
      </c>
      <c r="C16" s="109" t="s">
        <v>293</v>
      </c>
      <c r="D16" s="106">
        <v>198.37065453244489</v>
      </c>
      <c r="E16" s="110"/>
      <c r="F16" s="110">
        <v>197.368225336329</v>
      </c>
      <c r="G16" s="110"/>
      <c r="H16" s="110"/>
      <c r="I16" s="110"/>
      <c r="J16" s="110"/>
      <c r="K16" s="110"/>
      <c r="L16" s="110">
        <v>0</v>
      </c>
      <c r="M16" s="110">
        <v>197.36822533633011</v>
      </c>
      <c r="N16" s="110"/>
      <c r="O16" s="110"/>
      <c r="P16" s="110"/>
      <c r="Q16" s="110"/>
      <c r="R16" s="110">
        <v>0</v>
      </c>
      <c r="S16" s="110"/>
      <c r="T16" s="110">
        <v>0</v>
      </c>
      <c r="U16" s="110">
        <v>0</v>
      </c>
      <c r="V16" s="110"/>
      <c r="W16" s="110"/>
      <c r="X16" s="110"/>
      <c r="Y16" s="110"/>
      <c r="Z16" s="110"/>
      <c r="AA16" s="110">
        <v>0</v>
      </c>
      <c r="AB16" s="110">
        <v>0</v>
      </c>
      <c r="AC16" s="110">
        <v>0</v>
      </c>
      <c r="AD16" s="110"/>
      <c r="AE16" s="110">
        <v>0</v>
      </c>
      <c r="AF16" s="110"/>
      <c r="AG16" s="110">
        <v>0</v>
      </c>
      <c r="AH16" s="110"/>
      <c r="AI16" s="110"/>
      <c r="AJ16" s="110">
        <v>0</v>
      </c>
      <c r="AK16" s="110"/>
      <c r="AL16" s="110"/>
      <c r="AM16" s="110">
        <v>0</v>
      </c>
      <c r="AN16" s="110"/>
      <c r="AO16" s="110">
        <v>0</v>
      </c>
      <c r="AP16" s="110">
        <v>0</v>
      </c>
      <c r="AQ16" s="110"/>
      <c r="AR16" s="110">
        <v>197.36822533633011</v>
      </c>
      <c r="AS16" s="110"/>
      <c r="AT16" s="110"/>
      <c r="AU16" s="110"/>
      <c r="AV16" s="110"/>
      <c r="AW16" s="110"/>
      <c r="AX16" s="110"/>
      <c r="AY16" s="110">
        <v>0</v>
      </c>
      <c r="AZ16" s="100">
        <v>197.36822533633011</v>
      </c>
      <c r="BA16" s="100">
        <v>0</v>
      </c>
    </row>
    <row r="17" spans="1:51">
      <c r="A17" s="110"/>
      <c r="B17" s="119">
        <v>3</v>
      </c>
      <c r="C17" s="109" t="s">
        <v>293</v>
      </c>
      <c r="D17" s="106">
        <v>0</v>
      </c>
      <c r="E17" s="110"/>
      <c r="F17" s="110"/>
      <c r="G17" s="110"/>
      <c r="H17" s="110">
        <v>0</v>
      </c>
      <c r="I17" s="110"/>
      <c r="J17" s="110"/>
      <c r="K17" s="110">
        <v>0</v>
      </c>
      <c r="L17" s="110"/>
      <c r="M17" s="110"/>
      <c r="N17" s="110"/>
      <c r="O17" s="110"/>
      <c r="P17" s="110">
        <v>197.36822533633011</v>
      </c>
      <c r="Q17" s="110"/>
      <c r="R17" s="110"/>
      <c r="S17" s="110"/>
      <c r="T17" s="110">
        <v>0</v>
      </c>
      <c r="U17" s="110">
        <v>0</v>
      </c>
      <c r="V17" s="110"/>
      <c r="W17" s="110"/>
      <c r="X17" s="110"/>
      <c r="Y17" s="110"/>
      <c r="Z17" s="110"/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/>
      <c r="AK17" s="110"/>
      <c r="AL17" s="110">
        <v>0</v>
      </c>
      <c r="AM17" s="110"/>
      <c r="AN17" s="110">
        <v>0</v>
      </c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>
        <v>197.36822533633011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217.22257048205316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217.22257048205316</v>
      </c>
      <c r="D96" s="110">
        <v>217.22257048205316</v>
      </c>
      <c r="E96" s="110">
        <v>190</v>
      </c>
      <c r="F96" s="110">
        <v>190</v>
      </c>
      <c r="G96" s="110">
        <v>190</v>
      </c>
      <c r="H96" s="110">
        <v>190</v>
      </c>
      <c r="I96" s="110">
        <v>190</v>
      </c>
      <c r="J96" s="110">
        <v>190</v>
      </c>
      <c r="K96" s="110">
        <v>190</v>
      </c>
      <c r="L96" s="110">
        <v>190</v>
      </c>
      <c r="M96" s="110">
        <v>190</v>
      </c>
      <c r="N96" s="110">
        <v>190</v>
      </c>
      <c r="O96" s="110">
        <v>190</v>
      </c>
      <c r="P96" s="110">
        <v>190</v>
      </c>
      <c r="Q96" s="110">
        <v>190</v>
      </c>
      <c r="R96" s="110">
        <v>190</v>
      </c>
      <c r="S96" s="110">
        <v>190</v>
      </c>
      <c r="T96" s="110">
        <v>190</v>
      </c>
      <c r="U96" s="110">
        <v>190</v>
      </c>
      <c r="V96" s="110">
        <v>190</v>
      </c>
      <c r="W96" s="110">
        <v>190</v>
      </c>
      <c r="X96" s="110">
        <v>190</v>
      </c>
      <c r="Y96" s="110">
        <v>190</v>
      </c>
      <c r="Z96" s="110">
        <v>190</v>
      </c>
      <c r="AA96" s="110">
        <v>190</v>
      </c>
      <c r="AB96" s="110">
        <v>190</v>
      </c>
      <c r="AC96" s="110">
        <v>190</v>
      </c>
      <c r="AD96" s="110">
        <v>190</v>
      </c>
      <c r="AE96" s="110">
        <v>190</v>
      </c>
      <c r="AF96" s="110">
        <v>190</v>
      </c>
      <c r="AG96" s="110">
        <v>190</v>
      </c>
      <c r="AH96" s="110">
        <v>190</v>
      </c>
      <c r="AI96" s="110">
        <v>190</v>
      </c>
      <c r="AJ96" s="110">
        <v>190</v>
      </c>
      <c r="AK96" s="110">
        <v>190</v>
      </c>
      <c r="AL96" s="110">
        <v>190</v>
      </c>
      <c r="AM96" s="110">
        <v>190</v>
      </c>
      <c r="AN96" s="110">
        <v>190</v>
      </c>
      <c r="AO96" s="110">
        <v>190</v>
      </c>
      <c r="AP96" s="110">
        <v>190</v>
      </c>
      <c r="AQ96" s="110">
        <v>190</v>
      </c>
      <c r="AR96" s="110">
        <v>190</v>
      </c>
      <c r="AS96" s="110">
        <v>190</v>
      </c>
      <c r="AT96" s="110">
        <v>190</v>
      </c>
      <c r="AU96" s="110">
        <v>190</v>
      </c>
      <c r="AV96" s="110">
        <v>190</v>
      </c>
      <c r="AW96" s="110">
        <v>190</v>
      </c>
      <c r="AX96" s="110">
        <v>190</v>
      </c>
      <c r="AY96" s="110">
        <v>190</v>
      </c>
    </row>
    <row r="97" spans="1:52">
      <c r="A97" s="109"/>
      <c r="B97" s="127">
        <v>3</v>
      </c>
      <c r="C97" s="110">
        <v>217.22257048205316</v>
      </c>
      <c r="D97" s="110">
        <v>217.22257048205316</v>
      </c>
      <c r="E97" s="110">
        <v>217.22257048205316</v>
      </c>
      <c r="F97" s="110">
        <v>190</v>
      </c>
      <c r="G97" s="110">
        <v>190</v>
      </c>
      <c r="H97" s="110">
        <v>190</v>
      </c>
      <c r="I97" s="110">
        <v>190</v>
      </c>
      <c r="J97" s="110">
        <v>190</v>
      </c>
      <c r="K97" s="110">
        <v>190</v>
      </c>
      <c r="L97" s="110">
        <v>190</v>
      </c>
      <c r="M97" s="110">
        <v>190</v>
      </c>
      <c r="N97" s="110">
        <v>190</v>
      </c>
      <c r="O97" s="110">
        <v>190</v>
      </c>
      <c r="P97" s="110">
        <v>190</v>
      </c>
      <c r="Q97" s="110">
        <v>190</v>
      </c>
      <c r="R97" s="110">
        <v>190</v>
      </c>
      <c r="S97" s="110">
        <v>190</v>
      </c>
      <c r="T97" s="110">
        <v>190</v>
      </c>
      <c r="U97" s="110">
        <v>190</v>
      </c>
      <c r="V97" s="110">
        <v>190</v>
      </c>
      <c r="W97" s="110">
        <v>190</v>
      </c>
      <c r="X97" s="110">
        <v>190</v>
      </c>
      <c r="Y97" s="110">
        <v>190</v>
      </c>
      <c r="Z97" s="110">
        <v>190</v>
      </c>
      <c r="AA97" s="110">
        <v>190</v>
      </c>
      <c r="AB97" s="110">
        <v>190</v>
      </c>
      <c r="AC97" s="110">
        <v>190</v>
      </c>
      <c r="AD97" s="110">
        <v>190</v>
      </c>
      <c r="AE97" s="110">
        <v>190</v>
      </c>
      <c r="AF97" s="110">
        <v>190</v>
      </c>
      <c r="AG97" s="110">
        <v>190</v>
      </c>
      <c r="AH97" s="110">
        <v>190</v>
      </c>
      <c r="AI97" s="110">
        <v>190</v>
      </c>
      <c r="AJ97" s="110">
        <v>190</v>
      </c>
      <c r="AK97" s="110">
        <v>190</v>
      </c>
      <c r="AL97" s="110">
        <v>190</v>
      </c>
      <c r="AM97" s="110">
        <v>190</v>
      </c>
      <c r="AN97" s="110">
        <v>190</v>
      </c>
      <c r="AO97" s="110">
        <v>190</v>
      </c>
      <c r="AP97" s="110">
        <v>190</v>
      </c>
      <c r="AQ97" s="110">
        <v>190</v>
      </c>
      <c r="AR97" s="110">
        <v>190</v>
      </c>
      <c r="AS97" s="110">
        <v>190</v>
      </c>
      <c r="AT97" s="110">
        <v>184</v>
      </c>
      <c r="AU97" s="110">
        <v>156</v>
      </c>
      <c r="AV97" s="110">
        <v>178</v>
      </c>
      <c r="AW97" s="110">
        <v>147</v>
      </c>
      <c r="AX97" s="110">
        <v>91</v>
      </c>
      <c r="AY97" s="110">
        <v>135</v>
      </c>
    </row>
    <row r="98" spans="1:52">
      <c r="A98" s="109"/>
      <c r="B98" s="130">
        <v>4</v>
      </c>
      <c r="C98" s="106">
        <v>200.33542289231895</v>
      </c>
      <c r="D98" s="110">
        <v>178.5579933743721</v>
      </c>
      <c r="E98" s="110">
        <v>217.22257048205316</v>
      </c>
      <c r="F98" s="110">
        <v>217.22257048205316</v>
      </c>
      <c r="G98" s="110">
        <v>189.22257048205316</v>
      </c>
      <c r="H98" s="110">
        <v>174.22257048205316</v>
      </c>
      <c r="I98" s="110">
        <v>176.22257048205316</v>
      </c>
      <c r="J98" s="110">
        <v>175.22257048205316</v>
      </c>
      <c r="K98" s="110">
        <v>189.22257048205316</v>
      </c>
      <c r="L98" s="110">
        <v>190</v>
      </c>
      <c r="M98" s="110">
        <v>173</v>
      </c>
      <c r="N98" s="110">
        <v>190</v>
      </c>
      <c r="O98" s="110">
        <v>169</v>
      </c>
      <c r="P98" s="110">
        <v>170</v>
      </c>
      <c r="Q98" s="110">
        <v>179</v>
      </c>
      <c r="R98" s="110">
        <v>163</v>
      </c>
      <c r="S98" s="110">
        <v>185</v>
      </c>
      <c r="T98" s="110">
        <v>190</v>
      </c>
      <c r="U98" s="110">
        <v>139</v>
      </c>
      <c r="V98" s="110">
        <v>87</v>
      </c>
      <c r="W98" s="110">
        <v>105</v>
      </c>
      <c r="X98" s="110">
        <v>94</v>
      </c>
      <c r="Y98" s="110">
        <v>91</v>
      </c>
      <c r="Z98" s="110">
        <v>108</v>
      </c>
      <c r="AA98" s="110">
        <v>135</v>
      </c>
      <c r="AB98" s="110">
        <v>138</v>
      </c>
      <c r="AC98" s="110">
        <v>83</v>
      </c>
      <c r="AD98" s="110">
        <v>66</v>
      </c>
      <c r="AE98" s="110">
        <v>62</v>
      </c>
      <c r="AF98" s="110">
        <v>90</v>
      </c>
      <c r="AG98" s="110">
        <v>120</v>
      </c>
      <c r="AH98" s="110">
        <v>102</v>
      </c>
      <c r="AI98" s="110">
        <v>103</v>
      </c>
      <c r="AJ98" s="110">
        <v>85</v>
      </c>
      <c r="AK98" s="110">
        <v>65</v>
      </c>
      <c r="AL98" s="110">
        <v>31</v>
      </c>
      <c r="AM98" s="110">
        <v>56</v>
      </c>
      <c r="AN98" s="110">
        <v>41</v>
      </c>
      <c r="AO98" s="110">
        <v>27</v>
      </c>
      <c r="AP98" s="110">
        <v>26</v>
      </c>
      <c r="AQ98" s="110">
        <v>51</v>
      </c>
      <c r="AR98" s="110">
        <v>56</v>
      </c>
      <c r="AS98" s="110">
        <v>55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13.557993374372103</v>
      </c>
      <c r="F99" s="125">
        <v>61.222570482053158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25.222570482053158</v>
      </c>
      <c r="M99" s="125">
        <v>0</v>
      </c>
      <c r="N99" s="125">
        <v>24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29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153.00313433847842</v>
      </c>
    </row>
    <row r="100" spans="1:52">
      <c r="A100" s="131" t="s">
        <v>133</v>
      </c>
      <c r="B100" s="119">
        <v>1</v>
      </c>
      <c r="C100" s="106">
        <v>12.404582570600718</v>
      </c>
      <c r="D100" s="106">
        <v>152.25378896796394</v>
      </c>
      <c r="E100" s="106">
        <v>12.486306451710332</v>
      </c>
      <c r="F100" s="106">
        <v>153.1990657896915</v>
      </c>
      <c r="G100" s="106">
        <v>153.1990657896915</v>
      </c>
      <c r="H100" s="106">
        <v>0</v>
      </c>
      <c r="I100" s="106">
        <v>153.1990657896915</v>
      </c>
      <c r="J100" s="106">
        <v>153.1990657896915</v>
      </c>
      <c r="K100" s="106">
        <v>153.1990657896915</v>
      </c>
      <c r="L100" s="106">
        <v>12.486306451710334</v>
      </c>
      <c r="M100" s="106">
        <v>153.1990657896915</v>
      </c>
      <c r="N100" s="106">
        <v>12.486306451710334</v>
      </c>
      <c r="O100" s="106">
        <v>153.1990657896915</v>
      </c>
      <c r="P100" s="106">
        <v>153.1990657896915</v>
      </c>
      <c r="Q100" s="106">
        <v>153.1990657896915</v>
      </c>
      <c r="R100" s="106">
        <v>153.1990657896915</v>
      </c>
      <c r="S100" s="106">
        <v>0</v>
      </c>
      <c r="T100" s="106">
        <v>153.1990657896915</v>
      </c>
      <c r="U100" s="106">
        <v>153.1990657896915</v>
      </c>
      <c r="V100" s="106">
        <v>153.1990657896915</v>
      </c>
      <c r="W100" s="106">
        <v>153.1990657896915</v>
      </c>
      <c r="X100" s="106">
        <v>153.1990657896915</v>
      </c>
      <c r="Y100" s="106">
        <v>153.1990657896915</v>
      </c>
      <c r="Z100" s="106">
        <v>153.1990657896915</v>
      </c>
      <c r="AA100" s="106">
        <v>153.1990657896915</v>
      </c>
      <c r="AB100" s="106">
        <v>153.1990657896915</v>
      </c>
      <c r="AC100" s="106">
        <v>153.1990657896915</v>
      </c>
      <c r="AD100" s="106">
        <v>153.1990657896915</v>
      </c>
      <c r="AE100" s="106">
        <v>153.1990657896915</v>
      </c>
      <c r="AF100" s="106">
        <v>153.1990657896915</v>
      </c>
      <c r="AG100" s="106">
        <v>153.1990657896915</v>
      </c>
      <c r="AH100" s="106">
        <v>153.1990657896915</v>
      </c>
      <c r="AI100" s="106">
        <v>153.1990657896915</v>
      </c>
      <c r="AJ100" s="106">
        <v>153.1990657896915</v>
      </c>
      <c r="AK100" s="106">
        <v>0</v>
      </c>
      <c r="AL100" s="106">
        <v>153.1990657896915</v>
      </c>
      <c r="AM100" s="106">
        <v>153.1990657896915</v>
      </c>
      <c r="AN100" s="106">
        <v>153.1990657896915</v>
      </c>
      <c r="AO100" s="106">
        <v>153.1990657896915</v>
      </c>
      <c r="AP100" s="106">
        <v>153.1990657896915</v>
      </c>
      <c r="AQ100" s="106">
        <v>12.486306451710334</v>
      </c>
      <c r="AR100" s="106">
        <v>153.1990657896915</v>
      </c>
      <c r="AS100" s="106">
        <v>153.1990657896915</v>
      </c>
      <c r="AT100" s="106">
        <v>153.1990657896915</v>
      </c>
      <c r="AU100" s="106">
        <v>153.1990657896915</v>
      </c>
      <c r="AV100" s="106">
        <v>153.1990657896915</v>
      </c>
      <c r="AW100" s="106">
        <v>12.486306451710334</v>
      </c>
      <c r="AX100" s="106">
        <v>153.1990657896915</v>
      </c>
      <c r="AY100" s="106">
        <v>12.486306451710334</v>
      </c>
    </row>
    <row r="101" spans="1:52">
      <c r="A101" s="109"/>
      <c r="B101" s="119">
        <v>2</v>
      </c>
      <c r="C101" s="106">
        <v>74.102995365327132</v>
      </c>
      <c r="D101" s="106">
        <v>139.84920639736319</v>
      </c>
      <c r="E101" s="106">
        <v>103.10299536532713</v>
      </c>
      <c r="F101" s="106">
        <v>140.7127593379804</v>
      </c>
      <c r="G101" s="106">
        <v>127.9118251276719</v>
      </c>
      <c r="H101" s="106">
        <v>59.110890917363406</v>
      </c>
      <c r="I101" s="106">
        <v>0</v>
      </c>
      <c r="J101" s="106">
        <v>0</v>
      </c>
      <c r="K101" s="106">
        <v>0</v>
      </c>
      <c r="L101" s="106">
        <v>0</v>
      </c>
      <c r="M101" s="106">
        <v>140.71275933798117</v>
      </c>
      <c r="N101" s="106">
        <v>145.91182512767267</v>
      </c>
      <c r="O101" s="106">
        <v>0</v>
      </c>
      <c r="P101" s="106">
        <v>0</v>
      </c>
      <c r="Q101" s="106">
        <v>92.911825127672671</v>
      </c>
      <c r="R101" s="106">
        <v>52.110890917364173</v>
      </c>
      <c r="S101" s="106">
        <v>49.309956707055676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140.71275933798117</v>
      </c>
      <c r="AS101" s="106">
        <v>81.911825127672671</v>
      </c>
      <c r="AT101" s="106">
        <v>0</v>
      </c>
      <c r="AU101" s="106">
        <v>4.1990657896915025</v>
      </c>
      <c r="AV101" s="106">
        <v>0</v>
      </c>
      <c r="AW101" s="106">
        <v>0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140.71275933798117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140.71275933798117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167.84364635524011</v>
      </c>
      <c r="D109" s="106">
        <v>30.142045275680395</v>
      </c>
      <c r="E109" s="106">
        <v>168.58190206500569</v>
      </c>
      <c r="F109" s="106">
        <v>32.605979819308438</v>
      </c>
      <c r="G109" s="106">
        <v>167.73296743006316</v>
      </c>
      <c r="H109" s="106">
        <v>123.64623709960335</v>
      </c>
      <c r="I109" s="106">
        <v>19.642797151805876</v>
      </c>
      <c r="J109" s="106">
        <v>87.432887981515094</v>
      </c>
      <c r="K109" s="106">
        <v>87.432887981515094</v>
      </c>
      <c r="L109" s="106">
        <v>87.432887981515094</v>
      </c>
      <c r="M109" s="106">
        <v>7.1328085329665676</v>
      </c>
      <c r="N109" s="106">
        <v>167.73296743006361</v>
      </c>
      <c r="O109" s="106">
        <v>44.515099042218182</v>
      </c>
      <c r="P109" s="106">
        <v>87.432887981515094</v>
      </c>
      <c r="Q109" s="106">
        <v>167.73296743006361</v>
      </c>
      <c r="R109" s="106">
        <v>112.2204956016941</v>
      </c>
      <c r="S109" s="106">
        <v>97.850139204679024</v>
      </c>
      <c r="T109" s="106">
        <v>7.2898180434109207E-3</v>
      </c>
      <c r="U109" s="106">
        <v>87.432887981515094</v>
      </c>
      <c r="V109" s="106">
        <v>87.432887981515094</v>
      </c>
      <c r="W109" s="106">
        <v>87.432887981515094</v>
      </c>
      <c r="X109" s="106">
        <v>87.432887981515094</v>
      </c>
      <c r="Y109" s="106">
        <v>87.432887981515094</v>
      </c>
      <c r="Z109" s="106">
        <v>87.432887981515094</v>
      </c>
      <c r="AA109" s="106">
        <v>87.432887981515094</v>
      </c>
      <c r="AB109" s="106">
        <v>87.432887981515094</v>
      </c>
      <c r="AC109" s="106">
        <v>87.432887981515094</v>
      </c>
      <c r="AD109" s="106">
        <v>87.432887981515094</v>
      </c>
      <c r="AE109" s="106">
        <v>87.432887981515094</v>
      </c>
      <c r="AF109" s="106">
        <v>87.432887981515094</v>
      </c>
      <c r="AG109" s="106">
        <v>87.432887981515094</v>
      </c>
      <c r="AH109" s="106">
        <v>87.432887981515094</v>
      </c>
      <c r="AI109" s="106">
        <v>87.432887981515094</v>
      </c>
      <c r="AJ109" s="106">
        <v>87.432887981515094</v>
      </c>
      <c r="AK109" s="106">
        <v>87.432887981515094</v>
      </c>
      <c r="AL109" s="106">
        <v>7.2898180434051389E-3</v>
      </c>
      <c r="AM109" s="106">
        <v>87.432887981515094</v>
      </c>
      <c r="AN109" s="106">
        <v>87.432887981515094</v>
      </c>
      <c r="AO109" s="106">
        <v>87.432887981515094</v>
      </c>
      <c r="AP109" s="106">
        <v>87.432887981515094</v>
      </c>
      <c r="AQ109" s="106">
        <v>87.432887981515094</v>
      </c>
      <c r="AR109" s="106">
        <v>7.1328085329665676</v>
      </c>
      <c r="AS109" s="106">
        <v>167.73296743006361</v>
      </c>
      <c r="AT109" s="106">
        <v>115.00800912351686</v>
      </c>
      <c r="AU109" s="106">
        <v>93.390623395298377</v>
      </c>
      <c r="AV109" s="106">
        <v>87.901840866306387</v>
      </c>
      <c r="AW109" s="106">
        <v>87.432887981515094</v>
      </c>
      <c r="AX109" s="106">
        <v>7.1328085329665676</v>
      </c>
      <c r="AY109" s="106">
        <v>87.432887981515094</v>
      </c>
    </row>
    <row r="110" spans="1:52">
      <c r="A110" s="109"/>
      <c r="B110" s="119">
        <v>2</v>
      </c>
      <c r="C110" s="106">
        <v>0</v>
      </c>
      <c r="D110" s="106">
        <v>0.41956344209731355</v>
      </c>
      <c r="E110" s="106">
        <v>0</v>
      </c>
      <c r="F110" s="106">
        <v>30.222461548372422</v>
      </c>
      <c r="G110" s="106">
        <v>0</v>
      </c>
      <c r="H110" s="106">
        <v>5.7329674300631552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21.665157817108934</v>
      </c>
      <c r="P110" s="106">
        <v>0</v>
      </c>
      <c r="Q110" s="106">
        <v>0</v>
      </c>
      <c r="R110" s="106">
        <v>8.73296743006361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28.708128487447993</v>
      </c>
      <c r="AU110" s="106">
        <v>35.71613761096485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17.613881757207903</v>
      </c>
      <c r="D122" s="106">
        <v>215.9839894839703</v>
      </c>
      <c r="E122" s="106">
        <v>17.531611070415824</v>
      </c>
      <c r="F122" s="106">
        <v>214.89983640674595</v>
      </c>
      <c r="G122" s="106">
        <v>214.89983640674595</v>
      </c>
      <c r="H122" s="106">
        <v>1.7917522126158214E-2</v>
      </c>
      <c r="I122" s="106">
        <v>214.89983640674595</v>
      </c>
      <c r="J122" s="106">
        <v>214.89983640674595</v>
      </c>
      <c r="K122" s="106">
        <v>214.89983640674595</v>
      </c>
      <c r="L122" s="106">
        <v>17.531611070415828</v>
      </c>
      <c r="M122" s="106">
        <v>214.89983640674595</v>
      </c>
      <c r="N122" s="106">
        <v>17.531611070415828</v>
      </c>
      <c r="O122" s="106">
        <v>214.89983640674595</v>
      </c>
      <c r="P122" s="106">
        <v>214.89983640674595</v>
      </c>
      <c r="Q122" s="106">
        <v>214.89983640674595</v>
      </c>
      <c r="R122" s="106">
        <v>214.89983640674595</v>
      </c>
      <c r="S122" s="106">
        <v>1.7917522126158214E-2</v>
      </c>
      <c r="T122" s="106">
        <v>214.89983640674595</v>
      </c>
      <c r="U122" s="106">
        <v>214.89983640674595</v>
      </c>
      <c r="V122" s="106">
        <v>214.89983640674595</v>
      </c>
      <c r="W122" s="106">
        <v>214.89983640674595</v>
      </c>
      <c r="X122" s="106">
        <v>214.89983640674595</v>
      </c>
      <c r="Y122" s="106">
        <v>214.89983640674595</v>
      </c>
      <c r="Z122" s="106">
        <v>214.89983640674595</v>
      </c>
      <c r="AA122" s="106">
        <v>214.89983640674595</v>
      </c>
      <c r="AB122" s="106">
        <v>214.89983640674595</v>
      </c>
      <c r="AC122" s="106">
        <v>214.89983640674595</v>
      </c>
      <c r="AD122" s="106">
        <v>214.89983640674595</v>
      </c>
      <c r="AE122" s="106">
        <v>214.89983640674595</v>
      </c>
      <c r="AF122" s="106">
        <v>214.89983640674595</v>
      </c>
      <c r="AG122" s="106">
        <v>214.89983640674595</v>
      </c>
      <c r="AH122" s="106">
        <v>214.89983640674595</v>
      </c>
      <c r="AI122" s="106">
        <v>214.89983640674595</v>
      </c>
      <c r="AJ122" s="106">
        <v>214.89983640674595</v>
      </c>
      <c r="AK122" s="106">
        <v>1.7917522126158214E-2</v>
      </c>
      <c r="AL122" s="106">
        <v>214.89983640674595</v>
      </c>
      <c r="AM122" s="106">
        <v>214.89983640674595</v>
      </c>
      <c r="AN122" s="106">
        <v>214.89983640674595</v>
      </c>
      <c r="AO122" s="106">
        <v>214.89983640674595</v>
      </c>
      <c r="AP122" s="106">
        <v>214.89983640674595</v>
      </c>
      <c r="AQ122" s="106">
        <v>17.531611070415828</v>
      </c>
      <c r="AR122" s="106">
        <v>214.89983640674595</v>
      </c>
      <c r="AS122" s="106">
        <v>214.89983640674595</v>
      </c>
      <c r="AT122" s="106">
        <v>214.89983640674595</v>
      </c>
      <c r="AU122" s="106">
        <v>214.89983640674595</v>
      </c>
      <c r="AV122" s="106">
        <v>214.89983640674595</v>
      </c>
      <c r="AW122" s="106">
        <v>17.531611070415828</v>
      </c>
      <c r="AX122" s="106">
        <v>214.89983640674595</v>
      </c>
      <c r="AY122" s="106">
        <v>17.531611070415828</v>
      </c>
    </row>
    <row r="123" spans="1:52">
      <c r="A123" s="109"/>
      <c r="B123" s="119">
        <v>2</v>
      </c>
      <c r="C123" s="106">
        <v>56.797710180796557</v>
      </c>
      <c r="D123" s="106">
        <v>198.37065453244489</v>
      </c>
      <c r="E123" s="106">
        <v>62.610082642508942</v>
      </c>
      <c r="F123" s="106">
        <v>197.368225336329</v>
      </c>
      <c r="G123" s="106">
        <v>89.008186517444713</v>
      </c>
      <c r="H123" s="106">
        <v>48.261785824587307</v>
      </c>
      <c r="I123" s="106">
        <v>0</v>
      </c>
      <c r="J123" s="106">
        <v>0</v>
      </c>
      <c r="K123" s="106">
        <v>0</v>
      </c>
      <c r="L123" s="106">
        <v>0</v>
      </c>
      <c r="M123" s="106">
        <v>197.36822533633011</v>
      </c>
      <c r="N123" s="106">
        <v>91.881308057055605</v>
      </c>
      <c r="O123" s="106">
        <v>0</v>
      </c>
      <c r="P123" s="106">
        <v>0</v>
      </c>
      <c r="Q123" s="106">
        <v>60.925047147216191</v>
      </c>
      <c r="R123" s="106">
        <v>25.604387952268027</v>
      </c>
      <c r="S123" s="106">
        <v>1.4210854715202004E-14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197.36822533633011</v>
      </c>
      <c r="AS123" s="106">
        <v>67.776430118209362</v>
      </c>
      <c r="AT123" s="106">
        <v>14.643418458822808</v>
      </c>
      <c r="AU123" s="106">
        <v>1.1526314702703786</v>
      </c>
      <c r="AV123" s="106">
        <v>0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197.36822533633011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197.36822533633011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0.40507190466766313</v>
      </c>
      <c r="D172" s="134">
        <v>0.40685413932111525</v>
      </c>
      <c r="E172" s="134">
        <v>0.40685413932111525</v>
      </c>
      <c r="F172" s="134">
        <v>0.40685413932111525</v>
      </c>
      <c r="G172" s="134">
        <v>0.40685413932111525</v>
      </c>
      <c r="H172" s="134">
        <v>0.40685413932111525</v>
      </c>
      <c r="I172" s="134">
        <v>0.40685413932111525</v>
      </c>
      <c r="J172" s="134">
        <v>0.40685413932111525</v>
      </c>
      <c r="K172" s="134">
        <v>0.40685413932111525</v>
      </c>
      <c r="L172" s="134">
        <v>0.40685413932111525</v>
      </c>
      <c r="M172" s="134">
        <v>0.40685413932111525</v>
      </c>
      <c r="N172" s="134">
        <v>0.40685413932111525</v>
      </c>
      <c r="O172" s="134">
        <v>0.40685413932111525</v>
      </c>
      <c r="P172" s="134">
        <v>0.40685413932111525</v>
      </c>
      <c r="Q172" s="134">
        <v>0.40685413932111525</v>
      </c>
      <c r="R172" s="134">
        <v>0.40685413932111525</v>
      </c>
      <c r="S172" s="134">
        <v>0.40685413932111525</v>
      </c>
      <c r="T172" s="134">
        <v>0.40685413932111525</v>
      </c>
      <c r="U172" s="134">
        <v>0.40685413932111525</v>
      </c>
      <c r="V172" s="134">
        <v>0.40685413932111525</v>
      </c>
      <c r="W172" s="134">
        <v>0.40685413932111525</v>
      </c>
      <c r="X172" s="134">
        <v>0.40685413932111525</v>
      </c>
      <c r="Y172" s="134">
        <v>0.40685413932111525</v>
      </c>
      <c r="Z172" s="134">
        <v>0.40685413932111525</v>
      </c>
      <c r="AA172" s="134">
        <v>0.40685413932111525</v>
      </c>
      <c r="AB172" s="134">
        <v>0.40685413932111525</v>
      </c>
      <c r="AC172" s="134">
        <v>0.40685413932111525</v>
      </c>
      <c r="AD172" s="134">
        <v>0.40685413932111525</v>
      </c>
      <c r="AE172" s="134">
        <v>0.40685413932111525</v>
      </c>
      <c r="AF172" s="134">
        <v>0.40685413932111525</v>
      </c>
      <c r="AG172" s="134">
        <v>0.40685413932111525</v>
      </c>
      <c r="AH172" s="134">
        <v>0.40685413932111525</v>
      </c>
      <c r="AI172" s="134">
        <v>0.40685413932111525</v>
      </c>
      <c r="AJ172" s="134">
        <v>0.40685413932111525</v>
      </c>
      <c r="AK172" s="134">
        <v>0.40685413932111525</v>
      </c>
      <c r="AL172" s="134">
        <v>0.40685413932111525</v>
      </c>
      <c r="AM172" s="134">
        <v>0.40685413932111525</v>
      </c>
      <c r="AN172" s="134">
        <v>0.40685413932111525</v>
      </c>
      <c r="AO172" s="134">
        <v>0.40685413932111525</v>
      </c>
      <c r="AP172" s="134">
        <v>0.40685413932111525</v>
      </c>
      <c r="AQ172" s="134">
        <v>0.40685413932111525</v>
      </c>
      <c r="AR172" s="134">
        <v>0.40685413932111525</v>
      </c>
      <c r="AS172" s="134">
        <v>0.40685413932111525</v>
      </c>
      <c r="AT172" s="134">
        <v>0.40685413932111525</v>
      </c>
      <c r="AU172" s="134">
        <v>0.40685413932111525</v>
      </c>
      <c r="AV172" s="134">
        <v>0.40685413932111525</v>
      </c>
      <c r="AW172" s="134">
        <v>0.40685413932111525</v>
      </c>
      <c r="AX172" s="134">
        <v>0.40685413932111525</v>
      </c>
      <c r="AY172" s="134">
        <v>0.40685413932111525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803.00313433847839</v>
      </c>
      <c r="E175" s="124">
        <f t="shared" si="1"/>
        <v>814.44514096410626</v>
      </c>
      <c r="F175" s="124">
        <f t="shared" si="1"/>
        <v>787.22257048205313</v>
      </c>
      <c r="G175" s="124">
        <f t="shared" si="1"/>
        <v>759.22257048205313</v>
      </c>
      <c r="H175" s="124">
        <f t="shared" si="1"/>
        <v>744.22257048205313</v>
      </c>
      <c r="I175" s="124">
        <f t="shared" si="1"/>
        <v>746.22257048205313</v>
      </c>
      <c r="J175" s="124">
        <f t="shared" si="1"/>
        <v>745.22257048205313</v>
      </c>
      <c r="K175" s="124">
        <f t="shared" si="1"/>
        <v>759.22257048205313</v>
      </c>
      <c r="L175" s="124">
        <f t="shared" si="1"/>
        <v>760</v>
      </c>
      <c r="M175" s="124">
        <f t="shared" si="1"/>
        <v>743</v>
      </c>
      <c r="N175" s="124">
        <f t="shared" si="1"/>
        <v>760</v>
      </c>
      <c r="O175" s="124">
        <f t="shared" si="1"/>
        <v>739</v>
      </c>
      <c r="P175" s="124">
        <f t="shared" si="1"/>
        <v>740</v>
      </c>
      <c r="Q175" s="124">
        <f t="shared" si="1"/>
        <v>749</v>
      </c>
      <c r="R175" s="124">
        <f t="shared" si="1"/>
        <v>733</v>
      </c>
      <c r="S175" s="124">
        <f t="shared" si="1"/>
        <v>755</v>
      </c>
      <c r="T175" s="124">
        <f t="shared" si="1"/>
        <v>760</v>
      </c>
      <c r="U175" s="124">
        <f t="shared" si="1"/>
        <v>709</v>
      </c>
      <c r="V175" s="124">
        <f t="shared" si="1"/>
        <v>657</v>
      </c>
      <c r="W175" s="124">
        <f t="shared" si="1"/>
        <v>675</v>
      </c>
      <c r="X175" s="124">
        <f t="shared" si="1"/>
        <v>664</v>
      </c>
      <c r="Y175" s="124">
        <f t="shared" si="1"/>
        <v>661</v>
      </c>
      <c r="Z175" s="124">
        <f t="shared" si="1"/>
        <v>678</v>
      </c>
      <c r="AA175" s="124">
        <f t="shared" si="1"/>
        <v>705</v>
      </c>
      <c r="AB175" s="124">
        <f t="shared" si="1"/>
        <v>708</v>
      </c>
      <c r="AC175" s="124">
        <f t="shared" si="1"/>
        <v>653</v>
      </c>
      <c r="AD175" s="124">
        <f t="shared" si="1"/>
        <v>636</v>
      </c>
      <c r="AE175" s="124">
        <f t="shared" si="1"/>
        <v>632</v>
      </c>
      <c r="AF175" s="124">
        <f t="shared" si="1"/>
        <v>660</v>
      </c>
      <c r="AG175" s="124">
        <f t="shared" si="1"/>
        <v>690</v>
      </c>
      <c r="AH175" s="124">
        <f t="shared" si="1"/>
        <v>672</v>
      </c>
      <c r="AI175" s="124">
        <f t="shared" si="1"/>
        <v>673</v>
      </c>
      <c r="AJ175" s="124">
        <f t="shared" si="1"/>
        <v>655</v>
      </c>
      <c r="AK175" s="124">
        <f t="shared" si="1"/>
        <v>635</v>
      </c>
      <c r="AL175" s="124">
        <f t="shared" si="1"/>
        <v>601</v>
      </c>
      <c r="AM175" s="124">
        <f t="shared" si="1"/>
        <v>626</v>
      </c>
      <c r="AN175" s="124">
        <f t="shared" si="1"/>
        <v>611</v>
      </c>
      <c r="AO175" s="124">
        <f t="shared" si="1"/>
        <v>597</v>
      </c>
      <c r="AP175" s="124">
        <f t="shared" si="1"/>
        <v>596</v>
      </c>
      <c r="AQ175" s="124">
        <f t="shared" si="1"/>
        <v>621</v>
      </c>
      <c r="AR175" s="124">
        <f t="shared" si="1"/>
        <v>626</v>
      </c>
      <c r="AS175" s="124">
        <f t="shared" si="1"/>
        <v>625</v>
      </c>
      <c r="AT175" s="124">
        <f t="shared" si="1"/>
        <v>564</v>
      </c>
      <c r="AU175" s="124">
        <f t="shared" si="1"/>
        <v>536</v>
      </c>
      <c r="AV175" s="124">
        <f t="shared" si="1"/>
        <v>558</v>
      </c>
      <c r="AW175" s="124">
        <f t="shared" si="1"/>
        <v>527</v>
      </c>
      <c r="AX175" s="124">
        <f t="shared" si="1"/>
        <v>471</v>
      </c>
      <c r="AY175" s="124">
        <f t="shared" si="1"/>
        <v>515</v>
      </c>
    </row>
    <row r="176" spans="1:52">
      <c r="A176" s="125"/>
      <c r="B176" s="136" t="s">
        <v>299</v>
      </c>
      <c r="C176" s="125" t="s">
        <v>293</v>
      </c>
      <c r="D176" s="125">
        <v>165</v>
      </c>
      <c r="E176" s="125">
        <v>156</v>
      </c>
      <c r="F176" s="125">
        <v>218</v>
      </c>
      <c r="G176" s="125">
        <v>205</v>
      </c>
      <c r="H176" s="125">
        <v>188</v>
      </c>
      <c r="I176" s="125">
        <v>191</v>
      </c>
      <c r="J176" s="125">
        <v>176</v>
      </c>
      <c r="K176" s="125">
        <v>164</v>
      </c>
      <c r="L176" s="125">
        <v>207</v>
      </c>
      <c r="M176" s="125">
        <v>149</v>
      </c>
      <c r="N176" s="125">
        <v>211</v>
      </c>
      <c r="O176" s="125">
        <v>189</v>
      </c>
      <c r="P176" s="125">
        <v>181</v>
      </c>
      <c r="Q176" s="125">
        <v>206</v>
      </c>
      <c r="R176" s="125">
        <v>168</v>
      </c>
      <c r="S176" s="125">
        <v>156</v>
      </c>
      <c r="T176" s="125">
        <v>241</v>
      </c>
      <c r="U176" s="125">
        <v>242</v>
      </c>
      <c r="V176" s="125">
        <v>172</v>
      </c>
      <c r="W176" s="125">
        <v>201</v>
      </c>
      <c r="X176" s="125">
        <v>193</v>
      </c>
      <c r="Y176" s="125">
        <v>173</v>
      </c>
      <c r="Z176" s="125">
        <v>163</v>
      </c>
      <c r="AA176" s="125">
        <v>187</v>
      </c>
      <c r="AB176" s="125">
        <v>245</v>
      </c>
      <c r="AC176" s="125">
        <v>207</v>
      </c>
      <c r="AD176" s="125">
        <v>194</v>
      </c>
      <c r="AE176" s="125">
        <v>162</v>
      </c>
      <c r="AF176" s="125">
        <v>160</v>
      </c>
      <c r="AG176" s="125">
        <v>208</v>
      </c>
      <c r="AH176" s="125">
        <v>189</v>
      </c>
      <c r="AI176" s="125">
        <v>208</v>
      </c>
      <c r="AJ176" s="125">
        <v>210</v>
      </c>
      <c r="AK176" s="125">
        <v>224</v>
      </c>
      <c r="AL176" s="125">
        <v>165</v>
      </c>
      <c r="AM176" s="125">
        <v>205</v>
      </c>
      <c r="AN176" s="125">
        <v>204</v>
      </c>
      <c r="AO176" s="125">
        <v>191</v>
      </c>
      <c r="AP176" s="125">
        <v>165</v>
      </c>
      <c r="AQ176" s="125">
        <v>185</v>
      </c>
      <c r="AR176" s="125">
        <v>191</v>
      </c>
      <c r="AS176" s="125">
        <v>251</v>
      </c>
      <c r="AT176" s="125">
        <v>218</v>
      </c>
      <c r="AU176" s="125">
        <v>168</v>
      </c>
      <c r="AV176" s="125">
        <v>221</v>
      </c>
      <c r="AW176" s="125">
        <v>246</v>
      </c>
      <c r="AX176" s="125">
        <v>146</v>
      </c>
      <c r="AY176" s="125">
        <v>182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292.10299536532716</v>
      </c>
      <c r="E177" s="124">
        <f t="shared" si="2"/>
        <v>115.58930181703747</v>
      </c>
      <c r="F177" s="124">
        <f t="shared" si="2"/>
        <v>293.91182512767193</v>
      </c>
      <c r="G177" s="124">
        <f t="shared" si="2"/>
        <v>281.11089091736341</v>
      </c>
      <c r="H177" s="124">
        <f t="shared" si="2"/>
        <v>59.110890917363406</v>
      </c>
      <c r="I177" s="124">
        <f t="shared" si="2"/>
        <v>153.1990657896915</v>
      </c>
      <c r="J177" s="124">
        <f t="shared" si="2"/>
        <v>153.1990657896915</v>
      </c>
      <c r="K177" s="124">
        <f t="shared" si="2"/>
        <v>153.1990657896915</v>
      </c>
      <c r="L177" s="124">
        <f t="shared" si="2"/>
        <v>12.486306451710334</v>
      </c>
      <c r="M177" s="124">
        <f t="shared" si="2"/>
        <v>293.91182512767267</v>
      </c>
      <c r="N177" s="124">
        <f t="shared" si="2"/>
        <v>158.398131579383</v>
      </c>
      <c r="O177" s="124">
        <f t="shared" si="2"/>
        <v>153.1990657896915</v>
      </c>
      <c r="P177" s="124">
        <f t="shared" si="2"/>
        <v>293.91182512767267</v>
      </c>
      <c r="Q177" s="124">
        <f t="shared" si="2"/>
        <v>246.11089091736417</v>
      </c>
      <c r="R177" s="124">
        <f t="shared" si="2"/>
        <v>205.30995670705568</v>
      </c>
      <c r="S177" s="124">
        <f t="shared" si="2"/>
        <v>49.309956707055676</v>
      </c>
      <c r="T177" s="124">
        <f t="shared" si="2"/>
        <v>153.1990657896915</v>
      </c>
      <c r="U177" s="124">
        <f t="shared" si="2"/>
        <v>153.1990657896915</v>
      </c>
      <c r="V177" s="124">
        <f t="shared" si="2"/>
        <v>153.1990657896915</v>
      </c>
      <c r="W177" s="124">
        <f t="shared" si="2"/>
        <v>153.1990657896915</v>
      </c>
      <c r="X177" s="124">
        <f t="shared" si="2"/>
        <v>153.1990657896915</v>
      </c>
      <c r="Y177" s="124">
        <f t="shared" si="2"/>
        <v>153.1990657896915</v>
      </c>
      <c r="Z177" s="124">
        <f t="shared" si="2"/>
        <v>153.1990657896915</v>
      </c>
      <c r="AA177" s="124">
        <f t="shared" si="2"/>
        <v>153.1990657896915</v>
      </c>
      <c r="AB177" s="124">
        <f t="shared" si="2"/>
        <v>153.1990657896915</v>
      </c>
      <c r="AC177" s="124">
        <f t="shared" si="2"/>
        <v>153.1990657896915</v>
      </c>
      <c r="AD177" s="124">
        <f t="shared" si="2"/>
        <v>153.1990657896915</v>
      </c>
      <c r="AE177" s="124">
        <f t="shared" si="2"/>
        <v>153.1990657896915</v>
      </c>
      <c r="AF177" s="124">
        <f t="shared" si="2"/>
        <v>153.1990657896915</v>
      </c>
      <c r="AG177" s="124">
        <f t="shared" si="2"/>
        <v>153.1990657896915</v>
      </c>
      <c r="AH177" s="124">
        <f t="shared" si="2"/>
        <v>153.1990657896915</v>
      </c>
      <c r="AI177" s="124">
        <f t="shared" si="2"/>
        <v>153.1990657896915</v>
      </c>
      <c r="AJ177" s="124">
        <f t="shared" si="2"/>
        <v>153.1990657896915</v>
      </c>
      <c r="AK177" s="124">
        <f t="shared" si="2"/>
        <v>0</v>
      </c>
      <c r="AL177" s="124">
        <f t="shared" si="2"/>
        <v>153.1990657896915</v>
      </c>
      <c r="AM177" s="124">
        <f t="shared" si="2"/>
        <v>153.1990657896915</v>
      </c>
      <c r="AN177" s="124">
        <f t="shared" si="2"/>
        <v>153.1990657896915</v>
      </c>
      <c r="AO177" s="124">
        <f t="shared" si="2"/>
        <v>153.1990657896915</v>
      </c>
      <c r="AP177" s="124">
        <f t="shared" si="2"/>
        <v>153.1990657896915</v>
      </c>
      <c r="AQ177" s="124">
        <f t="shared" si="2"/>
        <v>12.486306451710334</v>
      </c>
      <c r="AR177" s="124">
        <f t="shared" si="2"/>
        <v>293.91182512767267</v>
      </c>
      <c r="AS177" s="124">
        <f t="shared" si="2"/>
        <v>235.11089091736417</v>
      </c>
      <c r="AT177" s="124">
        <f t="shared" si="2"/>
        <v>153.1990657896915</v>
      </c>
      <c r="AU177" s="124">
        <f t="shared" si="2"/>
        <v>157.398131579383</v>
      </c>
      <c r="AV177" s="124">
        <f t="shared" si="2"/>
        <v>153.1990657896915</v>
      </c>
      <c r="AW177" s="124">
        <f t="shared" si="2"/>
        <v>12.486306451710334</v>
      </c>
      <c r="AX177" s="124">
        <f t="shared" si="2"/>
        <v>153.1990657896915</v>
      </c>
      <c r="AY177" s="124">
        <f t="shared" si="2"/>
        <v>153.1990657896915</v>
      </c>
    </row>
    <row r="178" spans="1:51">
      <c r="A178" s="125"/>
      <c r="B178" s="136" t="s">
        <v>299</v>
      </c>
      <c r="C178" s="125" t="s">
        <v>293</v>
      </c>
      <c r="D178" s="125">
        <v>189</v>
      </c>
      <c r="E178" s="125">
        <v>115.58930181703747</v>
      </c>
      <c r="F178" s="125">
        <v>166</v>
      </c>
      <c r="G178" s="125">
        <v>222</v>
      </c>
      <c r="H178" s="125">
        <v>59.110890917363406</v>
      </c>
      <c r="I178" s="125">
        <v>153.1990657896915</v>
      </c>
      <c r="J178" s="125">
        <v>153.1990657896915</v>
      </c>
      <c r="K178" s="125">
        <v>153.1990657896915</v>
      </c>
      <c r="L178" s="125">
        <v>12.486306451710334</v>
      </c>
      <c r="M178" s="125">
        <v>148</v>
      </c>
      <c r="N178" s="125">
        <v>158.398131579383</v>
      </c>
      <c r="O178" s="125">
        <v>153.1990657896915</v>
      </c>
      <c r="P178" s="125">
        <v>201</v>
      </c>
      <c r="Q178" s="125">
        <v>194</v>
      </c>
      <c r="R178" s="125">
        <v>156</v>
      </c>
      <c r="S178" s="125">
        <v>49.309956707055676</v>
      </c>
      <c r="T178" s="125">
        <v>153.1990657896915</v>
      </c>
      <c r="U178" s="125">
        <v>153.1990657896915</v>
      </c>
      <c r="V178" s="125">
        <v>153.1990657896915</v>
      </c>
      <c r="W178" s="125">
        <v>153.1990657896915</v>
      </c>
      <c r="X178" s="125">
        <v>153.1990657896915</v>
      </c>
      <c r="Y178" s="125">
        <v>153.1990657896915</v>
      </c>
      <c r="Z178" s="125">
        <v>153.1990657896915</v>
      </c>
      <c r="AA178" s="125">
        <v>153.1990657896915</v>
      </c>
      <c r="AB178" s="125">
        <v>153.1990657896915</v>
      </c>
      <c r="AC178" s="125">
        <v>153.1990657896915</v>
      </c>
      <c r="AD178" s="125">
        <v>153.1990657896915</v>
      </c>
      <c r="AE178" s="125">
        <v>153.1990657896915</v>
      </c>
      <c r="AF178" s="125">
        <v>153.1990657896915</v>
      </c>
      <c r="AG178" s="125">
        <v>153.1990657896915</v>
      </c>
      <c r="AH178" s="125">
        <v>153.1990657896915</v>
      </c>
      <c r="AI178" s="125">
        <v>153.1990657896915</v>
      </c>
      <c r="AJ178" s="125">
        <v>153.1990657896915</v>
      </c>
      <c r="AK178" s="125">
        <v>0</v>
      </c>
      <c r="AL178" s="125">
        <v>153.1990657896915</v>
      </c>
      <c r="AM178" s="125">
        <v>153.1990657896915</v>
      </c>
      <c r="AN178" s="125">
        <v>153.1990657896915</v>
      </c>
      <c r="AO178" s="125">
        <v>153.1990657896915</v>
      </c>
      <c r="AP178" s="125">
        <v>153.1990657896915</v>
      </c>
      <c r="AQ178" s="125">
        <v>12.486306451710334</v>
      </c>
      <c r="AR178" s="125">
        <v>212</v>
      </c>
      <c r="AS178" s="125">
        <v>235.11089091736417</v>
      </c>
      <c r="AT178" s="125">
        <v>149</v>
      </c>
      <c r="AU178" s="125">
        <v>157.398131579383</v>
      </c>
      <c r="AV178" s="125">
        <v>153.1990657896915</v>
      </c>
      <c r="AW178" s="125">
        <v>12.486306451710334</v>
      </c>
      <c r="AX178" s="125">
        <v>153.1990657896915</v>
      </c>
      <c r="AY178" s="125">
        <v>153.1990657896915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30.561608717777709</v>
      </c>
      <c r="E179" s="124">
        <f t="shared" si="3"/>
        <v>168.58190206500569</v>
      </c>
      <c r="F179" s="124">
        <f t="shared" si="3"/>
        <v>62.82844136768086</v>
      </c>
      <c r="G179" s="124">
        <f t="shared" si="3"/>
        <v>167.73296743006316</v>
      </c>
      <c r="H179" s="124">
        <f t="shared" si="3"/>
        <v>129.37920452966651</v>
      </c>
      <c r="I179" s="124">
        <f t="shared" si="3"/>
        <v>19.642797151805876</v>
      </c>
      <c r="J179" s="124">
        <f t="shared" si="3"/>
        <v>87.432887981515094</v>
      </c>
      <c r="K179" s="124">
        <f t="shared" si="3"/>
        <v>87.432887981515094</v>
      </c>
      <c r="L179" s="124">
        <f t="shared" si="3"/>
        <v>87.432887981515094</v>
      </c>
      <c r="M179" s="124">
        <f t="shared" si="3"/>
        <v>7.1328085329665676</v>
      </c>
      <c r="N179" s="124">
        <f t="shared" si="3"/>
        <v>167.73296743006361</v>
      </c>
      <c r="O179" s="124">
        <f t="shared" si="3"/>
        <v>66.180256859327116</v>
      </c>
      <c r="P179" s="124">
        <f t="shared" si="3"/>
        <v>87.432887981515094</v>
      </c>
      <c r="Q179" s="124">
        <f t="shared" si="3"/>
        <v>167.73296743006361</v>
      </c>
      <c r="R179" s="124">
        <f t="shared" si="3"/>
        <v>120.95346303175771</v>
      </c>
      <c r="S179" s="124">
        <f t="shared" si="3"/>
        <v>97.850139204679024</v>
      </c>
      <c r="T179" s="124">
        <f t="shared" si="3"/>
        <v>7.2898180434109207E-3</v>
      </c>
      <c r="U179" s="124">
        <f t="shared" si="3"/>
        <v>87.432887981515094</v>
      </c>
      <c r="V179" s="124">
        <f t="shared" si="3"/>
        <v>87.432887981515094</v>
      </c>
      <c r="W179" s="124">
        <f t="shared" si="3"/>
        <v>87.432887981515094</v>
      </c>
      <c r="X179" s="124">
        <f t="shared" si="3"/>
        <v>87.432887981515094</v>
      </c>
      <c r="Y179" s="124">
        <f t="shared" si="3"/>
        <v>87.432887981515094</v>
      </c>
      <c r="Z179" s="124">
        <f t="shared" si="3"/>
        <v>87.432887981515094</v>
      </c>
      <c r="AA179" s="124">
        <f t="shared" si="3"/>
        <v>87.432887981515094</v>
      </c>
      <c r="AB179" s="124">
        <f t="shared" si="3"/>
        <v>87.432887981515094</v>
      </c>
      <c r="AC179" s="124">
        <f t="shared" si="3"/>
        <v>87.432887981515094</v>
      </c>
      <c r="AD179" s="124">
        <f t="shared" si="3"/>
        <v>87.432887981515094</v>
      </c>
      <c r="AE179" s="124">
        <f t="shared" si="3"/>
        <v>87.432887981515094</v>
      </c>
      <c r="AF179" s="124">
        <f t="shared" si="3"/>
        <v>87.432887981515094</v>
      </c>
      <c r="AG179" s="124">
        <f t="shared" si="3"/>
        <v>87.432887981515094</v>
      </c>
      <c r="AH179" s="124">
        <f t="shared" si="3"/>
        <v>87.432887981515094</v>
      </c>
      <c r="AI179" s="124">
        <f t="shared" si="3"/>
        <v>87.432887981515094</v>
      </c>
      <c r="AJ179" s="124">
        <f t="shared" si="3"/>
        <v>87.432887981515094</v>
      </c>
      <c r="AK179" s="124">
        <f t="shared" si="3"/>
        <v>87.432887981515094</v>
      </c>
      <c r="AL179" s="124">
        <f t="shared" si="3"/>
        <v>7.2898180434051389E-3</v>
      </c>
      <c r="AM179" s="124">
        <f t="shared" si="3"/>
        <v>87.432887981515094</v>
      </c>
      <c r="AN179" s="124">
        <f t="shared" si="3"/>
        <v>87.432887981515094</v>
      </c>
      <c r="AO179" s="124">
        <f t="shared" si="3"/>
        <v>87.432887981515094</v>
      </c>
      <c r="AP179" s="124">
        <f t="shared" si="3"/>
        <v>87.432887981515094</v>
      </c>
      <c r="AQ179" s="124">
        <f t="shared" si="3"/>
        <v>87.432887981515094</v>
      </c>
      <c r="AR179" s="124">
        <f t="shared" si="3"/>
        <v>7.1328085329665676</v>
      </c>
      <c r="AS179" s="124">
        <f t="shared" si="3"/>
        <v>167.73296743006361</v>
      </c>
      <c r="AT179" s="124">
        <f t="shared" si="3"/>
        <v>143.71613761096484</v>
      </c>
      <c r="AU179" s="124">
        <f t="shared" si="3"/>
        <v>129.10676100626324</v>
      </c>
      <c r="AV179" s="124">
        <f t="shared" si="3"/>
        <v>87.901840866306387</v>
      </c>
      <c r="AW179" s="124">
        <f t="shared" si="3"/>
        <v>87.432887981515094</v>
      </c>
      <c r="AX179" s="124">
        <f t="shared" si="3"/>
        <v>7.1328085329665676</v>
      </c>
      <c r="AY179" s="124">
        <f t="shared" si="3"/>
        <v>87.432887981515094</v>
      </c>
    </row>
    <row r="180" spans="1:51">
      <c r="A180" s="125"/>
      <c r="B180" s="136" t="s">
        <v>299</v>
      </c>
      <c r="C180" s="125" t="s">
        <v>293</v>
      </c>
      <c r="D180" s="125">
        <v>30.561608717777709</v>
      </c>
      <c r="E180" s="125">
        <v>138.35944051663327</v>
      </c>
      <c r="F180" s="125">
        <v>62.82844136768086</v>
      </c>
      <c r="G180" s="125">
        <v>162</v>
      </c>
      <c r="H180" s="125">
        <v>129.37920452966651</v>
      </c>
      <c r="I180" s="125">
        <v>19.642797151805876</v>
      </c>
      <c r="J180" s="125">
        <v>87.432887981515094</v>
      </c>
      <c r="K180" s="125">
        <v>87.432887981515094</v>
      </c>
      <c r="L180" s="125">
        <v>87.432887981515094</v>
      </c>
      <c r="M180" s="125">
        <v>7.1328085329665676</v>
      </c>
      <c r="N180" s="125">
        <v>146.06780961295468</v>
      </c>
      <c r="O180" s="125">
        <v>66.180256859327116</v>
      </c>
      <c r="P180" s="125">
        <v>87.432887981515094</v>
      </c>
      <c r="Q180" s="125">
        <v>159</v>
      </c>
      <c r="R180" s="125">
        <v>120.95346303175771</v>
      </c>
      <c r="S180" s="125">
        <v>97.850139204679024</v>
      </c>
      <c r="T180" s="125">
        <v>7.2898180434109207E-3</v>
      </c>
      <c r="U180" s="125">
        <v>87.432887981515094</v>
      </c>
      <c r="V180" s="125">
        <v>87.432887981515094</v>
      </c>
      <c r="W180" s="125">
        <v>87.432887981515094</v>
      </c>
      <c r="X180" s="125">
        <v>87.432887981515094</v>
      </c>
      <c r="Y180" s="125">
        <v>87.432887981515094</v>
      </c>
      <c r="Z180" s="125">
        <v>87.432887981515094</v>
      </c>
      <c r="AA180" s="125">
        <v>87.432887981515094</v>
      </c>
      <c r="AB180" s="125">
        <v>87.432887981515094</v>
      </c>
      <c r="AC180" s="125">
        <v>87.432887981515094</v>
      </c>
      <c r="AD180" s="125">
        <v>87.432887981515094</v>
      </c>
      <c r="AE180" s="125">
        <v>87.432887981515094</v>
      </c>
      <c r="AF180" s="125">
        <v>87.432887981515094</v>
      </c>
      <c r="AG180" s="125">
        <v>87.432887981515094</v>
      </c>
      <c r="AH180" s="125">
        <v>87.432887981515094</v>
      </c>
      <c r="AI180" s="125">
        <v>87.432887981515094</v>
      </c>
      <c r="AJ180" s="125">
        <v>87.432887981515094</v>
      </c>
      <c r="AK180" s="125">
        <v>87.432887981515094</v>
      </c>
      <c r="AL180" s="125">
        <v>7.2898180434051389E-3</v>
      </c>
      <c r="AM180" s="125">
        <v>87.432887981515094</v>
      </c>
      <c r="AN180" s="125">
        <v>87.432887981515094</v>
      </c>
      <c r="AO180" s="125">
        <v>87.432887981515094</v>
      </c>
      <c r="AP180" s="125">
        <v>87.432887981515094</v>
      </c>
      <c r="AQ180" s="125">
        <v>87.432887981515094</v>
      </c>
      <c r="AR180" s="125">
        <v>7.1328085329665676</v>
      </c>
      <c r="AS180" s="125">
        <v>139.02483894261562</v>
      </c>
      <c r="AT180" s="125">
        <v>108</v>
      </c>
      <c r="AU180" s="125">
        <v>129.10676100626324</v>
      </c>
      <c r="AV180" s="125">
        <v>87.901840866306387</v>
      </c>
      <c r="AW180" s="125">
        <v>87.432887981515094</v>
      </c>
      <c r="AX180" s="125">
        <v>7.1328085329665676</v>
      </c>
      <c r="AY180" s="125">
        <v>87.432887981515094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245.7727419514095</v>
      </c>
      <c r="E181" s="124">
        <f t="shared" si="4"/>
        <v>47.535713893616325</v>
      </c>
      <c r="F181" s="124">
        <f t="shared" si="4"/>
        <v>244.5350943130118</v>
      </c>
      <c r="G181" s="124">
        <f t="shared" si="4"/>
        <v>180.26178582458732</v>
      </c>
      <c r="H181" s="124">
        <f t="shared" si="4"/>
        <v>28.636906194907592</v>
      </c>
      <c r="I181" s="124">
        <f t="shared" si="4"/>
        <v>127.46694842523085</v>
      </c>
      <c r="J181" s="124">
        <f t="shared" si="4"/>
        <v>127.46694842523085</v>
      </c>
      <c r="K181" s="124">
        <f t="shared" si="4"/>
        <v>127.46694842523085</v>
      </c>
      <c r="L181" s="124">
        <f t="shared" si="4"/>
        <v>10.39880253744926</v>
      </c>
      <c r="M181" s="124">
        <f t="shared" si="4"/>
        <v>244.53509431301242</v>
      </c>
      <c r="N181" s="124">
        <f t="shared" si="4"/>
        <v>64.897820085253258</v>
      </c>
      <c r="O181" s="124">
        <f t="shared" si="4"/>
        <v>127.46694842523085</v>
      </c>
      <c r="P181" s="124">
        <f t="shared" si="4"/>
        <v>244.53509431301242</v>
      </c>
      <c r="Q181" s="124">
        <f t="shared" si="4"/>
        <v>163.60438795226804</v>
      </c>
      <c r="R181" s="124">
        <f t="shared" si="4"/>
        <v>142.65408515433492</v>
      </c>
      <c r="S181" s="124">
        <f t="shared" si="4"/>
        <v>1.0627704082761504E-2</v>
      </c>
      <c r="T181" s="124">
        <f t="shared" si="4"/>
        <v>127.46694842523085</v>
      </c>
      <c r="U181" s="124">
        <f t="shared" si="4"/>
        <v>127.46694842523085</v>
      </c>
      <c r="V181" s="124">
        <f t="shared" si="4"/>
        <v>127.46694842523085</v>
      </c>
      <c r="W181" s="124">
        <f t="shared" si="4"/>
        <v>127.46694842523085</v>
      </c>
      <c r="X181" s="124">
        <f t="shared" si="4"/>
        <v>127.46694842523085</v>
      </c>
      <c r="Y181" s="124">
        <f t="shared" si="4"/>
        <v>127.46694842523085</v>
      </c>
      <c r="Z181" s="124">
        <f t="shared" si="4"/>
        <v>127.46694842523085</v>
      </c>
      <c r="AA181" s="124">
        <f t="shared" si="4"/>
        <v>127.46694842523085</v>
      </c>
      <c r="AB181" s="124">
        <f t="shared" si="4"/>
        <v>127.46694842523085</v>
      </c>
      <c r="AC181" s="124">
        <f t="shared" si="4"/>
        <v>127.46694842523085</v>
      </c>
      <c r="AD181" s="124">
        <f t="shared" si="4"/>
        <v>127.46694842523085</v>
      </c>
      <c r="AE181" s="124">
        <f t="shared" si="4"/>
        <v>127.46694842523085</v>
      </c>
      <c r="AF181" s="124">
        <f t="shared" si="4"/>
        <v>127.46694842523085</v>
      </c>
      <c r="AG181" s="124">
        <f t="shared" si="4"/>
        <v>127.46694842523085</v>
      </c>
      <c r="AH181" s="124">
        <f t="shared" si="4"/>
        <v>127.46694842523085</v>
      </c>
      <c r="AI181" s="124">
        <f t="shared" si="4"/>
        <v>127.46694842523085</v>
      </c>
      <c r="AJ181" s="124">
        <f t="shared" si="4"/>
        <v>127.46694842523085</v>
      </c>
      <c r="AK181" s="124">
        <f t="shared" si="4"/>
        <v>1.0627704082753075E-2</v>
      </c>
      <c r="AL181" s="124">
        <f t="shared" si="4"/>
        <v>127.46694842523085</v>
      </c>
      <c r="AM181" s="124">
        <f t="shared" si="4"/>
        <v>127.46694842523085</v>
      </c>
      <c r="AN181" s="124">
        <f t="shared" si="4"/>
        <v>127.46694842523085</v>
      </c>
      <c r="AO181" s="124">
        <f t="shared" si="4"/>
        <v>127.46694842523085</v>
      </c>
      <c r="AP181" s="124">
        <f t="shared" si="4"/>
        <v>127.46694842523085</v>
      </c>
      <c r="AQ181" s="124">
        <f t="shared" si="4"/>
        <v>10.39880253744926</v>
      </c>
      <c r="AR181" s="124">
        <f t="shared" si="4"/>
        <v>244.53509431301242</v>
      </c>
      <c r="AS181" s="124">
        <f t="shared" si="4"/>
        <v>167.66825740143841</v>
      </c>
      <c r="AT181" s="124">
        <f t="shared" si="4"/>
        <v>136.15263147027039</v>
      </c>
      <c r="AU181" s="124">
        <f t="shared" si="4"/>
        <v>128.15062701070997</v>
      </c>
      <c r="AV181" s="124">
        <f t="shared" si="4"/>
        <v>127.46694842523085</v>
      </c>
      <c r="AW181" s="124">
        <f t="shared" si="4"/>
        <v>10.39880253744926</v>
      </c>
      <c r="AX181" s="124">
        <f t="shared" si="4"/>
        <v>127.46694842523085</v>
      </c>
      <c r="AY181" s="124">
        <f t="shared" si="4"/>
        <v>127.46694842523085</v>
      </c>
    </row>
    <row r="182" spans="1:51">
      <c r="A182" s="125"/>
      <c r="B182" s="136" t="s">
        <v>299</v>
      </c>
      <c r="C182" s="125" t="s">
        <v>293</v>
      </c>
      <c r="D182" s="125">
        <v>183.16265930890054</v>
      </c>
      <c r="E182" s="125">
        <v>47.535713893616325</v>
      </c>
      <c r="F182" s="125">
        <v>155.52690779556707</v>
      </c>
      <c r="G182" s="125">
        <v>132</v>
      </c>
      <c r="H182" s="125">
        <v>28.636906194907592</v>
      </c>
      <c r="I182" s="125">
        <v>127.46694842523085</v>
      </c>
      <c r="J182" s="125">
        <v>127.46694842523085</v>
      </c>
      <c r="K182" s="125">
        <v>127.46694842523085</v>
      </c>
      <c r="L182" s="125">
        <v>10.39880253744926</v>
      </c>
      <c r="M182" s="125">
        <v>152.65378625595685</v>
      </c>
      <c r="N182" s="125">
        <v>64.897820085253258</v>
      </c>
      <c r="O182" s="125">
        <v>127.46694842523085</v>
      </c>
      <c r="P182" s="125">
        <v>183.61004716579626</v>
      </c>
      <c r="Q182" s="125">
        <v>138</v>
      </c>
      <c r="R182" s="125">
        <v>142.65408515433492</v>
      </c>
      <c r="S182" s="125">
        <v>1.0627704082761504E-2</v>
      </c>
      <c r="T182" s="125">
        <v>127.46694842523085</v>
      </c>
      <c r="U182" s="125">
        <v>127.46694842523085</v>
      </c>
      <c r="V182" s="125">
        <v>127.46694842523085</v>
      </c>
      <c r="W182" s="125">
        <v>127.46694842523085</v>
      </c>
      <c r="X182" s="125">
        <v>127.46694842523085</v>
      </c>
      <c r="Y182" s="125">
        <v>127.46694842523085</v>
      </c>
      <c r="Z182" s="125">
        <v>127.46694842523085</v>
      </c>
      <c r="AA182" s="125">
        <v>127.46694842523085</v>
      </c>
      <c r="AB182" s="125">
        <v>127.46694842523085</v>
      </c>
      <c r="AC182" s="125">
        <v>127.46694842523085</v>
      </c>
      <c r="AD182" s="125">
        <v>127.46694842523085</v>
      </c>
      <c r="AE182" s="125">
        <v>127.46694842523085</v>
      </c>
      <c r="AF182" s="125">
        <v>127.46694842523085</v>
      </c>
      <c r="AG182" s="125">
        <v>127.46694842523085</v>
      </c>
      <c r="AH182" s="125">
        <v>127.46694842523085</v>
      </c>
      <c r="AI182" s="125">
        <v>127.46694842523085</v>
      </c>
      <c r="AJ182" s="125">
        <v>127.46694842523085</v>
      </c>
      <c r="AK182" s="125">
        <v>1.0627704082753075E-2</v>
      </c>
      <c r="AL182" s="125">
        <v>127.46694842523085</v>
      </c>
      <c r="AM182" s="125">
        <v>127.46694842523085</v>
      </c>
      <c r="AN182" s="125">
        <v>127.46694842523085</v>
      </c>
      <c r="AO182" s="125">
        <v>127.46694842523085</v>
      </c>
      <c r="AP182" s="125">
        <v>127.46694842523085</v>
      </c>
      <c r="AQ182" s="125">
        <v>10.39880253744926</v>
      </c>
      <c r="AR182" s="125">
        <v>176.75866419480309</v>
      </c>
      <c r="AS182" s="125">
        <v>153.02483894261562</v>
      </c>
      <c r="AT182" s="125">
        <v>135</v>
      </c>
      <c r="AU182" s="125">
        <v>128.15062701070997</v>
      </c>
      <c r="AV182" s="125">
        <v>127.46694842523085</v>
      </c>
      <c r="AW182" s="125">
        <v>10.39880253744926</v>
      </c>
      <c r="AX182" s="125">
        <v>127.46694842523085</v>
      </c>
      <c r="AY182" s="125">
        <v>127.46694842523085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6</v>
      </c>
      <c r="AT186" s="106">
        <v>34</v>
      </c>
      <c r="AU186" s="106">
        <v>12</v>
      </c>
      <c r="AV186" s="106">
        <v>43</v>
      </c>
      <c r="AW186" s="106">
        <v>99</v>
      </c>
      <c r="AX186" s="106">
        <v>55</v>
      </c>
      <c r="AY186" s="106">
        <v>47</v>
      </c>
    </row>
    <row r="187" spans="1:51">
      <c r="A187" s="109"/>
      <c r="B187" s="127">
        <v>3</v>
      </c>
      <c r="C187" s="106">
        <v>38.664577107681055</v>
      </c>
      <c r="D187" s="106">
        <v>0</v>
      </c>
      <c r="E187" s="106">
        <v>0</v>
      </c>
      <c r="F187" s="106">
        <v>0.77742951794684245</v>
      </c>
      <c r="G187" s="106">
        <v>15.777429517946842</v>
      </c>
      <c r="H187" s="106">
        <v>13.777429517946842</v>
      </c>
      <c r="I187" s="106">
        <v>14.777429517946842</v>
      </c>
      <c r="J187" s="106">
        <v>0.77742951794684245</v>
      </c>
      <c r="K187" s="106">
        <v>0</v>
      </c>
      <c r="L187" s="106">
        <v>17</v>
      </c>
      <c r="M187" s="106">
        <v>0</v>
      </c>
      <c r="N187" s="106">
        <v>21</v>
      </c>
      <c r="O187" s="106">
        <v>20</v>
      </c>
      <c r="P187" s="106">
        <v>11</v>
      </c>
      <c r="Q187" s="106">
        <v>27</v>
      </c>
      <c r="R187" s="106">
        <v>5</v>
      </c>
      <c r="S187" s="106">
        <v>0</v>
      </c>
      <c r="T187" s="106">
        <v>51</v>
      </c>
      <c r="U187" s="106">
        <v>103</v>
      </c>
      <c r="V187" s="106">
        <v>85</v>
      </c>
      <c r="W187" s="106">
        <v>96</v>
      </c>
      <c r="X187" s="106">
        <v>99</v>
      </c>
      <c r="Y187" s="106">
        <v>82</v>
      </c>
      <c r="Z187" s="106">
        <v>55</v>
      </c>
      <c r="AA187" s="106">
        <v>52</v>
      </c>
      <c r="AB187" s="106">
        <v>107</v>
      </c>
      <c r="AC187" s="106">
        <v>124</v>
      </c>
      <c r="AD187" s="106">
        <v>128</v>
      </c>
      <c r="AE187" s="106">
        <v>100</v>
      </c>
      <c r="AF187" s="106">
        <v>70</v>
      </c>
      <c r="AG187" s="106">
        <v>88</v>
      </c>
      <c r="AH187" s="106">
        <v>87</v>
      </c>
      <c r="AI187" s="106">
        <v>105</v>
      </c>
      <c r="AJ187" s="106">
        <v>125</v>
      </c>
      <c r="AK187" s="106">
        <v>159</v>
      </c>
      <c r="AL187" s="106">
        <v>134</v>
      </c>
      <c r="AM187" s="106">
        <v>149</v>
      </c>
      <c r="AN187" s="106">
        <v>163</v>
      </c>
      <c r="AO187" s="106">
        <v>164</v>
      </c>
      <c r="AP187" s="106">
        <v>139</v>
      </c>
      <c r="AQ187" s="106">
        <v>134</v>
      </c>
      <c r="AR187" s="106">
        <v>135</v>
      </c>
      <c r="AS187" s="106">
        <v>190</v>
      </c>
      <c r="AT187" s="106">
        <v>184</v>
      </c>
      <c r="AU187" s="106">
        <v>156</v>
      </c>
      <c r="AV187" s="106">
        <v>178</v>
      </c>
      <c r="AW187" s="106">
        <v>147</v>
      </c>
      <c r="AX187" s="106">
        <v>91</v>
      </c>
      <c r="AY187" s="106">
        <v>135</v>
      </c>
    </row>
    <row r="188" spans="1:51">
      <c r="A188" s="128"/>
      <c r="B188" s="129">
        <v>4</v>
      </c>
      <c r="C188" s="106">
        <v>200.33542289231895</v>
      </c>
      <c r="D188" s="106">
        <v>165</v>
      </c>
      <c r="E188" s="106">
        <v>156</v>
      </c>
      <c r="F188" s="106">
        <v>217.22257048205316</v>
      </c>
      <c r="G188" s="106">
        <v>189.22257048205316</v>
      </c>
      <c r="H188" s="106">
        <v>174.22257048205316</v>
      </c>
      <c r="I188" s="106">
        <v>176.22257048205316</v>
      </c>
      <c r="J188" s="106">
        <v>175.22257048205316</v>
      </c>
      <c r="K188" s="106">
        <v>164</v>
      </c>
      <c r="L188" s="106">
        <v>190</v>
      </c>
      <c r="M188" s="106">
        <v>149</v>
      </c>
      <c r="N188" s="106">
        <v>190</v>
      </c>
      <c r="O188" s="106">
        <v>169</v>
      </c>
      <c r="P188" s="106">
        <v>170</v>
      </c>
      <c r="Q188" s="106">
        <v>179</v>
      </c>
      <c r="R188" s="106">
        <v>163</v>
      </c>
      <c r="S188" s="106">
        <v>156</v>
      </c>
      <c r="T188" s="106">
        <v>190</v>
      </c>
      <c r="U188" s="106">
        <v>139</v>
      </c>
      <c r="V188" s="106">
        <v>87</v>
      </c>
      <c r="W188" s="106">
        <v>105</v>
      </c>
      <c r="X188" s="106">
        <v>94</v>
      </c>
      <c r="Y188" s="106">
        <v>91</v>
      </c>
      <c r="Z188" s="106">
        <v>108</v>
      </c>
      <c r="AA188" s="106">
        <v>135</v>
      </c>
      <c r="AB188" s="106">
        <v>138</v>
      </c>
      <c r="AC188" s="106">
        <v>83</v>
      </c>
      <c r="AD188" s="106">
        <v>66</v>
      </c>
      <c r="AE188" s="106">
        <v>62</v>
      </c>
      <c r="AF188" s="106">
        <v>90</v>
      </c>
      <c r="AG188" s="106">
        <v>120</v>
      </c>
      <c r="AH188" s="106">
        <v>102</v>
      </c>
      <c r="AI188" s="106">
        <v>103</v>
      </c>
      <c r="AJ188" s="106">
        <v>85</v>
      </c>
      <c r="AK188" s="106">
        <v>65</v>
      </c>
      <c r="AL188" s="106">
        <v>31</v>
      </c>
      <c r="AM188" s="106">
        <v>56</v>
      </c>
      <c r="AN188" s="106">
        <v>41</v>
      </c>
      <c r="AO188" s="106">
        <v>27</v>
      </c>
      <c r="AP188" s="106">
        <v>26</v>
      </c>
      <c r="AQ188" s="106">
        <v>51</v>
      </c>
      <c r="AR188" s="106">
        <v>56</v>
      </c>
      <c r="AS188" s="106">
        <v>55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12.404582570600718</v>
      </c>
      <c r="D189" s="124">
        <v>49.15079360263681</v>
      </c>
      <c r="E189" s="124">
        <v>12.486306451710332</v>
      </c>
      <c r="F189" s="124">
        <v>25.287240662019599</v>
      </c>
      <c r="G189" s="124">
        <v>94.088174872328096</v>
      </c>
      <c r="H189" s="124">
        <v>0</v>
      </c>
      <c r="I189" s="124">
        <v>153.1990657896915</v>
      </c>
      <c r="J189" s="124">
        <v>153.1990657896915</v>
      </c>
      <c r="K189" s="124">
        <v>153.1990657896915</v>
      </c>
      <c r="L189" s="124">
        <v>12.486306451710334</v>
      </c>
      <c r="M189" s="124">
        <v>7.2872406620188315</v>
      </c>
      <c r="N189" s="124">
        <v>12.486306451710334</v>
      </c>
      <c r="O189" s="124">
        <v>153.1990657896915</v>
      </c>
      <c r="P189" s="124">
        <v>60.287240662018831</v>
      </c>
      <c r="Q189" s="124">
        <v>101.08817487232733</v>
      </c>
      <c r="R189" s="124">
        <v>103.88910908263583</v>
      </c>
      <c r="S189" s="124">
        <v>0</v>
      </c>
      <c r="T189" s="124">
        <v>153.1990657896915</v>
      </c>
      <c r="U189" s="124">
        <v>153.1990657896915</v>
      </c>
      <c r="V189" s="124">
        <v>153.1990657896915</v>
      </c>
      <c r="W189" s="124">
        <v>153.1990657896915</v>
      </c>
      <c r="X189" s="124">
        <v>153.1990657896915</v>
      </c>
      <c r="Y189" s="124">
        <v>153.1990657896915</v>
      </c>
      <c r="Z189" s="124">
        <v>153.1990657896915</v>
      </c>
      <c r="AA189" s="124">
        <v>153.1990657896915</v>
      </c>
      <c r="AB189" s="124">
        <v>153.1990657896915</v>
      </c>
      <c r="AC189" s="124">
        <v>153.1990657896915</v>
      </c>
      <c r="AD189" s="124">
        <v>153.1990657896915</v>
      </c>
      <c r="AE189" s="124">
        <v>153.1990657896915</v>
      </c>
      <c r="AF189" s="124">
        <v>153.1990657896915</v>
      </c>
      <c r="AG189" s="124">
        <v>153.1990657896915</v>
      </c>
      <c r="AH189" s="124">
        <v>153.1990657896915</v>
      </c>
      <c r="AI189" s="124">
        <v>153.1990657896915</v>
      </c>
      <c r="AJ189" s="124">
        <v>153.1990657896915</v>
      </c>
      <c r="AK189" s="124">
        <v>0</v>
      </c>
      <c r="AL189" s="124">
        <v>153.1990657896915</v>
      </c>
      <c r="AM189" s="124">
        <v>153.1990657896915</v>
      </c>
      <c r="AN189" s="124">
        <v>153.1990657896915</v>
      </c>
      <c r="AO189" s="124">
        <v>153.1990657896915</v>
      </c>
      <c r="AP189" s="124">
        <v>153.1990657896915</v>
      </c>
      <c r="AQ189" s="124">
        <v>12.486306451710334</v>
      </c>
      <c r="AR189" s="124">
        <v>71.287240662018831</v>
      </c>
      <c r="AS189" s="124">
        <v>153.1990657896915</v>
      </c>
      <c r="AT189" s="124">
        <v>149</v>
      </c>
      <c r="AU189" s="124">
        <v>153.1990657896915</v>
      </c>
      <c r="AV189" s="124">
        <v>153.1990657896915</v>
      </c>
      <c r="AW189" s="124">
        <v>12.486306451710334</v>
      </c>
      <c r="AX189" s="124">
        <v>153.1990657896915</v>
      </c>
      <c r="AY189" s="124">
        <v>12.486306451710334</v>
      </c>
    </row>
    <row r="190" spans="1:51">
      <c r="A190" s="109"/>
      <c r="B190" s="119">
        <v>2</v>
      </c>
      <c r="C190" s="106">
        <v>74.102995365327132</v>
      </c>
      <c r="D190" s="106">
        <v>139.84920639736319</v>
      </c>
      <c r="E190" s="106">
        <v>103.10299536532713</v>
      </c>
      <c r="F190" s="106">
        <v>140.7127593379804</v>
      </c>
      <c r="G190" s="106">
        <v>127.9118251276719</v>
      </c>
      <c r="H190" s="106">
        <v>59.110890917363406</v>
      </c>
      <c r="I190" s="106">
        <v>0</v>
      </c>
      <c r="J190" s="106">
        <v>0</v>
      </c>
      <c r="K190" s="106">
        <v>0</v>
      </c>
      <c r="L190" s="106">
        <v>0</v>
      </c>
      <c r="M190" s="106">
        <v>140.71275933798117</v>
      </c>
      <c r="N190" s="106">
        <v>145.91182512767267</v>
      </c>
      <c r="O190" s="106">
        <v>0</v>
      </c>
      <c r="P190" s="106">
        <v>0</v>
      </c>
      <c r="Q190" s="106">
        <v>92.911825127672671</v>
      </c>
      <c r="R190" s="106">
        <v>52.110890917364173</v>
      </c>
      <c r="S190" s="106">
        <v>49.309956707055676</v>
      </c>
      <c r="T190" s="106">
        <v>0</v>
      </c>
      <c r="U190" s="106">
        <v>0</v>
      </c>
      <c r="V190" s="106">
        <v>0</v>
      </c>
      <c r="W190" s="106">
        <v>0</v>
      </c>
      <c r="X190" s="106">
        <v>0</v>
      </c>
      <c r="Y190" s="106">
        <v>0</v>
      </c>
      <c r="Z190" s="106">
        <v>0</v>
      </c>
      <c r="AA190" s="106">
        <v>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0</v>
      </c>
      <c r="AG190" s="106">
        <v>0</v>
      </c>
      <c r="AH190" s="106">
        <v>0</v>
      </c>
      <c r="AI190" s="106">
        <v>0</v>
      </c>
      <c r="AJ190" s="106">
        <v>0</v>
      </c>
      <c r="AK190" s="106">
        <v>0</v>
      </c>
      <c r="AL190" s="106">
        <v>0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140.71275933798117</v>
      </c>
      <c r="AS190" s="106">
        <v>81.911825127672671</v>
      </c>
      <c r="AT190" s="106">
        <v>0</v>
      </c>
      <c r="AU190" s="106">
        <v>4.1990657896915025</v>
      </c>
      <c r="AV190" s="106">
        <v>0</v>
      </c>
      <c r="AW190" s="106">
        <v>0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140.71275933798117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140.71275933798117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167.4240829131428</v>
      </c>
      <c r="D197" s="106">
        <v>30.142045275680395</v>
      </c>
      <c r="E197" s="106">
        <v>138.35944051663327</v>
      </c>
      <c r="F197" s="106">
        <v>32.605979819308438</v>
      </c>
      <c r="G197" s="106">
        <v>162</v>
      </c>
      <c r="H197" s="106">
        <v>123.64623709960335</v>
      </c>
      <c r="I197" s="106">
        <v>19.642797151805876</v>
      </c>
      <c r="J197" s="106">
        <v>87.432887981515094</v>
      </c>
      <c r="K197" s="106">
        <v>87.432887981515094</v>
      </c>
      <c r="L197" s="106">
        <v>87.432887981515094</v>
      </c>
      <c r="M197" s="106">
        <v>7.1328085329665676</v>
      </c>
      <c r="N197" s="106">
        <v>146.06780961295468</v>
      </c>
      <c r="O197" s="106">
        <v>44.515099042218182</v>
      </c>
      <c r="P197" s="106">
        <v>87.432887981515094</v>
      </c>
      <c r="Q197" s="106">
        <v>159</v>
      </c>
      <c r="R197" s="106">
        <v>112.2204956016941</v>
      </c>
      <c r="S197" s="106">
        <v>97.850139204679024</v>
      </c>
      <c r="T197" s="106">
        <v>7.2898180434109207E-3</v>
      </c>
      <c r="U197" s="106">
        <v>87.432887981515094</v>
      </c>
      <c r="V197" s="106">
        <v>87.432887981515094</v>
      </c>
      <c r="W197" s="106">
        <v>87.432887981515094</v>
      </c>
      <c r="X197" s="106">
        <v>87.432887981515094</v>
      </c>
      <c r="Y197" s="106">
        <v>87.432887981515094</v>
      </c>
      <c r="Z197" s="106">
        <v>87.432887981515094</v>
      </c>
      <c r="AA197" s="106">
        <v>87.432887981515094</v>
      </c>
      <c r="AB197" s="106">
        <v>87.432887981515094</v>
      </c>
      <c r="AC197" s="106">
        <v>87.432887981515094</v>
      </c>
      <c r="AD197" s="106">
        <v>87.432887981515094</v>
      </c>
      <c r="AE197" s="106">
        <v>87.432887981515094</v>
      </c>
      <c r="AF197" s="106">
        <v>87.432887981515094</v>
      </c>
      <c r="AG197" s="106">
        <v>87.432887981515094</v>
      </c>
      <c r="AH197" s="106">
        <v>87.432887981515094</v>
      </c>
      <c r="AI197" s="106">
        <v>87.432887981515094</v>
      </c>
      <c r="AJ197" s="106">
        <v>87.432887981515094</v>
      </c>
      <c r="AK197" s="106">
        <v>87.432887981515094</v>
      </c>
      <c r="AL197" s="106">
        <v>7.2898180434051389E-3</v>
      </c>
      <c r="AM197" s="106">
        <v>87.432887981515094</v>
      </c>
      <c r="AN197" s="106">
        <v>87.432887981515094</v>
      </c>
      <c r="AO197" s="106">
        <v>87.432887981515094</v>
      </c>
      <c r="AP197" s="106">
        <v>87.432887981515094</v>
      </c>
      <c r="AQ197" s="106">
        <v>87.432887981515094</v>
      </c>
      <c r="AR197" s="106">
        <v>7.1328085329665676</v>
      </c>
      <c r="AS197" s="106">
        <v>139.02483894261562</v>
      </c>
      <c r="AT197" s="106">
        <v>79.291871512552007</v>
      </c>
      <c r="AU197" s="106">
        <v>93.390623395298377</v>
      </c>
      <c r="AV197" s="106">
        <v>87.901840866306387</v>
      </c>
      <c r="AW197" s="106">
        <v>87.432887981515094</v>
      </c>
      <c r="AX197" s="106">
        <v>7.1328085329665676</v>
      </c>
      <c r="AY197" s="106">
        <v>87.432887981515094</v>
      </c>
    </row>
    <row r="198" spans="1:51">
      <c r="A198" s="109"/>
      <c r="B198" s="119">
        <v>2</v>
      </c>
      <c r="C198" s="106">
        <v>0</v>
      </c>
      <c r="D198" s="106">
        <v>0.41956344209731355</v>
      </c>
      <c r="E198" s="106">
        <v>0</v>
      </c>
      <c r="F198" s="106">
        <v>30.222461548372422</v>
      </c>
      <c r="G198" s="106">
        <v>0</v>
      </c>
      <c r="H198" s="106">
        <v>5.7329674300631552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21.665157817108934</v>
      </c>
      <c r="P198" s="106">
        <v>0</v>
      </c>
      <c r="Q198" s="106">
        <v>0</v>
      </c>
      <c r="R198" s="106">
        <v>8.73296743006361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28.708128487447993</v>
      </c>
      <c r="AU198" s="106">
        <v>35.71613761096485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10.478993125224692</v>
      </c>
      <c r="D209" s="124">
        <v>65.499926692819813</v>
      </c>
      <c r="E209" s="124">
        <v>10.398802537449257</v>
      </c>
      <c r="F209" s="124">
        <v>38.45876190778614</v>
      </c>
      <c r="G209" s="124">
        <v>79.205162600643547</v>
      </c>
      <c r="H209" s="124">
        <v>1.0627704082753075E-2</v>
      </c>
      <c r="I209" s="124">
        <v>127.46694842523085</v>
      </c>
      <c r="J209" s="124">
        <v>127.46694842523085</v>
      </c>
      <c r="K209" s="124">
        <v>127.46694842523085</v>
      </c>
      <c r="L209" s="124">
        <v>10.39880253744926</v>
      </c>
      <c r="M209" s="124">
        <v>35.585640368175248</v>
      </c>
      <c r="N209" s="124">
        <v>10.39880253744926</v>
      </c>
      <c r="O209" s="124">
        <v>127.46694842523085</v>
      </c>
      <c r="P209" s="124">
        <v>66.541901278014663</v>
      </c>
      <c r="Q209" s="124">
        <v>101.86256047296283</v>
      </c>
      <c r="R209" s="124">
        <v>127.46694842523084</v>
      </c>
      <c r="S209" s="124">
        <v>1.0627704082753075E-2</v>
      </c>
      <c r="T209" s="124">
        <v>127.46694842523085</v>
      </c>
      <c r="U209" s="124">
        <v>127.46694842523085</v>
      </c>
      <c r="V209" s="124">
        <v>127.46694842523085</v>
      </c>
      <c r="W209" s="124">
        <v>127.46694842523085</v>
      </c>
      <c r="X209" s="124">
        <v>127.46694842523085</v>
      </c>
      <c r="Y209" s="124">
        <v>127.46694842523085</v>
      </c>
      <c r="Z209" s="124">
        <v>127.46694842523085</v>
      </c>
      <c r="AA209" s="124">
        <v>127.46694842523085</v>
      </c>
      <c r="AB209" s="124">
        <v>127.46694842523085</v>
      </c>
      <c r="AC209" s="124">
        <v>127.46694842523085</v>
      </c>
      <c r="AD209" s="124">
        <v>127.46694842523085</v>
      </c>
      <c r="AE209" s="124">
        <v>127.46694842523085</v>
      </c>
      <c r="AF209" s="124">
        <v>127.46694842523085</v>
      </c>
      <c r="AG209" s="124">
        <v>127.46694842523085</v>
      </c>
      <c r="AH209" s="124">
        <v>127.46694842523085</v>
      </c>
      <c r="AI209" s="124">
        <v>127.46694842523085</v>
      </c>
      <c r="AJ209" s="124">
        <v>127.46694842523085</v>
      </c>
      <c r="AK209" s="124">
        <v>1.0627704082753075E-2</v>
      </c>
      <c r="AL209" s="124">
        <v>127.46694842523085</v>
      </c>
      <c r="AM209" s="124">
        <v>127.46694842523085</v>
      </c>
      <c r="AN209" s="124">
        <v>127.46694842523085</v>
      </c>
      <c r="AO209" s="124">
        <v>127.46694842523085</v>
      </c>
      <c r="AP209" s="124">
        <v>127.46694842523085</v>
      </c>
      <c r="AQ209" s="124">
        <v>10.39880253744926</v>
      </c>
      <c r="AR209" s="124">
        <v>59.690518307021492</v>
      </c>
      <c r="AS209" s="124">
        <v>112.82352996640805</v>
      </c>
      <c r="AT209" s="124">
        <v>126.31431695496047</v>
      </c>
      <c r="AU209" s="124">
        <v>127.46694842523085</v>
      </c>
      <c r="AV209" s="124">
        <v>127.46694842523085</v>
      </c>
      <c r="AW209" s="124">
        <v>10.39880253744926</v>
      </c>
      <c r="AX209" s="124">
        <v>127.46694842523085</v>
      </c>
      <c r="AY209" s="124">
        <v>10.398802537449257</v>
      </c>
    </row>
    <row r="210" spans="1:51">
      <c r="A210" s="109"/>
      <c r="B210" s="119">
        <v>2</v>
      </c>
      <c r="C210" s="106">
        <v>33.79055353709937</v>
      </c>
      <c r="D210" s="110">
        <v>117.66273261608073</v>
      </c>
      <c r="E210" s="110">
        <v>37.136911356167069</v>
      </c>
      <c r="F210" s="110">
        <v>117.06814588778093</v>
      </c>
      <c r="G210" s="110">
        <v>52.794837399356453</v>
      </c>
      <c r="H210" s="110">
        <v>28.626278490824838</v>
      </c>
      <c r="I210" s="110">
        <v>0</v>
      </c>
      <c r="J210" s="110">
        <v>0</v>
      </c>
      <c r="K210" s="110">
        <v>0</v>
      </c>
      <c r="L210" s="110">
        <v>0</v>
      </c>
      <c r="M210" s="110">
        <v>117.0681458877816</v>
      </c>
      <c r="N210" s="110">
        <v>54.499017547803994</v>
      </c>
      <c r="O210" s="110">
        <v>0</v>
      </c>
      <c r="P210" s="110">
        <v>0</v>
      </c>
      <c r="Q210" s="110">
        <v>36.137439527037181</v>
      </c>
      <c r="R210" s="110">
        <v>15.187136729104086</v>
      </c>
      <c r="S210" s="110">
        <v>8.4291096510310801E-15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117.0681458877816</v>
      </c>
      <c r="AS210" s="110">
        <v>40.201308976207578</v>
      </c>
      <c r="AT210" s="110">
        <v>8.6856830450395233</v>
      </c>
      <c r="AU210" s="110">
        <v>0.6836785854790921</v>
      </c>
      <c r="AV210" s="110">
        <v>0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117.0681458877816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117.0681458877816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109578.2363422537</v>
      </c>
      <c r="E259" s="124">
        <f t="shared" ref="E259:AX259" si="5">F$14*$B$259</f>
        <v>21193.886882550483</v>
      </c>
      <c r="F259" s="124">
        <f t="shared" si="5"/>
        <v>109026.42882954105</v>
      </c>
      <c r="G259" s="124">
        <f t="shared" si="5"/>
        <v>80370.054114742175</v>
      </c>
      <c r="H259" s="124">
        <f t="shared" si="5"/>
        <v>12767.818148673819</v>
      </c>
      <c r="I259" s="124">
        <f t="shared" si="5"/>
        <v>56831.377187984814</v>
      </c>
      <c r="J259" s="124">
        <f t="shared" si="5"/>
        <v>56831.377187984814</v>
      </c>
      <c r="K259" s="124">
        <f t="shared" si="5"/>
        <v>56831.377187984814</v>
      </c>
      <c r="L259" s="124">
        <f t="shared" si="5"/>
        <v>4636.3255464282693</v>
      </c>
      <c r="M259" s="124">
        <f t="shared" si="5"/>
        <v>109026.42882954134</v>
      </c>
      <c r="N259" s="124">
        <f t="shared" si="5"/>
        <v>28934.814377441817</v>
      </c>
      <c r="O259" s="124">
        <f t="shared" si="5"/>
        <v>56831.377187984814</v>
      </c>
      <c r="P259" s="124">
        <f t="shared" si="5"/>
        <v>109026.42882954134</v>
      </c>
      <c r="Q259" s="124">
        <f t="shared" si="5"/>
        <v>72943.322141101162</v>
      </c>
      <c r="R259" s="124">
        <f t="shared" si="5"/>
        <v>63602.590483041364</v>
      </c>
      <c r="S259" s="124">
        <f t="shared" si="5"/>
        <v>4.7383817282170986</v>
      </c>
      <c r="T259" s="124">
        <f t="shared" si="5"/>
        <v>56831.377187984814</v>
      </c>
      <c r="U259" s="124">
        <f t="shared" si="5"/>
        <v>56831.377187984814</v>
      </c>
      <c r="V259" s="124">
        <f t="shared" si="5"/>
        <v>56831.377187984814</v>
      </c>
      <c r="W259" s="124">
        <f t="shared" si="5"/>
        <v>56831.377187984814</v>
      </c>
      <c r="X259" s="124">
        <f t="shared" si="5"/>
        <v>56831.377187984814</v>
      </c>
      <c r="Y259" s="124">
        <f t="shared" si="5"/>
        <v>56831.377187984814</v>
      </c>
      <c r="Z259" s="124">
        <f t="shared" si="5"/>
        <v>56831.377187984814</v>
      </c>
      <c r="AA259" s="124">
        <f t="shared" si="5"/>
        <v>56831.377187984814</v>
      </c>
      <c r="AB259" s="124">
        <f t="shared" si="5"/>
        <v>56831.377187984814</v>
      </c>
      <c r="AC259" s="124">
        <f t="shared" si="5"/>
        <v>56831.377187984814</v>
      </c>
      <c r="AD259" s="124">
        <f t="shared" si="5"/>
        <v>56831.377187984814</v>
      </c>
      <c r="AE259" s="124">
        <f t="shared" si="5"/>
        <v>56831.377187984814</v>
      </c>
      <c r="AF259" s="124">
        <f t="shared" si="5"/>
        <v>56831.377187984814</v>
      </c>
      <c r="AG259" s="124">
        <f t="shared" si="5"/>
        <v>56831.377187984814</v>
      </c>
      <c r="AH259" s="124">
        <f t="shared" si="5"/>
        <v>56831.377187984814</v>
      </c>
      <c r="AI259" s="124">
        <f t="shared" si="5"/>
        <v>56831.377187984814</v>
      </c>
      <c r="AJ259" s="124">
        <f t="shared" si="5"/>
        <v>56831.377187984814</v>
      </c>
      <c r="AK259" s="124">
        <f t="shared" si="5"/>
        <v>4.7383817282133407</v>
      </c>
      <c r="AL259" s="124">
        <f t="shared" si="5"/>
        <v>56831.377187984814</v>
      </c>
      <c r="AM259" s="124">
        <f t="shared" si="5"/>
        <v>56831.377187984814</v>
      </c>
      <c r="AN259" s="124">
        <f t="shared" si="5"/>
        <v>56831.377187984814</v>
      </c>
      <c r="AO259" s="124">
        <f t="shared" si="5"/>
        <v>56831.377187984814</v>
      </c>
      <c r="AP259" s="124">
        <f t="shared" si="5"/>
        <v>56831.377187984814</v>
      </c>
      <c r="AQ259" s="124">
        <f t="shared" si="5"/>
        <v>4636.3255464282693</v>
      </c>
      <c r="AR259" s="124">
        <f t="shared" si="5"/>
        <v>109026.42882954134</v>
      </c>
      <c r="AS259" s="124">
        <f t="shared" si="5"/>
        <v>74755.205930285956</v>
      </c>
      <c r="AT259" s="124">
        <f t="shared" si="5"/>
        <v>60703.905206943942</v>
      </c>
      <c r="AU259" s="124">
        <f t="shared" si="5"/>
        <v>57136.196563099154</v>
      </c>
      <c r="AV259" s="124">
        <f t="shared" si="5"/>
        <v>56831.377187984814</v>
      </c>
      <c r="AW259" s="124">
        <f t="shared" si="5"/>
        <v>4636.3255464282693</v>
      </c>
      <c r="AX259" s="124">
        <f t="shared" si="5"/>
        <v>56831.377187984814</v>
      </c>
      <c r="AY259" s="124">
        <f>AZ$14*$B$259</f>
        <v>56831.377187984814</v>
      </c>
      <c r="AZ259" s="139">
        <f>SUM($D259:$AY259)</f>
        <v>2680120.1373625989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48222.972740778874</v>
      </c>
      <c r="E260" s="125">
        <f t="shared" ref="E260:AY260" si="6">(E$175-E$176+E$177-E$178+E$179-E$180+E$181-E$182)*$B$260</f>
        <v>41320.056150748722</v>
      </c>
      <c r="F260" s="125">
        <f t="shared" si="6"/>
        <v>47168.55492763019</v>
      </c>
      <c r="G260" s="125">
        <f t="shared" si="6"/>
        <v>40039.692879244023</v>
      </c>
      <c r="H260" s="125">
        <f t="shared" si="6"/>
        <v>33373.354228923192</v>
      </c>
      <c r="I260" s="125">
        <f t="shared" si="6"/>
        <v>33313.354228923185</v>
      </c>
      <c r="J260" s="125">
        <f t="shared" si="6"/>
        <v>34153.354228923185</v>
      </c>
      <c r="K260" s="125">
        <f t="shared" si="6"/>
        <v>35713.354228923185</v>
      </c>
      <c r="L260" s="125">
        <f t="shared" si="6"/>
        <v>33180</v>
      </c>
      <c r="M260" s="125">
        <f t="shared" si="6"/>
        <v>49907.587991083696</v>
      </c>
      <c r="N260" s="125">
        <f t="shared" si="6"/>
        <v>34239.909469026534</v>
      </c>
      <c r="O260" s="125">
        <f t="shared" si="6"/>
        <v>33000</v>
      </c>
      <c r="P260" s="125">
        <f t="shared" si="6"/>
        <v>42770.212336493336</v>
      </c>
      <c r="Q260" s="125">
        <f t="shared" si="6"/>
        <v>37766.894777981739</v>
      </c>
      <c r="R260" s="125">
        <f t="shared" si="6"/>
        <v>36858.597402423344</v>
      </c>
      <c r="S260" s="125">
        <f t="shared" si="6"/>
        <v>35940</v>
      </c>
      <c r="T260" s="125">
        <f t="shared" si="6"/>
        <v>31140</v>
      </c>
      <c r="U260" s="125">
        <f t="shared" si="6"/>
        <v>28020.000000000007</v>
      </c>
      <c r="V260" s="125">
        <f t="shared" si="6"/>
        <v>29100.000000000007</v>
      </c>
      <c r="W260" s="125">
        <f t="shared" si="6"/>
        <v>28440.000000000007</v>
      </c>
      <c r="X260" s="125">
        <f t="shared" si="6"/>
        <v>28260.000000000007</v>
      </c>
      <c r="Y260" s="125">
        <f t="shared" si="6"/>
        <v>29280.000000000007</v>
      </c>
      <c r="Z260" s="125">
        <f t="shared" si="6"/>
        <v>30900</v>
      </c>
      <c r="AA260" s="125">
        <f t="shared" si="6"/>
        <v>31080</v>
      </c>
      <c r="AB260" s="125">
        <f t="shared" si="6"/>
        <v>27780.000000000007</v>
      </c>
      <c r="AC260" s="125">
        <f t="shared" si="6"/>
        <v>26760.000000000007</v>
      </c>
      <c r="AD260" s="125">
        <f t="shared" si="6"/>
        <v>26520.000000000007</v>
      </c>
      <c r="AE260" s="125">
        <f t="shared" si="6"/>
        <v>28200.000000000007</v>
      </c>
      <c r="AF260" s="125">
        <f t="shared" si="6"/>
        <v>30000.000000000007</v>
      </c>
      <c r="AG260" s="125">
        <f t="shared" si="6"/>
        <v>28920.000000000007</v>
      </c>
      <c r="AH260" s="125">
        <f t="shared" si="6"/>
        <v>28980.000000000007</v>
      </c>
      <c r="AI260" s="125">
        <f t="shared" si="6"/>
        <v>27900.000000000007</v>
      </c>
      <c r="AJ260" s="125">
        <f t="shared" si="6"/>
        <v>26700.000000000007</v>
      </c>
      <c r="AK260" s="125">
        <f t="shared" si="6"/>
        <v>24660</v>
      </c>
      <c r="AL260" s="125">
        <f t="shared" si="6"/>
        <v>26160</v>
      </c>
      <c r="AM260" s="125">
        <f t="shared" si="6"/>
        <v>25260</v>
      </c>
      <c r="AN260" s="125">
        <f t="shared" si="6"/>
        <v>24420</v>
      </c>
      <c r="AO260" s="125">
        <f t="shared" si="6"/>
        <v>24360</v>
      </c>
      <c r="AP260" s="125">
        <f t="shared" si="6"/>
        <v>25860.000000000007</v>
      </c>
      <c r="AQ260" s="125">
        <f t="shared" si="6"/>
        <v>26160.000000000004</v>
      </c>
      <c r="AR260" s="125">
        <f t="shared" si="6"/>
        <v>35081.295314752926</v>
      </c>
      <c r="AS260" s="125">
        <f t="shared" si="6"/>
        <v>25041.092816776247</v>
      </c>
      <c r="AT260" s="125">
        <f t="shared" si="6"/>
        <v>23224.070092255603</v>
      </c>
      <c r="AU260" s="125">
        <f t="shared" si="6"/>
        <v>22080.000000000004</v>
      </c>
      <c r="AV260" s="125">
        <f t="shared" si="6"/>
        <v>20220</v>
      </c>
      <c r="AW260" s="125">
        <f t="shared" si="6"/>
        <v>16860</v>
      </c>
      <c r="AX260" s="125">
        <f t="shared" si="6"/>
        <v>19500</v>
      </c>
      <c r="AY260" s="125">
        <f t="shared" si="6"/>
        <v>19980</v>
      </c>
      <c r="AZ260" s="141">
        <f>SUM($D260:$AY260)</f>
        <v>1463814.3538148883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1257.9444509533544</v>
      </c>
      <c r="E9" s="117">
        <v>1257.9444509533544</v>
      </c>
      <c r="F9" s="117">
        <v>1257.9444509533544</v>
      </c>
      <c r="G9" s="117">
        <v>1257.9444509533544</v>
      </c>
      <c r="H9" s="117">
        <v>1048.2924055233429</v>
      </c>
      <c r="I9" s="117">
        <v>1048.2924055233429</v>
      </c>
      <c r="J9" s="117">
        <v>1048.2924055233429</v>
      </c>
      <c r="K9" s="117">
        <v>1048.2924055233429</v>
      </c>
      <c r="L9" s="117">
        <v>1048.2924055233429</v>
      </c>
      <c r="M9" s="117">
        <v>1048.2924055233429</v>
      </c>
      <c r="N9" s="117">
        <v>1048.2924055233429</v>
      </c>
      <c r="O9" s="117">
        <v>1048.2924055233429</v>
      </c>
      <c r="P9" s="117">
        <v>1257.9444509533544</v>
      </c>
      <c r="Q9" s="117">
        <v>1257.9444509533544</v>
      </c>
      <c r="R9" s="117">
        <v>1257.9444509533544</v>
      </c>
      <c r="S9" s="117">
        <v>1257.9444509533544</v>
      </c>
      <c r="T9" s="117">
        <v>3.2178373285104665E-2</v>
      </c>
      <c r="U9" s="117">
        <v>3.2178373285104665E-2</v>
      </c>
      <c r="V9" s="117">
        <v>3.2178373285104665E-2</v>
      </c>
      <c r="W9" s="117">
        <v>3.2178373285104665E-2</v>
      </c>
      <c r="X9" s="117">
        <v>1257.9444509533544</v>
      </c>
      <c r="Y9" s="117">
        <v>1257.9444509533544</v>
      </c>
      <c r="Z9" s="117">
        <v>1257.9444509533544</v>
      </c>
      <c r="AA9" s="117">
        <v>1257.9444509533544</v>
      </c>
      <c r="AB9" s="117">
        <v>1048.2924055233429</v>
      </c>
      <c r="AC9" s="117">
        <v>1048.2924055233429</v>
      </c>
      <c r="AD9" s="117">
        <v>1048.2924055233429</v>
      </c>
      <c r="AE9" s="117">
        <v>1048.2924055233429</v>
      </c>
      <c r="AF9" s="117">
        <v>1048.2924055233429</v>
      </c>
      <c r="AG9" s="117">
        <v>1048.2924055233429</v>
      </c>
      <c r="AH9" s="117">
        <v>1048.2924055233429</v>
      </c>
      <c r="AI9" s="117">
        <v>1048.2924055233429</v>
      </c>
      <c r="AJ9" s="117">
        <v>1257.9444509533544</v>
      </c>
      <c r="AK9" s="117">
        <v>1257.9444509533544</v>
      </c>
      <c r="AL9" s="117">
        <v>1257.9444509533544</v>
      </c>
      <c r="AM9" s="117">
        <v>1257.9444509533544</v>
      </c>
      <c r="AN9" s="117">
        <v>1048.2924055233429</v>
      </c>
      <c r="AO9" s="117">
        <v>1048.2924055233429</v>
      </c>
      <c r="AP9" s="117">
        <v>1048.2924055233429</v>
      </c>
      <c r="AQ9" s="117">
        <v>1048.2924055233429</v>
      </c>
      <c r="AR9" s="117">
        <v>1048.2924055233429</v>
      </c>
      <c r="AS9" s="117">
        <v>1048.2924055233429</v>
      </c>
      <c r="AT9" s="117">
        <v>1048.2924055233429</v>
      </c>
      <c r="AU9" s="117">
        <v>1048.2924055233429</v>
      </c>
      <c r="AV9" s="117">
        <v>1048.2924055233429</v>
      </c>
      <c r="AW9" s="117">
        <v>1048.2924055233429</v>
      </c>
      <c r="AX9" s="117">
        <v>1048.2924055233429</v>
      </c>
      <c r="AY9" s="117">
        <v>1048.2924055233429</v>
      </c>
    </row>
    <row r="10" spans="1:53">
      <c r="A10" s="118" t="s">
        <v>133</v>
      </c>
      <c r="B10" s="119">
        <v>1</v>
      </c>
      <c r="C10" s="106" t="s">
        <v>293</v>
      </c>
      <c r="D10" s="100">
        <v>607.73038048614592</v>
      </c>
      <c r="E10" s="100">
        <v>190.03776514019467</v>
      </c>
      <c r="F10" s="100">
        <v>0</v>
      </c>
      <c r="G10" s="100">
        <v>729.48991315333365</v>
      </c>
      <c r="H10" s="100">
        <v>729.48991315333365</v>
      </c>
      <c r="I10" s="100">
        <v>190.03776514019467</v>
      </c>
      <c r="J10" s="100">
        <v>607.911371034681</v>
      </c>
      <c r="K10" s="100">
        <v>607.911371034681</v>
      </c>
      <c r="L10" s="100">
        <v>0</v>
      </c>
      <c r="M10" s="100">
        <v>190.03776514019469</v>
      </c>
      <c r="N10" s="100">
        <v>607.911371034681</v>
      </c>
      <c r="O10" s="100">
        <v>607.911371034681</v>
      </c>
      <c r="P10" s="100">
        <v>607.911371034681</v>
      </c>
      <c r="Q10" s="100">
        <v>190.03776514019469</v>
      </c>
      <c r="R10" s="100">
        <v>0</v>
      </c>
      <c r="S10" s="100">
        <v>190.03776514019467</v>
      </c>
      <c r="T10" s="100">
        <v>0</v>
      </c>
      <c r="U10" s="100">
        <v>729.48991315333365</v>
      </c>
      <c r="V10" s="100">
        <v>1.8660441417247427E-2</v>
      </c>
      <c r="W10" s="100">
        <v>1.8660441417247427E-2</v>
      </c>
      <c r="X10" s="100">
        <v>1.8660441417247427E-2</v>
      </c>
      <c r="Y10" s="100">
        <v>1.8660441417247427E-2</v>
      </c>
      <c r="Z10" s="100">
        <v>729.48991315333365</v>
      </c>
      <c r="AA10" s="100">
        <v>25.338368685359288</v>
      </c>
      <c r="AB10" s="100">
        <v>164.69939645483538</v>
      </c>
      <c r="AC10" s="100">
        <v>25.338368685359288</v>
      </c>
      <c r="AD10" s="100">
        <v>164.69939645483541</v>
      </c>
      <c r="AE10" s="100">
        <v>607.911371034681</v>
      </c>
      <c r="AF10" s="100">
        <v>607.911371034681</v>
      </c>
      <c r="AG10" s="100">
        <v>607.911371034681</v>
      </c>
      <c r="AH10" s="100">
        <v>607.911371034681</v>
      </c>
      <c r="AI10" s="100">
        <v>0</v>
      </c>
      <c r="AJ10" s="100">
        <v>1215.822742069362</v>
      </c>
      <c r="AK10" s="100">
        <v>607.911371034681</v>
      </c>
      <c r="AL10" s="100">
        <v>190.03776514019467</v>
      </c>
      <c r="AM10" s="100">
        <v>0</v>
      </c>
      <c r="AN10" s="100">
        <v>729.48991315333365</v>
      </c>
      <c r="AO10" s="100">
        <v>729.48991315333365</v>
      </c>
      <c r="AP10" s="100">
        <v>607.911371034681</v>
      </c>
      <c r="AQ10" s="100">
        <v>607.911371034681</v>
      </c>
      <c r="AR10" s="100">
        <v>607.911371034681</v>
      </c>
      <c r="AS10" s="100">
        <v>0</v>
      </c>
      <c r="AT10" s="100">
        <v>190.03776514019464</v>
      </c>
      <c r="AU10" s="100">
        <v>607.911371034681</v>
      </c>
      <c r="AV10" s="100">
        <v>607.911371034681</v>
      </c>
      <c r="AW10" s="100">
        <v>0</v>
      </c>
      <c r="AX10" s="100">
        <v>607.911371034681</v>
      </c>
      <c r="AY10" s="100">
        <v>607.911371034681</v>
      </c>
      <c r="AZ10" s="100">
        <v>607.911371034681</v>
      </c>
    </row>
    <row r="11" spans="1:53">
      <c r="B11" s="119">
        <v>2</v>
      </c>
      <c r="C11" s="106" t="s">
        <v>293</v>
      </c>
      <c r="D11" s="100">
        <v>417.54386518769701</v>
      </c>
      <c r="E11" s="100">
        <v>0</v>
      </c>
      <c r="F11" s="100">
        <v>417.14205471491539</v>
      </c>
      <c r="G11" s="100">
        <v>729.48991315333365</v>
      </c>
      <c r="H11" s="100">
        <v>0</v>
      </c>
      <c r="I11" s="100">
        <v>0</v>
      </c>
      <c r="K11" s="100">
        <v>0</v>
      </c>
      <c r="L11" s="100">
        <v>0</v>
      </c>
      <c r="M11" s="100">
        <v>607.911371034681</v>
      </c>
      <c r="N11" s="100">
        <v>417.87360589448633</v>
      </c>
      <c r="P11" s="100">
        <v>0</v>
      </c>
      <c r="Q11" s="100">
        <v>0</v>
      </c>
      <c r="R11" s="100">
        <v>417.87360589448633</v>
      </c>
      <c r="S11" s="100">
        <v>729.48991315333365</v>
      </c>
      <c r="T11" s="100">
        <v>539.45214801313898</v>
      </c>
      <c r="V11" s="100">
        <v>0</v>
      </c>
      <c r="X11" s="100">
        <v>0</v>
      </c>
      <c r="Z11" s="100">
        <v>0</v>
      </c>
      <c r="AA11" s="100">
        <v>0</v>
      </c>
      <c r="AB11" s="100">
        <v>704.1515444679743</v>
      </c>
      <c r="AC11" s="100">
        <v>564.79051669849832</v>
      </c>
      <c r="AD11" s="100">
        <v>704.1515444679743</v>
      </c>
      <c r="AE11" s="100">
        <v>443.21197457984556</v>
      </c>
      <c r="AF11" s="100">
        <v>0</v>
      </c>
      <c r="AG11" s="100">
        <v>0</v>
      </c>
      <c r="AI11" s="100">
        <v>0</v>
      </c>
      <c r="AJ11" s="100">
        <v>0</v>
      </c>
      <c r="AK11" s="100">
        <v>0</v>
      </c>
      <c r="AL11" s="100">
        <v>0</v>
      </c>
      <c r="AN11" s="100">
        <v>729.48991315333365</v>
      </c>
      <c r="AO11" s="100">
        <v>0</v>
      </c>
      <c r="AP11" s="100">
        <v>0</v>
      </c>
      <c r="AQ11" s="100">
        <v>0</v>
      </c>
      <c r="AR11" s="100">
        <v>0</v>
      </c>
      <c r="AT11" s="100">
        <v>0</v>
      </c>
      <c r="AU11" s="100">
        <v>1025.7849769291674</v>
      </c>
      <c r="AV11" s="100">
        <v>0</v>
      </c>
      <c r="AY11" s="100">
        <v>0</v>
      </c>
      <c r="BA11" s="100">
        <v>0</v>
      </c>
    </row>
    <row r="12" spans="1:53">
      <c r="B12" s="120">
        <v>3</v>
      </c>
      <c r="C12" s="106" t="s">
        <v>293</v>
      </c>
      <c r="D12" s="100">
        <v>607.73038048614592</v>
      </c>
      <c r="K12" s="100">
        <v>539.45214801313898</v>
      </c>
      <c r="P12" s="100">
        <v>0</v>
      </c>
      <c r="V12" s="100">
        <v>729.48991315333365</v>
      </c>
      <c r="Y12" s="100">
        <v>0</v>
      </c>
      <c r="Z12" s="100">
        <v>0</v>
      </c>
      <c r="AA12" s="100">
        <v>0</v>
      </c>
      <c r="AC12" s="100">
        <v>0</v>
      </c>
      <c r="AD12" s="100">
        <v>0</v>
      </c>
      <c r="AE12" s="100">
        <v>0</v>
      </c>
      <c r="AF12" s="100">
        <v>0</v>
      </c>
      <c r="AI12" s="100">
        <v>0</v>
      </c>
      <c r="AN12" s="100">
        <v>539.45214801313898</v>
      </c>
      <c r="AT12" s="100">
        <v>0</v>
      </c>
      <c r="AY12" s="100">
        <v>607.911371034681</v>
      </c>
      <c r="BA12" s="100">
        <v>0</v>
      </c>
    </row>
    <row r="13" spans="1:53">
      <c r="B13" s="120">
        <v>4</v>
      </c>
      <c r="C13" s="106" t="s">
        <v>293</v>
      </c>
      <c r="T13" s="100">
        <v>0</v>
      </c>
      <c r="Y13" s="100">
        <v>0</v>
      </c>
      <c r="AY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113.47803001502876</v>
      </c>
      <c r="E14" s="117">
        <f t="shared" ref="E14:AZ14" si="0">D$172*SUM(D$122:D$169)</f>
        <v>982.15510492998851</v>
      </c>
      <c r="F14" s="117">
        <f t="shared" si="0"/>
        <v>379.35159355250698</v>
      </c>
      <c r="G14" s="117">
        <f t="shared" si="0"/>
        <v>251.24897100411744</v>
      </c>
      <c r="H14" s="117">
        <f t="shared" si="0"/>
        <v>878.68238558487838</v>
      </c>
      <c r="I14" s="117">
        <f t="shared" si="0"/>
        <v>682.46084297509242</v>
      </c>
      <c r="J14" s="117">
        <f t="shared" si="0"/>
        <v>264.91694141183825</v>
      </c>
      <c r="K14" s="117">
        <f t="shared" si="0"/>
        <v>366.1373411511068</v>
      </c>
      <c r="L14" s="117">
        <f t="shared" si="0"/>
        <v>691.01546753510661</v>
      </c>
      <c r="M14" s="117">
        <f t="shared" si="0"/>
        <v>158.77959088109398</v>
      </c>
      <c r="N14" s="117">
        <f t="shared" si="0"/>
        <v>480.58514399764454</v>
      </c>
      <c r="O14" s="117">
        <f t="shared" si="0"/>
        <v>626.17824279706417</v>
      </c>
      <c r="P14" s="117">
        <f t="shared" si="0"/>
        <v>465.70074016216881</v>
      </c>
      <c r="Q14" s="117">
        <f t="shared" si="0"/>
        <v>366.13734115110685</v>
      </c>
      <c r="R14" s="117">
        <f t="shared" si="0"/>
        <v>114.47832997034101</v>
      </c>
      <c r="S14" s="117">
        <f t="shared" si="0"/>
        <v>251.68953830456903</v>
      </c>
      <c r="T14" s="117">
        <f t="shared" si="0"/>
        <v>553.80425920087862</v>
      </c>
      <c r="U14" s="117">
        <f t="shared" si="0"/>
        <v>351.82246657604992</v>
      </c>
      <c r="V14" s="117">
        <f t="shared" si="0"/>
        <v>439.35645635434082</v>
      </c>
      <c r="W14" s="117">
        <f t="shared" si="0"/>
        <v>439.36769436547394</v>
      </c>
      <c r="X14" s="117">
        <f t="shared" si="0"/>
        <v>4.1765134936330252E-2</v>
      </c>
      <c r="Y14" s="117">
        <f t="shared" si="0"/>
        <v>4.1765134936330252E-2</v>
      </c>
      <c r="Z14" s="117">
        <f t="shared" si="0"/>
        <v>4.1765134936330252E-2</v>
      </c>
      <c r="AA14" s="117">
        <f t="shared" si="0"/>
        <v>439.35645635434088</v>
      </c>
      <c r="AB14" s="117">
        <f t="shared" si="0"/>
        <v>29.637761533802319</v>
      </c>
      <c r="AC14" s="117">
        <f t="shared" si="0"/>
        <v>523.28484510846852</v>
      </c>
      <c r="AD14" s="117">
        <f t="shared" si="0"/>
        <v>385.55407561157227</v>
      </c>
      <c r="AE14" s="117">
        <f t="shared" si="0"/>
        <v>523.28484510846863</v>
      </c>
      <c r="AF14" s="117">
        <f t="shared" si="0"/>
        <v>661.67407783156114</v>
      </c>
      <c r="AG14" s="117">
        <f t="shared" si="0"/>
        <v>491.9718689694019</v>
      </c>
      <c r="AH14" s="117">
        <f t="shared" si="0"/>
        <v>366.1373411511068</v>
      </c>
      <c r="AI14" s="117">
        <f t="shared" si="0"/>
        <v>366.13734115110674</v>
      </c>
      <c r="AJ14" s="117">
        <f t="shared" si="0"/>
        <v>3.0527123803253658E-2</v>
      </c>
      <c r="AK14" s="117">
        <f t="shared" si="0"/>
        <v>732.24415517841021</v>
      </c>
      <c r="AL14" s="117">
        <f t="shared" si="0"/>
        <v>488.52139296039286</v>
      </c>
      <c r="AM14" s="117">
        <f t="shared" si="0"/>
        <v>119.81834056906895</v>
      </c>
      <c r="AN14" s="117">
        <f t="shared" si="0"/>
        <v>3.0527123803253658E-2</v>
      </c>
      <c r="AO14" s="117">
        <f t="shared" si="0"/>
        <v>1203.560511968878</v>
      </c>
      <c r="AP14" s="117">
        <f t="shared" si="0"/>
        <v>822.47913952318993</v>
      </c>
      <c r="AQ14" s="117">
        <f t="shared" si="0"/>
        <v>559.29142958902457</v>
      </c>
      <c r="AR14" s="117">
        <f t="shared" si="0"/>
        <v>381.15418458428695</v>
      </c>
      <c r="AS14" s="117">
        <f t="shared" si="0"/>
        <v>366.13734115110674</v>
      </c>
      <c r="AT14" s="117">
        <f t="shared" si="0"/>
        <v>3.0527123803253658E-2</v>
      </c>
      <c r="AU14" s="117">
        <f t="shared" si="0"/>
        <v>114.47832997034104</v>
      </c>
      <c r="AV14" s="117">
        <f t="shared" si="0"/>
        <v>983.90316635917611</v>
      </c>
      <c r="AW14" s="117">
        <f t="shared" si="0"/>
        <v>637.4722794412736</v>
      </c>
      <c r="AX14" s="117">
        <f t="shared" si="0"/>
        <v>156.5442853389826</v>
      </c>
      <c r="AY14" s="117">
        <f t="shared" si="0"/>
        <v>366.13734115110674</v>
      </c>
      <c r="AZ14" s="110">
        <f t="shared" si="0"/>
        <v>732.24415517841032</v>
      </c>
      <c r="BA14" s="107">
        <f>SUM($E14:$AZ14)</f>
        <v>20195.10999446506</v>
      </c>
    </row>
    <row r="15" spans="1:53">
      <c r="A15" s="122" t="s">
        <v>123</v>
      </c>
      <c r="B15" s="123">
        <v>1</v>
      </c>
      <c r="C15" s="124" t="s">
        <v>293</v>
      </c>
      <c r="D15" s="124">
        <v>830.28881067430336</v>
      </c>
      <c r="E15" s="124">
        <v>260.03157563464191</v>
      </c>
      <c r="F15" s="124">
        <v>6.934077483669103E-2</v>
      </c>
      <c r="G15" s="124">
        <v>997.97535167285378</v>
      </c>
      <c r="H15" s="124">
        <v>997.97535167285389</v>
      </c>
      <c r="I15" s="124">
        <v>260.03157563464202</v>
      </c>
      <c r="J15" s="124">
        <v>831.66193761620218</v>
      </c>
      <c r="K15" s="124">
        <v>831.66193761620207</v>
      </c>
      <c r="L15" s="124">
        <v>6.934077483669103E-2</v>
      </c>
      <c r="M15" s="124">
        <v>260.03157563464202</v>
      </c>
      <c r="N15" s="124">
        <v>831.66193761620218</v>
      </c>
      <c r="O15" s="124">
        <v>831.66193761620207</v>
      </c>
      <c r="P15" s="124">
        <v>831.66193761620218</v>
      </c>
      <c r="Q15" s="124">
        <v>260.03157563464202</v>
      </c>
      <c r="R15" s="124">
        <v>6.934077483669103E-2</v>
      </c>
      <c r="S15" s="124">
        <v>260.03157563464202</v>
      </c>
      <c r="T15" s="124">
        <v>6.934077483669103E-2</v>
      </c>
      <c r="U15" s="124">
        <v>997.97535167285378</v>
      </c>
      <c r="V15" s="124">
        <v>9.4867332943283311E-2</v>
      </c>
      <c r="W15" s="124">
        <v>9.4867332943283311E-2</v>
      </c>
      <c r="X15" s="124">
        <v>9.4867332943283311E-2</v>
      </c>
      <c r="Y15" s="124">
        <v>9.4867332943283311E-2</v>
      </c>
      <c r="Z15" s="124">
        <v>997.97535167285389</v>
      </c>
      <c r="AA15" s="124">
        <v>34.730972089477397</v>
      </c>
      <c r="AB15" s="124">
        <v>225.36994432000131</v>
      </c>
      <c r="AC15" s="124">
        <v>34.730972089477397</v>
      </c>
      <c r="AD15" s="124">
        <v>225.36994432000134</v>
      </c>
      <c r="AE15" s="124">
        <v>831.66193761620218</v>
      </c>
      <c r="AF15" s="124">
        <v>831.66193761620207</v>
      </c>
      <c r="AG15" s="124">
        <v>831.66193761620218</v>
      </c>
      <c r="AH15" s="124">
        <v>831.66193761620207</v>
      </c>
      <c r="AI15" s="124">
        <v>6.934077483669103E-2</v>
      </c>
      <c r="AJ15" s="124">
        <v>1663.2545344575674</v>
      </c>
      <c r="AK15" s="124">
        <v>831.66193761620218</v>
      </c>
      <c r="AL15" s="124">
        <v>260.03157563464202</v>
      </c>
      <c r="AM15" s="124">
        <v>6.934077483669103E-2</v>
      </c>
      <c r="AN15" s="124">
        <v>997.97535167285378</v>
      </c>
      <c r="AO15" s="124">
        <v>997.97535167285389</v>
      </c>
      <c r="AP15" s="124">
        <v>831.66193761620207</v>
      </c>
      <c r="AQ15" s="124">
        <v>831.66193761620218</v>
      </c>
      <c r="AR15" s="124">
        <v>831.66193761620207</v>
      </c>
      <c r="AS15" s="124">
        <v>6.934077483669103E-2</v>
      </c>
      <c r="AT15" s="124">
        <v>260.03157563464208</v>
      </c>
      <c r="AU15" s="124">
        <v>831.66193761620218</v>
      </c>
      <c r="AV15" s="124">
        <v>831.66193761620207</v>
      </c>
      <c r="AW15" s="124">
        <v>6.934077483669103E-2</v>
      </c>
      <c r="AX15" s="124">
        <v>831.66193761620207</v>
      </c>
      <c r="AY15" s="124">
        <v>831.66193761620218</v>
      </c>
      <c r="AZ15" s="100">
        <v>831.59259684136543</v>
      </c>
    </row>
    <row r="16" spans="1:53">
      <c r="A16" s="110"/>
      <c r="B16" s="119">
        <v>2</v>
      </c>
      <c r="C16" s="109" t="s">
        <v>293</v>
      </c>
      <c r="D16" s="106">
        <v>570.40598519791547</v>
      </c>
      <c r="E16" s="110">
        <v>0</v>
      </c>
      <c r="F16" s="110">
        <v>570.62963626046314</v>
      </c>
      <c r="G16" s="110">
        <v>997.90601089801714</v>
      </c>
      <c r="H16" s="110">
        <v>0</v>
      </c>
      <c r="I16" s="110">
        <v>0</v>
      </c>
      <c r="J16" s="110"/>
      <c r="K16" s="110">
        <v>0</v>
      </c>
      <c r="L16" s="110">
        <v>0</v>
      </c>
      <c r="M16" s="110">
        <v>831.59259684136543</v>
      </c>
      <c r="N16" s="110">
        <v>571.6303619815601</v>
      </c>
      <c r="O16" s="110"/>
      <c r="P16" s="110">
        <v>0</v>
      </c>
      <c r="Q16" s="110">
        <v>0</v>
      </c>
      <c r="R16" s="110">
        <v>571.6303619815601</v>
      </c>
      <c r="S16" s="110">
        <v>997.90601089801714</v>
      </c>
      <c r="T16" s="110">
        <v>737.94377603821181</v>
      </c>
      <c r="U16" s="110"/>
      <c r="V16" s="110">
        <v>0</v>
      </c>
      <c r="W16" s="110"/>
      <c r="X16" s="110">
        <v>0</v>
      </c>
      <c r="Y16" s="110"/>
      <c r="Z16" s="110">
        <v>0</v>
      </c>
      <c r="AA16" s="110">
        <v>0</v>
      </c>
      <c r="AB16" s="110">
        <v>963.24437958337649</v>
      </c>
      <c r="AC16" s="110">
        <v>772.60540735285258</v>
      </c>
      <c r="AD16" s="110">
        <v>963.24437958337649</v>
      </c>
      <c r="AE16" s="110">
        <v>606.29199329620076</v>
      </c>
      <c r="AF16" s="110">
        <v>0</v>
      </c>
      <c r="AG16" s="110">
        <v>0</v>
      </c>
      <c r="AH16" s="110"/>
      <c r="AI16" s="110">
        <v>0</v>
      </c>
      <c r="AJ16" s="110">
        <v>0</v>
      </c>
      <c r="AK16" s="110">
        <v>0</v>
      </c>
      <c r="AL16" s="110">
        <v>0</v>
      </c>
      <c r="AM16" s="110"/>
      <c r="AN16" s="110">
        <v>997.90601089801714</v>
      </c>
      <c r="AO16" s="110">
        <v>0</v>
      </c>
      <c r="AP16" s="110">
        <v>0</v>
      </c>
      <c r="AQ16" s="110">
        <v>0</v>
      </c>
      <c r="AR16" s="110">
        <v>0</v>
      </c>
      <c r="AS16" s="110"/>
      <c r="AT16" s="110">
        <v>0</v>
      </c>
      <c r="AU16" s="110">
        <v>1403.2229588229254</v>
      </c>
      <c r="AV16" s="110">
        <v>0</v>
      </c>
      <c r="AW16" s="110"/>
      <c r="AX16" s="110"/>
      <c r="AY16" s="110">
        <v>0</v>
      </c>
      <c r="BA16" s="100">
        <v>0</v>
      </c>
    </row>
    <row r="17" spans="1:53">
      <c r="A17" s="110"/>
      <c r="B17" s="119">
        <v>3</v>
      </c>
      <c r="C17" s="109" t="s">
        <v>293</v>
      </c>
      <c r="D17" s="106">
        <v>830.21946989946662</v>
      </c>
      <c r="E17" s="110"/>
      <c r="F17" s="110"/>
      <c r="G17" s="110"/>
      <c r="H17" s="110"/>
      <c r="I17" s="110"/>
      <c r="J17" s="110"/>
      <c r="K17" s="110">
        <v>737.94377603821181</v>
      </c>
      <c r="L17" s="110"/>
      <c r="M17" s="110"/>
      <c r="N17" s="110"/>
      <c r="O17" s="110"/>
      <c r="P17" s="110">
        <v>0</v>
      </c>
      <c r="Q17" s="110"/>
      <c r="R17" s="110"/>
      <c r="S17" s="110"/>
      <c r="T17" s="110"/>
      <c r="U17" s="110"/>
      <c r="V17" s="110">
        <v>997.90601089801714</v>
      </c>
      <c r="W17" s="110"/>
      <c r="X17" s="110"/>
      <c r="Y17" s="110">
        <v>0</v>
      </c>
      <c r="Z17" s="110">
        <v>0</v>
      </c>
      <c r="AA17" s="110">
        <v>0</v>
      </c>
      <c r="AB17" s="110"/>
      <c r="AC17" s="110">
        <v>0</v>
      </c>
      <c r="AD17" s="110">
        <v>0</v>
      </c>
      <c r="AE17" s="110">
        <v>0</v>
      </c>
      <c r="AF17" s="110">
        <v>0</v>
      </c>
      <c r="AG17" s="110"/>
      <c r="AH17" s="110"/>
      <c r="AI17" s="110">
        <v>0</v>
      </c>
      <c r="AJ17" s="110"/>
      <c r="AK17" s="110"/>
      <c r="AL17" s="110"/>
      <c r="AM17" s="110"/>
      <c r="AN17" s="110">
        <v>737.94377603821181</v>
      </c>
      <c r="AO17" s="110"/>
      <c r="AP17" s="110"/>
      <c r="AQ17" s="110"/>
      <c r="AR17" s="110"/>
      <c r="AS17" s="110"/>
      <c r="AT17" s="110">
        <v>0</v>
      </c>
      <c r="AU17" s="110"/>
      <c r="AV17" s="110"/>
      <c r="AW17" s="110"/>
      <c r="AX17" s="110"/>
      <c r="AY17" s="110">
        <v>831.59259684136543</v>
      </c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>
        <v>0</v>
      </c>
      <c r="U18" s="125"/>
      <c r="V18" s="125"/>
      <c r="W18" s="125"/>
      <c r="X18" s="125"/>
      <c r="Y18" s="125">
        <v>0</v>
      </c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>
        <v>0</v>
      </c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>
        <v>211.74575533260418</v>
      </c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>
        <v>280.58004557603454</v>
      </c>
      <c r="AO21" s="124">
        <v>594.99341570373508</v>
      </c>
      <c r="AP21" s="124">
        <v>227.56672435461769</v>
      </c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>
        <v>1004.6075703707463</v>
      </c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>
        <v>667.8948518135785</v>
      </c>
      <c r="AO22" s="110">
        <v>0</v>
      </c>
      <c r="AP22" s="110">
        <v>0</v>
      </c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>
        <v>0</v>
      </c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>
        <v>0</v>
      </c>
      <c r="AO23" s="110">
        <v>0</v>
      </c>
      <c r="AP23" s="110">
        <v>0</v>
      </c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>
        <v>0</v>
      </c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>
        <v>0</v>
      </c>
      <c r="AO29" s="110">
        <v>0</v>
      </c>
      <c r="AP29" s="110">
        <v>0</v>
      </c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>
        <v>0</v>
      </c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>
        <v>0</v>
      </c>
      <c r="AO30" s="110">
        <v>0</v>
      </c>
      <c r="AP30" s="110">
        <v>0</v>
      </c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>
        <v>0</v>
      </c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>
        <v>0</v>
      </c>
      <c r="AO31" s="110">
        <v>0</v>
      </c>
      <c r="AP31" s="110">
        <v>0</v>
      </c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>
        <v>0</v>
      </c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>
        <v>0</v>
      </c>
      <c r="AO41" s="106">
        <v>0</v>
      </c>
      <c r="AP41" s="106">
        <v>0</v>
      </c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>
        <v>0</v>
      </c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>
        <v>0</v>
      </c>
      <c r="AO42" s="106">
        <v>0</v>
      </c>
      <c r="AP42" s="106">
        <v>0</v>
      </c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>
        <v>0</v>
      </c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>
        <v>0</v>
      </c>
      <c r="AO43" s="106">
        <v>0</v>
      </c>
      <c r="AP43" s="106">
        <v>0</v>
      </c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>
        <v>0</v>
      </c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>
        <v>0</v>
      </c>
      <c r="AO89" s="110">
        <v>0</v>
      </c>
      <c r="AP89" s="110">
        <v>0</v>
      </c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>
        <v>0</v>
      </c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>
        <v>0</v>
      </c>
      <c r="AO90" s="110">
        <v>0</v>
      </c>
      <c r="AP90" s="110">
        <v>0</v>
      </c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>
        <v>0</v>
      </c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>
        <v>0</v>
      </c>
      <c r="AO91" s="110">
        <v>0</v>
      </c>
      <c r="AP91" s="110">
        <v>0</v>
      </c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2987.3883631513163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1049.1730744833612</v>
      </c>
      <c r="D95" s="110">
        <v>1257.9444509533544</v>
      </c>
      <c r="E95" s="110">
        <v>1257.9444509533544</v>
      </c>
      <c r="F95" s="110">
        <v>1257.9444509533544</v>
      </c>
      <c r="G95" s="110">
        <v>1046.1986956207502</v>
      </c>
      <c r="H95" s="110">
        <v>1048.2924055233429</v>
      </c>
      <c r="I95" s="110">
        <v>1048.2924055233429</v>
      </c>
      <c r="J95" s="110">
        <v>1048.2924055233429</v>
      </c>
      <c r="K95" s="110">
        <v>1048.2924055233429</v>
      </c>
      <c r="L95" s="110">
        <v>1048.2924055233429</v>
      </c>
      <c r="M95" s="110">
        <v>1048.2924055233429</v>
      </c>
      <c r="N95" s="110">
        <v>1048.2924055233429</v>
      </c>
      <c r="O95" s="110">
        <v>1048.2924055233429</v>
      </c>
      <c r="P95" s="110">
        <v>1257.9444509533544</v>
      </c>
      <c r="Q95" s="110">
        <v>1257.9444509533544</v>
      </c>
      <c r="R95" s="110">
        <v>1257.9444509533544</v>
      </c>
      <c r="S95" s="110">
        <v>1257.9444509533544</v>
      </c>
      <c r="T95" s="110">
        <v>3.2178373285104665E-2</v>
      </c>
      <c r="U95" s="110">
        <v>3.2178373285104665E-2</v>
      </c>
      <c r="V95" s="110">
        <v>3.2178373285104665E-2</v>
      </c>
      <c r="W95" s="110">
        <v>3.2178373285104665E-2</v>
      </c>
      <c r="X95" s="110">
        <v>1257.9444509533544</v>
      </c>
      <c r="Y95" s="110">
        <v>1257.9444509533544</v>
      </c>
      <c r="Z95" s="110">
        <v>1257.9444509533544</v>
      </c>
      <c r="AA95" s="110">
        <v>1257.9444509533544</v>
      </c>
      <c r="AB95" s="110">
        <v>1048.2924055233429</v>
      </c>
      <c r="AC95" s="110">
        <v>1048.2924055233429</v>
      </c>
      <c r="AD95" s="110">
        <v>1048.2924055233429</v>
      </c>
      <c r="AE95" s="110">
        <v>1048.2924055233429</v>
      </c>
      <c r="AF95" s="110">
        <v>1048.2924055233429</v>
      </c>
      <c r="AG95" s="110">
        <v>1048.2924055233429</v>
      </c>
      <c r="AH95" s="110">
        <v>1048.2924055233429</v>
      </c>
      <c r="AI95" s="110">
        <v>1048.2924055233429</v>
      </c>
      <c r="AJ95" s="110">
        <v>1257.9444509533544</v>
      </c>
      <c r="AK95" s="110">
        <v>1257.9444509533544</v>
      </c>
      <c r="AL95" s="110">
        <v>1257.9444509533544</v>
      </c>
      <c r="AM95" s="110">
        <v>1257.9444509533544</v>
      </c>
      <c r="AN95" s="110">
        <v>767.71235994730841</v>
      </c>
      <c r="AO95" s="110">
        <v>453.29898981960787</v>
      </c>
      <c r="AP95" s="110">
        <v>820.72568116872526</v>
      </c>
      <c r="AQ95" s="110">
        <v>1048.2924055233429</v>
      </c>
      <c r="AR95" s="110">
        <v>1048.2924055233429</v>
      </c>
      <c r="AS95" s="110">
        <v>1048.2924055233429</v>
      </c>
      <c r="AT95" s="110">
        <v>1048.2924055233429</v>
      </c>
      <c r="AU95" s="110">
        <v>1048.2924055233429</v>
      </c>
      <c r="AV95" s="110">
        <v>1048.2924055233429</v>
      </c>
      <c r="AW95" s="110">
        <v>1048.2924055233429</v>
      </c>
      <c r="AX95" s="110">
        <v>1048.2924055233429</v>
      </c>
      <c r="AY95" s="110">
        <v>1048.2924055233429</v>
      </c>
    </row>
    <row r="96" spans="1:52">
      <c r="A96" s="109"/>
      <c r="B96" s="120">
        <v>2</v>
      </c>
      <c r="C96" s="110">
        <v>524.601143027322</v>
      </c>
      <c r="D96" s="110">
        <v>251.77421751068323</v>
      </c>
      <c r="E96" s="110">
        <v>578.71866846403759</v>
      </c>
      <c r="F96" s="110">
        <v>831.66311941739195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197.29240552334295</v>
      </c>
      <c r="N96" s="110">
        <v>118.5848110466859</v>
      </c>
      <c r="O96" s="110">
        <v>160.87721657002885</v>
      </c>
      <c r="P96" s="110">
        <v>100.1696220933718</v>
      </c>
      <c r="Q96" s="110">
        <v>221.11407304672616</v>
      </c>
      <c r="R96" s="110">
        <v>274.05852400008052</v>
      </c>
      <c r="S96" s="110">
        <v>365.00297495343489</v>
      </c>
      <c r="T96" s="110">
        <v>520.94742590678925</v>
      </c>
      <c r="U96" s="110">
        <v>1.2899403767363538E-14</v>
      </c>
      <c r="V96" s="110">
        <v>0</v>
      </c>
      <c r="W96" s="110">
        <v>0</v>
      </c>
      <c r="X96" s="110">
        <v>0</v>
      </c>
      <c r="Y96" s="110">
        <v>133.94445095335436</v>
      </c>
      <c r="Z96" s="110">
        <v>394.88890190670872</v>
      </c>
      <c r="AA96" s="110">
        <v>681.83335286006309</v>
      </c>
      <c r="AB96" s="110">
        <v>837.77780381341745</v>
      </c>
      <c r="AC96" s="110">
        <v>696.0702093367604</v>
      </c>
      <c r="AD96" s="110">
        <v>576.36261486010335</v>
      </c>
      <c r="AE96" s="110">
        <v>463.6550203834463</v>
      </c>
      <c r="AF96" s="110">
        <v>495.94742590678925</v>
      </c>
      <c r="AG96" s="110">
        <v>640.2398314301322</v>
      </c>
      <c r="AH96" s="110">
        <v>651.53223695347515</v>
      </c>
      <c r="AI96" s="110">
        <v>562.8246424768181</v>
      </c>
      <c r="AJ96" s="110">
        <v>377.11704800016105</v>
      </c>
      <c r="AK96" s="110">
        <v>392.06149895351541</v>
      </c>
      <c r="AL96" s="110">
        <v>416.00594990686977</v>
      </c>
      <c r="AM96" s="110">
        <v>577.95040086022414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190.18651529844891</v>
      </c>
      <c r="D100" s="106">
        <v>607.73038048614592</v>
      </c>
      <c r="E100" s="106">
        <v>190.03776514019467</v>
      </c>
      <c r="F100" s="106">
        <v>0</v>
      </c>
      <c r="G100" s="106">
        <v>729.48991315333365</v>
      </c>
      <c r="H100" s="106">
        <v>729.48991315333365</v>
      </c>
      <c r="I100" s="106">
        <v>190.03776514019467</v>
      </c>
      <c r="J100" s="106">
        <v>607.911371034681</v>
      </c>
      <c r="K100" s="106">
        <v>607.911371034681</v>
      </c>
      <c r="L100" s="106">
        <v>0</v>
      </c>
      <c r="M100" s="106">
        <v>190.03776514019469</v>
      </c>
      <c r="N100" s="106">
        <v>607.911371034681</v>
      </c>
      <c r="O100" s="106">
        <v>607.911371034681</v>
      </c>
      <c r="P100" s="106">
        <v>607.911371034681</v>
      </c>
      <c r="Q100" s="106">
        <v>190.03776514019469</v>
      </c>
      <c r="R100" s="106">
        <v>0</v>
      </c>
      <c r="S100" s="106">
        <v>190.03776514019467</v>
      </c>
      <c r="T100" s="106">
        <v>0</v>
      </c>
      <c r="U100" s="106">
        <v>729.48991315333365</v>
      </c>
      <c r="V100" s="106">
        <v>1.8660441417247427E-2</v>
      </c>
      <c r="W100" s="106">
        <v>1.8660441417247427E-2</v>
      </c>
      <c r="X100" s="106">
        <v>1.8660441417247427E-2</v>
      </c>
      <c r="Y100" s="106">
        <v>1.8660441417247427E-2</v>
      </c>
      <c r="Z100" s="106">
        <v>729.48991315333365</v>
      </c>
      <c r="AA100" s="106">
        <v>25.338368685359288</v>
      </c>
      <c r="AB100" s="106">
        <v>164.69939645483538</v>
      </c>
      <c r="AC100" s="106">
        <v>25.338368685359288</v>
      </c>
      <c r="AD100" s="106">
        <v>164.69939645483541</v>
      </c>
      <c r="AE100" s="106">
        <v>607.911371034681</v>
      </c>
      <c r="AF100" s="106">
        <v>607.911371034681</v>
      </c>
      <c r="AG100" s="106">
        <v>607.911371034681</v>
      </c>
      <c r="AH100" s="106">
        <v>607.911371034681</v>
      </c>
      <c r="AI100" s="106">
        <v>0</v>
      </c>
      <c r="AJ100" s="106">
        <v>1215.822742069362</v>
      </c>
      <c r="AK100" s="106">
        <v>607.911371034681</v>
      </c>
      <c r="AL100" s="106">
        <v>190.03776514019467</v>
      </c>
      <c r="AM100" s="106">
        <v>0</v>
      </c>
      <c r="AN100" s="106">
        <v>729.48991315333365</v>
      </c>
      <c r="AO100" s="106">
        <v>729.48991315333365</v>
      </c>
      <c r="AP100" s="106">
        <v>607.911371034681</v>
      </c>
      <c r="AQ100" s="106">
        <v>607.911371034681</v>
      </c>
      <c r="AR100" s="106">
        <v>607.911371034681</v>
      </c>
      <c r="AS100" s="106">
        <v>0</v>
      </c>
      <c r="AT100" s="106">
        <v>190.03776514019464</v>
      </c>
      <c r="AU100" s="106">
        <v>607.911371034681</v>
      </c>
      <c r="AV100" s="106">
        <v>607.911371034681</v>
      </c>
      <c r="AW100" s="106">
        <v>0</v>
      </c>
      <c r="AX100" s="106">
        <v>607.911371034681</v>
      </c>
      <c r="AY100" s="106">
        <v>607.911371034681</v>
      </c>
    </row>
    <row r="101" spans="1:52">
      <c r="A101" s="109"/>
      <c r="B101" s="119">
        <v>2</v>
      </c>
      <c r="C101" s="106">
        <v>0</v>
      </c>
      <c r="D101" s="106">
        <v>417.54386518769701</v>
      </c>
      <c r="E101" s="106">
        <v>607.73038048614592</v>
      </c>
      <c r="F101" s="106">
        <v>607.17981985511005</v>
      </c>
      <c r="G101" s="106">
        <v>729.48991315333365</v>
      </c>
      <c r="H101" s="106">
        <v>729.48991315333365</v>
      </c>
      <c r="I101" s="106">
        <v>729.48991315333365</v>
      </c>
      <c r="J101" s="106">
        <v>190.03776514019467</v>
      </c>
      <c r="K101" s="106">
        <v>498.6033216499755</v>
      </c>
      <c r="L101" s="106">
        <v>607.911371034681</v>
      </c>
      <c r="M101" s="106">
        <v>607.911371034681</v>
      </c>
      <c r="N101" s="106">
        <v>607.911371034681</v>
      </c>
      <c r="O101" s="106">
        <v>607.911371034681</v>
      </c>
      <c r="P101" s="106">
        <v>607.911371034681</v>
      </c>
      <c r="Q101" s="106">
        <v>607.911371034681</v>
      </c>
      <c r="R101" s="106">
        <v>607.911371034681</v>
      </c>
      <c r="S101" s="106">
        <v>729.48991315333365</v>
      </c>
      <c r="T101" s="106">
        <v>663.97982630666729</v>
      </c>
      <c r="U101" s="106">
        <v>0</v>
      </c>
      <c r="V101" s="106">
        <v>20.489913153333646</v>
      </c>
      <c r="W101" s="106">
        <v>1.8660441417247427E-2</v>
      </c>
      <c r="X101" s="106">
        <v>1.9914625504213745E-15</v>
      </c>
      <c r="Y101" s="106">
        <v>0</v>
      </c>
      <c r="Z101" s="106">
        <v>0</v>
      </c>
      <c r="AA101" s="106">
        <v>137.48991315333365</v>
      </c>
      <c r="AB101" s="106">
        <v>704.15154446797442</v>
      </c>
      <c r="AC101" s="106">
        <v>729.48991315333365</v>
      </c>
      <c r="AD101" s="106">
        <v>729.48991315333365</v>
      </c>
      <c r="AE101" s="106">
        <v>607.911371034681</v>
      </c>
      <c r="AF101" s="106">
        <v>607.911371034681</v>
      </c>
      <c r="AG101" s="106">
        <v>505.8654838786847</v>
      </c>
      <c r="AH101" s="106">
        <v>392.7768549133657</v>
      </c>
      <c r="AI101" s="106">
        <v>350.68822594804669</v>
      </c>
      <c r="AJ101" s="106">
        <v>0</v>
      </c>
      <c r="AK101" s="106">
        <v>600.82274206936199</v>
      </c>
      <c r="AL101" s="106">
        <v>518.73411310404299</v>
      </c>
      <c r="AM101" s="106">
        <v>0</v>
      </c>
      <c r="AN101" s="106">
        <v>729.48991315333365</v>
      </c>
      <c r="AO101" s="106">
        <v>729.48991315333365</v>
      </c>
      <c r="AP101" s="106">
        <v>729.48991315333365</v>
      </c>
      <c r="AQ101" s="106">
        <v>607.911371034681</v>
      </c>
      <c r="AR101" s="106">
        <v>607.911371034681</v>
      </c>
      <c r="AS101" s="106">
        <v>607.911371034681</v>
      </c>
      <c r="AT101" s="106">
        <v>0</v>
      </c>
      <c r="AU101" s="106">
        <v>1025.7849769291674</v>
      </c>
      <c r="AV101" s="106">
        <v>607.911371034681</v>
      </c>
      <c r="AW101" s="106">
        <v>607.911371034681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607.73038048614592</v>
      </c>
      <c r="E102" s="106">
        <v>331.27424567384293</v>
      </c>
      <c r="F102" s="106">
        <v>366.00462615998885</v>
      </c>
      <c r="G102" s="106">
        <v>311.1844460150989</v>
      </c>
      <c r="H102" s="106">
        <v>315.67435916843255</v>
      </c>
      <c r="I102" s="106">
        <v>250.16427232176619</v>
      </c>
      <c r="J102" s="106">
        <v>303.65418547509984</v>
      </c>
      <c r="K102" s="106">
        <v>539.45214801313898</v>
      </c>
      <c r="L102" s="106">
        <v>304.05546966311448</v>
      </c>
      <c r="M102" s="106">
        <v>291.96684069779548</v>
      </c>
      <c r="N102" s="106">
        <v>139.87821173247647</v>
      </c>
      <c r="O102" s="106">
        <v>100.78958276715747</v>
      </c>
      <c r="P102" s="106">
        <v>61.700953801838523</v>
      </c>
      <c r="Q102" s="106">
        <v>6.6123248365195195</v>
      </c>
      <c r="R102" s="106">
        <v>6.5236958712005162</v>
      </c>
      <c r="S102" s="106">
        <v>0</v>
      </c>
      <c r="T102" s="106">
        <v>0</v>
      </c>
      <c r="U102" s="106">
        <v>0</v>
      </c>
      <c r="V102" s="106">
        <v>729.48991315333365</v>
      </c>
      <c r="W102" s="106">
        <v>20.489913153333646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15.151544467974418</v>
      </c>
      <c r="AD102" s="106">
        <v>127.64145762130806</v>
      </c>
      <c r="AE102" s="106">
        <v>234.13137077464171</v>
      </c>
      <c r="AF102" s="106">
        <v>71.042741809322706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539.45214801313898</v>
      </c>
      <c r="AO102" s="106">
        <v>515.94206116647263</v>
      </c>
      <c r="AP102" s="106">
        <v>542.43197431980627</v>
      </c>
      <c r="AQ102" s="106">
        <v>588.92188747313992</v>
      </c>
      <c r="AR102" s="106">
        <v>426.83325850782091</v>
      </c>
      <c r="AS102" s="106">
        <v>296.74462954250191</v>
      </c>
      <c r="AT102" s="106">
        <v>259.65600057718291</v>
      </c>
      <c r="AU102" s="106">
        <v>0</v>
      </c>
      <c r="AV102" s="106">
        <v>274.78497692916744</v>
      </c>
      <c r="AW102" s="106">
        <v>137.69634796384844</v>
      </c>
      <c r="AX102" s="106">
        <v>0</v>
      </c>
      <c r="AY102" s="106">
        <v>607.911371034681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15.489913153333646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107.88411881833765</v>
      </c>
      <c r="D109" s="106">
        <v>113.47803001502876</v>
      </c>
      <c r="E109" s="106">
        <v>982.15510492998851</v>
      </c>
      <c r="F109" s="106">
        <v>379.35159355250698</v>
      </c>
      <c r="G109" s="106">
        <v>251.24897100411744</v>
      </c>
      <c r="H109" s="106">
        <v>878.68238558487838</v>
      </c>
      <c r="I109" s="106">
        <v>682.46084297509242</v>
      </c>
      <c r="J109" s="106">
        <v>264.91694141183825</v>
      </c>
      <c r="K109" s="106">
        <v>366.1373411511068</v>
      </c>
      <c r="L109" s="106">
        <v>691.01546753510661</v>
      </c>
      <c r="M109" s="106">
        <v>158.77959088109398</v>
      </c>
      <c r="N109" s="106">
        <v>480.58514399764454</v>
      </c>
      <c r="O109" s="106">
        <v>626.17824279706417</v>
      </c>
      <c r="P109" s="106">
        <v>465.70074016216881</v>
      </c>
      <c r="Q109" s="106">
        <v>366.13734115110685</v>
      </c>
      <c r="R109" s="106">
        <v>114.47832997034101</v>
      </c>
      <c r="S109" s="106">
        <v>251.68953830456903</v>
      </c>
      <c r="T109" s="106">
        <v>553.80425920087862</v>
      </c>
      <c r="U109" s="106">
        <v>351.82246657604992</v>
      </c>
      <c r="V109" s="106">
        <v>439.35645635434082</v>
      </c>
      <c r="W109" s="106">
        <v>439.36769436547394</v>
      </c>
      <c r="X109" s="106">
        <v>4.1765134936330252E-2</v>
      </c>
      <c r="Y109" s="106">
        <v>4.1765134936330252E-2</v>
      </c>
      <c r="Z109" s="106">
        <v>4.1765134936330252E-2</v>
      </c>
      <c r="AA109" s="106">
        <v>439.35645635434088</v>
      </c>
      <c r="AB109" s="106">
        <v>29.637761533802319</v>
      </c>
      <c r="AC109" s="106">
        <v>523.28484510846852</v>
      </c>
      <c r="AD109" s="106">
        <v>385.55407561157227</v>
      </c>
      <c r="AE109" s="106">
        <v>523.28484510846863</v>
      </c>
      <c r="AF109" s="106">
        <v>661.67407783156114</v>
      </c>
      <c r="AG109" s="106">
        <v>491.9718689694019</v>
      </c>
      <c r="AH109" s="106">
        <v>366.1373411511068</v>
      </c>
      <c r="AI109" s="106">
        <v>366.13734115110674</v>
      </c>
      <c r="AJ109" s="106">
        <v>3.0527123803253658E-2</v>
      </c>
      <c r="AK109" s="106">
        <v>732.24415517841021</v>
      </c>
      <c r="AL109" s="106">
        <v>488.52139296039286</v>
      </c>
      <c r="AM109" s="106">
        <v>119.81834056906895</v>
      </c>
      <c r="AN109" s="106">
        <v>3.0527123803253658E-2</v>
      </c>
      <c r="AO109" s="106">
        <v>1203.560511968878</v>
      </c>
      <c r="AP109" s="106">
        <v>822.47913952318993</v>
      </c>
      <c r="AQ109" s="106">
        <v>559.29142958902457</v>
      </c>
      <c r="AR109" s="106">
        <v>381.15418458428695</v>
      </c>
      <c r="AS109" s="106">
        <v>366.13734115110674</v>
      </c>
      <c r="AT109" s="106">
        <v>3.0527123803253658E-2</v>
      </c>
      <c r="AU109" s="106">
        <v>114.47832997034104</v>
      </c>
      <c r="AV109" s="106">
        <v>983.90316635917611</v>
      </c>
      <c r="AW109" s="106">
        <v>637.4722794412736</v>
      </c>
      <c r="AX109" s="106">
        <v>156.5442853389826</v>
      </c>
      <c r="AY109" s="106">
        <v>366.13734115110674</v>
      </c>
    </row>
    <row r="110" spans="1:52">
      <c r="A110" s="109"/>
      <c r="B110" s="119">
        <v>2</v>
      </c>
      <c r="C110" s="106">
        <v>187.76126288701289</v>
      </c>
      <c r="D110" s="106">
        <v>1.4210854715202004E-14</v>
      </c>
      <c r="E110" s="106">
        <v>0</v>
      </c>
      <c r="F110" s="106">
        <v>447.15510492998851</v>
      </c>
      <c r="G110" s="106">
        <v>379.35159355250698</v>
      </c>
      <c r="H110" s="106">
        <v>241.75566948661293</v>
      </c>
      <c r="I110" s="106">
        <v>726.43805507149136</v>
      </c>
      <c r="J110" s="106">
        <v>682.46084297509242</v>
      </c>
      <c r="K110" s="106">
        <v>264.91694141183825</v>
      </c>
      <c r="L110" s="106">
        <v>366.1373411511068</v>
      </c>
      <c r="M110" s="106">
        <v>691.01546753510661</v>
      </c>
      <c r="N110" s="106">
        <v>158.77959088109398</v>
      </c>
      <c r="O110" s="106">
        <v>480.58514399764454</v>
      </c>
      <c r="P110" s="106">
        <v>626.17824279706417</v>
      </c>
      <c r="Q110" s="106">
        <v>465.70074016216881</v>
      </c>
      <c r="R110" s="106">
        <v>366.13734115110685</v>
      </c>
      <c r="S110" s="106">
        <v>114.47832997034101</v>
      </c>
      <c r="T110" s="106">
        <v>234.24086022971935</v>
      </c>
      <c r="U110" s="106">
        <v>259.70305774512451</v>
      </c>
      <c r="V110" s="106">
        <v>246.52552432117443</v>
      </c>
      <c r="W110" s="106">
        <v>274.88198067551525</v>
      </c>
      <c r="X110" s="106">
        <v>177.24967504098919</v>
      </c>
      <c r="Y110" s="106">
        <v>3.4208746946262636E-15</v>
      </c>
      <c r="Z110" s="106">
        <v>0</v>
      </c>
      <c r="AA110" s="106">
        <v>0</v>
      </c>
      <c r="AB110" s="106">
        <v>10.55450404708273</v>
      </c>
      <c r="AC110" s="106">
        <v>0</v>
      </c>
      <c r="AD110" s="106">
        <v>77.284845108468517</v>
      </c>
      <c r="AE110" s="106">
        <v>0</v>
      </c>
      <c r="AF110" s="106">
        <v>0</v>
      </c>
      <c r="AG110" s="106">
        <v>218.67407783156114</v>
      </c>
      <c r="AH110" s="106">
        <v>270.64594680096303</v>
      </c>
      <c r="AI110" s="106">
        <v>105.78328795206983</v>
      </c>
      <c r="AJ110" s="106">
        <v>0</v>
      </c>
      <c r="AK110" s="106">
        <v>0</v>
      </c>
      <c r="AL110" s="106">
        <v>338.24415517841021</v>
      </c>
      <c r="AM110" s="106">
        <v>408.95374030620854</v>
      </c>
      <c r="AN110" s="106">
        <v>0</v>
      </c>
      <c r="AO110" s="106">
        <v>0</v>
      </c>
      <c r="AP110" s="106">
        <v>706.56051196887802</v>
      </c>
      <c r="AQ110" s="106">
        <v>822.47913952318993</v>
      </c>
      <c r="AR110" s="106">
        <v>559.29142958902457</v>
      </c>
      <c r="AS110" s="106">
        <v>381.15418458428695</v>
      </c>
      <c r="AT110" s="106">
        <v>366.13734115110674</v>
      </c>
      <c r="AU110" s="106">
        <v>3.0527123803253658E-2</v>
      </c>
      <c r="AV110" s="106">
        <v>1.4210854715202004E-14</v>
      </c>
      <c r="AW110" s="106">
        <v>440.90316635917611</v>
      </c>
      <c r="AX110" s="106">
        <v>497.80130114540111</v>
      </c>
      <c r="AY110" s="106">
        <v>142.85052513217437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57.155104929988511</v>
      </c>
      <c r="H111" s="106">
        <v>0</v>
      </c>
      <c r="I111" s="106">
        <v>0</v>
      </c>
      <c r="J111" s="106">
        <v>304.43805507149136</v>
      </c>
      <c r="K111" s="106">
        <v>521.89889804658378</v>
      </c>
      <c r="L111" s="106">
        <v>264.91694141183825</v>
      </c>
      <c r="M111" s="106">
        <v>236.95318060952883</v>
      </c>
      <c r="N111" s="106">
        <v>505.96864814463544</v>
      </c>
      <c r="O111" s="106">
        <v>141.74823902572942</v>
      </c>
      <c r="P111" s="106">
        <v>217.33338302337393</v>
      </c>
      <c r="Q111" s="106">
        <v>336.5116258204381</v>
      </c>
      <c r="R111" s="106">
        <v>378.21236598260691</v>
      </c>
      <c r="S111" s="106">
        <v>362.07299195480931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273.56051196887802</v>
      </c>
      <c r="AR111" s="106">
        <v>545.03965149206795</v>
      </c>
      <c r="AS111" s="106">
        <v>559.29142958902457</v>
      </c>
      <c r="AT111" s="106">
        <v>381.15418458428695</v>
      </c>
      <c r="AU111" s="106">
        <v>297.21481834018169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138.89889804658378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74.039651492067946</v>
      </c>
      <c r="AT112" s="106">
        <v>95.33108108109252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259.88446550101685</v>
      </c>
      <c r="D122" s="106">
        <v>830.28881067430336</v>
      </c>
      <c r="E122" s="106">
        <v>260.03157563464191</v>
      </c>
      <c r="F122" s="106">
        <v>6.934077483669103E-2</v>
      </c>
      <c r="G122" s="106">
        <v>997.97535167285378</v>
      </c>
      <c r="H122" s="106">
        <v>997.97535167285389</v>
      </c>
      <c r="I122" s="106">
        <v>260.03157563464202</v>
      </c>
      <c r="J122" s="106">
        <v>831.66193761620218</v>
      </c>
      <c r="K122" s="106">
        <v>831.66193761620207</v>
      </c>
      <c r="L122" s="106">
        <v>6.934077483669103E-2</v>
      </c>
      <c r="M122" s="106">
        <v>260.03157563464202</v>
      </c>
      <c r="N122" s="106">
        <v>831.66193761620218</v>
      </c>
      <c r="O122" s="106">
        <v>831.66193761620207</v>
      </c>
      <c r="P122" s="106">
        <v>831.66193761620218</v>
      </c>
      <c r="Q122" s="106">
        <v>260.03157563464202</v>
      </c>
      <c r="R122" s="106">
        <v>6.934077483669103E-2</v>
      </c>
      <c r="S122" s="106">
        <v>260.03157563464202</v>
      </c>
      <c r="T122" s="106">
        <v>6.934077483669103E-2</v>
      </c>
      <c r="U122" s="106">
        <v>997.97535167285378</v>
      </c>
      <c r="V122" s="106">
        <v>9.4867332943283311E-2</v>
      </c>
      <c r="W122" s="106">
        <v>9.4867332943283311E-2</v>
      </c>
      <c r="X122" s="106">
        <v>9.4867332943283311E-2</v>
      </c>
      <c r="Y122" s="106">
        <v>9.4867332943283311E-2</v>
      </c>
      <c r="Z122" s="106">
        <v>997.97535167285389</v>
      </c>
      <c r="AA122" s="106">
        <v>34.730972089477397</v>
      </c>
      <c r="AB122" s="106">
        <v>225.36994432000131</v>
      </c>
      <c r="AC122" s="106">
        <v>34.730972089477397</v>
      </c>
      <c r="AD122" s="106">
        <v>225.36994432000134</v>
      </c>
      <c r="AE122" s="106">
        <v>831.66193761620218</v>
      </c>
      <c r="AF122" s="106">
        <v>831.66193761620207</v>
      </c>
      <c r="AG122" s="106">
        <v>831.66193761620218</v>
      </c>
      <c r="AH122" s="106">
        <v>831.66193761620207</v>
      </c>
      <c r="AI122" s="106">
        <v>6.934077483669103E-2</v>
      </c>
      <c r="AJ122" s="106">
        <v>1663.2545344575674</v>
      </c>
      <c r="AK122" s="106">
        <v>831.66193761620218</v>
      </c>
      <c r="AL122" s="106">
        <v>260.03157563464202</v>
      </c>
      <c r="AM122" s="106">
        <v>6.934077483669103E-2</v>
      </c>
      <c r="AN122" s="106">
        <v>997.97535167285378</v>
      </c>
      <c r="AO122" s="106">
        <v>997.97535167285389</v>
      </c>
      <c r="AP122" s="106">
        <v>831.66193761620207</v>
      </c>
      <c r="AQ122" s="106">
        <v>831.66193761620218</v>
      </c>
      <c r="AR122" s="106">
        <v>831.66193761620207</v>
      </c>
      <c r="AS122" s="106">
        <v>6.934077483669103E-2</v>
      </c>
      <c r="AT122" s="106">
        <v>260.03157563464208</v>
      </c>
      <c r="AU122" s="106">
        <v>831.66193761620218</v>
      </c>
      <c r="AV122" s="106">
        <v>831.66193761620207</v>
      </c>
      <c r="AW122" s="106">
        <v>6.934077483669103E-2</v>
      </c>
      <c r="AX122" s="106">
        <v>831.66193761620207</v>
      </c>
      <c r="AY122" s="106">
        <v>831.66193761620218</v>
      </c>
    </row>
    <row r="123" spans="1:52">
      <c r="A123" s="109"/>
      <c r="B123" s="119">
        <v>2</v>
      </c>
      <c r="C123" s="106">
        <v>5.0862092315639984E-15</v>
      </c>
      <c r="D123" s="106">
        <v>570.40598519791547</v>
      </c>
      <c r="E123" s="106">
        <v>464.75598564306478</v>
      </c>
      <c r="F123" s="106">
        <v>570.62963626046326</v>
      </c>
      <c r="G123" s="106">
        <v>997.90601089801714</v>
      </c>
      <c r="H123" s="106">
        <v>552.19897698599266</v>
      </c>
      <c r="I123" s="106">
        <v>341.71348568375424</v>
      </c>
      <c r="J123" s="106">
        <v>0</v>
      </c>
      <c r="K123" s="106">
        <v>0</v>
      </c>
      <c r="L123" s="106">
        <v>360.59024611930744</v>
      </c>
      <c r="M123" s="106">
        <v>831.59259684136555</v>
      </c>
      <c r="N123" s="106">
        <v>590.66939045992308</v>
      </c>
      <c r="O123" s="106">
        <v>226.1530852790612</v>
      </c>
      <c r="P123" s="106">
        <v>5.6843418860808015E-14</v>
      </c>
      <c r="Q123" s="106">
        <v>0</v>
      </c>
      <c r="R123" s="106">
        <v>571.6303619815601</v>
      </c>
      <c r="S123" s="106">
        <v>997.90601089801714</v>
      </c>
      <c r="T123" s="106">
        <v>799.07710336999241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32.589662583609311</v>
      </c>
      <c r="AB123" s="106">
        <v>963.24437958337649</v>
      </c>
      <c r="AC123" s="106">
        <v>841.0350685193381</v>
      </c>
      <c r="AD123" s="106">
        <v>963.24437958337649</v>
      </c>
      <c r="AE123" s="106">
        <v>671.2963345713448</v>
      </c>
      <c r="AF123" s="106">
        <v>285.82658872041378</v>
      </c>
      <c r="AG123" s="106">
        <v>0</v>
      </c>
      <c r="AH123" s="106">
        <v>0</v>
      </c>
      <c r="AI123" s="106">
        <v>0</v>
      </c>
      <c r="AJ123" s="106">
        <v>0</v>
      </c>
      <c r="AK123" s="106">
        <v>277.98901183101793</v>
      </c>
      <c r="AL123" s="106">
        <v>12.129556486827369</v>
      </c>
      <c r="AM123" s="106">
        <v>0</v>
      </c>
      <c r="AN123" s="106">
        <v>997.90601089801714</v>
      </c>
      <c r="AO123" s="106">
        <v>558.61889531851307</v>
      </c>
      <c r="AP123" s="106">
        <v>438.73947121518415</v>
      </c>
      <c r="AQ123" s="106">
        <v>34.109979242361646</v>
      </c>
      <c r="AR123" s="106">
        <v>0</v>
      </c>
      <c r="AS123" s="106">
        <v>0</v>
      </c>
      <c r="AT123" s="106">
        <v>0</v>
      </c>
      <c r="AU123" s="106">
        <v>1403.2229588229254</v>
      </c>
      <c r="AV123" s="106">
        <v>465.52459646509544</v>
      </c>
      <c r="AW123" s="106">
        <v>355.51286577762477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830.21946989946662</v>
      </c>
      <c r="E124" s="106">
        <v>136.8898637557225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737.94377603821181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997.90601089801714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737.94377603821181</v>
      </c>
      <c r="AO124" s="106">
        <v>311.62436374700712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150.79861113760069</v>
      </c>
      <c r="AW124" s="106">
        <v>0</v>
      </c>
      <c r="AX124" s="106">
        <v>0</v>
      </c>
      <c r="AY124" s="106">
        <v>831.59259684136543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0.43664799200775917</v>
      </c>
      <c r="D172" s="134">
        <v>0.44024780333288854</v>
      </c>
      <c r="E172" s="134">
        <v>0.44024780333288854</v>
      </c>
      <c r="F172" s="134">
        <v>0.44024780333288854</v>
      </c>
      <c r="G172" s="134">
        <v>0.44024780333288854</v>
      </c>
      <c r="H172" s="134">
        <v>0.44024780333288854</v>
      </c>
      <c r="I172" s="134">
        <v>0.44024780333288854</v>
      </c>
      <c r="J172" s="134">
        <v>0.44024780333288854</v>
      </c>
      <c r="K172" s="134">
        <v>0.44024780333288854</v>
      </c>
      <c r="L172" s="134">
        <v>0.44024780333288854</v>
      </c>
      <c r="M172" s="134">
        <v>0.44024780333288854</v>
      </c>
      <c r="N172" s="134">
        <v>0.44024780333288854</v>
      </c>
      <c r="O172" s="134">
        <v>0.44024780333288854</v>
      </c>
      <c r="P172" s="134">
        <v>0.44024780333288854</v>
      </c>
      <c r="Q172" s="134">
        <v>0.44024780333288854</v>
      </c>
      <c r="R172" s="134">
        <v>0.44024780333288854</v>
      </c>
      <c r="S172" s="134">
        <v>0.44024780333288854</v>
      </c>
      <c r="T172" s="134">
        <v>0.44024780333288854</v>
      </c>
      <c r="U172" s="134">
        <v>0.44024780333288854</v>
      </c>
      <c r="V172" s="134">
        <v>0.44024780333288854</v>
      </c>
      <c r="W172" s="134">
        <v>0.44024780333288854</v>
      </c>
      <c r="X172" s="134">
        <v>0.44024780333288854</v>
      </c>
      <c r="Y172" s="134">
        <v>0.44024780333288854</v>
      </c>
      <c r="Z172" s="134">
        <v>0.44024780333288854</v>
      </c>
      <c r="AA172" s="134">
        <v>0.44024780333288854</v>
      </c>
      <c r="AB172" s="134">
        <v>0.44024780333288854</v>
      </c>
      <c r="AC172" s="134">
        <v>0.44024780333288854</v>
      </c>
      <c r="AD172" s="134">
        <v>0.44024780333288854</v>
      </c>
      <c r="AE172" s="134">
        <v>0.44024780333288854</v>
      </c>
      <c r="AF172" s="134">
        <v>0.44024780333288854</v>
      </c>
      <c r="AG172" s="134">
        <v>0.44024780333288854</v>
      </c>
      <c r="AH172" s="134">
        <v>0.44024780333288854</v>
      </c>
      <c r="AI172" s="134">
        <v>0.44024780333288854</v>
      </c>
      <c r="AJ172" s="134">
        <v>0.44024780333288854</v>
      </c>
      <c r="AK172" s="134">
        <v>0.44024780333288854</v>
      </c>
      <c r="AL172" s="134">
        <v>0.44024780333288854</v>
      </c>
      <c r="AM172" s="134">
        <v>0.44024780333288854</v>
      </c>
      <c r="AN172" s="134">
        <v>0.44024780333288854</v>
      </c>
      <c r="AO172" s="134">
        <v>0.44024780333288854</v>
      </c>
      <c r="AP172" s="134">
        <v>0.44024780333288854</v>
      </c>
      <c r="AQ172" s="134">
        <v>0.44024780333288854</v>
      </c>
      <c r="AR172" s="134">
        <v>0.44024780333288854</v>
      </c>
      <c r="AS172" s="134">
        <v>0.44024780333288854</v>
      </c>
      <c r="AT172" s="134">
        <v>0.44024780333288854</v>
      </c>
      <c r="AU172" s="134">
        <v>0.44024780333288854</v>
      </c>
      <c r="AV172" s="134">
        <v>0.44024780333288854</v>
      </c>
      <c r="AW172" s="134">
        <v>0.44024780333288854</v>
      </c>
      <c r="AX172" s="134">
        <v>0.44024780333288854</v>
      </c>
      <c r="AY172" s="134">
        <v>0.44024780333288854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1509.7186684640376</v>
      </c>
      <c r="E175" s="124">
        <f t="shared" si="1"/>
        <v>1836.663119417392</v>
      </c>
      <c r="F175" s="124">
        <f t="shared" si="1"/>
        <v>2089.6075703707465</v>
      </c>
      <c r="G175" s="124">
        <f t="shared" si="1"/>
        <v>1046.1986956207502</v>
      </c>
      <c r="H175" s="124">
        <f t="shared" si="1"/>
        <v>1048.2924055233429</v>
      </c>
      <c r="I175" s="124">
        <f t="shared" si="1"/>
        <v>1048.2924055233429</v>
      </c>
      <c r="J175" s="124">
        <f t="shared" si="1"/>
        <v>1048.2924055233429</v>
      </c>
      <c r="K175" s="124">
        <f t="shared" si="1"/>
        <v>1048.2924055233429</v>
      </c>
      <c r="L175" s="124">
        <f t="shared" si="1"/>
        <v>1048.2924055233429</v>
      </c>
      <c r="M175" s="124">
        <f t="shared" si="1"/>
        <v>1245.5848110466859</v>
      </c>
      <c r="N175" s="124">
        <f t="shared" si="1"/>
        <v>1166.8772165700288</v>
      </c>
      <c r="O175" s="124">
        <f t="shared" si="1"/>
        <v>1209.1696220933718</v>
      </c>
      <c r="P175" s="124">
        <f t="shared" si="1"/>
        <v>1358.1140730467262</v>
      </c>
      <c r="Q175" s="124">
        <f t="shared" si="1"/>
        <v>1479.0585240000805</v>
      </c>
      <c r="R175" s="124">
        <f t="shared" si="1"/>
        <v>1532.0029749534349</v>
      </c>
      <c r="S175" s="124">
        <f t="shared" si="1"/>
        <v>1622.9474259067892</v>
      </c>
      <c r="T175" s="124">
        <f t="shared" si="1"/>
        <v>520.97960428007434</v>
      </c>
      <c r="U175" s="124">
        <f t="shared" si="1"/>
        <v>3.2178373285117565E-2</v>
      </c>
      <c r="V175" s="124">
        <f t="shared" si="1"/>
        <v>3.2178373285104665E-2</v>
      </c>
      <c r="W175" s="124">
        <f t="shared" si="1"/>
        <v>3.2178373285104665E-2</v>
      </c>
      <c r="X175" s="124">
        <f t="shared" si="1"/>
        <v>1257.9444509533544</v>
      </c>
      <c r="Y175" s="124">
        <f t="shared" si="1"/>
        <v>1391.8889019067087</v>
      </c>
      <c r="Z175" s="124">
        <f t="shared" si="1"/>
        <v>1652.8333528600631</v>
      </c>
      <c r="AA175" s="124">
        <f t="shared" si="1"/>
        <v>1939.7778038134174</v>
      </c>
      <c r="AB175" s="124">
        <f t="shared" si="1"/>
        <v>1886.0702093367604</v>
      </c>
      <c r="AC175" s="124">
        <f t="shared" si="1"/>
        <v>1744.3626148601033</v>
      </c>
      <c r="AD175" s="124">
        <f t="shared" si="1"/>
        <v>1624.6550203834463</v>
      </c>
      <c r="AE175" s="124">
        <f t="shared" si="1"/>
        <v>1511.9474259067892</v>
      </c>
      <c r="AF175" s="124">
        <f t="shared" si="1"/>
        <v>1544.2398314301322</v>
      </c>
      <c r="AG175" s="124">
        <f t="shared" si="1"/>
        <v>1688.5322369534751</v>
      </c>
      <c r="AH175" s="124">
        <f t="shared" si="1"/>
        <v>1699.8246424768181</v>
      </c>
      <c r="AI175" s="124">
        <f t="shared" si="1"/>
        <v>1611.117048000161</v>
      </c>
      <c r="AJ175" s="124">
        <f t="shared" si="1"/>
        <v>1635.0614989535154</v>
      </c>
      <c r="AK175" s="124">
        <f t="shared" si="1"/>
        <v>1650.0059499068698</v>
      </c>
      <c r="AL175" s="124">
        <f t="shared" si="1"/>
        <v>1673.9504008602241</v>
      </c>
      <c r="AM175" s="124">
        <f t="shared" si="1"/>
        <v>1835.8948518135785</v>
      </c>
      <c r="AN175" s="124">
        <f t="shared" si="1"/>
        <v>767.71235994730841</v>
      </c>
      <c r="AO175" s="124">
        <f t="shared" si="1"/>
        <v>453.29898981960787</v>
      </c>
      <c r="AP175" s="124">
        <f t="shared" si="1"/>
        <v>820.72568116872526</v>
      </c>
      <c r="AQ175" s="124">
        <f t="shared" si="1"/>
        <v>1048.2924055233429</v>
      </c>
      <c r="AR175" s="124">
        <f t="shared" si="1"/>
        <v>1048.2924055233429</v>
      </c>
      <c r="AS175" s="124">
        <f t="shared" si="1"/>
        <v>1048.2924055233429</v>
      </c>
      <c r="AT175" s="124">
        <f t="shared" si="1"/>
        <v>1048.2924055233429</v>
      </c>
      <c r="AU175" s="124">
        <f t="shared" si="1"/>
        <v>1048.2924055233429</v>
      </c>
      <c r="AV175" s="124">
        <f t="shared" si="1"/>
        <v>1048.2924055233429</v>
      </c>
      <c r="AW175" s="124">
        <f t="shared" si="1"/>
        <v>1048.2924055233429</v>
      </c>
      <c r="AX175" s="124">
        <f t="shared" si="1"/>
        <v>1048.2924055233429</v>
      </c>
      <c r="AY175" s="124">
        <f t="shared" si="1"/>
        <v>1048.2924055233429</v>
      </c>
    </row>
    <row r="176" spans="1:52">
      <c r="A176" s="125"/>
      <c r="B176" s="136" t="s">
        <v>299</v>
      </c>
      <c r="C176" s="125" t="s">
        <v>293</v>
      </c>
      <c r="D176" s="125">
        <v>931</v>
      </c>
      <c r="E176" s="125">
        <v>1005</v>
      </c>
      <c r="F176" s="125">
        <v>1085</v>
      </c>
      <c r="G176" s="125">
        <v>1046.1986956207502</v>
      </c>
      <c r="H176" s="125">
        <v>1048.2924055233429</v>
      </c>
      <c r="I176" s="125">
        <v>1048.2924055233429</v>
      </c>
      <c r="J176" s="125">
        <v>1048.2924055233429</v>
      </c>
      <c r="K176" s="125">
        <v>1048.2924055233429</v>
      </c>
      <c r="L176" s="125">
        <v>851</v>
      </c>
      <c r="M176" s="125">
        <v>1127</v>
      </c>
      <c r="N176" s="125">
        <v>1006</v>
      </c>
      <c r="O176" s="125">
        <v>1109</v>
      </c>
      <c r="P176" s="125">
        <v>1137</v>
      </c>
      <c r="Q176" s="125">
        <v>1205</v>
      </c>
      <c r="R176" s="125">
        <v>1167</v>
      </c>
      <c r="S176" s="125">
        <v>1102</v>
      </c>
      <c r="T176" s="125">
        <v>520.97960428007434</v>
      </c>
      <c r="U176" s="125">
        <v>3.2178373285117565E-2</v>
      </c>
      <c r="V176" s="125">
        <v>3.2178373285104665E-2</v>
      </c>
      <c r="W176" s="125">
        <v>3.2178373285104665E-2</v>
      </c>
      <c r="X176" s="125">
        <v>1124</v>
      </c>
      <c r="Y176" s="125">
        <v>997</v>
      </c>
      <c r="Z176" s="125">
        <v>971</v>
      </c>
      <c r="AA176" s="125">
        <v>1102</v>
      </c>
      <c r="AB176" s="125">
        <v>1190</v>
      </c>
      <c r="AC176" s="125">
        <v>1168</v>
      </c>
      <c r="AD176" s="125">
        <v>1161</v>
      </c>
      <c r="AE176" s="125">
        <v>1016</v>
      </c>
      <c r="AF176" s="125">
        <v>904</v>
      </c>
      <c r="AG176" s="125">
        <v>1037</v>
      </c>
      <c r="AH176" s="125">
        <v>1137</v>
      </c>
      <c r="AI176" s="125">
        <v>1234</v>
      </c>
      <c r="AJ176" s="125">
        <v>1243</v>
      </c>
      <c r="AK176" s="125">
        <v>1234</v>
      </c>
      <c r="AL176" s="125">
        <v>1096</v>
      </c>
      <c r="AM176" s="125">
        <v>1168</v>
      </c>
      <c r="AN176" s="125">
        <v>767.71235994730841</v>
      </c>
      <c r="AO176" s="125">
        <v>453.29898981960787</v>
      </c>
      <c r="AP176" s="125">
        <v>820.72568116872526</v>
      </c>
      <c r="AQ176" s="125">
        <v>1048.2924055233429</v>
      </c>
      <c r="AR176" s="125">
        <v>1048.2924055233429</v>
      </c>
      <c r="AS176" s="125">
        <v>1048.2924055233429</v>
      </c>
      <c r="AT176" s="125">
        <v>1048.2924055233429</v>
      </c>
      <c r="AU176" s="125">
        <v>1048.2924055233429</v>
      </c>
      <c r="AV176" s="125">
        <v>1048.2924055233429</v>
      </c>
      <c r="AW176" s="125">
        <v>1048.2924055233429</v>
      </c>
      <c r="AX176" s="125">
        <v>1048.2924055233429</v>
      </c>
      <c r="AY176" s="125">
        <v>1048.2924055233429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1633.0046261599887</v>
      </c>
      <c r="E177" s="124">
        <f t="shared" si="2"/>
        <v>1129.0423913001835</v>
      </c>
      <c r="F177" s="124">
        <f t="shared" si="2"/>
        <v>973.18444601509896</v>
      </c>
      <c r="G177" s="124">
        <f t="shared" si="2"/>
        <v>1770.1642723217662</v>
      </c>
      <c r="H177" s="124">
        <f t="shared" si="2"/>
        <v>1774.6541854750999</v>
      </c>
      <c r="I177" s="124">
        <f t="shared" si="2"/>
        <v>1169.6919506152944</v>
      </c>
      <c r="J177" s="124">
        <f t="shared" si="2"/>
        <v>1101.6033216499754</v>
      </c>
      <c r="K177" s="124">
        <f t="shared" si="2"/>
        <v>1645.9668406977953</v>
      </c>
      <c r="L177" s="124">
        <f t="shared" si="2"/>
        <v>911.96684069779553</v>
      </c>
      <c r="M177" s="124">
        <f t="shared" si="2"/>
        <v>1089.9159768726711</v>
      </c>
      <c r="N177" s="124">
        <f t="shared" si="2"/>
        <v>1355.7009538018385</v>
      </c>
      <c r="O177" s="124">
        <f t="shared" si="2"/>
        <v>1316.6123248365195</v>
      </c>
      <c r="P177" s="124">
        <f t="shared" si="2"/>
        <v>1277.5236958712005</v>
      </c>
      <c r="Q177" s="124">
        <f t="shared" si="2"/>
        <v>804.56146101139518</v>
      </c>
      <c r="R177" s="124">
        <f t="shared" si="2"/>
        <v>614.43506690588151</v>
      </c>
      <c r="S177" s="124">
        <f t="shared" si="2"/>
        <v>919.52767829352831</v>
      </c>
      <c r="T177" s="124">
        <f t="shared" si="2"/>
        <v>663.97982630666729</v>
      </c>
      <c r="U177" s="124">
        <f t="shared" si="2"/>
        <v>729.48991315333365</v>
      </c>
      <c r="V177" s="124">
        <f t="shared" si="2"/>
        <v>749.99848674808459</v>
      </c>
      <c r="W177" s="124">
        <f t="shared" si="2"/>
        <v>36.017147189501785</v>
      </c>
      <c r="X177" s="124">
        <f t="shared" si="2"/>
        <v>1.8660441417249419E-2</v>
      </c>
      <c r="Y177" s="124">
        <f t="shared" si="2"/>
        <v>1.8660441417247427E-2</v>
      </c>
      <c r="Z177" s="124">
        <f t="shared" si="2"/>
        <v>729.48991315333365</v>
      </c>
      <c r="AA177" s="124">
        <f t="shared" si="2"/>
        <v>162.82828183869293</v>
      </c>
      <c r="AB177" s="124">
        <f t="shared" si="2"/>
        <v>868.85094092280974</v>
      </c>
      <c r="AC177" s="124">
        <f t="shared" si="2"/>
        <v>769.97982630666741</v>
      </c>
      <c r="AD177" s="124">
        <f t="shared" si="2"/>
        <v>1021.8307672294771</v>
      </c>
      <c r="AE177" s="124">
        <f t="shared" si="2"/>
        <v>1449.9541128440037</v>
      </c>
      <c r="AF177" s="124">
        <f t="shared" si="2"/>
        <v>1286.8654838786847</v>
      </c>
      <c r="AG177" s="124">
        <f t="shared" si="2"/>
        <v>1113.7768549133657</v>
      </c>
      <c r="AH177" s="124">
        <f t="shared" si="2"/>
        <v>1000.6882259480467</v>
      </c>
      <c r="AI177" s="124">
        <f t="shared" si="2"/>
        <v>350.68822594804669</v>
      </c>
      <c r="AJ177" s="124">
        <f t="shared" si="2"/>
        <v>1215.822742069362</v>
      </c>
      <c r="AK177" s="124">
        <f t="shared" si="2"/>
        <v>1208.734113104043</v>
      </c>
      <c r="AL177" s="124">
        <f t="shared" si="2"/>
        <v>708.77187824423766</v>
      </c>
      <c r="AM177" s="124">
        <f t="shared" si="2"/>
        <v>0</v>
      </c>
      <c r="AN177" s="124">
        <f t="shared" si="2"/>
        <v>1998.4319743198062</v>
      </c>
      <c r="AO177" s="124">
        <f t="shared" si="2"/>
        <v>1974.92188747314</v>
      </c>
      <c r="AP177" s="124">
        <f t="shared" si="2"/>
        <v>1879.833258507821</v>
      </c>
      <c r="AQ177" s="124">
        <f t="shared" si="2"/>
        <v>1804.744629542502</v>
      </c>
      <c r="AR177" s="124">
        <f t="shared" si="2"/>
        <v>1642.656000577183</v>
      </c>
      <c r="AS177" s="124">
        <f t="shared" si="2"/>
        <v>904.65600057718291</v>
      </c>
      <c r="AT177" s="124">
        <f t="shared" si="2"/>
        <v>449.69376571737757</v>
      </c>
      <c r="AU177" s="124">
        <f t="shared" si="2"/>
        <v>1633.6963479638484</v>
      </c>
      <c r="AV177" s="124">
        <f t="shared" si="2"/>
        <v>1490.6077189985294</v>
      </c>
      <c r="AW177" s="124">
        <f t="shared" si="2"/>
        <v>745.60771899852944</v>
      </c>
      <c r="AX177" s="124">
        <f t="shared" si="2"/>
        <v>607.911371034681</v>
      </c>
      <c r="AY177" s="124">
        <f t="shared" si="2"/>
        <v>1215.822742069362</v>
      </c>
    </row>
    <row r="178" spans="1:51">
      <c r="A178" s="125"/>
      <c r="B178" s="136" t="s">
        <v>299</v>
      </c>
      <c r="C178" s="125" t="s">
        <v>293</v>
      </c>
      <c r="D178" s="125">
        <v>694</v>
      </c>
      <c r="E178" s="125">
        <v>573</v>
      </c>
      <c r="F178" s="125">
        <v>662</v>
      </c>
      <c r="G178" s="125">
        <v>725</v>
      </c>
      <c r="H178" s="125">
        <v>795</v>
      </c>
      <c r="I178" s="125">
        <v>676</v>
      </c>
      <c r="J178" s="125">
        <v>603</v>
      </c>
      <c r="K178" s="125">
        <v>734</v>
      </c>
      <c r="L178" s="125">
        <v>620</v>
      </c>
      <c r="M178" s="125">
        <v>760</v>
      </c>
      <c r="N178" s="125">
        <v>647</v>
      </c>
      <c r="O178" s="125">
        <v>647</v>
      </c>
      <c r="P178" s="125">
        <v>663</v>
      </c>
      <c r="Q178" s="125">
        <v>608</v>
      </c>
      <c r="R178" s="125">
        <v>614.43506690588151</v>
      </c>
      <c r="S178" s="125">
        <v>795</v>
      </c>
      <c r="T178" s="125">
        <v>663.97982630666729</v>
      </c>
      <c r="U178" s="125">
        <v>709</v>
      </c>
      <c r="V178" s="125">
        <v>714</v>
      </c>
      <c r="W178" s="125">
        <v>36.017147189501785</v>
      </c>
      <c r="X178" s="125">
        <v>1.8660441417249419E-2</v>
      </c>
      <c r="Y178" s="125">
        <v>1.8660441417247427E-2</v>
      </c>
      <c r="Z178" s="125">
        <v>592</v>
      </c>
      <c r="AA178" s="125">
        <v>162.82828183869293</v>
      </c>
      <c r="AB178" s="125">
        <v>689</v>
      </c>
      <c r="AC178" s="125">
        <v>617</v>
      </c>
      <c r="AD178" s="125">
        <v>623</v>
      </c>
      <c r="AE178" s="125">
        <v>771</v>
      </c>
      <c r="AF178" s="125">
        <v>781</v>
      </c>
      <c r="AG178" s="125">
        <v>721</v>
      </c>
      <c r="AH178" s="125">
        <v>650</v>
      </c>
      <c r="AI178" s="125">
        <v>350.68822594804669</v>
      </c>
      <c r="AJ178" s="125">
        <v>615</v>
      </c>
      <c r="AK178" s="125">
        <v>690</v>
      </c>
      <c r="AL178" s="125">
        <v>708.77187824423766</v>
      </c>
      <c r="AM178" s="125">
        <v>0</v>
      </c>
      <c r="AN178" s="125">
        <v>753</v>
      </c>
      <c r="AO178" s="125">
        <v>703</v>
      </c>
      <c r="AP178" s="125">
        <v>683</v>
      </c>
      <c r="AQ178" s="125">
        <v>770</v>
      </c>
      <c r="AR178" s="125">
        <v>738</v>
      </c>
      <c r="AS178" s="125">
        <v>645</v>
      </c>
      <c r="AT178" s="125">
        <v>449.69376571737757</v>
      </c>
      <c r="AU178" s="125">
        <v>751</v>
      </c>
      <c r="AV178" s="125">
        <v>745</v>
      </c>
      <c r="AW178" s="125">
        <v>745.60771899852944</v>
      </c>
      <c r="AX178" s="125">
        <v>607.911371034681</v>
      </c>
      <c r="AY178" s="125">
        <v>772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113.47803001502878</v>
      </c>
      <c r="E179" s="124">
        <f t="shared" si="3"/>
        <v>982.15510492998851</v>
      </c>
      <c r="F179" s="124">
        <f t="shared" si="3"/>
        <v>826.50669848249549</v>
      </c>
      <c r="G179" s="124">
        <f t="shared" si="3"/>
        <v>687.75566948661299</v>
      </c>
      <c r="H179" s="124">
        <f t="shared" si="3"/>
        <v>1120.4380550714914</v>
      </c>
      <c r="I179" s="124">
        <f t="shared" si="3"/>
        <v>1408.8988980465838</v>
      </c>
      <c r="J179" s="124">
        <f t="shared" si="3"/>
        <v>1251.815839458422</v>
      </c>
      <c r="K179" s="124">
        <f t="shared" si="3"/>
        <v>1152.9531806095288</v>
      </c>
      <c r="L179" s="124">
        <f t="shared" si="3"/>
        <v>1460.9686481446354</v>
      </c>
      <c r="M179" s="124">
        <f t="shared" si="3"/>
        <v>1086.7482390257294</v>
      </c>
      <c r="N179" s="124">
        <f t="shared" si="3"/>
        <v>1145.3333830233739</v>
      </c>
      <c r="O179" s="124">
        <f t="shared" si="3"/>
        <v>1248.5116258204382</v>
      </c>
      <c r="P179" s="124">
        <f t="shared" si="3"/>
        <v>1309.2123659826068</v>
      </c>
      <c r="Q179" s="124">
        <f t="shared" si="3"/>
        <v>1168.3497071337138</v>
      </c>
      <c r="R179" s="124">
        <f t="shared" si="3"/>
        <v>858.82803710405483</v>
      </c>
      <c r="S179" s="124">
        <f t="shared" si="3"/>
        <v>728.24086022971937</v>
      </c>
      <c r="T179" s="124">
        <f t="shared" si="3"/>
        <v>788.04511943059799</v>
      </c>
      <c r="U179" s="124">
        <f t="shared" si="3"/>
        <v>611.52552432117443</v>
      </c>
      <c r="V179" s="124">
        <f t="shared" si="3"/>
        <v>685.88198067551525</v>
      </c>
      <c r="W179" s="124">
        <f t="shared" si="3"/>
        <v>714.24967504098913</v>
      </c>
      <c r="X179" s="124">
        <f t="shared" si="3"/>
        <v>177.29144017592552</v>
      </c>
      <c r="Y179" s="124">
        <f t="shared" si="3"/>
        <v>4.1765134936333673E-2</v>
      </c>
      <c r="Z179" s="124">
        <f t="shared" si="3"/>
        <v>4.1765134936330252E-2</v>
      </c>
      <c r="AA179" s="124">
        <f t="shared" si="3"/>
        <v>439.35645635434088</v>
      </c>
      <c r="AB179" s="124">
        <f t="shared" si="3"/>
        <v>40.192265580885049</v>
      </c>
      <c r="AC179" s="124">
        <f t="shared" si="3"/>
        <v>523.28484510846852</v>
      </c>
      <c r="AD179" s="124">
        <f t="shared" si="3"/>
        <v>462.83892072004079</v>
      </c>
      <c r="AE179" s="124">
        <f t="shared" si="3"/>
        <v>523.28484510846863</v>
      </c>
      <c r="AF179" s="124">
        <f t="shared" si="3"/>
        <v>661.67407783156114</v>
      </c>
      <c r="AG179" s="124">
        <f t="shared" si="3"/>
        <v>710.64594680096297</v>
      </c>
      <c r="AH179" s="124">
        <f t="shared" si="3"/>
        <v>636.78328795206983</v>
      </c>
      <c r="AI179" s="124">
        <f t="shared" si="3"/>
        <v>471.92062910317657</v>
      </c>
      <c r="AJ179" s="124">
        <f t="shared" si="3"/>
        <v>3.0527123803253658E-2</v>
      </c>
      <c r="AK179" s="124">
        <f t="shared" si="3"/>
        <v>732.24415517841021</v>
      </c>
      <c r="AL179" s="124">
        <f t="shared" si="3"/>
        <v>826.76554813880307</v>
      </c>
      <c r="AM179" s="124">
        <f t="shared" si="3"/>
        <v>528.77208087527754</v>
      </c>
      <c r="AN179" s="124">
        <f t="shared" si="3"/>
        <v>3.0527123803253658E-2</v>
      </c>
      <c r="AO179" s="124">
        <f t="shared" si="3"/>
        <v>1203.560511968878</v>
      </c>
      <c r="AP179" s="124">
        <f t="shared" si="3"/>
        <v>1529.0396514920681</v>
      </c>
      <c r="AQ179" s="124">
        <f t="shared" si="3"/>
        <v>1655.3310810810926</v>
      </c>
      <c r="AR179" s="124">
        <f t="shared" si="3"/>
        <v>1485.4852656653793</v>
      </c>
      <c r="AS179" s="124">
        <f t="shared" si="3"/>
        <v>1380.622606816486</v>
      </c>
      <c r="AT179" s="124">
        <f t="shared" si="3"/>
        <v>842.65313394028942</v>
      </c>
      <c r="AU179" s="124">
        <f t="shared" si="3"/>
        <v>411.72367543432597</v>
      </c>
      <c r="AV179" s="124">
        <f t="shared" si="3"/>
        <v>983.90316635917611</v>
      </c>
      <c r="AW179" s="124">
        <f t="shared" si="3"/>
        <v>1078.3754458004496</v>
      </c>
      <c r="AX179" s="124">
        <f t="shared" si="3"/>
        <v>654.34558648438372</v>
      </c>
      <c r="AY179" s="124">
        <f t="shared" si="3"/>
        <v>508.98786628328111</v>
      </c>
    </row>
    <row r="180" spans="1:51">
      <c r="A180" s="125"/>
      <c r="B180" s="136" t="s">
        <v>299</v>
      </c>
      <c r="C180" s="125" t="s">
        <v>293</v>
      </c>
      <c r="D180" s="125">
        <v>113.47803001502878</v>
      </c>
      <c r="E180" s="125">
        <v>535</v>
      </c>
      <c r="F180" s="125">
        <v>390</v>
      </c>
      <c r="G180" s="125">
        <v>446</v>
      </c>
      <c r="H180" s="125">
        <v>394</v>
      </c>
      <c r="I180" s="125">
        <v>422</v>
      </c>
      <c r="J180" s="125">
        <v>465</v>
      </c>
      <c r="K180" s="125">
        <v>383</v>
      </c>
      <c r="L180" s="125">
        <v>533</v>
      </c>
      <c r="M180" s="125">
        <v>422</v>
      </c>
      <c r="N180" s="125">
        <v>523</v>
      </c>
      <c r="O180" s="125">
        <v>405</v>
      </c>
      <c r="P180" s="125">
        <v>507</v>
      </c>
      <c r="Q180" s="125">
        <v>424</v>
      </c>
      <c r="R180" s="125">
        <v>382.27671517890445</v>
      </c>
      <c r="S180" s="125">
        <v>494</v>
      </c>
      <c r="T180" s="125">
        <v>528.34206168547348</v>
      </c>
      <c r="U180" s="125">
        <v>365</v>
      </c>
      <c r="V180" s="125">
        <v>411</v>
      </c>
      <c r="W180" s="125">
        <v>537</v>
      </c>
      <c r="X180" s="125">
        <v>177.29144017592552</v>
      </c>
      <c r="Y180" s="125">
        <v>4.1765134936333673E-2</v>
      </c>
      <c r="Z180" s="125">
        <v>4.1765134936330252E-2</v>
      </c>
      <c r="AA180" s="125">
        <v>428.80195230725815</v>
      </c>
      <c r="AB180" s="125">
        <v>40.192265580885049</v>
      </c>
      <c r="AC180" s="125">
        <v>446</v>
      </c>
      <c r="AD180" s="125">
        <v>462.83892072004079</v>
      </c>
      <c r="AE180" s="125">
        <v>523.28484510846863</v>
      </c>
      <c r="AF180" s="125">
        <v>443</v>
      </c>
      <c r="AG180" s="125">
        <v>440</v>
      </c>
      <c r="AH180" s="125">
        <v>531</v>
      </c>
      <c r="AI180" s="125">
        <v>471.92062910317657</v>
      </c>
      <c r="AJ180" s="125">
        <v>3.0527123803253658E-2</v>
      </c>
      <c r="AK180" s="125">
        <v>394</v>
      </c>
      <c r="AL180" s="125">
        <v>417.81180783259452</v>
      </c>
      <c r="AM180" s="125">
        <v>528.77208087527754</v>
      </c>
      <c r="AN180" s="125">
        <v>3.0527123803253658E-2</v>
      </c>
      <c r="AO180" s="125">
        <v>497</v>
      </c>
      <c r="AP180" s="125">
        <v>433</v>
      </c>
      <c r="AQ180" s="125">
        <v>551</v>
      </c>
      <c r="AR180" s="125">
        <v>471</v>
      </c>
      <c r="AS180" s="125">
        <v>538</v>
      </c>
      <c r="AT180" s="125">
        <v>545.40778847630452</v>
      </c>
      <c r="AU180" s="125">
        <v>411.72367543432597</v>
      </c>
      <c r="AV180" s="125">
        <v>543</v>
      </c>
      <c r="AW180" s="125">
        <v>580.5741446550486</v>
      </c>
      <c r="AX180" s="125">
        <v>511.49506135220935</v>
      </c>
      <c r="AY180" s="125">
        <v>508.98786628328111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1248.7591608416974</v>
      </c>
      <c r="E181" s="124">
        <f t="shared" si="4"/>
        <v>482.32583148092232</v>
      </c>
      <c r="F181" s="124">
        <f t="shared" si="4"/>
        <v>319.45000603118262</v>
      </c>
      <c r="G181" s="124">
        <f t="shared" si="4"/>
        <v>1117.1989769859927</v>
      </c>
      <c r="H181" s="124">
        <f t="shared" si="4"/>
        <v>867.71348568375424</v>
      </c>
      <c r="I181" s="124">
        <f t="shared" si="4"/>
        <v>336.82811990655802</v>
      </c>
      <c r="J181" s="124">
        <f t="shared" si="4"/>
        <v>465.52459646509544</v>
      </c>
      <c r="K181" s="124">
        <f t="shared" si="4"/>
        <v>878.59024611930738</v>
      </c>
      <c r="L181" s="124">
        <f t="shared" si="4"/>
        <v>201.87999601305015</v>
      </c>
      <c r="M181" s="124">
        <f t="shared" si="4"/>
        <v>611.03902847836298</v>
      </c>
      <c r="N181" s="124">
        <f t="shared" si="4"/>
        <v>796.1530852790612</v>
      </c>
      <c r="O181" s="124">
        <f t="shared" si="4"/>
        <v>592.11428273309446</v>
      </c>
      <c r="P181" s="124">
        <f t="shared" si="4"/>
        <v>465.5245964650955</v>
      </c>
      <c r="Q181" s="124">
        <f t="shared" si="4"/>
        <v>145.55324566430102</v>
      </c>
      <c r="R181" s="124">
        <f t="shared" si="4"/>
        <v>320.01016445182785</v>
      </c>
      <c r="S181" s="124">
        <f t="shared" si="4"/>
        <v>704.13332733178072</v>
      </c>
      <c r="T181" s="124">
        <f t="shared" si="4"/>
        <v>447.32397756877924</v>
      </c>
      <c r="U181" s="124">
        <f t="shared" si="4"/>
        <v>558.61889531851307</v>
      </c>
      <c r="V181" s="124">
        <f t="shared" si="4"/>
        <v>558.63318386548656</v>
      </c>
      <c r="W181" s="124">
        <f t="shared" si="4"/>
        <v>5.3102198006953066E-2</v>
      </c>
      <c r="X181" s="124">
        <f t="shared" si="4"/>
        <v>5.3102198006953066E-2</v>
      </c>
      <c r="Y181" s="124">
        <f t="shared" si="4"/>
        <v>5.3102198006953066E-2</v>
      </c>
      <c r="Z181" s="124">
        <f t="shared" si="4"/>
        <v>558.61889531851307</v>
      </c>
      <c r="AA181" s="124">
        <f t="shared" si="4"/>
        <v>37.682873139284403</v>
      </c>
      <c r="AB181" s="124">
        <f t="shared" si="4"/>
        <v>665.32947879490928</v>
      </c>
      <c r="AC181" s="124">
        <f t="shared" si="4"/>
        <v>490.21196499724329</v>
      </c>
      <c r="AD181" s="124">
        <f t="shared" si="4"/>
        <v>665.32947879490939</v>
      </c>
      <c r="AE181" s="124">
        <f t="shared" si="4"/>
        <v>841.28419435598596</v>
      </c>
      <c r="AF181" s="124">
        <f t="shared" si="4"/>
        <v>625.51665736721407</v>
      </c>
      <c r="AG181" s="124">
        <f t="shared" si="4"/>
        <v>465.52459646509544</v>
      </c>
      <c r="AH181" s="124">
        <f t="shared" si="4"/>
        <v>465.52459646509539</v>
      </c>
      <c r="AI181" s="124">
        <f t="shared" si="4"/>
        <v>3.8813651033437375E-2</v>
      </c>
      <c r="AJ181" s="124">
        <f t="shared" si="4"/>
        <v>931.01037927915729</v>
      </c>
      <c r="AK181" s="124">
        <f t="shared" si="4"/>
        <v>621.12955648682748</v>
      </c>
      <c r="AL181" s="124">
        <f t="shared" si="4"/>
        <v>152.34279155240046</v>
      </c>
      <c r="AM181" s="124">
        <f t="shared" si="4"/>
        <v>3.8813651033437375E-2</v>
      </c>
      <c r="AN181" s="124">
        <f t="shared" si="4"/>
        <v>1530.2646266402044</v>
      </c>
      <c r="AO181" s="124">
        <f t="shared" si="4"/>
        <v>1045.7394712151843</v>
      </c>
      <c r="AP181" s="124">
        <f t="shared" si="4"/>
        <v>711.10997924236153</v>
      </c>
      <c r="AQ181" s="124">
        <f t="shared" si="4"/>
        <v>484.61773227427693</v>
      </c>
      <c r="AR181" s="124">
        <f t="shared" si="4"/>
        <v>465.52459646509539</v>
      </c>
      <c r="AS181" s="124">
        <f t="shared" si="4"/>
        <v>3.8813651033437375E-2</v>
      </c>
      <c r="AT181" s="124">
        <f t="shared" si="4"/>
        <v>145.55324566430104</v>
      </c>
      <c r="AU181" s="124">
        <f t="shared" si="4"/>
        <v>1250.9817300799518</v>
      </c>
      <c r="AV181" s="124">
        <f t="shared" si="4"/>
        <v>810.51286577762471</v>
      </c>
      <c r="AW181" s="124">
        <f t="shared" si="4"/>
        <v>199.03792121347888</v>
      </c>
      <c r="AX181" s="124">
        <f t="shared" si="4"/>
        <v>465.52459646509539</v>
      </c>
      <c r="AY181" s="124">
        <f t="shared" si="4"/>
        <v>931.01037927915741</v>
      </c>
    </row>
    <row r="182" spans="1:51">
      <c r="A182" s="125"/>
      <c r="B182" s="136" t="s">
        <v>299</v>
      </c>
      <c r="C182" s="125" t="s">
        <v>293</v>
      </c>
      <c r="D182" s="125">
        <v>647.11331144290989</v>
      </c>
      <c r="E182" s="125">
        <v>482.32583148092232</v>
      </c>
      <c r="F182" s="125">
        <v>319.45000603118262</v>
      </c>
      <c r="G182" s="125">
        <v>565</v>
      </c>
      <c r="H182" s="125">
        <v>526</v>
      </c>
      <c r="I182" s="125">
        <v>336.82811990655802</v>
      </c>
      <c r="J182" s="125">
        <v>465.52459646509544</v>
      </c>
      <c r="K182" s="125">
        <v>518</v>
      </c>
      <c r="L182" s="125">
        <v>201.87999601305015</v>
      </c>
      <c r="M182" s="125">
        <v>592</v>
      </c>
      <c r="N182" s="125">
        <v>570</v>
      </c>
      <c r="O182" s="125">
        <v>592.11428273309446</v>
      </c>
      <c r="P182" s="125">
        <v>465.5245964650955</v>
      </c>
      <c r="Q182" s="125">
        <v>145.55324566430102</v>
      </c>
      <c r="R182" s="125">
        <v>320.01016445182785</v>
      </c>
      <c r="S182" s="125">
        <v>643</v>
      </c>
      <c r="T182" s="125">
        <v>447.32397756877924</v>
      </c>
      <c r="U182" s="125">
        <v>558.61889531851307</v>
      </c>
      <c r="V182" s="125">
        <v>558.63318386548656</v>
      </c>
      <c r="W182" s="125">
        <v>5.3102198006953066E-2</v>
      </c>
      <c r="X182" s="125">
        <v>5.3102198006953066E-2</v>
      </c>
      <c r="Y182" s="125">
        <v>5.3102198006953066E-2</v>
      </c>
      <c r="Z182" s="125">
        <v>526.02923273490376</v>
      </c>
      <c r="AA182" s="125">
        <v>37.682873139284403</v>
      </c>
      <c r="AB182" s="125">
        <v>596.89981762842376</v>
      </c>
      <c r="AC182" s="125">
        <v>490.21196499724329</v>
      </c>
      <c r="AD182" s="125">
        <v>600.32513751976524</v>
      </c>
      <c r="AE182" s="125">
        <v>555.45760563557212</v>
      </c>
      <c r="AF182" s="125">
        <v>625.51665736721407</v>
      </c>
      <c r="AG182" s="125">
        <v>465.52459646509544</v>
      </c>
      <c r="AH182" s="125">
        <v>465.52459646509539</v>
      </c>
      <c r="AI182" s="125">
        <v>3.8813651033437375E-2</v>
      </c>
      <c r="AJ182" s="125">
        <v>653.02136744813936</v>
      </c>
      <c r="AK182" s="125">
        <v>609</v>
      </c>
      <c r="AL182" s="125">
        <v>152.34279155240046</v>
      </c>
      <c r="AM182" s="125">
        <v>3.8813651033437375E-2</v>
      </c>
      <c r="AN182" s="125">
        <v>660.02136757468452</v>
      </c>
      <c r="AO182" s="125">
        <v>607</v>
      </c>
      <c r="AP182" s="125">
        <v>677</v>
      </c>
      <c r="AQ182" s="125">
        <v>484.61773227427693</v>
      </c>
      <c r="AR182" s="125">
        <v>465.52459646509539</v>
      </c>
      <c r="AS182" s="125">
        <v>3.8813651033437375E-2</v>
      </c>
      <c r="AT182" s="125">
        <v>145.55324566430104</v>
      </c>
      <c r="AU182" s="125">
        <v>634.65852247725559</v>
      </c>
      <c r="AV182" s="125">
        <v>455</v>
      </c>
      <c r="AW182" s="125">
        <v>199.03792121347888</v>
      </c>
      <c r="AX182" s="125">
        <v>465.52459646509539</v>
      </c>
      <c r="AY182" s="125">
        <v>546.17980948580998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797.398856972678</v>
      </c>
      <c r="D185" s="124">
        <v>679.22578248931677</v>
      </c>
      <c r="E185" s="124">
        <v>426.28133153596241</v>
      </c>
      <c r="F185" s="124">
        <v>253.33688058260805</v>
      </c>
      <c r="G185" s="124">
        <v>1046.1986956207502</v>
      </c>
      <c r="H185" s="124">
        <v>1048.2924055233429</v>
      </c>
      <c r="I185" s="124">
        <v>1048.2924055233429</v>
      </c>
      <c r="J185" s="124">
        <v>1048.2924055233429</v>
      </c>
      <c r="K185" s="124">
        <v>1048.2924055233429</v>
      </c>
      <c r="L185" s="124">
        <v>851</v>
      </c>
      <c r="M185" s="124">
        <v>929.70759447665705</v>
      </c>
      <c r="N185" s="124">
        <v>887.4151889533141</v>
      </c>
      <c r="O185" s="124">
        <v>948.12278342997115</v>
      </c>
      <c r="P185" s="124">
        <v>1036.8303779066282</v>
      </c>
      <c r="Q185" s="124">
        <v>983.88592695327384</v>
      </c>
      <c r="R185" s="124">
        <v>892.94147599991948</v>
      </c>
      <c r="S185" s="124">
        <v>736.99702504656511</v>
      </c>
      <c r="T185" s="124">
        <v>3.2178373285091766E-2</v>
      </c>
      <c r="U185" s="124">
        <v>3.2178373285104665E-2</v>
      </c>
      <c r="V185" s="124">
        <v>3.2178373285104665E-2</v>
      </c>
      <c r="W185" s="124">
        <v>3.2178373285104665E-2</v>
      </c>
      <c r="X185" s="124">
        <v>1124</v>
      </c>
      <c r="Y185" s="124">
        <v>863.05554904664564</v>
      </c>
      <c r="Z185" s="124">
        <v>576.11109809329128</v>
      </c>
      <c r="AA185" s="124">
        <v>420.16664713993691</v>
      </c>
      <c r="AB185" s="124">
        <v>352.22219618658255</v>
      </c>
      <c r="AC185" s="124">
        <v>471.9297906632396</v>
      </c>
      <c r="AD185" s="124">
        <v>584.63738513989665</v>
      </c>
      <c r="AE185" s="124">
        <v>552.3449796165537</v>
      </c>
      <c r="AF185" s="124">
        <v>408.05257409321075</v>
      </c>
      <c r="AG185" s="124">
        <v>396.7601685698678</v>
      </c>
      <c r="AH185" s="124">
        <v>485.46776304652485</v>
      </c>
      <c r="AI185" s="124">
        <v>671.1753575231819</v>
      </c>
      <c r="AJ185" s="124">
        <v>865.88295199983895</v>
      </c>
      <c r="AK185" s="124">
        <v>841.93850104648459</v>
      </c>
      <c r="AL185" s="124">
        <v>679.99405009313023</v>
      </c>
      <c r="AM185" s="124">
        <v>590.04959913977586</v>
      </c>
      <c r="AN185" s="124">
        <v>767.71235994730841</v>
      </c>
      <c r="AO185" s="124">
        <v>453.29898981960787</v>
      </c>
      <c r="AP185" s="124">
        <v>820.72568116872526</v>
      </c>
      <c r="AQ185" s="124">
        <v>1048.2924055233429</v>
      </c>
      <c r="AR185" s="124">
        <v>1048.2924055233429</v>
      </c>
      <c r="AS185" s="124">
        <v>1048.2924055233429</v>
      </c>
      <c r="AT185" s="124">
        <v>1048.2924055233429</v>
      </c>
      <c r="AU185" s="124">
        <v>1048.2924055233429</v>
      </c>
      <c r="AV185" s="124">
        <v>1048.2924055233429</v>
      </c>
      <c r="AW185" s="124">
        <v>1048.2924055233429</v>
      </c>
      <c r="AX185" s="124">
        <v>1048.2924055233429</v>
      </c>
      <c r="AY185" s="124">
        <v>1048.2924055233429</v>
      </c>
    </row>
    <row r="186" spans="1:51">
      <c r="A186" s="109"/>
      <c r="B186" s="120">
        <v>2</v>
      </c>
      <c r="C186" s="106">
        <v>524.601143027322</v>
      </c>
      <c r="D186" s="106">
        <v>251.77421751068323</v>
      </c>
      <c r="E186" s="106">
        <v>578.71866846403759</v>
      </c>
      <c r="F186" s="106">
        <v>831.66311941739195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197.29240552334295</v>
      </c>
      <c r="N186" s="106">
        <v>118.5848110466859</v>
      </c>
      <c r="O186" s="106">
        <v>160.87721657002885</v>
      </c>
      <c r="P186" s="106">
        <v>100.1696220933718</v>
      </c>
      <c r="Q186" s="106">
        <v>221.11407304672616</v>
      </c>
      <c r="R186" s="106">
        <v>274.05852400008052</v>
      </c>
      <c r="S186" s="106">
        <v>365.00297495343489</v>
      </c>
      <c r="T186" s="106">
        <v>520.94742590678925</v>
      </c>
      <c r="U186" s="106">
        <v>1.2899403767363538E-14</v>
      </c>
      <c r="V186" s="106">
        <v>0</v>
      </c>
      <c r="W186" s="106">
        <v>0</v>
      </c>
      <c r="X186" s="106">
        <v>0</v>
      </c>
      <c r="Y186" s="106">
        <v>133.94445095335436</v>
      </c>
      <c r="Z186" s="106">
        <v>394.88890190670872</v>
      </c>
      <c r="AA186" s="106">
        <v>681.83335286006309</v>
      </c>
      <c r="AB186" s="106">
        <v>837.77780381341745</v>
      </c>
      <c r="AC186" s="106">
        <v>696.0702093367604</v>
      </c>
      <c r="AD186" s="106">
        <v>576.36261486010335</v>
      </c>
      <c r="AE186" s="106">
        <v>463.6550203834463</v>
      </c>
      <c r="AF186" s="106">
        <v>495.94742590678925</v>
      </c>
      <c r="AG186" s="106">
        <v>640.2398314301322</v>
      </c>
      <c r="AH186" s="106">
        <v>651.53223695347515</v>
      </c>
      <c r="AI186" s="106">
        <v>562.8246424768181</v>
      </c>
      <c r="AJ186" s="106">
        <v>377.11704800016105</v>
      </c>
      <c r="AK186" s="106">
        <v>392.06149895351541</v>
      </c>
      <c r="AL186" s="106">
        <v>416.00594990686977</v>
      </c>
      <c r="AM186" s="106">
        <v>577.95040086022414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190.18651529844891</v>
      </c>
      <c r="D189" s="124">
        <v>0</v>
      </c>
      <c r="E189" s="124">
        <v>0</v>
      </c>
      <c r="F189" s="124">
        <v>0</v>
      </c>
      <c r="G189" s="124">
        <v>0</v>
      </c>
      <c r="H189" s="124">
        <v>0</v>
      </c>
      <c r="I189" s="124">
        <v>0</v>
      </c>
      <c r="J189" s="124">
        <v>109.3080493847055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65.510086846666354</v>
      </c>
      <c r="T189" s="124">
        <v>0</v>
      </c>
      <c r="U189" s="124">
        <v>709</v>
      </c>
      <c r="V189" s="124">
        <v>0</v>
      </c>
      <c r="W189" s="124">
        <v>1.8660441417245436E-2</v>
      </c>
      <c r="X189" s="124">
        <v>1.8660441417247427E-2</v>
      </c>
      <c r="Y189" s="124">
        <v>1.8660441417247427E-2</v>
      </c>
      <c r="Z189" s="124">
        <v>592</v>
      </c>
      <c r="AA189" s="124">
        <v>25.338368685359285</v>
      </c>
      <c r="AB189" s="124">
        <v>0</v>
      </c>
      <c r="AC189" s="124">
        <v>0</v>
      </c>
      <c r="AD189" s="124">
        <v>0</v>
      </c>
      <c r="AE189" s="124">
        <v>0</v>
      </c>
      <c r="AF189" s="124">
        <v>102.0458871559963</v>
      </c>
      <c r="AG189" s="124">
        <v>215.1345161213153</v>
      </c>
      <c r="AH189" s="124">
        <v>257.2231450866343</v>
      </c>
      <c r="AI189" s="124">
        <v>0</v>
      </c>
      <c r="AJ189" s="124">
        <v>615</v>
      </c>
      <c r="AK189" s="124">
        <v>89.177257930638007</v>
      </c>
      <c r="AL189" s="124">
        <v>190.03776514019467</v>
      </c>
      <c r="AM189" s="124">
        <v>0</v>
      </c>
      <c r="AN189" s="124">
        <v>0</v>
      </c>
      <c r="AO189" s="124">
        <v>0</v>
      </c>
      <c r="AP189" s="124">
        <v>0</v>
      </c>
      <c r="AQ189" s="124">
        <v>0</v>
      </c>
      <c r="AR189" s="124">
        <v>0</v>
      </c>
      <c r="AS189" s="124">
        <v>0</v>
      </c>
      <c r="AT189" s="124">
        <v>190.03776514019464</v>
      </c>
      <c r="AU189" s="124">
        <v>0</v>
      </c>
      <c r="AV189" s="124">
        <v>0</v>
      </c>
      <c r="AW189" s="124">
        <v>0</v>
      </c>
      <c r="AX189" s="124">
        <v>607.911371034681</v>
      </c>
      <c r="AY189" s="124">
        <v>164.088628965319</v>
      </c>
    </row>
    <row r="190" spans="1:51">
      <c r="A190" s="109"/>
      <c r="B190" s="119">
        <v>2</v>
      </c>
      <c r="C190" s="106">
        <v>0</v>
      </c>
      <c r="D190" s="106">
        <v>86.269619513854082</v>
      </c>
      <c r="E190" s="106">
        <v>241.72575432615707</v>
      </c>
      <c r="F190" s="106">
        <v>295.99537384001115</v>
      </c>
      <c r="G190" s="106">
        <v>413.8155539849011</v>
      </c>
      <c r="H190" s="106">
        <v>479.32564083156745</v>
      </c>
      <c r="I190" s="106">
        <v>425.83572767823381</v>
      </c>
      <c r="J190" s="106">
        <v>190.03776514019467</v>
      </c>
      <c r="K190" s="106">
        <v>194.54785198686102</v>
      </c>
      <c r="L190" s="106">
        <v>315.94453033688552</v>
      </c>
      <c r="M190" s="106">
        <v>468.03315930220452</v>
      </c>
      <c r="N190" s="106">
        <v>507.12178826752353</v>
      </c>
      <c r="O190" s="106">
        <v>546.21041723284247</v>
      </c>
      <c r="P190" s="106">
        <v>601.29904619816148</v>
      </c>
      <c r="Q190" s="106">
        <v>601.38767516348048</v>
      </c>
      <c r="R190" s="106">
        <v>607.911371034681</v>
      </c>
      <c r="S190" s="106">
        <v>729.48991315333365</v>
      </c>
      <c r="T190" s="106">
        <v>663.97982630666729</v>
      </c>
      <c r="U190" s="106">
        <v>0</v>
      </c>
      <c r="V190" s="106">
        <v>0</v>
      </c>
      <c r="W190" s="106">
        <v>1.8660441417247427E-2</v>
      </c>
      <c r="X190" s="106">
        <v>1.9914625504213745E-15</v>
      </c>
      <c r="Y190" s="106">
        <v>0</v>
      </c>
      <c r="Z190" s="106">
        <v>0</v>
      </c>
      <c r="AA190" s="106">
        <v>137.48991315333365</v>
      </c>
      <c r="AB190" s="106">
        <v>689</v>
      </c>
      <c r="AC190" s="106">
        <v>601.84845553202558</v>
      </c>
      <c r="AD190" s="106">
        <v>495.35854237869194</v>
      </c>
      <c r="AE190" s="106">
        <v>536.86862922535829</v>
      </c>
      <c r="AF190" s="106">
        <v>607.911371034681</v>
      </c>
      <c r="AG190" s="106">
        <v>505.8654838786847</v>
      </c>
      <c r="AH190" s="106">
        <v>392.7768549133657</v>
      </c>
      <c r="AI190" s="106">
        <v>350.68822594804669</v>
      </c>
      <c r="AJ190" s="106">
        <v>0</v>
      </c>
      <c r="AK190" s="106">
        <v>600.82274206936199</v>
      </c>
      <c r="AL190" s="106">
        <v>518.73411310404299</v>
      </c>
      <c r="AM190" s="106">
        <v>0</v>
      </c>
      <c r="AN190" s="106">
        <v>213.54785198686102</v>
      </c>
      <c r="AO190" s="106">
        <v>187.05793883352737</v>
      </c>
      <c r="AP190" s="106">
        <v>140.56802568019373</v>
      </c>
      <c r="AQ190" s="106">
        <v>181.07811252686008</v>
      </c>
      <c r="AR190" s="106">
        <v>311.16674149217909</v>
      </c>
      <c r="AS190" s="106">
        <v>348.25537045749809</v>
      </c>
      <c r="AT190" s="106">
        <v>0</v>
      </c>
      <c r="AU190" s="106">
        <v>751</v>
      </c>
      <c r="AV190" s="106">
        <v>470.21502307083256</v>
      </c>
      <c r="AW190" s="106">
        <v>607.911371034681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607.73038048614592</v>
      </c>
      <c r="E191" s="106">
        <v>331.27424567384293</v>
      </c>
      <c r="F191" s="106">
        <v>366.00462615998885</v>
      </c>
      <c r="G191" s="106">
        <v>311.1844460150989</v>
      </c>
      <c r="H191" s="106">
        <v>315.67435916843255</v>
      </c>
      <c r="I191" s="106">
        <v>250.16427232176619</v>
      </c>
      <c r="J191" s="106">
        <v>303.65418547509984</v>
      </c>
      <c r="K191" s="106">
        <v>539.45214801313898</v>
      </c>
      <c r="L191" s="106">
        <v>304.05546966311448</v>
      </c>
      <c r="M191" s="106">
        <v>291.96684069779548</v>
      </c>
      <c r="N191" s="106">
        <v>139.87821173247647</v>
      </c>
      <c r="O191" s="106">
        <v>100.78958276715747</v>
      </c>
      <c r="P191" s="106">
        <v>61.700953801838523</v>
      </c>
      <c r="Q191" s="106">
        <v>6.6123248365195195</v>
      </c>
      <c r="R191" s="106">
        <v>6.5236958712005162</v>
      </c>
      <c r="S191" s="106">
        <v>0</v>
      </c>
      <c r="T191" s="106">
        <v>0</v>
      </c>
      <c r="U191" s="106">
        <v>0</v>
      </c>
      <c r="V191" s="106">
        <v>714</v>
      </c>
      <c r="W191" s="106">
        <v>20.489913153333646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15.151544467974418</v>
      </c>
      <c r="AD191" s="106">
        <v>127.64145762130806</v>
      </c>
      <c r="AE191" s="106">
        <v>234.13137077464171</v>
      </c>
      <c r="AF191" s="106">
        <v>71.042741809322706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539.45214801313898</v>
      </c>
      <c r="AO191" s="106">
        <v>515.94206116647263</v>
      </c>
      <c r="AP191" s="106">
        <v>542.43197431980627</v>
      </c>
      <c r="AQ191" s="106">
        <v>588.92188747313992</v>
      </c>
      <c r="AR191" s="106">
        <v>426.83325850782091</v>
      </c>
      <c r="AS191" s="106">
        <v>296.74462954250191</v>
      </c>
      <c r="AT191" s="106">
        <v>259.65600057718291</v>
      </c>
      <c r="AU191" s="106">
        <v>0</v>
      </c>
      <c r="AV191" s="106">
        <v>274.78497692916744</v>
      </c>
      <c r="AW191" s="106">
        <v>137.69634796384844</v>
      </c>
      <c r="AX191" s="106">
        <v>0</v>
      </c>
      <c r="AY191" s="106">
        <v>607.911371034681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15.489913153333646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107.88411881833764</v>
      </c>
      <c r="D197" s="106">
        <v>113.47803001502876</v>
      </c>
      <c r="E197" s="106">
        <v>535</v>
      </c>
      <c r="F197" s="106">
        <v>0</v>
      </c>
      <c r="G197" s="106">
        <v>9.4933015175045057</v>
      </c>
      <c r="H197" s="106">
        <v>152.24433051338707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0</v>
      </c>
      <c r="S197" s="106">
        <v>17.448678074849681</v>
      </c>
      <c r="T197" s="106">
        <v>294.10120145575411</v>
      </c>
      <c r="U197" s="106">
        <v>105.29694225487549</v>
      </c>
      <c r="V197" s="106">
        <v>164.47447567882557</v>
      </c>
      <c r="W197" s="106">
        <v>262.11801932448475</v>
      </c>
      <c r="X197" s="106">
        <v>4.1765134936326831E-2</v>
      </c>
      <c r="Y197" s="106">
        <v>4.1765134936330252E-2</v>
      </c>
      <c r="Z197" s="106">
        <v>4.1765134936330252E-2</v>
      </c>
      <c r="AA197" s="106">
        <v>428.80195230725815</v>
      </c>
      <c r="AB197" s="106">
        <v>29.637761533802319</v>
      </c>
      <c r="AC197" s="106">
        <v>446</v>
      </c>
      <c r="AD197" s="106">
        <v>385.55407561157227</v>
      </c>
      <c r="AE197" s="106">
        <v>523.28484510846863</v>
      </c>
      <c r="AF197" s="106">
        <v>443</v>
      </c>
      <c r="AG197" s="106">
        <v>221.32592216843886</v>
      </c>
      <c r="AH197" s="106">
        <v>260.35405319903697</v>
      </c>
      <c r="AI197" s="106">
        <v>366.13734115110674</v>
      </c>
      <c r="AJ197" s="106">
        <v>3.0527123803253658E-2</v>
      </c>
      <c r="AK197" s="106">
        <v>394</v>
      </c>
      <c r="AL197" s="106">
        <v>79.567652654184315</v>
      </c>
      <c r="AM197" s="106">
        <v>119.81834056906895</v>
      </c>
      <c r="AN197" s="106">
        <v>3.0527123803253658E-2</v>
      </c>
      <c r="AO197" s="106">
        <v>497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114.47832997034102</v>
      </c>
      <c r="AV197" s="106">
        <v>543</v>
      </c>
      <c r="AW197" s="106">
        <v>139.67097829587249</v>
      </c>
      <c r="AX197" s="106">
        <v>13.693760206808236</v>
      </c>
      <c r="AY197" s="106">
        <v>366.13734115110674</v>
      </c>
    </row>
    <row r="198" spans="1:51">
      <c r="A198" s="109"/>
      <c r="B198" s="119">
        <v>2</v>
      </c>
      <c r="C198" s="106">
        <v>187.76126288701289</v>
      </c>
      <c r="D198" s="106">
        <v>1.4210854715202004E-14</v>
      </c>
      <c r="E198" s="106">
        <v>0</v>
      </c>
      <c r="F198" s="106">
        <v>390</v>
      </c>
      <c r="G198" s="106">
        <v>379.35159355250698</v>
      </c>
      <c r="H198" s="106">
        <v>241.75566948661293</v>
      </c>
      <c r="I198" s="106">
        <v>422</v>
      </c>
      <c r="J198" s="106">
        <v>160.56194492850864</v>
      </c>
      <c r="K198" s="106">
        <v>0</v>
      </c>
      <c r="L198" s="106">
        <v>129.18416054157797</v>
      </c>
      <c r="M198" s="106">
        <v>185.04681939047117</v>
      </c>
      <c r="N198" s="106">
        <v>17.031351855364562</v>
      </c>
      <c r="O198" s="106">
        <v>263.25176097427061</v>
      </c>
      <c r="P198" s="106">
        <v>289.66661697662607</v>
      </c>
      <c r="Q198" s="106">
        <v>87.488374179561902</v>
      </c>
      <c r="R198" s="106">
        <v>4.0643491962975418</v>
      </c>
      <c r="S198" s="106">
        <v>114.47832997034101</v>
      </c>
      <c r="T198" s="106">
        <v>234.24086022971935</v>
      </c>
      <c r="U198" s="106">
        <v>259.70305774512451</v>
      </c>
      <c r="V198" s="106">
        <v>246.52552432117443</v>
      </c>
      <c r="W198" s="106">
        <v>274.88198067551525</v>
      </c>
      <c r="X198" s="106">
        <v>177.24967504098919</v>
      </c>
      <c r="Y198" s="106">
        <v>3.4208746946262636E-15</v>
      </c>
      <c r="Z198" s="106">
        <v>0</v>
      </c>
      <c r="AA198" s="106">
        <v>0</v>
      </c>
      <c r="AB198" s="106">
        <v>10.55450404708273</v>
      </c>
      <c r="AC198" s="106">
        <v>0</v>
      </c>
      <c r="AD198" s="106">
        <v>77.284845108468517</v>
      </c>
      <c r="AE198" s="106">
        <v>0</v>
      </c>
      <c r="AF198" s="106">
        <v>0</v>
      </c>
      <c r="AG198" s="106">
        <v>218.67407783156114</v>
      </c>
      <c r="AH198" s="106">
        <v>270.64594680096303</v>
      </c>
      <c r="AI198" s="106">
        <v>105.78328795206983</v>
      </c>
      <c r="AJ198" s="106">
        <v>0</v>
      </c>
      <c r="AK198" s="106">
        <v>0</v>
      </c>
      <c r="AL198" s="106">
        <v>338.24415517841021</v>
      </c>
      <c r="AM198" s="106">
        <v>408.95374030620854</v>
      </c>
      <c r="AN198" s="106">
        <v>0</v>
      </c>
      <c r="AO198" s="106">
        <v>0</v>
      </c>
      <c r="AP198" s="106">
        <v>433</v>
      </c>
      <c r="AQ198" s="106">
        <v>277.43948803112198</v>
      </c>
      <c r="AR198" s="106">
        <v>0</v>
      </c>
      <c r="AS198" s="106">
        <v>0</v>
      </c>
      <c r="AT198" s="106">
        <v>68.922522810925045</v>
      </c>
      <c r="AU198" s="106">
        <v>3.0527123803253658E-2</v>
      </c>
      <c r="AV198" s="106">
        <v>1.4210854715202004E-14</v>
      </c>
      <c r="AW198" s="106">
        <v>440.90316635917611</v>
      </c>
      <c r="AX198" s="106">
        <v>497.80130114540111</v>
      </c>
      <c r="AY198" s="106">
        <v>142.85052513217437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57.155104929988511</v>
      </c>
      <c r="H199" s="106">
        <v>0</v>
      </c>
      <c r="I199" s="106">
        <v>0</v>
      </c>
      <c r="J199" s="106">
        <v>304.43805507149136</v>
      </c>
      <c r="K199" s="106">
        <v>383</v>
      </c>
      <c r="L199" s="106">
        <v>264.91694141183825</v>
      </c>
      <c r="M199" s="106">
        <v>236.95318060952883</v>
      </c>
      <c r="N199" s="106">
        <v>505.96864814463544</v>
      </c>
      <c r="O199" s="106">
        <v>141.74823902572942</v>
      </c>
      <c r="P199" s="106">
        <v>217.33338302337393</v>
      </c>
      <c r="Q199" s="106">
        <v>336.5116258204381</v>
      </c>
      <c r="R199" s="106">
        <v>378.21236598260691</v>
      </c>
      <c r="S199" s="106">
        <v>362.07299195480931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273.56051196887802</v>
      </c>
      <c r="AR199" s="106">
        <v>471</v>
      </c>
      <c r="AS199" s="106">
        <v>463.96034850793205</v>
      </c>
      <c r="AT199" s="106">
        <v>381.15418458428695</v>
      </c>
      <c r="AU199" s="106">
        <v>297.21481834018169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138.89889804658378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74.039651492067946</v>
      </c>
      <c r="AT200" s="106">
        <v>95.33108108109252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146.40643548598808</v>
      </c>
      <c r="D209" s="124">
        <v>0</v>
      </c>
      <c r="E209" s="124">
        <v>145.55324566430096</v>
      </c>
      <c r="F209" s="124">
        <v>3.8813651033437375E-2</v>
      </c>
      <c r="G209" s="124">
        <v>6.4199183325204103</v>
      </c>
      <c r="H209" s="124">
        <v>216.90540963475883</v>
      </c>
      <c r="I209" s="124">
        <v>145.55324566430102</v>
      </c>
      <c r="J209" s="124">
        <v>465.52459646509544</v>
      </c>
      <c r="K209" s="124">
        <v>104.93435034578795</v>
      </c>
      <c r="L209" s="124">
        <v>3.8813651033422047E-2</v>
      </c>
      <c r="M209" s="124">
        <v>126.51421718593798</v>
      </c>
      <c r="N209" s="124">
        <v>239.37151118603424</v>
      </c>
      <c r="O209" s="124">
        <v>465.52459646509533</v>
      </c>
      <c r="P209" s="124">
        <v>465.52459646509544</v>
      </c>
      <c r="Q209" s="124">
        <v>145.55324566430102</v>
      </c>
      <c r="R209" s="124">
        <v>3.8813651033437375E-2</v>
      </c>
      <c r="S209" s="124">
        <v>84.41991833252041</v>
      </c>
      <c r="T209" s="124">
        <v>3.8813651033437375E-2</v>
      </c>
      <c r="U209" s="124">
        <v>558.61889531851307</v>
      </c>
      <c r="V209" s="124">
        <v>5.3102198006953066E-2</v>
      </c>
      <c r="W209" s="124">
        <v>5.3102198006953066E-2</v>
      </c>
      <c r="X209" s="124">
        <v>5.3102198006953066E-2</v>
      </c>
      <c r="Y209" s="124">
        <v>5.3102198006953066E-2</v>
      </c>
      <c r="Z209" s="124">
        <v>526.02923273490376</v>
      </c>
      <c r="AA209" s="124">
        <v>19.440737919469115</v>
      </c>
      <c r="AB209" s="124">
        <v>57.721660229379836</v>
      </c>
      <c r="AC209" s="124">
        <v>19.440737919469115</v>
      </c>
      <c r="AD209" s="124">
        <v>61.14698012072131</v>
      </c>
      <c r="AE209" s="124">
        <v>179.69800774468166</v>
      </c>
      <c r="AF209" s="124">
        <v>465.52459646509539</v>
      </c>
      <c r="AG209" s="124">
        <v>465.52459646509544</v>
      </c>
      <c r="AH209" s="124">
        <v>465.52459646509539</v>
      </c>
      <c r="AI209" s="124">
        <v>3.8813651033437375E-2</v>
      </c>
      <c r="AJ209" s="124">
        <v>653.02136744813936</v>
      </c>
      <c r="AK209" s="124">
        <v>453.39503997826807</v>
      </c>
      <c r="AL209" s="124">
        <v>145.55324566430102</v>
      </c>
      <c r="AM209" s="124">
        <v>3.8813651033437375E-2</v>
      </c>
      <c r="AN209" s="124">
        <v>0</v>
      </c>
      <c r="AO209" s="124">
        <v>119.87942410332892</v>
      </c>
      <c r="AP209" s="124">
        <v>431.41461722273374</v>
      </c>
      <c r="AQ209" s="124">
        <v>465.52459646509544</v>
      </c>
      <c r="AR209" s="124">
        <v>465.52459646509539</v>
      </c>
      <c r="AS209" s="124">
        <v>3.8813651033437375E-2</v>
      </c>
      <c r="AT209" s="124">
        <v>145.55324566430104</v>
      </c>
      <c r="AU209" s="124">
        <v>0</v>
      </c>
      <c r="AV209" s="124">
        <v>110.01173068747062</v>
      </c>
      <c r="AW209" s="124">
        <v>3.8813651033437375E-2</v>
      </c>
      <c r="AX209" s="124">
        <v>465.52459646509539</v>
      </c>
      <c r="AY209" s="124">
        <v>80.69402667174802</v>
      </c>
    </row>
    <row r="210" spans="1:51">
      <c r="A210" s="109"/>
      <c r="B210" s="119">
        <v>2</v>
      </c>
      <c r="C210" s="106">
        <v>2.8653261836702506E-15</v>
      </c>
      <c r="D210" s="110">
        <v>182.39613945087859</v>
      </c>
      <c r="E210" s="110">
        <v>260.14818387789404</v>
      </c>
      <c r="F210" s="110">
        <v>319.41119238014915</v>
      </c>
      <c r="G210" s="110">
        <v>558.58008166747959</v>
      </c>
      <c r="H210" s="110">
        <v>309.09459036524117</v>
      </c>
      <c r="I210" s="110">
        <v>191.274874242257</v>
      </c>
      <c r="J210" s="110">
        <v>0</v>
      </c>
      <c r="K210" s="110">
        <v>0</v>
      </c>
      <c r="L210" s="110">
        <v>201.84118236201672</v>
      </c>
      <c r="M210" s="110">
        <v>465.48578281406202</v>
      </c>
      <c r="N210" s="110">
        <v>330.62848881396576</v>
      </c>
      <c r="O210" s="110">
        <v>126.58968626799911</v>
      </c>
      <c r="P210" s="110">
        <v>3.1818228573406004E-14</v>
      </c>
      <c r="Q210" s="110">
        <v>0</v>
      </c>
      <c r="R210" s="110">
        <v>319.97135080079437</v>
      </c>
      <c r="S210" s="110">
        <v>558.58008166747959</v>
      </c>
      <c r="T210" s="110">
        <v>447.28516391774576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18.242135219815285</v>
      </c>
      <c r="AB210" s="110">
        <v>539.17815739904393</v>
      </c>
      <c r="AC210" s="110">
        <v>470.77122707777414</v>
      </c>
      <c r="AD210" s="110">
        <v>539.17815739904393</v>
      </c>
      <c r="AE210" s="110">
        <v>375.75959789089046</v>
      </c>
      <c r="AF210" s="110">
        <v>159.99206090211865</v>
      </c>
      <c r="AG210" s="110">
        <v>0</v>
      </c>
      <c r="AH210" s="110">
        <v>0</v>
      </c>
      <c r="AI210" s="110">
        <v>0</v>
      </c>
      <c r="AJ210" s="110">
        <v>0</v>
      </c>
      <c r="AK210" s="110">
        <v>155.60496002173193</v>
      </c>
      <c r="AL210" s="110">
        <v>6.7895458880994317</v>
      </c>
      <c r="AM210" s="110">
        <v>0</v>
      </c>
      <c r="AN210" s="110">
        <v>246.95571792047247</v>
      </c>
      <c r="AO210" s="110">
        <v>312.6881537542929</v>
      </c>
      <c r="AP210" s="110">
        <v>245.58538277726626</v>
      </c>
      <c r="AQ210" s="110">
        <v>19.093135809181508</v>
      </c>
      <c r="AR210" s="110">
        <v>0</v>
      </c>
      <c r="AS210" s="110">
        <v>0</v>
      </c>
      <c r="AT210" s="110">
        <v>0</v>
      </c>
      <c r="AU210" s="110">
        <v>634.65852247725559</v>
      </c>
      <c r="AV210" s="110">
        <v>260.57841547390785</v>
      </c>
      <c r="AW210" s="110">
        <v>198.99910756244543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464.7171719920313</v>
      </c>
      <c r="E211" s="110">
        <v>76.624401938727289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413.06564965421205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558.58008166747959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413.06564965421205</v>
      </c>
      <c r="AO211" s="110">
        <v>174.43242214237821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84.40985383862153</v>
      </c>
      <c r="AW211" s="110">
        <v>0</v>
      </c>
      <c r="AX211" s="110">
        <v>0</v>
      </c>
      <c r="AY211" s="110">
        <v>465.48578281406196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638400.81820449256</v>
      </c>
      <c r="E259" s="124">
        <f t="shared" ref="E259:AX259" si="5">F$14*$B$259</f>
        <v>246578.53580912953</v>
      </c>
      <c r="F259" s="124">
        <f t="shared" si="5"/>
        <v>163311.83115267634</v>
      </c>
      <c r="G259" s="124">
        <f t="shared" si="5"/>
        <v>571143.55063017097</v>
      </c>
      <c r="H259" s="124">
        <f t="shared" si="5"/>
        <v>443599.5479338101</v>
      </c>
      <c r="I259" s="124">
        <f t="shared" si="5"/>
        <v>172196.01191769485</v>
      </c>
      <c r="J259" s="124">
        <f t="shared" si="5"/>
        <v>237989.27174821941</v>
      </c>
      <c r="K259" s="124">
        <f t="shared" si="5"/>
        <v>449160.05389781931</v>
      </c>
      <c r="L259" s="124">
        <f t="shared" si="5"/>
        <v>103206.73407271109</v>
      </c>
      <c r="M259" s="124">
        <f t="shared" si="5"/>
        <v>312380.34359846893</v>
      </c>
      <c r="N259" s="124">
        <f t="shared" si="5"/>
        <v>407015.8578180917</v>
      </c>
      <c r="O259" s="124">
        <f t="shared" si="5"/>
        <v>302705.48110540974</v>
      </c>
      <c r="P259" s="124">
        <f t="shared" si="5"/>
        <v>237989.27174821944</v>
      </c>
      <c r="Q259" s="124">
        <f t="shared" si="5"/>
        <v>74410.914480721651</v>
      </c>
      <c r="R259" s="124">
        <f t="shared" si="5"/>
        <v>163598.19989796987</v>
      </c>
      <c r="S259" s="124">
        <f t="shared" si="5"/>
        <v>359972.7684805711</v>
      </c>
      <c r="T259" s="124">
        <f t="shared" si="5"/>
        <v>228684.60327443245</v>
      </c>
      <c r="U259" s="124">
        <f t="shared" si="5"/>
        <v>285581.69663032156</v>
      </c>
      <c r="V259" s="124">
        <f t="shared" si="5"/>
        <v>285589.00133755803</v>
      </c>
      <c r="W259" s="124">
        <f t="shared" si="5"/>
        <v>27.147337708614664</v>
      </c>
      <c r="X259" s="124">
        <f t="shared" si="5"/>
        <v>27.147337708614664</v>
      </c>
      <c r="Y259" s="124">
        <f t="shared" si="5"/>
        <v>27.147337708614664</v>
      </c>
      <c r="Z259" s="124">
        <f t="shared" si="5"/>
        <v>285581.69663032156</v>
      </c>
      <c r="AA259" s="124">
        <f t="shared" si="5"/>
        <v>19264.544996971508</v>
      </c>
      <c r="AB259" s="124">
        <f t="shared" si="5"/>
        <v>340135.14932050451</v>
      </c>
      <c r="AC259" s="124">
        <f t="shared" si="5"/>
        <v>250610.14914752197</v>
      </c>
      <c r="AD259" s="124">
        <f t="shared" si="5"/>
        <v>340135.14932050463</v>
      </c>
      <c r="AE259" s="124">
        <f t="shared" si="5"/>
        <v>430088.15059051476</v>
      </c>
      <c r="AF259" s="124">
        <f t="shared" si="5"/>
        <v>319781.71483011125</v>
      </c>
      <c r="AG259" s="124">
        <f t="shared" si="5"/>
        <v>237989.27174821941</v>
      </c>
      <c r="AH259" s="124">
        <f t="shared" si="5"/>
        <v>237989.27174821938</v>
      </c>
      <c r="AI259" s="124">
        <f t="shared" si="5"/>
        <v>19.842630472114877</v>
      </c>
      <c r="AJ259" s="124">
        <f t="shared" si="5"/>
        <v>475958.70086596662</v>
      </c>
      <c r="AK259" s="124">
        <f t="shared" si="5"/>
        <v>317538.90542425535</v>
      </c>
      <c r="AL259" s="124">
        <f t="shared" si="5"/>
        <v>77881.921369894815</v>
      </c>
      <c r="AM259" s="124">
        <f t="shared" si="5"/>
        <v>19.842630472114877</v>
      </c>
      <c r="AN259" s="124">
        <f t="shared" si="5"/>
        <v>782314.33277977072</v>
      </c>
      <c r="AO259" s="124">
        <f t="shared" si="5"/>
        <v>534611.44069007342</v>
      </c>
      <c r="AP259" s="124">
        <f t="shared" si="5"/>
        <v>363539.42923286598</v>
      </c>
      <c r="AQ259" s="124">
        <f t="shared" si="5"/>
        <v>247750.21997978652</v>
      </c>
      <c r="AR259" s="124">
        <f t="shared" si="5"/>
        <v>237989.27174821938</v>
      </c>
      <c r="AS259" s="124">
        <f t="shared" si="5"/>
        <v>19.842630472114877</v>
      </c>
      <c r="AT259" s="124">
        <f t="shared" si="5"/>
        <v>74410.91448072168</v>
      </c>
      <c r="AU259" s="124">
        <f t="shared" si="5"/>
        <v>639537.05813346442</v>
      </c>
      <c r="AV259" s="124">
        <f t="shared" si="5"/>
        <v>414356.98163682781</v>
      </c>
      <c r="AW259" s="124">
        <f t="shared" si="5"/>
        <v>101753.7854703387</v>
      </c>
      <c r="AX259" s="124">
        <f t="shared" si="5"/>
        <v>237989.27174821938</v>
      </c>
      <c r="AY259" s="124">
        <f>AZ$14*$B$259</f>
        <v>475958.70086596673</v>
      </c>
      <c r="AZ259" s="139">
        <f>SUM($D259:$AY259)</f>
        <v>13126821.496402292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127162.14864136884</v>
      </c>
      <c r="E260" s="125">
        <f t="shared" ref="E260:AY260" si="6">(E$175-E$176+E$177-E$178+E$179-E$180+E$181-E$182)*$B$260</f>
        <v>110091.63693885383</v>
      </c>
      <c r="F260" s="125">
        <f t="shared" si="6"/>
        <v>105137.92289210045</v>
      </c>
      <c r="G260" s="125">
        <f t="shared" si="6"/>
        <v>110347.13512766232</v>
      </c>
      <c r="H260" s="125">
        <f t="shared" si="6"/>
        <v>122868.34357382073</v>
      </c>
      <c r="I260" s="125">
        <f t="shared" si="6"/>
        <v>88835.45091971269</v>
      </c>
      <c r="J260" s="125">
        <f t="shared" si="6"/>
        <v>77125.149666503843</v>
      </c>
      <c r="K260" s="125">
        <f t="shared" si="6"/>
        <v>122550.61604559788</v>
      </c>
      <c r="L260" s="125">
        <f t="shared" si="6"/>
        <v>85033.673661946435</v>
      </c>
      <c r="M260" s="125">
        <f t="shared" si="6"/>
        <v>67937.283325406956</v>
      </c>
      <c r="N260" s="125">
        <f t="shared" si="6"/>
        <v>103083.87832045814</v>
      </c>
      <c r="O260" s="125">
        <f t="shared" si="6"/>
        <v>96797.614365019777</v>
      </c>
      <c r="P260" s="125">
        <f t="shared" si="6"/>
        <v>98271.008094032004</v>
      </c>
      <c r="Q260" s="125">
        <f t="shared" si="6"/>
        <v>72898.181528711371</v>
      </c>
      <c r="R260" s="125">
        <f t="shared" si="6"/>
        <v>50493.257812715121</v>
      </c>
      <c r="S260" s="125">
        <f t="shared" si="6"/>
        <v>56450.95750570907</v>
      </c>
      <c r="T260" s="125">
        <f t="shared" si="6"/>
        <v>15582.18346470747</v>
      </c>
      <c r="U260" s="125">
        <f t="shared" si="6"/>
        <v>16020.926248470485</v>
      </c>
      <c r="V260" s="125">
        <f t="shared" si="6"/>
        <v>18652.82804541599</v>
      </c>
      <c r="W260" s="125">
        <f t="shared" si="6"/>
        <v>10634.980502459348</v>
      </c>
      <c r="X260" s="125">
        <f t="shared" si="6"/>
        <v>8036.6670572012617</v>
      </c>
      <c r="Y260" s="125">
        <f t="shared" si="6"/>
        <v>23693.334114402525</v>
      </c>
      <c r="Z260" s="125">
        <f t="shared" si="6"/>
        <v>51114.77571582036</v>
      </c>
      <c r="AA260" s="125">
        <f t="shared" si="6"/>
        <v>50899.938471630012</v>
      </c>
      <c r="AB260" s="125">
        <f t="shared" si="6"/>
        <v>56661.048685563335</v>
      </c>
      <c r="AC260" s="125">
        <f t="shared" si="6"/>
        <v>48397.637176514349</v>
      </c>
      <c r="AD260" s="125">
        <f t="shared" si="6"/>
        <v>55649.407733284061</v>
      </c>
      <c r="AE260" s="125">
        <f t="shared" si="6"/>
        <v>87643.687648272404</v>
      </c>
      <c r="AF260" s="125">
        <f t="shared" si="6"/>
        <v>81886.763588422677</v>
      </c>
      <c r="AG260" s="125">
        <f t="shared" si="6"/>
        <v>78897.302320068236</v>
      </c>
      <c r="AH260" s="125">
        <f t="shared" si="6"/>
        <v>61157.769382616068</v>
      </c>
      <c r="AI260" s="125">
        <f t="shared" si="6"/>
        <v>22627.022880009663</v>
      </c>
      <c r="AJ260" s="125">
        <f t="shared" si="6"/>
        <v>76252.395171233715</v>
      </c>
      <c r="AK260" s="125">
        <f t="shared" si="6"/>
        <v>77106.826480569027</v>
      </c>
      <c r="AL260" s="125">
        <f t="shared" si="6"/>
        <v>59214.248469985963</v>
      </c>
      <c r="AM260" s="125">
        <f t="shared" si="6"/>
        <v>40073.691108814703</v>
      </c>
      <c r="AN260" s="125">
        <f t="shared" si="6"/>
        <v>126940.51400311956</v>
      </c>
      <c r="AO260" s="125">
        <f t="shared" si="6"/>
        <v>145033.31223943213</v>
      </c>
      <c r="AP260" s="125">
        <f t="shared" si="6"/>
        <v>139618.97335453503</v>
      </c>
      <c r="AQ260" s="125">
        <f t="shared" si="6"/>
        <v>128344.54263741568</v>
      </c>
      <c r="AR260" s="125">
        <f t="shared" si="6"/>
        <v>115148.47597455374</v>
      </c>
      <c r="AS260" s="125">
        <f t="shared" si="6"/>
        <v>66136.716443620142</v>
      </c>
      <c r="AT260" s="125">
        <f t="shared" si="6"/>
        <v>17834.720727839092</v>
      </c>
      <c r="AU260" s="125">
        <f t="shared" si="6"/>
        <v>89941.173333992672</v>
      </c>
      <c r="AV260" s="125">
        <f t="shared" si="6"/>
        <v>92521.425068119817</v>
      </c>
      <c r="AW260" s="125">
        <f t="shared" si="6"/>
        <v>29868.078068724059</v>
      </c>
      <c r="AX260" s="125">
        <f t="shared" si="6"/>
        <v>8571.0315079304619</v>
      </c>
      <c r="AY260" s="125">
        <f t="shared" si="6"/>
        <v>49719.198711762569</v>
      </c>
      <c r="AZ260" s="141">
        <f>SUM($D260:$AY260)</f>
        <v>3444965.8547561271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20</v>
      </c>
      <c r="E6" s="100">
        <v>11568</v>
      </c>
      <c r="F6" s="100">
        <v>19</v>
      </c>
      <c r="G6" s="100">
        <v>10989.6</v>
      </c>
      <c r="H6" s="100">
        <v>15</v>
      </c>
      <c r="I6" s="100">
        <v>8676</v>
      </c>
      <c r="J6" s="100">
        <v>16.798908582670386</v>
      </c>
      <c r="K6" s="100">
        <v>9716.4887242165514</v>
      </c>
      <c r="L6" s="100">
        <v>20.432818073760075</v>
      </c>
      <c r="M6" s="100">
        <v>11818.341973862827</v>
      </c>
      <c r="N6" s="100">
        <v>13.963933089749574</v>
      </c>
      <c r="O6" s="100">
        <v>8076.7388991111529</v>
      </c>
      <c r="P6" s="100">
        <v>21.540254908013896</v>
      </c>
      <c r="Q6" s="100">
        <v>12458.883438795237</v>
      </c>
      <c r="R6" s="100">
        <v>19.516082017721811</v>
      </c>
      <c r="S6" s="100">
        <v>11288.101839050294</v>
      </c>
      <c r="T6" s="100">
        <v>13</v>
      </c>
      <c r="U6" s="100">
        <v>7519.2</v>
      </c>
      <c r="V6" s="100">
        <v>27</v>
      </c>
      <c r="W6" s="100">
        <v>15616.8</v>
      </c>
      <c r="X6" s="100">
        <v>13</v>
      </c>
      <c r="Y6" s="100">
        <v>7519.2</v>
      </c>
      <c r="Z6" s="100">
        <v>27</v>
      </c>
      <c r="AA6" s="100">
        <v>15616.8</v>
      </c>
      <c r="AB6" s="100">
        <v>20</v>
      </c>
      <c r="AC6" s="100">
        <v>11568</v>
      </c>
      <c r="AD6" s="100">
        <v>23</v>
      </c>
      <c r="AE6" s="100">
        <v>13303.199999999999</v>
      </c>
      <c r="AF6" s="100">
        <v>29</v>
      </c>
      <c r="AG6" s="100">
        <v>16773.599999999999</v>
      </c>
      <c r="AH6" s="100">
        <v>24</v>
      </c>
      <c r="AI6" s="100">
        <v>13881.599999999999</v>
      </c>
      <c r="AJ6" s="100">
        <v>11.920719758950854</v>
      </c>
      <c r="AK6" s="100">
        <v>6894.9443085771736</v>
      </c>
      <c r="AL6" s="100">
        <v>5.7589929816765219E-4</v>
      </c>
      <c r="AM6" s="100">
        <v>0.33310015406017002</v>
      </c>
      <c r="AN6" s="100">
        <v>5.8773284539003954E-4</v>
      </c>
      <c r="AO6" s="100">
        <v>0.33994467777359888</v>
      </c>
      <c r="AP6" s="100">
        <v>4.5504770302168214E-4</v>
      </c>
      <c r="AQ6" s="100">
        <v>0.26319959142774096</v>
      </c>
      <c r="AR6" s="100">
        <v>24</v>
      </c>
      <c r="AS6" s="100">
        <v>13881.599999999999</v>
      </c>
      <c r="AT6" s="100">
        <v>15</v>
      </c>
      <c r="AU6" s="100">
        <v>8676</v>
      </c>
      <c r="AV6" s="100">
        <v>22</v>
      </c>
      <c r="AW6" s="100">
        <v>12724.8</v>
      </c>
      <c r="AX6" s="100">
        <v>23</v>
      </c>
      <c r="AY6" s="100">
        <v>13303.199999999999</v>
      </c>
      <c r="AZ6" s="100">
        <v>20</v>
      </c>
      <c r="BA6" s="100">
        <v>11568</v>
      </c>
      <c r="BB6" s="100">
        <v>22</v>
      </c>
      <c r="BC6" s="100">
        <v>12724.8</v>
      </c>
      <c r="BD6" s="100">
        <v>28</v>
      </c>
      <c r="BE6" s="100">
        <v>16195.199999999999</v>
      </c>
      <c r="BF6" s="100">
        <v>22</v>
      </c>
      <c r="BG6" s="100">
        <v>12724.8</v>
      </c>
      <c r="BH6" s="100">
        <v>15</v>
      </c>
      <c r="BI6" s="100">
        <v>8676</v>
      </c>
      <c r="BJ6" s="100">
        <v>19</v>
      </c>
      <c r="BK6" s="100">
        <v>10989.6</v>
      </c>
      <c r="BL6" s="100">
        <v>24</v>
      </c>
      <c r="BM6" s="100">
        <v>13881.599999999999</v>
      </c>
      <c r="BN6" s="100">
        <v>26</v>
      </c>
      <c r="BO6" s="100">
        <v>15038.4</v>
      </c>
      <c r="BP6" s="100">
        <v>22</v>
      </c>
      <c r="BQ6" s="100">
        <v>12724.8</v>
      </c>
      <c r="BR6" s="100">
        <v>25</v>
      </c>
      <c r="BS6" s="100">
        <v>14460</v>
      </c>
      <c r="BT6" s="100">
        <v>27</v>
      </c>
      <c r="BU6" s="100">
        <v>15616.8</v>
      </c>
      <c r="BV6" s="100">
        <v>24</v>
      </c>
      <c r="BW6" s="100">
        <v>13881.599999999999</v>
      </c>
      <c r="BX6" s="100">
        <v>11.841321747259256</v>
      </c>
      <c r="BY6" s="100">
        <v>6849.0204986147537</v>
      </c>
      <c r="BZ6" s="100">
        <v>11.4277056257044</v>
      </c>
      <c r="CA6" s="100">
        <v>6609.7849339074246</v>
      </c>
      <c r="CB6" s="100">
        <v>17.998370201068536</v>
      </c>
      <c r="CC6" s="100">
        <v>10410.25732429804</v>
      </c>
      <c r="CD6" s="100">
        <v>14.826098913391705</v>
      </c>
      <c r="CE6" s="100">
        <v>8575.4156115057613</v>
      </c>
      <c r="CF6" s="100">
        <v>22.321683713825124</v>
      </c>
      <c r="CG6" s="100">
        <v>12910.861860076451</v>
      </c>
      <c r="CH6" s="100">
        <v>16.936697028013196</v>
      </c>
      <c r="CI6" s="100">
        <v>9796.1855610028324</v>
      </c>
      <c r="CJ6" s="100">
        <v>14.627335891023391</v>
      </c>
      <c r="CK6" s="100">
        <v>8460.4510793679292</v>
      </c>
      <c r="CL6" s="100">
        <v>17.425683031446646</v>
      </c>
      <c r="CM6" s="100">
        <v>10079.015065388739</v>
      </c>
      <c r="CN6" s="100">
        <v>19.29910704729167</v>
      </c>
      <c r="CO6" s="100">
        <v>11162.603516153502</v>
      </c>
      <c r="CP6" s="100">
        <v>23.065614385566725</v>
      </c>
      <c r="CQ6" s="100">
        <v>13341.151360611793</v>
      </c>
      <c r="CR6" s="100">
        <v>22.892645798507946</v>
      </c>
      <c r="CS6" s="100">
        <v>13241.106329856995</v>
      </c>
      <c r="CT6" s="100">
        <v>27.119072042976757</v>
      </c>
      <c r="CU6" s="100">
        <v>15685.671269657756</v>
      </c>
    </row>
    <row r="7" spans="1:99">
      <c r="C7" s="99" t="s">
        <v>173</v>
      </c>
      <c r="D7" s="100">
        <v>17</v>
      </c>
      <c r="E7" s="100">
        <v>13402.8</v>
      </c>
      <c r="F7" s="100">
        <v>19</v>
      </c>
      <c r="G7" s="100">
        <v>14979.6</v>
      </c>
      <c r="H7" s="100">
        <v>14</v>
      </c>
      <c r="I7" s="100">
        <v>11037.6</v>
      </c>
      <c r="J7" s="100">
        <v>14.9323631845959</v>
      </c>
      <c r="K7" s="100">
        <v>11772.675134735407</v>
      </c>
      <c r="L7" s="100">
        <v>19.544434679248766</v>
      </c>
      <c r="M7" s="100">
        <v>15408.832301119726</v>
      </c>
      <c r="N7" s="100">
        <v>14.961356881874543</v>
      </c>
      <c r="O7" s="100">
        <v>11795.53376566989</v>
      </c>
      <c r="P7" s="100">
        <v>23.335276150348385</v>
      </c>
      <c r="Q7" s="100">
        <v>18397.531716934667</v>
      </c>
      <c r="R7" s="100">
        <v>20.445419256660944</v>
      </c>
      <c r="S7" s="100">
        <v>16119.168541951489</v>
      </c>
      <c r="T7" s="100">
        <v>15</v>
      </c>
      <c r="U7" s="100">
        <v>11826</v>
      </c>
      <c r="V7" s="100">
        <v>28</v>
      </c>
      <c r="W7" s="100">
        <v>22075.200000000001</v>
      </c>
      <c r="X7" s="100">
        <v>13</v>
      </c>
      <c r="Y7" s="100">
        <v>10249.199999999999</v>
      </c>
      <c r="Z7" s="100">
        <v>28</v>
      </c>
      <c r="AA7" s="100">
        <v>22075.200000000001</v>
      </c>
      <c r="AB7" s="100">
        <v>21</v>
      </c>
      <c r="AC7" s="100">
        <v>16556.399999999998</v>
      </c>
      <c r="AD7" s="100">
        <v>21</v>
      </c>
      <c r="AE7" s="100">
        <v>16556.399999999998</v>
      </c>
      <c r="AF7" s="100">
        <v>24</v>
      </c>
      <c r="AG7" s="100">
        <v>18921.599999999999</v>
      </c>
      <c r="AH7" s="100">
        <v>22</v>
      </c>
      <c r="AI7" s="100">
        <v>17344.8</v>
      </c>
      <c r="AJ7" s="100">
        <v>11.479211619730451</v>
      </c>
      <c r="AK7" s="100">
        <v>9050.2104409954882</v>
      </c>
      <c r="AL7" s="100">
        <v>5.7589929816765219E-4</v>
      </c>
      <c r="AM7" s="100">
        <v>0.45403900667537694</v>
      </c>
      <c r="AN7" s="100">
        <v>5.8773284539003954E-4</v>
      </c>
      <c r="AO7" s="100">
        <v>0.46336857530550718</v>
      </c>
      <c r="AP7" s="100">
        <v>4.8755111038037375E-4</v>
      </c>
      <c r="AQ7" s="100">
        <v>0.38438529542388666</v>
      </c>
      <c r="AR7" s="100">
        <v>24</v>
      </c>
      <c r="AS7" s="100">
        <v>18921.599999999999</v>
      </c>
      <c r="AT7" s="100">
        <v>14</v>
      </c>
      <c r="AU7" s="100">
        <v>11037.6</v>
      </c>
      <c r="AV7" s="100">
        <v>18</v>
      </c>
      <c r="AW7" s="100">
        <v>14191.199999999999</v>
      </c>
      <c r="AX7" s="100">
        <v>20</v>
      </c>
      <c r="AY7" s="100">
        <v>15768</v>
      </c>
      <c r="AZ7" s="100">
        <v>20</v>
      </c>
      <c r="BA7" s="100">
        <v>15768</v>
      </c>
      <c r="BB7" s="100">
        <v>21</v>
      </c>
      <c r="BC7" s="100">
        <v>16556.399999999998</v>
      </c>
      <c r="BD7" s="100">
        <v>26</v>
      </c>
      <c r="BE7" s="100">
        <v>20498.399999999998</v>
      </c>
      <c r="BF7" s="100">
        <v>25</v>
      </c>
      <c r="BG7" s="100">
        <v>19710</v>
      </c>
      <c r="BH7" s="100">
        <v>16</v>
      </c>
      <c r="BI7" s="100">
        <v>12614.4</v>
      </c>
      <c r="BJ7" s="100">
        <v>19</v>
      </c>
      <c r="BK7" s="100">
        <v>14979.6</v>
      </c>
      <c r="BL7" s="100">
        <v>22</v>
      </c>
      <c r="BM7" s="100">
        <v>17344.8</v>
      </c>
      <c r="BN7" s="100">
        <v>24</v>
      </c>
      <c r="BO7" s="100">
        <v>18921.599999999999</v>
      </c>
      <c r="BP7" s="100">
        <v>25</v>
      </c>
      <c r="BQ7" s="100">
        <v>19710</v>
      </c>
      <c r="BR7" s="100">
        <v>27</v>
      </c>
      <c r="BS7" s="100">
        <v>21286.799999999999</v>
      </c>
      <c r="BT7" s="100">
        <v>25</v>
      </c>
      <c r="BU7" s="100">
        <v>19710</v>
      </c>
      <c r="BV7" s="100">
        <v>23</v>
      </c>
      <c r="BW7" s="100">
        <v>18133.2</v>
      </c>
      <c r="BX7" s="100">
        <v>11.183470539078186</v>
      </c>
      <c r="BY7" s="100">
        <v>8817.0481730092415</v>
      </c>
      <c r="BZ7" s="100">
        <v>11.046782104847587</v>
      </c>
      <c r="CA7" s="100">
        <v>8709.2830114618373</v>
      </c>
      <c r="CB7" s="100">
        <v>17.998370201068536</v>
      </c>
      <c r="CC7" s="100">
        <v>14189.915066522433</v>
      </c>
      <c r="CD7" s="100">
        <v>13.953975447898076</v>
      </c>
      <c r="CE7" s="100">
        <v>11001.314243122843</v>
      </c>
      <c r="CF7" s="100">
        <v>19.841496634511223</v>
      </c>
      <c r="CG7" s="100">
        <v>15643.035946648648</v>
      </c>
      <c r="CH7" s="100">
        <v>16.936697028013196</v>
      </c>
      <c r="CI7" s="100">
        <v>13352.891936885604</v>
      </c>
      <c r="CJ7" s="100">
        <v>16.577647343159839</v>
      </c>
      <c r="CK7" s="100">
        <v>13069.817165347216</v>
      </c>
      <c r="CL7" s="100">
        <v>19.25996545580945</v>
      </c>
      <c r="CM7" s="100">
        <v>15184.55676536017</v>
      </c>
      <c r="CN7" s="100">
        <v>17.544642770265153</v>
      </c>
      <c r="CO7" s="100">
        <v>13832.196360077045</v>
      </c>
      <c r="CP7" s="100">
        <v>19.884150332385108</v>
      </c>
      <c r="CQ7" s="100">
        <v>15676.664122052418</v>
      </c>
      <c r="CR7" s="100">
        <v>18.123344590485456</v>
      </c>
      <c r="CS7" s="100">
        <v>14288.444875138734</v>
      </c>
      <c r="CT7" s="100">
        <v>27.119072042976757</v>
      </c>
      <c r="CU7" s="100">
        <v>21380.676398682874</v>
      </c>
    </row>
    <row r="8" spans="1:99">
      <c r="C8" s="99" t="s">
        <v>174</v>
      </c>
      <c r="D8" s="100">
        <v>20</v>
      </c>
      <c r="E8" s="100">
        <v>6191.9999999999991</v>
      </c>
      <c r="F8" s="100">
        <v>20</v>
      </c>
      <c r="G8" s="100">
        <v>6191.9999999999991</v>
      </c>
      <c r="H8" s="100">
        <v>17</v>
      </c>
      <c r="I8" s="100">
        <v>5263.2</v>
      </c>
      <c r="J8" s="100">
        <v>15.865635883633143</v>
      </c>
      <c r="K8" s="100">
        <v>4912.0008695728202</v>
      </c>
      <c r="L8" s="100">
        <v>22.209584862782688</v>
      </c>
      <c r="M8" s="100">
        <v>6876.0874735175194</v>
      </c>
      <c r="N8" s="100">
        <v>12.966509297624604</v>
      </c>
      <c r="O8" s="100">
        <v>4014.4312785445773</v>
      </c>
      <c r="P8" s="100">
        <v>23.335276150348385</v>
      </c>
      <c r="Q8" s="100">
        <v>7224.6014961478595</v>
      </c>
      <c r="R8" s="100">
        <v>20.445419256660944</v>
      </c>
      <c r="S8" s="100">
        <v>6329.9018018622273</v>
      </c>
      <c r="T8" s="100">
        <v>15</v>
      </c>
      <c r="U8" s="100">
        <v>4643.9999999999991</v>
      </c>
      <c r="V8" s="100">
        <v>27</v>
      </c>
      <c r="W8" s="100">
        <v>8359.1999999999989</v>
      </c>
      <c r="X8" s="100">
        <v>14</v>
      </c>
      <c r="Y8" s="100">
        <v>4334.3999999999996</v>
      </c>
      <c r="Z8" s="100">
        <v>29</v>
      </c>
      <c r="AA8" s="100">
        <v>8978.4</v>
      </c>
      <c r="AB8" s="100">
        <v>21</v>
      </c>
      <c r="AC8" s="100">
        <v>6501.5999999999995</v>
      </c>
      <c r="AD8" s="100">
        <v>25</v>
      </c>
      <c r="AE8" s="100">
        <v>7739.9999999999991</v>
      </c>
      <c r="AF8" s="100">
        <v>28</v>
      </c>
      <c r="AG8" s="100">
        <v>8668.7999999999993</v>
      </c>
      <c r="AH8" s="100">
        <v>26</v>
      </c>
      <c r="AI8" s="100">
        <v>8049.5999999999995</v>
      </c>
      <c r="AJ8" s="100">
        <v>11.037703480510048</v>
      </c>
      <c r="AK8" s="100">
        <v>3417.2729975659104</v>
      </c>
      <c r="AL8" s="100">
        <v>6.1189300430313041E-4</v>
      </c>
      <c r="AM8" s="100">
        <v>0.18944207413224914</v>
      </c>
      <c r="AN8" s="100">
        <v>6.1711948765954161E-4</v>
      </c>
      <c r="AO8" s="100">
        <v>0.19106019337939406</v>
      </c>
      <c r="AP8" s="100">
        <v>5.5255792509775682E-4</v>
      </c>
      <c r="AQ8" s="100">
        <v>0.17107193361026549</v>
      </c>
      <c r="AR8" s="100">
        <v>24</v>
      </c>
      <c r="AS8" s="100">
        <v>7430.4</v>
      </c>
      <c r="AT8" s="100">
        <v>16</v>
      </c>
      <c r="AU8" s="100">
        <v>4953.5999999999995</v>
      </c>
      <c r="AV8" s="100">
        <v>20</v>
      </c>
      <c r="AW8" s="100">
        <v>6191.9999999999991</v>
      </c>
      <c r="AX8" s="100">
        <v>21</v>
      </c>
      <c r="AY8" s="100">
        <v>6501.5999999999995</v>
      </c>
      <c r="AZ8" s="100">
        <v>20</v>
      </c>
      <c r="BA8" s="100">
        <v>6191.9999999999991</v>
      </c>
      <c r="BB8" s="100">
        <v>22</v>
      </c>
      <c r="BC8" s="100">
        <v>6811.1999999999989</v>
      </c>
      <c r="BD8" s="100">
        <v>28</v>
      </c>
      <c r="BE8" s="100">
        <v>8668.7999999999993</v>
      </c>
      <c r="BF8" s="100">
        <v>23</v>
      </c>
      <c r="BG8" s="100">
        <v>7120.7999999999993</v>
      </c>
      <c r="BH8" s="100">
        <v>17</v>
      </c>
      <c r="BI8" s="100">
        <v>5263.2</v>
      </c>
      <c r="BJ8" s="100">
        <v>22</v>
      </c>
      <c r="BK8" s="100">
        <v>6811.1999999999989</v>
      </c>
      <c r="BL8" s="100">
        <v>25</v>
      </c>
      <c r="BM8" s="100">
        <v>7739.9999999999991</v>
      </c>
      <c r="BN8" s="100">
        <v>27</v>
      </c>
      <c r="BO8" s="100">
        <v>8359.1999999999989</v>
      </c>
      <c r="BP8" s="100">
        <v>23</v>
      </c>
      <c r="BQ8" s="100">
        <v>7120.7999999999993</v>
      </c>
      <c r="BR8" s="100">
        <v>26</v>
      </c>
      <c r="BS8" s="100">
        <v>8049.5999999999995</v>
      </c>
      <c r="BT8" s="100">
        <v>26</v>
      </c>
      <c r="BU8" s="100">
        <v>8049.5999999999995</v>
      </c>
      <c r="BV8" s="100">
        <v>23</v>
      </c>
      <c r="BW8" s="100">
        <v>7120.7999999999993</v>
      </c>
      <c r="BX8" s="100">
        <v>13.814875371802465</v>
      </c>
      <c r="BY8" s="100">
        <v>4277.085415110043</v>
      </c>
      <c r="BZ8" s="100">
        <v>11.4277056257044</v>
      </c>
      <c r="CA8" s="100">
        <v>3538.0176617180819</v>
      </c>
      <c r="CB8" s="100">
        <v>17.998370201068536</v>
      </c>
      <c r="CC8" s="100">
        <v>5572.2954142508179</v>
      </c>
      <c r="CD8" s="100">
        <v>15.698222378885337</v>
      </c>
      <c r="CE8" s="100">
        <v>4860.1696485028997</v>
      </c>
      <c r="CF8" s="100">
        <v>21.49495468738716</v>
      </c>
      <c r="CG8" s="100">
        <v>6654.8379712150645</v>
      </c>
      <c r="CH8" s="100">
        <v>15.15388681453812</v>
      </c>
      <c r="CI8" s="100">
        <v>4691.6433577810012</v>
      </c>
      <c r="CJ8" s="100">
        <v>15.602491617091617</v>
      </c>
      <c r="CK8" s="100">
        <v>4830.5314046515641</v>
      </c>
      <c r="CL8" s="100">
        <v>19.25996545580945</v>
      </c>
      <c r="CM8" s="100">
        <v>5962.8853051186052</v>
      </c>
      <c r="CN8" s="100">
        <v>19.29910704729167</v>
      </c>
      <c r="CO8" s="100">
        <v>5975.0035418415009</v>
      </c>
      <c r="CP8" s="100">
        <v>21.474882358975918</v>
      </c>
      <c r="CQ8" s="100">
        <v>6648.6235783389438</v>
      </c>
      <c r="CR8" s="100">
        <v>21.938785556903447</v>
      </c>
      <c r="CS8" s="100">
        <v>6792.2480084173067</v>
      </c>
      <c r="CT8" s="100">
        <v>26.183931627701696</v>
      </c>
      <c r="CU8" s="100">
        <v>8106.545231936444</v>
      </c>
    </row>
    <row r="9" spans="1:99">
      <c r="C9" s="99" t="s">
        <v>175</v>
      </c>
      <c r="D9" s="100">
        <v>19</v>
      </c>
      <c r="E9" s="100">
        <v>13338</v>
      </c>
      <c r="F9" s="100">
        <v>21</v>
      </c>
      <c r="G9" s="100">
        <v>14742</v>
      </c>
      <c r="H9" s="100">
        <v>17</v>
      </c>
      <c r="I9" s="100">
        <v>11934</v>
      </c>
      <c r="J9" s="100">
        <v>15.865635883633143</v>
      </c>
      <c r="K9" s="100">
        <v>11137.676390310466</v>
      </c>
      <c r="L9" s="100">
        <v>17.76766789022615</v>
      </c>
      <c r="M9" s="100">
        <v>12472.902858938758</v>
      </c>
      <c r="N9" s="100">
        <v>11.969085505499635</v>
      </c>
      <c r="O9" s="100">
        <v>8402.2980248607437</v>
      </c>
      <c r="P9" s="100">
        <v>21.540254908013896</v>
      </c>
      <c r="Q9" s="100">
        <v>15121.258945425756</v>
      </c>
      <c r="R9" s="100">
        <v>21.374756495600078</v>
      </c>
      <c r="S9" s="100">
        <v>15005.079059911255</v>
      </c>
      <c r="T9" s="100">
        <v>13</v>
      </c>
      <c r="U9" s="100">
        <v>9126</v>
      </c>
      <c r="V9" s="100">
        <v>26</v>
      </c>
      <c r="W9" s="100">
        <v>18252</v>
      </c>
      <c r="X9" s="100">
        <v>15</v>
      </c>
      <c r="Y9" s="100">
        <v>10530</v>
      </c>
      <c r="Z9" s="100">
        <v>24</v>
      </c>
      <c r="AA9" s="100">
        <v>16848</v>
      </c>
      <c r="AB9" s="100">
        <v>20</v>
      </c>
      <c r="AC9" s="100">
        <v>14040</v>
      </c>
      <c r="AD9" s="100">
        <v>22</v>
      </c>
      <c r="AE9" s="100">
        <v>15444</v>
      </c>
      <c r="AF9" s="100">
        <v>25</v>
      </c>
      <c r="AG9" s="100">
        <v>17550</v>
      </c>
      <c r="AH9" s="100">
        <v>23</v>
      </c>
      <c r="AI9" s="100">
        <v>16146</v>
      </c>
      <c r="AJ9" s="100">
        <v>11.037703480510048</v>
      </c>
      <c r="AK9" s="100">
        <v>7748.4678433180543</v>
      </c>
      <c r="AL9" s="100">
        <v>6.4788671043860863E-4</v>
      </c>
      <c r="AM9" s="100">
        <v>0.45481647072790327</v>
      </c>
      <c r="AN9" s="100">
        <v>5.289595608510355E-4</v>
      </c>
      <c r="AO9" s="100">
        <v>0.3713296117174269</v>
      </c>
      <c r="AP9" s="100">
        <v>4.8755111038037375E-4</v>
      </c>
      <c r="AQ9" s="100">
        <v>0.34226087948702238</v>
      </c>
      <c r="AR9" s="100">
        <v>24</v>
      </c>
      <c r="AS9" s="100">
        <v>16848</v>
      </c>
      <c r="AT9" s="100">
        <v>14</v>
      </c>
      <c r="AU9" s="100">
        <v>9828</v>
      </c>
      <c r="AV9" s="100">
        <v>19</v>
      </c>
      <c r="AW9" s="100">
        <v>13338</v>
      </c>
      <c r="AX9" s="100">
        <v>23</v>
      </c>
      <c r="AY9" s="100">
        <v>16146</v>
      </c>
      <c r="AZ9" s="100">
        <v>21</v>
      </c>
      <c r="BA9" s="100">
        <v>14742</v>
      </c>
      <c r="BB9" s="100">
        <v>22</v>
      </c>
      <c r="BC9" s="100">
        <v>15444</v>
      </c>
      <c r="BD9" s="100">
        <v>29</v>
      </c>
      <c r="BE9" s="100">
        <v>20358</v>
      </c>
      <c r="BF9" s="100">
        <v>27</v>
      </c>
      <c r="BG9" s="100">
        <v>18954</v>
      </c>
      <c r="BH9" s="100">
        <v>15</v>
      </c>
      <c r="BI9" s="100">
        <v>10530</v>
      </c>
      <c r="BJ9" s="100">
        <v>20</v>
      </c>
      <c r="BK9" s="100">
        <v>14040</v>
      </c>
      <c r="BL9" s="100">
        <v>21</v>
      </c>
      <c r="BM9" s="100">
        <v>14742</v>
      </c>
      <c r="BN9" s="100">
        <v>22</v>
      </c>
      <c r="BO9" s="100">
        <v>15444</v>
      </c>
      <c r="BP9" s="100">
        <v>24</v>
      </c>
      <c r="BQ9" s="100">
        <v>16848</v>
      </c>
      <c r="BR9" s="100">
        <v>27</v>
      </c>
      <c r="BS9" s="100">
        <v>18954</v>
      </c>
      <c r="BT9" s="100">
        <v>25</v>
      </c>
      <c r="BU9" s="100">
        <v>17550</v>
      </c>
      <c r="BV9" s="100">
        <v>22</v>
      </c>
      <c r="BW9" s="100">
        <v>15444</v>
      </c>
      <c r="BX9" s="100">
        <v>12.499172955440326</v>
      </c>
      <c r="BY9" s="100">
        <v>8774.4194147191083</v>
      </c>
      <c r="BZ9" s="100">
        <v>11.046782104847587</v>
      </c>
      <c r="CA9" s="100">
        <v>7754.841037603006</v>
      </c>
      <c r="CB9" s="100">
        <v>17.278435393025795</v>
      </c>
      <c r="CC9" s="100">
        <v>12129.461645904108</v>
      </c>
      <c r="CD9" s="100">
        <v>12.209728516910817</v>
      </c>
      <c r="CE9" s="100">
        <v>8571.2294188713931</v>
      </c>
      <c r="CF9" s="100">
        <v>19.841496634511223</v>
      </c>
      <c r="CG9" s="100">
        <v>13928.730637426879</v>
      </c>
      <c r="CH9" s="100">
        <v>17.828102134750733</v>
      </c>
      <c r="CI9" s="100">
        <v>12515.327698595014</v>
      </c>
      <c r="CJ9" s="100">
        <v>16.577647343159839</v>
      </c>
      <c r="CK9" s="100">
        <v>11637.508434898207</v>
      </c>
      <c r="CL9" s="100">
        <v>16.508541819265243</v>
      </c>
      <c r="CM9" s="100">
        <v>11588.996357124201</v>
      </c>
      <c r="CN9" s="100">
        <v>15.790178493238638</v>
      </c>
      <c r="CO9" s="100">
        <v>11084.705302253524</v>
      </c>
      <c r="CP9" s="100">
        <v>22.270248372271322</v>
      </c>
      <c r="CQ9" s="100">
        <v>15633.714357334467</v>
      </c>
      <c r="CR9" s="100">
        <v>21.938785556903447</v>
      </c>
      <c r="CS9" s="100">
        <v>15401.027460946219</v>
      </c>
      <c r="CT9" s="100">
        <v>25.248791212426635</v>
      </c>
      <c r="CU9" s="100">
        <v>17724.651431123497</v>
      </c>
    </row>
    <row r="10" spans="1:99">
      <c r="C10" s="99" t="s">
        <v>176</v>
      </c>
      <c r="D10" s="100">
        <v>20</v>
      </c>
      <c r="E10" s="100">
        <v>10896</v>
      </c>
      <c r="F10" s="100">
        <v>20</v>
      </c>
      <c r="G10" s="100">
        <v>10896</v>
      </c>
      <c r="H10" s="100">
        <v>14</v>
      </c>
      <c r="I10" s="100">
        <v>7627.1999999999989</v>
      </c>
      <c r="J10" s="100">
        <v>16.798908582670386</v>
      </c>
      <c r="K10" s="100">
        <v>9152.0453958388262</v>
      </c>
      <c r="L10" s="100">
        <v>21.321201468271379</v>
      </c>
      <c r="M10" s="100">
        <v>11615.790559914247</v>
      </c>
      <c r="N10" s="100">
        <v>14.961356881874543</v>
      </c>
      <c r="O10" s="100">
        <v>8150.947229245251</v>
      </c>
      <c r="P10" s="100">
        <v>21.540254908013896</v>
      </c>
      <c r="Q10" s="100">
        <v>11735.13087388597</v>
      </c>
      <c r="R10" s="100">
        <v>22.304093734539212</v>
      </c>
      <c r="S10" s="100">
        <v>12151.270266576961</v>
      </c>
      <c r="T10" s="100">
        <v>15</v>
      </c>
      <c r="U10" s="100">
        <v>8171.9999999999991</v>
      </c>
      <c r="V10" s="100">
        <v>29</v>
      </c>
      <c r="W10" s="100">
        <v>15799.199999999999</v>
      </c>
      <c r="X10" s="100">
        <v>15</v>
      </c>
      <c r="Y10" s="100">
        <v>8171.9999999999991</v>
      </c>
      <c r="Z10" s="100">
        <v>25</v>
      </c>
      <c r="AA10" s="100">
        <v>13619.999999999998</v>
      </c>
      <c r="AB10" s="100">
        <v>20</v>
      </c>
      <c r="AC10" s="100">
        <v>10896</v>
      </c>
      <c r="AD10" s="100">
        <v>23</v>
      </c>
      <c r="AE10" s="100">
        <v>12530.4</v>
      </c>
      <c r="AF10" s="100">
        <v>26</v>
      </c>
      <c r="AG10" s="100">
        <v>14164.8</v>
      </c>
      <c r="AH10" s="100">
        <v>28</v>
      </c>
      <c r="AI10" s="100">
        <v>15254.399999999998</v>
      </c>
      <c r="AJ10" s="100">
        <v>11.479211619730451</v>
      </c>
      <c r="AK10" s="100">
        <v>6253.8744904291489</v>
      </c>
      <c r="AL10" s="100">
        <v>5.7589929816765219E-4</v>
      </c>
      <c r="AM10" s="100">
        <v>0.31374993764173686</v>
      </c>
      <c r="AN10" s="100">
        <v>5.289595608510355E-4</v>
      </c>
      <c r="AO10" s="100">
        <v>0.28817716875164412</v>
      </c>
      <c r="AP10" s="100">
        <v>5.5255792509775682E-4</v>
      </c>
      <c r="AQ10" s="100">
        <v>0.30103355759325789</v>
      </c>
      <c r="AR10" s="100">
        <v>24</v>
      </c>
      <c r="AS10" s="100">
        <v>13075.199999999999</v>
      </c>
      <c r="AT10" s="100">
        <v>14</v>
      </c>
      <c r="AU10" s="100">
        <v>7627.1999999999989</v>
      </c>
      <c r="AV10" s="100">
        <v>19</v>
      </c>
      <c r="AW10" s="100">
        <v>10351.199999999999</v>
      </c>
      <c r="AX10" s="100">
        <v>22</v>
      </c>
      <c r="AY10" s="100">
        <v>11985.599999999999</v>
      </c>
      <c r="AZ10" s="100">
        <v>22</v>
      </c>
      <c r="BA10" s="100">
        <v>11985.599999999999</v>
      </c>
      <c r="BB10" s="100">
        <v>22</v>
      </c>
      <c r="BC10" s="100">
        <v>11985.599999999999</v>
      </c>
      <c r="BD10" s="100">
        <v>27</v>
      </c>
      <c r="BE10" s="100">
        <v>14709.599999999999</v>
      </c>
      <c r="BF10" s="100">
        <v>25</v>
      </c>
      <c r="BG10" s="100">
        <v>13619.999999999998</v>
      </c>
      <c r="BH10" s="100">
        <v>14</v>
      </c>
      <c r="BI10" s="100">
        <v>7627.1999999999989</v>
      </c>
      <c r="BJ10" s="100">
        <v>21</v>
      </c>
      <c r="BK10" s="100">
        <v>11440.8</v>
      </c>
      <c r="BL10" s="100">
        <v>26</v>
      </c>
      <c r="BM10" s="100">
        <v>14164.8</v>
      </c>
      <c r="BN10" s="100">
        <v>24</v>
      </c>
      <c r="BO10" s="100">
        <v>13075.199999999999</v>
      </c>
      <c r="BP10" s="100">
        <v>25</v>
      </c>
      <c r="BQ10" s="100">
        <v>13619.999999999998</v>
      </c>
      <c r="BR10" s="100">
        <v>27</v>
      </c>
      <c r="BS10" s="100">
        <v>14709.599999999999</v>
      </c>
      <c r="BT10" s="100">
        <v>28</v>
      </c>
      <c r="BU10" s="100">
        <v>15254.399999999998</v>
      </c>
      <c r="BV10" s="100">
        <v>22</v>
      </c>
      <c r="BW10" s="100">
        <v>11985.599999999999</v>
      </c>
      <c r="BX10" s="100">
        <v>12.499172955440326</v>
      </c>
      <c r="BY10" s="100">
        <v>6809.5494261238891</v>
      </c>
      <c r="BZ10" s="100">
        <v>11.046782104847587</v>
      </c>
      <c r="CA10" s="100">
        <v>6018.2868907209649</v>
      </c>
      <c r="CB10" s="100">
        <v>17.278435393025795</v>
      </c>
      <c r="CC10" s="100">
        <v>9413.2916021204528</v>
      </c>
      <c r="CD10" s="100">
        <v>13.081851982404446</v>
      </c>
      <c r="CE10" s="100">
        <v>7126.9929600139412</v>
      </c>
      <c r="CF10" s="100">
        <v>22.321683713825124</v>
      </c>
      <c r="CG10" s="100">
        <v>12160.853287291926</v>
      </c>
      <c r="CH10" s="100">
        <v>16.045291921275656</v>
      </c>
      <c r="CI10" s="100">
        <v>8741.4750387109762</v>
      </c>
      <c r="CJ10" s="100">
        <v>16.577647343159839</v>
      </c>
      <c r="CK10" s="100">
        <v>9031.50227255348</v>
      </c>
      <c r="CL10" s="100">
        <v>17.425683031446646</v>
      </c>
      <c r="CM10" s="100">
        <v>9493.5121155321322</v>
      </c>
      <c r="CN10" s="100">
        <v>15.790178493238638</v>
      </c>
      <c r="CO10" s="100">
        <v>8602.4892431164099</v>
      </c>
      <c r="CP10" s="100">
        <v>24.656346412157536</v>
      </c>
      <c r="CQ10" s="100">
        <v>13432.777525343425</v>
      </c>
      <c r="CR10" s="100">
        <v>21.938785556903447</v>
      </c>
      <c r="CS10" s="100">
        <v>11952.250371400996</v>
      </c>
      <c r="CT10" s="100">
        <v>26.183931627701696</v>
      </c>
      <c r="CU10" s="100">
        <v>14265.005950771883</v>
      </c>
    </row>
    <row r="11" spans="1:99">
      <c r="C11" s="99" t="s">
        <v>177</v>
      </c>
      <c r="D11" s="100">
        <v>20</v>
      </c>
      <c r="E11" s="100">
        <v>10656</v>
      </c>
      <c r="F11" s="100">
        <v>22</v>
      </c>
      <c r="G11" s="100">
        <v>11721.599999999999</v>
      </c>
      <c r="H11" s="100">
        <v>14</v>
      </c>
      <c r="I11" s="100">
        <v>7459.1999999999989</v>
      </c>
      <c r="J11" s="100">
        <v>14.9323631845959</v>
      </c>
      <c r="K11" s="100">
        <v>7955.9631047526946</v>
      </c>
      <c r="L11" s="100">
        <v>21.321201468271379</v>
      </c>
      <c r="M11" s="100">
        <v>11359.93614229499</v>
      </c>
      <c r="N11" s="100">
        <v>12.966509297624604</v>
      </c>
      <c r="O11" s="100">
        <v>6908.5561537743888</v>
      </c>
      <c r="P11" s="100">
        <v>22.437765529181142</v>
      </c>
      <c r="Q11" s="100">
        <v>11954.841473947712</v>
      </c>
      <c r="R11" s="100">
        <v>22.304093734539212</v>
      </c>
      <c r="S11" s="100">
        <v>11883.621141762491</v>
      </c>
      <c r="T11" s="100">
        <v>13</v>
      </c>
      <c r="U11" s="100">
        <v>6926.4</v>
      </c>
      <c r="V11" s="100">
        <v>26</v>
      </c>
      <c r="W11" s="100">
        <v>13852.8</v>
      </c>
      <c r="X11" s="100">
        <v>14</v>
      </c>
      <c r="Y11" s="100">
        <v>7459.1999999999989</v>
      </c>
      <c r="Z11" s="100">
        <v>26</v>
      </c>
      <c r="AA11" s="100">
        <v>13852.8</v>
      </c>
      <c r="AB11" s="100">
        <v>20</v>
      </c>
      <c r="AC11" s="100">
        <v>10656</v>
      </c>
      <c r="AD11" s="100">
        <v>22</v>
      </c>
      <c r="AE11" s="100">
        <v>11721.599999999999</v>
      </c>
      <c r="AF11" s="100">
        <v>26</v>
      </c>
      <c r="AG11" s="100">
        <v>13852.8</v>
      </c>
      <c r="AH11" s="100">
        <v>24</v>
      </c>
      <c r="AI11" s="100">
        <v>12787.199999999999</v>
      </c>
      <c r="AJ11" s="100">
        <v>11.479211619730451</v>
      </c>
      <c r="AK11" s="100">
        <v>6116.1239509923835</v>
      </c>
      <c r="AL11" s="100">
        <v>5.7589929816765219E-4</v>
      </c>
      <c r="AM11" s="100">
        <v>0.30683914606372503</v>
      </c>
      <c r="AN11" s="100">
        <v>5.289595608510355E-4</v>
      </c>
      <c r="AO11" s="100">
        <v>0.28182965402143167</v>
      </c>
      <c r="AP11" s="100">
        <v>5.2005451773906532E-4</v>
      </c>
      <c r="AQ11" s="100">
        <v>0.27708504705137399</v>
      </c>
      <c r="AR11" s="100">
        <v>24</v>
      </c>
      <c r="AS11" s="100">
        <v>12787.199999999999</v>
      </c>
      <c r="AT11" s="100">
        <v>15</v>
      </c>
      <c r="AU11" s="100">
        <v>7991.9999999999991</v>
      </c>
      <c r="AV11" s="100">
        <v>19</v>
      </c>
      <c r="AW11" s="100">
        <v>10123.199999999999</v>
      </c>
      <c r="AX11" s="100">
        <v>25</v>
      </c>
      <c r="AY11" s="100">
        <v>13319.999999999998</v>
      </c>
      <c r="AZ11" s="100">
        <v>20</v>
      </c>
      <c r="BA11" s="100">
        <v>10656</v>
      </c>
      <c r="BB11" s="100">
        <v>24</v>
      </c>
      <c r="BC11" s="100">
        <v>12787.199999999999</v>
      </c>
      <c r="BD11" s="100">
        <v>28</v>
      </c>
      <c r="BE11" s="100">
        <v>14918.399999999998</v>
      </c>
      <c r="BF11" s="100">
        <v>26</v>
      </c>
      <c r="BG11" s="100">
        <v>13852.8</v>
      </c>
      <c r="BH11" s="100">
        <v>15</v>
      </c>
      <c r="BI11" s="100">
        <v>7991.9999999999991</v>
      </c>
      <c r="BJ11" s="100">
        <v>21</v>
      </c>
      <c r="BK11" s="100">
        <v>11188.8</v>
      </c>
      <c r="BL11" s="100">
        <v>24</v>
      </c>
      <c r="BM11" s="100">
        <v>12787.199999999999</v>
      </c>
      <c r="BN11" s="100">
        <v>25</v>
      </c>
      <c r="BO11" s="100">
        <v>13319.999999999998</v>
      </c>
      <c r="BP11" s="100">
        <v>25</v>
      </c>
      <c r="BQ11" s="100">
        <v>13319.999999999998</v>
      </c>
      <c r="BR11" s="100">
        <v>29</v>
      </c>
      <c r="BS11" s="100">
        <v>15451.199999999999</v>
      </c>
      <c r="BT11" s="100">
        <v>26</v>
      </c>
      <c r="BU11" s="100">
        <v>13852.8</v>
      </c>
      <c r="BV11" s="100">
        <v>25</v>
      </c>
      <c r="BW11" s="100">
        <v>13319.999999999998</v>
      </c>
      <c r="BX11" s="100">
        <v>13.814875371802465</v>
      </c>
      <c r="BY11" s="100">
        <v>7360.5655980963529</v>
      </c>
      <c r="BZ11" s="100">
        <v>11.4277056257044</v>
      </c>
      <c r="CA11" s="100">
        <v>6088.6815573753038</v>
      </c>
      <c r="CB11" s="100">
        <v>17.998370201068536</v>
      </c>
      <c r="CC11" s="100">
        <v>9589.531643129314</v>
      </c>
      <c r="CD11" s="100">
        <v>13.081851982404446</v>
      </c>
      <c r="CE11" s="100">
        <v>6970.0107362250883</v>
      </c>
      <c r="CF11" s="100">
        <v>19.841496634511223</v>
      </c>
      <c r="CG11" s="100">
        <v>10571.549406867578</v>
      </c>
      <c r="CH11" s="100">
        <v>17.828102134750733</v>
      </c>
      <c r="CI11" s="100">
        <v>9498.81281739519</v>
      </c>
      <c r="CJ11" s="100">
        <v>17.552803069228069</v>
      </c>
      <c r="CK11" s="100">
        <v>9352.1334752847142</v>
      </c>
      <c r="CL11" s="100">
        <v>19.25996545580945</v>
      </c>
      <c r="CM11" s="100">
        <v>10261.709594855274</v>
      </c>
      <c r="CN11" s="100">
        <v>16.667410631751896</v>
      </c>
      <c r="CO11" s="100">
        <v>8880.3963845974085</v>
      </c>
      <c r="CP11" s="100">
        <v>24.656346412157536</v>
      </c>
      <c r="CQ11" s="100">
        <v>13136.901368397534</v>
      </c>
      <c r="CR11" s="100">
        <v>21.938785556903447</v>
      </c>
      <c r="CS11" s="100">
        <v>11688.984944718155</v>
      </c>
      <c r="CT11" s="100">
        <v>28.054212458251818</v>
      </c>
      <c r="CU11" s="100">
        <v>14947.284397756568</v>
      </c>
    </row>
    <row r="12" spans="1:99">
      <c r="C12" s="99" t="s">
        <v>178</v>
      </c>
      <c r="D12" s="100">
        <v>17</v>
      </c>
      <c r="E12" s="100">
        <v>9567.5999999999985</v>
      </c>
      <c r="F12" s="100">
        <v>21</v>
      </c>
      <c r="G12" s="100">
        <v>11818.8</v>
      </c>
      <c r="H12" s="100">
        <v>15</v>
      </c>
      <c r="I12" s="100">
        <v>8442</v>
      </c>
      <c r="J12" s="100">
        <v>16.798908582670386</v>
      </c>
      <c r="K12" s="100">
        <v>9454.4257503268927</v>
      </c>
      <c r="L12" s="100">
        <v>19.544434679248766</v>
      </c>
      <c r="M12" s="100">
        <v>10999.607837481204</v>
      </c>
      <c r="N12" s="100">
        <v>12.966509297624604</v>
      </c>
      <c r="O12" s="100">
        <v>7297.5514327031269</v>
      </c>
      <c r="P12" s="100">
        <v>25.130297392682877</v>
      </c>
      <c r="Q12" s="100">
        <v>14143.331372601922</v>
      </c>
      <c r="R12" s="100">
        <v>19.516082017721811</v>
      </c>
      <c r="S12" s="100">
        <v>10983.650959573833</v>
      </c>
      <c r="T12" s="100">
        <v>15</v>
      </c>
      <c r="U12" s="100">
        <v>8442</v>
      </c>
      <c r="V12" s="100">
        <v>25</v>
      </c>
      <c r="W12" s="100">
        <v>14069.999999999998</v>
      </c>
      <c r="X12" s="100">
        <v>14</v>
      </c>
      <c r="Y12" s="100">
        <v>7879.1999999999989</v>
      </c>
      <c r="Z12" s="100">
        <v>29</v>
      </c>
      <c r="AA12" s="100">
        <v>16321.199999999999</v>
      </c>
      <c r="AB12" s="100">
        <v>20</v>
      </c>
      <c r="AC12" s="100">
        <v>11256</v>
      </c>
      <c r="AD12" s="100">
        <v>23</v>
      </c>
      <c r="AE12" s="100">
        <v>12944.4</v>
      </c>
      <c r="AF12" s="100">
        <v>27</v>
      </c>
      <c r="AG12" s="100">
        <v>15195.599999999999</v>
      </c>
      <c r="AH12" s="100">
        <v>27</v>
      </c>
      <c r="AI12" s="100">
        <v>15195.599999999999</v>
      </c>
      <c r="AJ12" s="100">
        <v>11.479211619730451</v>
      </c>
      <c r="AK12" s="100">
        <v>6460.5002995842979</v>
      </c>
      <c r="AL12" s="100">
        <v>6.4788671043860863E-4</v>
      </c>
      <c r="AM12" s="100">
        <v>0.3646306406348489</v>
      </c>
      <c r="AN12" s="100">
        <v>6.1711948765954161E-4</v>
      </c>
      <c r="AO12" s="100">
        <v>0.34731484765478998</v>
      </c>
      <c r="AP12" s="100">
        <v>4.5504770302168214E-4</v>
      </c>
      <c r="AQ12" s="100">
        <v>0.25610084726060267</v>
      </c>
      <c r="AR12" s="100">
        <v>24</v>
      </c>
      <c r="AS12" s="100">
        <v>13507.199999999999</v>
      </c>
      <c r="AT12" s="100">
        <v>14</v>
      </c>
      <c r="AU12" s="100">
        <v>7879.1999999999989</v>
      </c>
      <c r="AV12" s="100">
        <v>19</v>
      </c>
      <c r="AW12" s="100">
        <v>10693.199999999999</v>
      </c>
      <c r="AX12" s="100">
        <v>25</v>
      </c>
      <c r="AY12" s="100">
        <v>14069.999999999998</v>
      </c>
      <c r="AZ12" s="100">
        <v>22</v>
      </c>
      <c r="BA12" s="100">
        <v>12381.599999999999</v>
      </c>
      <c r="BB12" s="100">
        <v>24</v>
      </c>
      <c r="BC12" s="100">
        <v>13507.199999999999</v>
      </c>
      <c r="BD12" s="100">
        <v>30</v>
      </c>
      <c r="BE12" s="100">
        <v>16884</v>
      </c>
      <c r="BF12" s="100">
        <v>24</v>
      </c>
      <c r="BG12" s="100">
        <v>13507.199999999999</v>
      </c>
      <c r="BH12" s="100">
        <v>16</v>
      </c>
      <c r="BI12" s="100">
        <v>9004.7999999999993</v>
      </c>
      <c r="BJ12" s="100">
        <v>21</v>
      </c>
      <c r="BK12" s="100">
        <v>11818.8</v>
      </c>
      <c r="BL12" s="100">
        <v>21</v>
      </c>
      <c r="BM12" s="100">
        <v>11818.8</v>
      </c>
      <c r="BN12" s="100">
        <v>25</v>
      </c>
      <c r="BO12" s="100">
        <v>14069.999999999998</v>
      </c>
      <c r="BP12" s="100">
        <v>23</v>
      </c>
      <c r="BQ12" s="100">
        <v>12944.4</v>
      </c>
      <c r="BR12" s="100">
        <v>26</v>
      </c>
      <c r="BS12" s="100">
        <v>14632.8</v>
      </c>
      <c r="BT12" s="100">
        <v>25</v>
      </c>
      <c r="BU12" s="100">
        <v>14069.999999999998</v>
      </c>
      <c r="BV12" s="100">
        <v>21</v>
      </c>
      <c r="BW12" s="100">
        <v>11818.8</v>
      </c>
      <c r="BX12" s="100">
        <v>12.499172955440326</v>
      </c>
      <c r="BY12" s="100">
        <v>7034.5345393218149</v>
      </c>
      <c r="BZ12" s="100">
        <v>11.4277056257044</v>
      </c>
      <c r="CA12" s="100">
        <v>6431.5127261464359</v>
      </c>
      <c r="CB12" s="100">
        <v>15.838565776940312</v>
      </c>
      <c r="CC12" s="100">
        <v>8913.9448192620075</v>
      </c>
      <c r="CD12" s="100">
        <v>14.826098913391705</v>
      </c>
      <c r="CE12" s="100">
        <v>8344.1284684568509</v>
      </c>
      <c r="CF12" s="100">
        <v>20.66822566094919</v>
      </c>
      <c r="CG12" s="100">
        <v>11632.077401982204</v>
      </c>
      <c r="CH12" s="100">
        <v>16.045291921275656</v>
      </c>
      <c r="CI12" s="100">
        <v>9030.2902932939378</v>
      </c>
      <c r="CJ12" s="100">
        <v>15.602491617091617</v>
      </c>
      <c r="CK12" s="100">
        <v>8781.0822820991616</v>
      </c>
      <c r="CL12" s="100">
        <v>19.25996545580945</v>
      </c>
      <c r="CM12" s="100">
        <v>10839.508558529558</v>
      </c>
      <c r="CN12" s="100">
        <v>17.544642770265153</v>
      </c>
      <c r="CO12" s="100">
        <v>9874.1249511052265</v>
      </c>
      <c r="CP12" s="100">
        <v>23.860980398862129</v>
      </c>
      <c r="CQ12" s="100">
        <v>13428.959768479604</v>
      </c>
      <c r="CR12" s="100">
        <v>22.892645798507946</v>
      </c>
      <c r="CS12" s="100">
        <v>12883.981055400271</v>
      </c>
      <c r="CT12" s="100">
        <v>26.183931627701696</v>
      </c>
      <c r="CU12" s="100">
        <v>14736.316720070514</v>
      </c>
    </row>
    <row r="13" spans="1:99">
      <c r="C13" s="99" t="s">
        <v>179</v>
      </c>
      <c r="D13" s="100">
        <v>20</v>
      </c>
      <c r="E13" s="100">
        <v>1704</v>
      </c>
      <c r="F13" s="100">
        <v>22</v>
      </c>
      <c r="G13" s="100">
        <v>1874.4</v>
      </c>
      <c r="H13" s="100">
        <v>16</v>
      </c>
      <c r="I13" s="100">
        <v>1363.2</v>
      </c>
      <c r="J13" s="100">
        <v>17.732181281707629</v>
      </c>
      <c r="K13" s="100">
        <v>1510.7818452014901</v>
      </c>
      <c r="L13" s="100">
        <v>23.097968257293996</v>
      </c>
      <c r="M13" s="100">
        <v>1967.9468955214486</v>
      </c>
      <c r="N13" s="100">
        <v>14.961356881874543</v>
      </c>
      <c r="O13" s="100">
        <v>1274.707606335711</v>
      </c>
      <c r="P13" s="100">
        <v>22.437765529181142</v>
      </c>
      <c r="Q13" s="100">
        <v>1911.6976230862333</v>
      </c>
      <c r="R13" s="100">
        <v>24.162768212417479</v>
      </c>
      <c r="S13" s="100">
        <v>2058.6678516979691</v>
      </c>
      <c r="T13" s="100">
        <v>15</v>
      </c>
      <c r="U13" s="100">
        <v>1278</v>
      </c>
      <c r="V13" s="100">
        <v>30</v>
      </c>
      <c r="W13" s="100">
        <v>2556</v>
      </c>
      <c r="X13" s="100">
        <v>15</v>
      </c>
      <c r="Y13" s="100">
        <v>1278</v>
      </c>
      <c r="Z13" s="100">
        <v>27</v>
      </c>
      <c r="AA13" s="100">
        <v>2300.4</v>
      </c>
      <c r="AB13" s="100">
        <v>19</v>
      </c>
      <c r="AC13" s="100">
        <v>1618.8</v>
      </c>
      <c r="AD13" s="100">
        <v>21</v>
      </c>
      <c r="AE13" s="100">
        <v>1789.2</v>
      </c>
      <c r="AF13" s="100">
        <v>25</v>
      </c>
      <c r="AG13" s="100">
        <v>2130</v>
      </c>
      <c r="AH13" s="100">
        <v>29</v>
      </c>
      <c r="AI13" s="100">
        <v>2470.8000000000002</v>
      </c>
      <c r="AJ13" s="100">
        <v>12.362227898171255</v>
      </c>
      <c r="AK13" s="100">
        <v>1053.261816924191</v>
      </c>
      <c r="AL13" s="100">
        <v>6.4788671043860863E-4</v>
      </c>
      <c r="AM13" s="100">
        <v>5.519994772936946E-2</v>
      </c>
      <c r="AN13" s="100">
        <v>6.1711948765954161E-4</v>
      </c>
      <c r="AO13" s="100">
        <v>5.2578580348592946E-2</v>
      </c>
      <c r="AP13" s="100">
        <v>5.5255792509775682E-4</v>
      </c>
      <c r="AQ13" s="100">
        <v>4.7077935218328884E-2</v>
      </c>
      <c r="AR13" s="100">
        <v>26</v>
      </c>
      <c r="AS13" s="100">
        <v>2215.2000000000003</v>
      </c>
      <c r="AT13" s="100">
        <v>17</v>
      </c>
      <c r="AU13" s="100">
        <v>1448.4</v>
      </c>
      <c r="AV13" s="100">
        <v>24</v>
      </c>
      <c r="AW13" s="100">
        <v>2044.8000000000002</v>
      </c>
      <c r="AX13" s="100">
        <v>25</v>
      </c>
      <c r="AY13" s="100">
        <v>2130</v>
      </c>
      <c r="AZ13" s="100">
        <v>23</v>
      </c>
      <c r="BA13" s="100">
        <v>1959.6000000000001</v>
      </c>
      <c r="BB13" s="100">
        <v>26</v>
      </c>
      <c r="BC13" s="100">
        <v>2215.2000000000003</v>
      </c>
      <c r="BD13" s="100">
        <v>30</v>
      </c>
      <c r="BE13" s="100">
        <v>2556</v>
      </c>
      <c r="BF13" s="100">
        <v>29</v>
      </c>
      <c r="BG13" s="100">
        <v>2470.8000000000002</v>
      </c>
      <c r="BH13" s="100">
        <v>17</v>
      </c>
      <c r="BI13" s="100">
        <v>1448.4</v>
      </c>
      <c r="BJ13" s="100">
        <v>24</v>
      </c>
      <c r="BK13" s="100">
        <v>2044.8000000000002</v>
      </c>
      <c r="BL13" s="100">
        <v>26</v>
      </c>
      <c r="BM13" s="100">
        <v>2215.2000000000003</v>
      </c>
      <c r="BN13" s="100">
        <v>23</v>
      </c>
      <c r="BO13" s="100">
        <v>1959.6000000000001</v>
      </c>
      <c r="BP13" s="100">
        <v>24</v>
      </c>
      <c r="BQ13" s="100">
        <v>2044.8000000000002</v>
      </c>
      <c r="BR13" s="100">
        <v>30</v>
      </c>
      <c r="BS13" s="100">
        <v>2556</v>
      </c>
      <c r="BT13" s="100">
        <v>25</v>
      </c>
      <c r="BU13" s="100">
        <v>2130</v>
      </c>
      <c r="BV13" s="100">
        <v>23</v>
      </c>
      <c r="BW13" s="100">
        <v>1959.6000000000001</v>
      </c>
      <c r="BX13" s="100">
        <v>13.814875371802465</v>
      </c>
      <c r="BY13" s="100">
        <v>1177.02738167757</v>
      </c>
      <c r="BZ13" s="100">
        <v>12.570476188274839</v>
      </c>
      <c r="CA13" s="100">
        <v>1071.0045712410163</v>
      </c>
      <c r="CB13" s="100">
        <v>19.43823981715402</v>
      </c>
      <c r="CC13" s="100">
        <v>1656.1380324215227</v>
      </c>
      <c r="CD13" s="100">
        <v>15.698222378885337</v>
      </c>
      <c r="CE13" s="100">
        <v>1337.4885466810308</v>
      </c>
      <c r="CF13" s="100">
        <v>24.801870793139027</v>
      </c>
      <c r="CG13" s="100">
        <v>2113.1193915754452</v>
      </c>
      <c r="CH13" s="100">
        <v>16.045291921275656</v>
      </c>
      <c r="CI13" s="100">
        <v>1367.0588716926859</v>
      </c>
      <c r="CJ13" s="100">
        <v>16.577647343159839</v>
      </c>
      <c r="CK13" s="100">
        <v>1412.4155536372184</v>
      </c>
      <c r="CL13" s="100">
        <v>21.094247880172258</v>
      </c>
      <c r="CM13" s="100">
        <v>1797.2299193906765</v>
      </c>
      <c r="CN13" s="100">
        <v>17.544642770265153</v>
      </c>
      <c r="CO13" s="100">
        <v>1494.8035640265909</v>
      </c>
      <c r="CP13" s="100">
        <v>23.860980398862129</v>
      </c>
      <c r="CQ13" s="100">
        <v>2032.9555299830533</v>
      </c>
      <c r="CR13" s="100">
        <v>21.938785556903447</v>
      </c>
      <c r="CS13" s="100">
        <v>1869.1845294481739</v>
      </c>
      <c r="CT13" s="100">
        <v>25.248791212426635</v>
      </c>
      <c r="CU13" s="100">
        <v>2151.1970112987492</v>
      </c>
    </row>
    <row r="14" spans="1:99">
      <c r="C14" s="99" t="s">
        <v>180</v>
      </c>
      <c r="D14" s="100">
        <v>19</v>
      </c>
      <c r="E14" s="100">
        <v>9279.6</v>
      </c>
      <c r="F14" s="100">
        <v>20</v>
      </c>
      <c r="G14" s="100">
        <v>9768</v>
      </c>
      <c r="H14" s="100">
        <v>16</v>
      </c>
      <c r="I14" s="100">
        <v>7814.4</v>
      </c>
      <c r="J14" s="100">
        <v>13.999090485558655</v>
      </c>
      <c r="K14" s="100">
        <v>6837.1557931468469</v>
      </c>
      <c r="L14" s="100">
        <v>21.321201468271379</v>
      </c>
      <c r="M14" s="100">
        <v>10413.274797103741</v>
      </c>
      <c r="N14" s="100">
        <v>14.961356881874543</v>
      </c>
      <c r="O14" s="100">
        <v>7307.126701107527</v>
      </c>
      <c r="P14" s="100">
        <v>25.130297392682877</v>
      </c>
      <c r="Q14" s="100">
        <v>12273.637246586317</v>
      </c>
      <c r="R14" s="100">
        <v>19.516082017721811</v>
      </c>
      <c r="S14" s="100">
        <v>9531.6544574553318</v>
      </c>
      <c r="T14" s="100">
        <v>14</v>
      </c>
      <c r="U14" s="100">
        <v>6837.5999999999995</v>
      </c>
      <c r="V14" s="100">
        <v>28</v>
      </c>
      <c r="W14" s="100">
        <v>13675.199999999999</v>
      </c>
      <c r="X14" s="100">
        <v>14</v>
      </c>
      <c r="Y14" s="100">
        <v>6837.5999999999995</v>
      </c>
      <c r="Z14" s="100">
        <v>28</v>
      </c>
      <c r="AA14" s="100">
        <v>13675.199999999999</v>
      </c>
      <c r="AB14" s="100">
        <v>22</v>
      </c>
      <c r="AC14" s="100">
        <v>10744.8</v>
      </c>
      <c r="AD14" s="100">
        <v>21</v>
      </c>
      <c r="AE14" s="100">
        <v>10256.4</v>
      </c>
      <c r="AF14" s="100">
        <v>29</v>
      </c>
      <c r="AG14" s="100">
        <v>14163.599999999999</v>
      </c>
      <c r="AH14" s="100">
        <v>27</v>
      </c>
      <c r="AI14" s="100">
        <v>13186.8</v>
      </c>
      <c r="AJ14" s="100">
        <v>11.037703480510048</v>
      </c>
      <c r="AK14" s="100">
        <v>5390.814379881107</v>
      </c>
      <c r="AL14" s="100">
        <v>6.4788671043860863E-4</v>
      </c>
      <c r="AM14" s="100">
        <v>0.31642786937821643</v>
      </c>
      <c r="AN14" s="100">
        <v>5.289595608510355E-4</v>
      </c>
      <c r="AO14" s="100">
        <v>0.25834384951964573</v>
      </c>
      <c r="AP14" s="100">
        <v>5.5255792509775682E-4</v>
      </c>
      <c r="AQ14" s="100">
        <v>0.2698692906177444</v>
      </c>
      <c r="AR14" s="100">
        <v>24</v>
      </c>
      <c r="AS14" s="100">
        <v>11721.599999999999</v>
      </c>
      <c r="AT14" s="100">
        <v>14</v>
      </c>
      <c r="AU14" s="100">
        <v>6837.5999999999995</v>
      </c>
      <c r="AV14" s="100">
        <v>19</v>
      </c>
      <c r="AW14" s="100">
        <v>9279.6</v>
      </c>
      <c r="AX14" s="100">
        <v>24</v>
      </c>
      <c r="AY14" s="100">
        <v>11721.599999999999</v>
      </c>
      <c r="AZ14" s="100">
        <v>20</v>
      </c>
      <c r="BA14" s="100">
        <v>9768</v>
      </c>
      <c r="BB14" s="100">
        <v>24</v>
      </c>
      <c r="BC14" s="100">
        <v>11721.599999999999</v>
      </c>
      <c r="BD14" s="100">
        <v>30</v>
      </c>
      <c r="BE14" s="100">
        <v>14652</v>
      </c>
      <c r="BF14" s="100">
        <v>25</v>
      </c>
      <c r="BG14" s="100">
        <v>12210</v>
      </c>
      <c r="BH14" s="100">
        <v>16</v>
      </c>
      <c r="BI14" s="100">
        <v>7814.4</v>
      </c>
      <c r="BJ14" s="100">
        <v>22</v>
      </c>
      <c r="BK14" s="100">
        <v>10744.8</v>
      </c>
      <c r="BL14" s="100">
        <v>26</v>
      </c>
      <c r="BM14" s="100">
        <v>12698.4</v>
      </c>
      <c r="BN14" s="100">
        <v>26</v>
      </c>
      <c r="BO14" s="100">
        <v>12698.4</v>
      </c>
      <c r="BP14" s="100">
        <v>23</v>
      </c>
      <c r="BQ14" s="100">
        <v>11233.199999999999</v>
      </c>
      <c r="BR14" s="100">
        <v>29</v>
      </c>
      <c r="BS14" s="100">
        <v>14163.599999999999</v>
      </c>
      <c r="BT14" s="100">
        <v>25</v>
      </c>
      <c r="BU14" s="100">
        <v>12210</v>
      </c>
      <c r="BV14" s="100">
        <v>22</v>
      </c>
      <c r="BW14" s="100">
        <v>10744.8</v>
      </c>
      <c r="BX14" s="100">
        <v>13.814875371802465</v>
      </c>
      <c r="BY14" s="100">
        <v>6747.1851315883232</v>
      </c>
      <c r="BZ14" s="100">
        <v>11.808629146561215</v>
      </c>
      <c r="CA14" s="100">
        <v>5767.3344751804971</v>
      </c>
      <c r="CB14" s="100">
        <v>18.71830500911128</v>
      </c>
      <c r="CC14" s="100">
        <v>9142.0201664499491</v>
      </c>
      <c r="CD14" s="100">
        <v>13.953975447898076</v>
      </c>
      <c r="CE14" s="100">
        <v>6815.1216087534203</v>
      </c>
      <c r="CF14" s="100">
        <v>23.975141766701061</v>
      </c>
      <c r="CG14" s="100">
        <v>11709.459238856798</v>
      </c>
      <c r="CH14" s="100">
        <v>17.828102134750733</v>
      </c>
      <c r="CI14" s="100">
        <v>8707.2450826122567</v>
      </c>
      <c r="CJ14" s="100">
        <v>17.552803069228069</v>
      </c>
      <c r="CK14" s="100">
        <v>8572.7890190109883</v>
      </c>
      <c r="CL14" s="100">
        <v>17.425683031446646</v>
      </c>
      <c r="CM14" s="100">
        <v>8510.7035925585405</v>
      </c>
      <c r="CN14" s="100">
        <v>16.667410631751896</v>
      </c>
      <c r="CO14" s="100">
        <v>8140.3633525476253</v>
      </c>
      <c r="CP14" s="100">
        <v>25.451712425452939</v>
      </c>
      <c r="CQ14" s="100">
        <v>12430.616348591215</v>
      </c>
      <c r="CR14" s="100">
        <v>20.984925315298948</v>
      </c>
      <c r="CS14" s="100">
        <v>10249.037523992007</v>
      </c>
      <c r="CT14" s="100">
        <v>28.054212458251818</v>
      </c>
      <c r="CU14" s="100">
        <v>13701.677364610188</v>
      </c>
    </row>
    <row r="15" spans="1:99">
      <c r="C15" s="99" t="s">
        <v>181</v>
      </c>
      <c r="D15" s="100">
        <v>17</v>
      </c>
      <c r="E15" s="100">
        <v>12974.4</v>
      </c>
      <c r="F15" s="100">
        <v>22</v>
      </c>
      <c r="G15" s="100">
        <v>16790.399999999998</v>
      </c>
      <c r="H15" s="100">
        <v>17</v>
      </c>
      <c r="I15" s="100">
        <v>12974.4</v>
      </c>
      <c r="J15" s="100">
        <v>16.798908582670386</v>
      </c>
      <c r="K15" s="100">
        <v>12820.927030294037</v>
      </c>
      <c r="L15" s="100">
        <v>19.544434679248766</v>
      </c>
      <c r="M15" s="100">
        <v>14916.312547202657</v>
      </c>
      <c r="N15" s="100">
        <v>14.961356881874543</v>
      </c>
      <c r="O15" s="100">
        <v>11418.50757224665</v>
      </c>
      <c r="P15" s="100">
        <v>22.437765529181142</v>
      </c>
      <c r="Q15" s="100">
        <v>17124.502651871047</v>
      </c>
      <c r="R15" s="100">
        <v>20.445419256660944</v>
      </c>
      <c r="S15" s="100">
        <v>15603.943976683631</v>
      </c>
      <c r="T15" s="100">
        <v>12</v>
      </c>
      <c r="U15" s="100">
        <v>9158.4</v>
      </c>
      <c r="V15" s="100">
        <v>24</v>
      </c>
      <c r="W15" s="100">
        <v>18316.8</v>
      </c>
      <c r="X15" s="100">
        <v>14</v>
      </c>
      <c r="Y15" s="100">
        <v>10684.8</v>
      </c>
      <c r="Z15" s="100">
        <v>28</v>
      </c>
      <c r="AA15" s="100">
        <v>21369.599999999999</v>
      </c>
      <c r="AB15" s="100">
        <v>18</v>
      </c>
      <c r="AC15" s="100">
        <v>13737.599999999999</v>
      </c>
      <c r="AD15" s="100">
        <v>22</v>
      </c>
      <c r="AE15" s="100">
        <v>16790.399999999998</v>
      </c>
      <c r="AF15" s="100">
        <v>24</v>
      </c>
      <c r="AG15" s="100">
        <v>18316.8</v>
      </c>
      <c r="AH15" s="100">
        <v>23</v>
      </c>
      <c r="AI15" s="100">
        <v>17553.599999999999</v>
      </c>
      <c r="AJ15" s="100">
        <v>11.920719758950854</v>
      </c>
      <c r="AK15" s="100">
        <v>9097.8933200312913</v>
      </c>
      <c r="AL15" s="100">
        <v>6.1189300430313041E-4</v>
      </c>
      <c r="AM15" s="100">
        <v>0.46699674088414911</v>
      </c>
      <c r="AN15" s="100">
        <v>5.8773284539003954E-4</v>
      </c>
      <c r="AO15" s="100">
        <v>0.44855770760167812</v>
      </c>
      <c r="AP15" s="100">
        <v>4.8755111038037375E-4</v>
      </c>
      <c r="AQ15" s="100">
        <v>0.37209900744230123</v>
      </c>
      <c r="AR15" s="100">
        <v>24</v>
      </c>
      <c r="AS15" s="100">
        <v>18316.8</v>
      </c>
      <c r="AT15" s="100">
        <v>15</v>
      </c>
      <c r="AU15" s="100">
        <v>11447.999999999998</v>
      </c>
      <c r="AV15" s="100">
        <v>19</v>
      </c>
      <c r="AW15" s="100">
        <v>14500.8</v>
      </c>
      <c r="AX15" s="100">
        <v>24</v>
      </c>
      <c r="AY15" s="100">
        <v>18316.8</v>
      </c>
      <c r="AZ15" s="100">
        <v>22</v>
      </c>
      <c r="BA15" s="100">
        <v>16790.399999999998</v>
      </c>
      <c r="BB15" s="100">
        <v>20</v>
      </c>
      <c r="BC15" s="100">
        <v>15263.999999999998</v>
      </c>
      <c r="BD15" s="100">
        <v>28</v>
      </c>
      <c r="BE15" s="100">
        <v>21369.599999999999</v>
      </c>
      <c r="BF15" s="100">
        <v>26</v>
      </c>
      <c r="BG15" s="100">
        <v>19843.199999999997</v>
      </c>
      <c r="BH15" s="100">
        <v>16</v>
      </c>
      <c r="BI15" s="100">
        <v>12211.199999999999</v>
      </c>
      <c r="BJ15" s="100">
        <v>20</v>
      </c>
      <c r="BK15" s="100">
        <v>15263.999999999998</v>
      </c>
      <c r="BL15" s="100">
        <v>22</v>
      </c>
      <c r="BM15" s="100">
        <v>16790.399999999998</v>
      </c>
      <c r="BN15" s="100">
        <v>22</v>
      </c>
      <c r="BO15" s="100">
        <v>16790.399999999998</v>
      </c>
      <c r="BP15" s="100">
        <v>25</v>
      </c>
      <c r="BQ15" s="100">
        <v>19080</v>
      </c>
      <c r="BR15" s="100">
        <v>28</v>
      </c>
      <c r="BS15" s="100">
        <v>21369.599999999999</v>
      </c>
      <c r="BT15" s="100">
        <v>23</v>
      </c>
      <c r="BU15" s="100">
        <v>17553.599999999999</v>
      </c>
      <c r="BV15" s="100">
        <v>21</v>
      </c>
      <c r="BW15" s="100">
        <v>16027.199999999999</v>
      </c>
      <c r="BX15" s="100">
        <v>12.499172955440326</v>
      </c>
      <c r="BY15" s="100">
        <v>9539.3687995920554</v>
      </c>
      <c r="BZ15" s="100">
        <v>11.046782104847587</v>
      </c>
      <c r="CA15" s="100">
        <v>8430.9041024196777</v>
      </c>
      <c r="CB15" s="100">
        <v>16.558500584983054</v>
      </c>
      <c r="CC15" s="100">
        <v>12637.447646459066</v>
      </c>
      <c r="CD15" s="100">
        <v>13.081851982404446</v>
      </c>
      <c r="CE15" s="100">
        <v>9984.0694329710732</v>
      </c>
      <c r="CF15" s="100">
        <v>21.49495468738716</v>
      </c>
      <c r="CG15" s="100">
        <v>16404.949417413878</v>
      </c>
      <c r="CH15" s="100">
        <v>16.936697028013196</v>
      </c>
      <c r="CI15" s="100">
        <v>12926.087171779671</v>
      </c>
      <c r="CJ15" s="100">
        <v>14.627335891023391</v>
      </c>
      <c r="CK15" s="100">
        <v>11163.582752029051</v>
      </c>
      <c r="CL15" s="100">
        <v>17.425683031446646</v>
      </c>
      <c r="CM15" s="100">
        <v>13299.281289600078</v>
      </c>
      <c r="CN15" s="100">
        <v>18.421874908778413</v>
      </c>
      <c r="CO15" s="100">
        <v>14059.574930379684</v>
      </c>
      <c r="CP15" s="100">
        <v>22.270248372271322</v>
      </c>
      <c r="CQ15" s="100">
        <v>16996.653557717473</v>
      </c>
      <c r="CR15" s="100">
        <v>21.938785556903447</v>
      </c>
      <c r="CS15" s="100">
        <v>16743.681137028711</v>
      </c>
      <c r="CT15" s="100">
        <v>24.313650797151574</v>
      </c>
      <c r="CU15" s="100">
        <v>18556.17828838608</v>
      </c>
    </row>
    <row r="16" spans="1:99">
      <c r="C16" s="99" t="s">
        <v>182</v>
      </c>
      <c r="D16" s="100">
        <v>19</v>
      </c>
      <c r="E16" s="100">
        <v>6475.2</v>
      </c>
      <c r="F16" s="100">
        <v>21</v>
      </c>
      <c r="G16" s="100">
        <v>7156.8</v>
      </c>
      <c r="H16" s="100">
        <v>17</v>
      </c>
      <c r="I16" s="100">
        <v>5793.6</v>
      </c>
      <c r="J16" s="100">
        <v>17.732181281707629</v>
      </c>
      <c r="K16" s="100">
        <v>6043.1273808059605</v>
      </c>
      <c r="L16" s="100">
        <v>20.432818073760075</v>
      </c>
      <c r="M16" s="100">
        <v>6963.5043995374335</v>
      </c>
      <c r="N16" s="100">
        <v>13.963933089749574</v>
      </c>
      <c r="O16" s="100">
        <v>4758.9083969866551</v>
      </c>
      <c r="P16" s="100">
        <v>22.437765529181142</v>
      </c>
      <c r="Q16" s="100">
        <v>7646.7904923449332</v>
      </c>
      <c r="R16" s="100">
        <v>21.374756495600078</v>
      </c>
      <c r="S16" s="100">
        <v>7284.5170137005071</v>
      </c>
      <c r="T16" s="100">
        <v>15</v>
      </c>
      <c r="U16" s="100">
        <v>5112</v>
      </c>
      <c r="V16" s="100">
        <v>28</v>
      </c>
      <c r="W16" s="100">
        <v>9542.4</v>
      </c>
      <c r="X16" s="100">
        <v>15</v>
      </c>
      <c r="Y16" s="100">
        <v>5112</v>
      </c>
      <c r="Z16" s="100">
        <v>27</v>
      </c>
      <c r="AA16" s="100">
        <v>9201.6</v>
      </c>
      <c r="AB16" s="100">
        <v>19</v>
      </c>
      <c r="AC16" s="100">
        <v>6475.2</v>
      </c>
      <c r="AD16" s="100">
        <v>22</v>
      </c>
      <c r="AE16" s="100">
        <v>7497.6</v>
      </c>
      <c r="AF16" s="100">
        <v>28</v>
      </c>
      <c r="AG16" s="100">
        <v>9542.4</v>
      </c>
      <c r="AH16" s="100">
        <v>25</v>
      </c>
      <c r="AI16" s="100">
        <v>8520</v>
      </c>
      <c r="AJ16" s="100">
        <v>11.920719758950854</v>
      </c>
      <c r="AK16" s="100">
        <v>4062.5812938504514</v>
      </c>
      <c r="AL16" s="100">
        <v>5.7589929816765219E-4</v>
      </c>
      <c r="AM16" s="100">
        <v>0.19626648081553588</v>
      </c>
      <c r="AN16" s="100">
        <v>6.1711948765954161E-4</v>
      </c>
      <c r="AO16" s="100">
        <v>0.21031432139437178</v>
      </c>
      <c r="AP16" s="100">
        <v>4.5504770302168214E-4</v>
      </c>
      <c r="AQ16" s="100">
        <v>0.15508025718978927</v>
      </c>
      <c r="AR16" s="100">
        <v>25</v>
      </c>
      <c r="AS16" s="100">
        <v>8520</v>
      </c>
      <c r="AT16" s="100">
        <v>14</v>
      </c>
      <c r="AU16" s="100">
        <v>4771.2</v>
      </c>
      <c r="AV16" s="100">
        <v>24</v>
      </c>
      <c r="AW16" s="100">
        <v>8179.2000000000007</v>
      </c>
      <c r="AX16" s="100">
        <v>24</v>
      </c>
      <c r="AY16" s="100">
        <v>8179.2000000000007</v>
      </c>
      <c r="AZ16" s="100">
        <v>20</v>
      </c>
      <c r="BA16" s="100">
        <v>6816</v>
      </c>
      <c r="BB16" s="100">
        <v>25</v>
      </c>
      <c r="BC16" s="100">
        <v>8520</v>
      </c>
      <c r="BD16" s="100">
        <v>26</v>
      </c>
      <c r="BE16" s="100">
        <v>8860.8000000000011</v>
      </c>
      <c r="BF16" s="100">
        <v>26</v>
      </c>
      <c r="BG16" s="100">
        <v>8860.8000000000011</v>
      </c>
      <c r="BH16" s="100">
        <v>16</v>
      </c>
      <c r="BI16" s="100">
        <v>5452.8</v>
      </c>
      <c r="BJ16" s="100">
        <v>22</v>
      </c>
      <c r="BK16" s="100">
        <v>7497.6</v>
      </c>
      <c r="BL16" s="100">
        <v>26</v>
      </c>
      <c r="BM16" s="100">
        <v>8860.8000000000011</v>
      </c>
      <c r="BN16" s="100">
        <v>26</v>
      </c>
      <c r="BO16" s="100">
        <v>8860.8000000000011</v>
      </c>
      <c r="BP16" s="100">
        <v>24</v>
      </c>
      <c r="BQ16" s="100">
        <v>8179.2000000000007</v>
      </c>
      <c r="BR16" s="100">
        <v>25</v>
      </c>
      <c r="BS16" s="100">
        <v>8520</v>
      </c>
      <c r="BT16" s="100">
        <v>25</v>
      </c>
      <c r="BU16" s="100">
        <v>8520</v>
      </c>
      <c r="BV16" s="100">
        <v>25</v>
      </c>
      <c r="BW16" s="100">
        <v>8520</v>
      </c>
      <c r="BX16" s="100">
        <v>13.814875371802465</v>
      </c>
      <c r="BY16" s="100">
        <v>4708.1095267102801</v>
      </c>
      <c r="BZ16" s="100">
        <v>11.808629146561215</v>
      </c>
      <c r="CA16" s="100">
        <v>4024.3808131480619</v>
      </c>
      <c r="CB16" s="100">
        <v>17.278435393025795</v>
      </c>
      <c r="CC16" s="100">
        <v>5888.490781943191</v>
      </c>
      <c r="CD16" s="100">
        <v>13.953975447898076</v>
      </c>
      <c r="CE16" s="100">
        <v>4755.5148326436647</v>
      </c>
      <c r="CF16" s="100">
        <v>23.975141766701061</v>
      </c>
      <c r="CG16" s="100">
        <v>8170.7283140917216</v>
      </c>
      <c r="CH16" s="100">
        <v>17.828102134750733</v>
      </c>
      <c r="CI16" s="100">
        <v>6075.8172075230495</v>
      </c>
      <c r="CJ16" s="100">
        <v>18.527958795296293</v>
      </c>
      <c r="CK16" s="100">
        <v>6314.3283574369771</v>
      </c>
      <c r="CL16" s="100">
        <v>18.342824243628048</v>
      </c>
      <c r="CM16" s="100">
        <v>6251.2345022284389</v>
      </c>
      <c r="CN16" s="100">
        <v>17.544642770265153</v>
      </c>
      <c r="CO16" s="100">
        <v>5979.2142561063638</v>
      </c>
      <c r="CP16" s="100">
        <v>25.451712425452939</v>
      </c>
      <c r="CQ16" s="100">
        <v>8673.9435945943624</v>
      </c>
      <c r="CR16" s="100">
        <v>23.846506040112441</v>
      </c>
      <c r="CS16" s="100">
        <v>8126.8892584703199</v>
      </c>
      <c r="CT16" s="100">
        <v>27.119072042976757</v>
      </c>
      <c r="CU16" s="100">
        <v>9242.1797522464785</v>
      </c>
    </row>
    <row r="17" spans="2:99">
      <c r="C17" s="99" t="s">
        <v>183</v>
      </c>
      <c r="D17" s="100">
        <v>18</v>
      </c>
      <c r="E17" s="100">
        <v>7603.2</v>
      </c>
      <c r="F17" s="100">
        <v>21</v>
      </c>
      <c r="G17" s="100">
        <v>8870.4</v>
      </c>
      <c r="H17" s="100">
        <v>17</v>
      </c>
      <c r="I17" s="100">
        <v>7180.7999999999993</v>
      </c>
      <c r="J17" s="100">
        <v>15.865635883633143</v>
      </c>
      <c r="K17" s="100">
        <v>6701.644597246639</v>
      </c>
      <c r="L17" s="100">
        <v>22.209584862782688</v>
      </c>
      <c r="M17" s="100">
        <v>9381.3286460394065</v>
      </c>
      <c r="N17" s="100">
        <v>12.966509297624604</v>
      </c>
      <c r="O17" s="100">
        <v>5477.0535273166324</v>
      </c>
      <c r="P17" s="100">
        <v>26.027808013850123</v>
      </c>
      <c r="Q17" s="100">
        <v>10994.146105050291</v>
      </c>
      <c r="R17" s="100">
        <v>22.304093734539212</v>
      </c>
      <c r="S17" s="100">
        <v>9421.2491934693626</v>
      </c>
      <c r="T17" s="100">
        <v>15</v>
      </c>
      <c r="U17" s="100">
        <v>6336</v>
      </c>
      <c r="V17" s="100">
        <v>26</v>
      </c>
      <c r="W17" s="100">
        <v>10982.4</v>
      </c>
      <c r="X17" s="100">
        <v>14</v>
      </c>
      <c r="Y17" s="100">
        <v>5913.5999999999995</v>
      </c>
      <c r="Z17" s="100">
        <v>27</v>
      </c>
      <c r="AA17" s="100">
        <v>11404.8</v>
      </c>
      <c r="AB17" s="100">
        <v>19</v>
      </c>
      <c r="AC17" s="100">
        <v>8025.5999999999995</v>
      </c>
      <c r="AD17" s="100">
        <v>22</v>
      </c>
      <c r="AE17" s="100">
        <v>9292.7999999999993</v>
      </c>
      <c r="AF17" s="100">
        <v>28</v>
      </c>
      <c r="AG17" s="100">
        <v>11827.199999999999</v>
      </c>
      <c r="AH17" s="100">
        <v>27</v>
      </c>
      <c r="AI17" s="100">
        <v>11404.8</v>
      </c>
      <c r="AJ17" s="100">
        <v>12.362227898171255</v>
      </c>
      <c r="AK17" s="100">
        <v>5221.8050641875379</v>
      </c>
      <c r="AL17" s="100">
        <v>6.8388041657408696E-4</v>
      </c>
      <c r="AM17" s="100">
        <v>0.28887108796089433</v>
      </c>
      <c r="AN17" s="100">
        <v>5.8773284539003954E-4</v>
      </c>
      <c r="AO17" s="100">
        <v>0.24825835389275269</v>
      </c>
      <c r="AP17" s="100">
        <v>5.5255792509775682E-4</v>
      </c>
      <c r="AQ17" s="100">
        <v>0.23340046756129246</v>
      </c>
      <c r="AR17" s="100">
        <v>23</v>
      </c>
      <c r="AS17" s="100">
        <v>9715.1999999999989</v>
      </c>
      <c r="AT17" s="100">
        <v>16</v>
      </c>
      <c r="AU17" s="100">
        <v>6758.4</v>
      </c>
      <c r="AV17" s="100">
        <v>22</v>
      </c>
      <c r="AW17" s="100">
        <v>9292.7999999999993</v>
      </c>
      <c r="AX17" s="100">
        <v>24</v>
      </c>
      <c r="AY17" s="100">
        <v>10137.599999999999</v>
      </c>
      <c r="AZ17" s="100">
        <v>23</v>
      </c>
      <c r="BA17" s="100">
        <v>9715.1999999999989</v>
      </c>
      <c r="BB17" s="100">
        <v>25</v>
      </c>
      <c r="BC17" s="100">
        <v>10560</v>
      </c>
      <c r="BD17" s="100">
        <v>30</v>
      </c>
      <c r="BE17" s="100">
        <v>12672</v>
      </c>
      <c r="BF17" s="100">
        <v>27</v>
      </c>
      <c r="BG17" s="100">
        <v>11404.8</v>
      </c>
      <c r="BH17" s="100">
        <v>15</v>
      </c>
      <c r="BI17" s="100">
        <v>6336</v>
      </c>
      <c r="BJ17" s="100">
        <v>21</v>
      </c>
      <c r="BK17" s="100">
        <v>8870.4</v>
      </c>
      <c r="BL17" s="100">
        <v>25</v>
      </c>
      <c r="BM17" s="100">
        <v>10560</v>
      </c>
      <c r="BN17" s="100">
        <v>26</v>
      </c>
      <c r="BO17" s="100">
        <v>10982.4</v>
      </c>
      <c r="BP17" s="100">
        <v>25</v>
      </c>
      <c r="BQ17" s="100">
        <v>10560</v>
      </c>
      <c r="BR17" s="100">
        <v>30</v>
      </c>
      <c r="BS17" s="100">
        <v>12672</v>
      </c>
      <c r="BT17" s="100">
        <v>24</v>
      </c>
      <c r="BU17" s="100">
        <v>10137.599999999999</v>
      </c>
      <c r="BV17" s="100">
        <v>25</v>
      </c>
      <c r="BW17" s="100">
        <v>10560</v>
      </c>
      <c r="BX17" s="100">
        <v>12.499172955440326</v>
      </c>
      <c r="BY17" s="100">
        <v>5279.6506563779931</v>
      </c>
      <c r="BZ17" s="100">
        <v>11.808629146561215</v>
      </c>
      <c r="CA17" s="100">
        <v>4987.964951507457</v>
      </c>
      <c r="CB17" s="100">
        <v>17.278435393025795</v>
      </c>
      <c r="CC17" s="100">
        <v>7298.4111100140954</v>
      </c>
      <c r="CD17" s="100">
        <v>15.698222378885337</v>
      </c>
      <c r="CE17" s="100">
        <v>6630.9291328411655</v>
      </c>
      <c r="CF17" s="100">
        <v>20.66822566094919</v>
      </c>
      <c r="CG17" s="100">
        <v>8730.2585191849375</v>
      </c>
      <c r="CH17" s="100">
        <v>16.045291921275656</v>
      </c>
      <c r="CI17" s="100">
        <v>6777.5313075468366</v>
      </c>
      <c r="CJ17" s="100">
        <v>17.552803069228069</v>
      </c>
      <c r="CK17" s="100">
        <v>7414.3040164419363</v>
      </c>
      <c r="CL17" s="100">
        <v>20.177106667990852</v>
      </c>
      <c r="CM17" s="100">
        <v>8522.8098565593355</v>
      </c>
      <c r="CN17" s="100">
        <v>19.29910704729167</v>
      </c>
      <c r="CO17" s="100">
        <v>8151.9428167760016</v>
      </c>
      <c r="CP17" s="100">
        <v>23.065614385566725</v>
      </c>
      <c r="CQ17" s="100">
        <v>9742.9155164633848</v>
      </c>
      <c r="CR17" s="100">
        <v>22.892645798507946</v>
      </c>
      <c r="CS17" s="100">
        <v>9669.8535852897567</v>
      </c>
      <c r="CT17" s="100">
        <v>24.313650797151574</v>
      </c>
      <c r="CU17" s="100">
        <v>10270.086096716825</v>
      </c>
    </row>
    <row r="18" spans="2:99">
      <c r="C18" s="99" t="s">
        <v>184</v>
      </c>
      <c r="D18" s="100">
        <v>17</v>
      </c>
      <c r="E18" s="100">
        <v>11097.599999999999</v>
      </c>
      <c r="F18" s="100">
        <v>19</v>
      </c>
      <c r="G18" s="100">
        <v>12403.199999999999</v>
      </c>
      <c r="H18" s="100">
        <v>17</v>
      </c>
      <c r="I18" s="100">
        <v>11097.599999999999</v>
      </c>
      <c r="J18" s="100">
        <v>14.9323631845959</v>
      </c>
      <c r="K18" s="100">
        <v>9747.8466869042022</v>
      </c>
      <c r="L18" s="100">
        <v>21.321201468271379</v>
      </c>
      <c r="M18" s="100">
        <v>13918.480318487555</v>
      </c>
      <c r="N18" s="100">
        <v>12.966509297624604</v>
      </c>
      <c r="O18" s="100">
        <v>8464.5372694893413</v>
      </c>
      <c r="P18" s="100">
        <v>25.130297392682877</v>
      </c>
      <c r="Q18" s="100">
        <v>16405.058137943382</v>
      </c>
      <c r="R18" s="100">
        <v>20.445419256660944</v>
      </c>
      <c r="S18" s="100">
        <v>13346.769690748264</v>
      </c>
      <c r="T18" s="100">
        <v>13</v>
      </c>
      <c r="U18" s="100">
        <v>8486.4</v>
      </c>
      <c r="V18" s="100">
        <v>26</v>
      </c>
      <c r="W18" s="100">
        <v>16972.8</v>
      </c>
      <c r="X18" s="100">
        <v>14</v>
      </c>
      <c r="Y18" s="100">
        <v>9139.1999999999989</v>
      </c>
      <c r="Z18" s="100">
        <v>26</v>
      </c>
      <c r="AA18" s="100">
        <v>16972.8</v>
      </c>
      <c r="AB18" s="100">
        <v>18</v>
      </c>
      <c r="AC18" s="100">
        <v>11750.4</v>
      </c>
      <c r="AD18" s="100">
        <v>21</v>
      </c>
      <c r="AE18" s="100">
        <v>13708.8</v>
      </c>
      <c r="AF18" s="100">
        <v>26</v>
      </c>
      <c r="AG18" s="100">
        <v>16972.8</v>
      </c>
      <c r="AH18" s="100">
        <v>24</v>
      </c>
      <c r="AI18" s="100">
        <v>15667.199999999999</v>
      </c>
      <c r="AJ18" s="100">
        <v>11.920719758950854</v>
      </c>
      <c r="AK18" s="100">
        <v>7781.845858643117</v>
      </c>
      <c r="AL18" s="100">
        <v>6.4788671043860863E-4</v>
      </c>
      <c r="AM18" s="100">
        <v>0.42294044457432367</v>
      </c>
      <c r="AN18" s="100">
        <v>5.289595608510355E-4</v>
      </c>
      <c r="AO18" s="100">
        <v>0.34530480132355595</v>
      </c>
      <c r="AP18" s="100">
        <v>5.5255792509775682E-4</v>
      </c>
      <c r="AQ18" s="100">
        <v>0.36070981350381565</v>
      </c>
      <c r="AR18" s="100">
        <v>25</v>
      </c>
      <c r="AS18" s="100">
        <v>16319.999999999998</v>
      </c>
      <c r="AT18" s="100">
        <v>15</v>
      </c>
      <c r="AU18" s="100">
        <v>9792</v>
      </c>
      <c r="AV18" s="100">
        <v>19</v>
      </c>
      <c r="AW18" s="100">
        <v>12403.199999999999</v>
      </c>
      <c r="AX18" s="100">
        <v>21</v>
      </c>
      <c r="AY18" s="100">
        <v>13708.8</v>
      </c>
      <c r="AZ18" s="100">
        <v>22</v>
      </c>
      <c r="BA18" s="100">
        <v>14361.599999999999</v>
      </c>
      <c r="BB18" s="100">
        <v>22</v>
      </c>
      <c r="BC18" s="100">
        <v>14361.599999999999</v>
      </c>
      <c r="BD18" s="100">
        <v>29</v>
      </c>
      <c r="BE18" s="100">
        <v>18931.199999999997</v>
      </c>
      <c r="BF18" s="100">
        <v>24</v>
      </c>
      <c r="BG18" s="100">
        <v>15667.199999999999</v>
      </c>
      <c r="BH18" s="100">
        <v>16</v>
      </c>
      <c r="BI18" s="100">
        <v>10444.799999999999</v>
      </c>
      <c r="BJ18" s="100">
        <v>21</v>
      </c>
      <c r="BK18" s="100">
        <v>13708.8</v>
      </c>
      <c r="BL18" s="100">
        <v>23</v>
      </c>
      <c r="BM18" s="100">
        <v>15014.4</v>
      </c>
      <c r="BN18" s="100">
        <v>24</v>
      </c>
      <c r="BO18" s="100">
        <v>15667.199999999999</v>
      </c>
      <c r="BP18" s="100">
        <v>22</v>
      </c>
      <c r="BQ18" s="100">
        <v>14361.599999999999</v>
      </c>
      <c r="BR18" s="100">
        <v>29</v>
      </c>
      <c r="BS18" s="100">
        <v>18931.199999999997</v>
      </c>
      <c r="BT18" s="100">
        <v>27</v>
      </c>
      <c r="BU18" s="100">
        <v>17625.599999999999</v>
      </c>
      <c r="BV18" s="100">
        <v>21</v>
      </c>
      <c r="BW18" s="100">
        <v>13708.8</v>
      </c>
      <c r="BX18" s="100">
        <v>12.499172955440326</v>
      </c>
      <c r="BY18" s="100">
        <v>8159.4601053114438</v>
      </c>
      <c r="BZ18" s="100">
        <v>11.4277056257044</v>
      </c>
      <c r="CA18" s="100">
        <v>7460.0062324598321</v>
      </c>
      <c r="CB18" s="100">
        <v>17.278435393025795</v>
      </c>
      <c r="CC18" s="100">
        <v>11279.362624567239</v>
      </c>
      <c r="CD18" s="100">
        <v>14.826098913391705</v>
      </c>
      <c r="CE18" s="100">
        <v>9678.4773706621054</v>
      </c>
      <c r="CF18" s="100">
        <v>19.841496634511223</v>
      </c>
      <c r="CG18" s="100">
        <v>12952.529003008925</v>
      </c>
      <c r="CH18" s="100">
        <v>15.15388681453812</v>
      </c>
      <c r="CI18" s="100">
        <v>9892.4573125304851</v>
      </c>
      <c r="CJ18" s="100">
        <v>16.577647343159839</v>
      </c>
      <c r="CK18" s="100">
        <v>10821.888185614742</v>
      </c>
      <c r="CL18" s="100">
        <v>17.425683031446646</v>
      </c>
      <c r="CM18" s="100">
        <v>11375.485882928369</v>
      </c>
      <c r="CN18" s="100">
        <v>16.667410631751896</v>
      </c>
      <c r="CO18" s="100">
        <v>10880.485660407636</v>
      </c>
      <c r="CP18" s="100">
        <v>21.474882358975918</v>
      </c>
      <c r="CQ18" s="100">
        <v>14018.803203939478</v>
      </c>
      <c r="CR18" s="100">
        <v>19.077204832089951</v>
      </c>
      <c r="CS18" s="100">
        <v>12453.599314388319</v>
      </c>
      <c r="CT18" s="100">
        <v>23.378510381876513</v>
      </c>
      <c r="CU18" s="100">
        <v>15261.491577288987</v>
      </c>
    </row>
    <row r="19" spans="2:99">
      <c r="C19" s="99" t="s">
        <v>185</v>
      </c>
      <c r="D19" s="100">
        <v>20</v>
      </c>
      <c r="E19" s="100">
        <v>6600</v>
      </c>
      <c r="F19" s="100">
        <v>19</v>
      </c>
      <c r="G19" s="100">
        <v>6270</v>
      </c>
      <c r="H19" s="100">
        <v>17</v>
      </c>
      <c r="I19" s="100">
        <v>5610</v>
      </c>
      <c r="J19" s="100">
        <v>16.798908582670386</v>
      </c>
      <c r="K19" s="100">
        <v>5543.6398322812274</v>
      </c>
      <c r="L19" s="100">
        <v>21.321201468271379</v>
      </c>
      <c r="M19" s="100">
        <v>7035.9964845295553</v>
      </c>
      <c r="N19" s="100">
        <v>14.961356881874543</v>
      </c>
      <c r="O19" s="100">
        <v>4937.2477710185995</v>
      </c>
      <c r="P19" s="100">
        <v>26.027808013850123</v>
      </c>
      <c r="Q19" s="100">
        <v>8589.1766445705398</v>
      </c>
      <c r="R19" s="100">
        <v>22.304093734539212</v>
      </c>
      <c r="S19" s="100">
        <v>7360.3509323979397</v>
      </c>
      <c r="T19" s="100">
        <v>15</v>
      </c>
      <c r="U19" s="100">
        <v>4950</v>
      </c>
      <c r="V19" s="100">
        <v>28</v>
      </c>
      <c r="W19" s="100">
        <v>9240</v>
      </c>
      <c r="X19" s="100">
        <v>14</v>
      </c>
      <c r="Y19" s="100">
        <v>4620</v>
      </c>
      <c r="Z19" s="100">
        <v>30</v>
      </c>
      <c r="AA19" s="100">
        <v>9900</v>
      </c>
      <c r="AB19" s="100">
        <v>21</v>
      </c>
      <c r="AC19" s="100">
        <v>6930</v>
      </c>
      <c r="AD19" s="100">
        <v>22</v>
      </c>
      <c r="AE19" s="100">
        <v>7260</v>
      </c>
      <c r="AF19" s="100">
        <v>25</v>
      </c>
      <c r="AG19" s="100">
        <v>8250</v>
      </c>
      <c r="AH19" s="100">
        <v>25</v>
      </c>
      <c r="AI19" s="100">
        <v>8250</v>
      </c>
      <c r="AJ19" s="100">
        <v>11.479211619730451</v>
      </c>
      <c r="AK19" s="100">
        <v>3788.1398345110488</v>
      </c>
      <c r="AL19" s="100">
        <v>6.4788671043860863E-4</v>
      </c>
      <c r="AM19" s="100">
        <v>0.21380261444474086</v>
      </c>
      <c r="AN19" s="100">
        <v>5.8773284539003954E-4</v>
      </c>
      <c r="AO19" s="100">
        <v>0.19395183897871304</v>
      </c>
      <c r="AP19" s="100">
        <v>4.5504770302168214E-4</v>
      </c>
      <c r="AQ19" s="100">
        <v>0.1501657419971551</v>
      </c>
      <c r="AR19" s="100">
        <v>23</v>
      </c>
      <c r="AS19" s="100">
        <v>7590</v>
      </c>
      <c r="AT19" s="100">
        <v>14</v>
      </c>
      <c r="AU19" s="100">
        <v>4620</v>
      </c>
      <c r="AV19" s="100">
        <v>21</v>
      </c>
      <c r="AW19" s="100">
        <v>6930</v>
      </c>
      <c r="AX19" s="100">
        <v>25</v>
      </c>
      <c r="AY19" s="100">
        <v>8250</v>
      </c>
      <c r="AZ19" s="100">
        <v>22</v>
      </c>
      <c r="BA19" s="100">
        <v>7260</v>
      </c>
      <c r="BB19" s="100">
        <v>22</v>
      </c>
      <c r="BC19" s="100">
        <v>7260</v>
      </c>
      <c r="BD19" s="100">
        <v>29</v>
      </c>
      <c r="BE19" s="100">
        <v>9570</v>
      </c>
      <c r="BF19" s="100">
        <v>24</v>
      </c>
      <c r="BG19" s="100">
        <v>7920</v>
      </c>
      <c r="BH19" s="100">
        <v>17</v>
      </c>
      <c r="BI19" s="100">
        <v>5610</v>
      </c>
      <c r="BJ19" s="100">
        <v>21</v>
      </c>
      <c r="BK19" s="100">
        <v>6930</v>
      </c>
      <c r="BL19" s="100">
        <v>23</v>
      </c>
      <c r="BM19" s="100">
        <v>7590</v>
      </c>
      <c r="BN19" s="100">
        <v>26</v>
      </c>
      <c r="BO19" s="100">
        <v>8580</v>
      </c>
      <c r="BP19" s="100">
        <v>25</v>
      </c>
      <c r="BQ19" s="100">
        <v>8250</v>
      </c>
      <c r="BR19" s="100">
        <v>26</v>
      </c>
      <c r="BS19" s="100">
        <v>8580</v>
      </c>
      <c r="BT19" s="100">
        <v>25</v>
      </c>
      <c r="BU19" s="100">
        <v>8250</v>
      </c>
      <c r="BV19" s="100">
        <v>23</v>
      </c>
      <c r="BW19" s="100">
        <v>7590</v>
      </c>
      <c r="BX19" s="100">
        <v>13.814875371802465</v>
      </c>
      <c r="BY19" s="100">
        <v>4558.9088726948139</v>
      </c>
      <c r="BZ19" s="100">
        <v>11.808629146561215</v>
      </c>
      <c r="CA19" s="100">
        <v>3896.847618365201</v>
      </c>
      <c r="CB19" s="100">
        <v>17.998370201068536</v>
      </c>
      <c r="CC19" s="100">
        <v>5939.4621663526168</v>
      </c>
      <c r="CD19" s="100">
        <v>13.081851982404446</v>
      </c>
      <c r="CE19" s="100">
        <v>4317.0111541934675</v>
      </c>
      <c r="CF19" s="100">
        <v>21.49495468738716</v>
      </c>
      <c r="CG19" s="100">
        <v>7093.335046837763</v>
      </c>
      <c r="CH19" s="100">
        <v>16.936697028013196</v>
      </c>
      <c r="CI19" s="100">
        <v>5589.1100192443546</v>
      </c>
      <c r="CJ19" s="100">
        <v>16.577647343159839</v>
      </c>
      <c r="CK19" s="100">
        <v>5470.6236232427473</v>
      </c>
      <c r="CL19" s="100">
        <v>20.177106667990852</v>
      </c>
      <c r="CM19" s="100">
        <v>6658.4452004369814</v>
      </c>
      <c r="CN19" s="100">
        <v>16.667410631751896</v>
      </c>
      <c r="CO19" s="100">
        <v>5500.2455084781259</v>
      </c>
      <c r="CP19" s="100">
        <v>21.474882358975918</v>
      </c>
      <c r="CQ19" s="100">
        <v>7086.7111784620529</v>
      </c>
      <c r="CR19" s="100">
        <v>23.846506040112441</v>
      </c>
      <c r="CS19" s="100">
        <v>7869.3469932371054</v>
      </c>
      <c r="CT19" s="100">
        <v>25.248791212426635</v>
      </c>
      <c r="CU19" s="100">
        <v>8332.1011001007901</v>
      </c>
    </row>
    <row r="20" spans="2:99">
      <c r="B20" s="99" t="s">
        <v>127</v>
      </c>
      <c r="C20" s="99" t="s">
        <v>186</v>
      </c>
      <c r="D20" s="100">
        <v>16</v>
      </c>
      <c r="E20" s="100">
        <v>4588.8</v>
      </c>
      <c r="F20" s="100">
        <v>18</v>
      </c>
      <c r="G20" s="100">
        <v>5162.4000000000005</v>
      </c>
      <c r="H20" s="100">
        <v>26</v>
      </c>
      <c r="I20" s="100">
        <v>7456.8</v>
      </c>
      <c r="J20" s="100">
        <v>26.131635573042825</v>
      </c>
      <c r="K20" s="100">
        <v>7494.5530823486824</v>
      </c>
      <c r="L20" s="100">
        <v>18.656051284737458</v>
      </c>
      <c r="M20" s="100">
        <v>5350.5555084627031</v>
      </c>
      <c r="N20" s="100">
        <v>23.93817101099927</v>
      </c>
      <c r="O20" s="100">
        <v>6865.4674459545904</v>
      </c>
      <c r="P20" s="100">
        <v>22.437765529181142</v>
      </c>
      <c r="Q20" s="100">
        <v>6435.1511537691522</v>
      </c>
      <c r="R20" s="100">
        <v>26.02144269029575</v>
      </c>
      <c r="S20" s="100">
        <v>7462.9497635768212</v>
      </c>
      <c r="T20" s="100">
        <v>17</v>
      </c>
      <c r="U20" s="100">
        <v>4875.6000000000004</v>
      </c>
      <c r="V20" s="100">
        <v>25</v>
      </c>
      <c r="W20" s="100">
        <v>7170</v>
      </c>
      <c r="X20" s="100">
        <v>24</v>
      </c>
      <c r="Y20" s="100">
        <v>6883.2000000000007</v>
      </c>
      <c r="Z20" s="100">
        <v>23</v>
      </c>
      <c r="AA20" s="100">
        <v>6596.4000000000005</v>
      </c>
      <c r="AB20" s="100">
        <v>23</v>
      </c>
      <c r="AC20" s="100">
        <v>6596.4000000000005</v>
      </c>
      <c r="AD20" s="100">
        <v>27</v>
      </c>
      <c r="AE20" s="100">
        <v>7743.6</v>
      </c>
      <c r="AF20" s="100">
        <v>23</v>
      </c>
      <c r="AG20" s="100">
        <v>6596.4000000000005</v>
      </c>
      <c r="AH20" s="100">
        <v>20</v>
      </c>
      <c r="AI20" s="100">
        <v>5736</v>
      </c>
      <c r="AJ20" s="100">
        <v>7.505638366746834</v>
      </c>
      <c r="AK20" s="100">
        <v>2152.6170835829921</v>
      </c>
      <c r="AL20" s="100">
        <v>5.7589929816765219E-4</v>
      </c>
      <c r="AM20" s="100">
        <v>0.16516791871448266</v>
      </c>
      <c r="AN20" s="100">
        <v>7.0527941446804751E-4</v>
      </c>
      <c r="AO20" s="100">
        <v>0.20227413606943603</v>
      </c>
      <c r="AP20" s="100">
        <v>7.150749618912148E-4</v>
      </c>
      <c r="AQ20" s="100">
        <v>0.20508349907040041</v>
      </c>
      <c r="AR20" s="100">
        <v>23</v>
      </c>
      <c r="AS20" s="100">
        <v>6596.4000000000005</v>
      </c>
      <c r="AT20" s="100">
        <v>20</v>
      </c>
      <c r="AU20" s="100">
        <v>5736</v>
      </c>
      <c r="AV20" s="100">
        <v>22</v>
      </c>
      <c r="AW20" s="100">
        <v>6309.6</v>
      </c>
      <c r="AX20" s="100">
        <v>20</v>
      </c>
      <c r="AY20" s="100">
        <v>5736</v>
      </c>
      <c r="AZ20" s="100">
        <v>28</v>
      </c>
      <c r="BA20" s="100">
        <v>8030.4000000000005</v>
      </c>
      <c r="BB20" s="100">
        <v>22</v>
      </c>
      <c r="BC20" s="100">
        <v>6309.6</v>
      </c>
      <c r="BD20" s="100">
        <v>15</v>
      </c>
      <c r="BE20" s="100">
        <v>4302</v>
      </c>
      <c r="BF20" s="100">
        <v>17</v>
      </c>
      <c r="BG20" s="100">
        <v>4875.6000000000004</v>
      </c>
      <c r="BH20" s="100">
        <v>21</v>
      </c>
      <c r="BI20" s="100">
        <v>6022.8</v>
      </c>
      <c r="BJ20" s="100">
        <v>23</v>
      </c>
      <c r="BK20" s="100">
        <v>6596.4000000000005</v>
      </c>
      <c r="BL20" s="100">
        <v>26</v>
      </c>
      <c r="BM20" s="100">
        <v>7456.8</v>
      </c>
      <c r="BN20" s="100">
        <v>32</v>
      </c>
      <c r="BO20" s="100">
        <v>9177.6</v>
      </c>
      <c r="BP20" s="100">
        <v>28</v>
      </c>
      <c r="BQ20" s="100">
        <v>8030.4000000000005</v>
      </c>
      <c r="BR20" s="100">
        <v>30</v>
      </c>
      <c r="BS20" s="100">
        <v>8604</v>
      </c>
      <c r="BT20" s="100">
        <v>18</v>
      </c>
      <c r="BU20" s="100">
        <v>5162.4000000000005</v>
      </c>
      <c r="BV20" s="100">
        <v>24</v>
      </c>
      <c r="BW20" s="100">
        <v>6883.2000000000007</v>
      </c>
      <c r="BX20" s="100">
        <v>19.077685037251022</v>
      </c>
      <c r="BY20" s="100">
        <v>5471.4800686835933</v>
      </c>
      <c r="BZ20" s="100">
        <v>10.284935063133959</v>
      </c>
      <c r="CA20" s="100">
        <v>2949.7193761068197</v>
      </c>
      <c r="CB20" s="100">
        <v>15.11863096889757</v>
      </c>
      <c r="CC20" s="100">
        <v>4336.0233618798229</v>
      </c>
      <c r="CD20" s="100">
        <v>27.035827430302522</v>
      </c>
      <c r="CE20" s="100">
        <v>7753.8753070107632</v>
      </c>
      <c r="CF20" s="100">
        <v>23.148412740263094</v>
      </c>
      <c r="CG20" s="100">
        <v>6638.9647739074553</v>
      </c>
      <c r="CH20" s="100">
        <v>25.85074809538856</v>
      </c>
      <c r="CI20" s="100">
        <v>7413.9945537574395</v>
      </c>
      <c r="CJ20" s="100">
        <v>20.478270247432746</v>
      </c>
      <c r="CK20" s="100">
        <v>5873.1679069637121</v>
      </c>
      <c r="CL20" s="100">
        <v>23.845671516716465</v>
      </c>
      <c r="CM20" s="100">
        <v>6838.9385909942821</v>
      </c>
      <c r="CN20" s="100">
        <v>27.194196293910988</v>
      </c>
      <c r="CO20" s="100">
        <v>7799.2954970936717</v>
      </c>
      <c r="CP20" s="100">
        <v>19.088784319089704</v>
      </c>
      <c r="CQ20" s="100">
        <v>5474.6633427149272</v>
      </c>
      <c r="CR20" s="100">
        <v>24.80036628171694</v>
      </c>
      <c r="CS20" s="100">
        <v>7112.7450495964185</v>
      </c>
      <c r="CT20" s="100">
        <v>23.378510381876513</v>
      </c>
      <c r="CU20" s="100">
        <v>6704.956777522184</v>
      </c>
    </row>
    <row r="21" spans="2:99">
      <c r="C21" s="99" t="s">
        <v>187</v>
      </c>
      <c r="D21" s="100">
        <v>15</v>
      </c>
      <c r="E21" s="100">
        <v>936</v>
      </c>
      <c r="F21" s="100">
        <v>18</v>
      </c>
      <c r="G21" s="100">
        <v>1123.2</v>
      </c>
      <c r="H21" s="100">
        <v>27</v>
      </c>
      <c r="I21" s="100">
        <v>1684.8</v>
      </c>
      <c r="J21" s="100">
        <v>27.064908272080068</v>
      </c>
      <c r="K21" s="100">
        <v>1688.8502761777961</v>
      </c>
      <c r="L21" s="100">
        <v>21.321201468271379</v>
      </c>
      <c r="M21" s="100">
        <v>1330.4429716201341</v>
      </c>
      <c r="N21" s="100">
        <v>23.93817101099927</v>
      </c>
      <c r="O21" s="100">
        <v>1493.7418710863544</v>
      </c>
      <c r="P21" s="100">
        <v>26.925318635017369</v>
      </c>
      <c r="Q21" s="100">
        <v>1680.1398828250838</v>
      </c>
      <c r="R21" s="100">
        <v>26.02144269029575</v>
      </c>
      <c r="S21" s="100">
        <v>1623.7380238744547</v>
      </c>
      <c r="T21" s="100">
        <v>15</v>
      </c>
      <c r="U21" s="100">
        <v>936</v>
      </c>
      <c r="V21" s="100">
        <v>25</v>
      </c>
      <c r="W21" s="100">
        <v>1560</v>
      </c>
      <c r="X21" s="100">
        <v>23</v>
      </c>
      <c r="Y21" s="100">
        <v>1435.2</v>
      </c>
      <c r="Z21" s="100">
        <v>23</v>
      </c>
      <c r="AA21" s="100">
        <v>1435.2</v>
      </c>
      <c r="AB21" s="100">
        <v>27</v>
      </c>
      <c r="AC21" s="100">
        <v>1684.8</v>
      </c>
      <c r="AD21" s="100">
        <v>30</v>
      </c>
      <c r="AE21" s="100">
        <v>1872</v>
      </c>
      <c r="AF21" s="100">
        <v>23</v>
      </c>
      <c r="AG21" s="100">
        <v>1435.2</v>
      </c>
      <c r="AH21" s="100">
        <v>20</v>
      </c>
      <c r="AI21" s="100">
        <v>1248</v>
      </c>
      <c r="AJ21" s="100">
        <v>7.9471465059672362</v>
      </c>
      <c r="AK21" s="100">
        <v>495.90194197235553</v>
      </c>
      <c r="AL21" s="100">
        <v>6.8388041657408696E-4</v>
      </c>
      <c r="AM21" s="100">
        <v>4.2674137994223024E-2</v>
      </c>
      <c r="AN21" s="100">
        <v>7.0527941446804751E-4</v>
      </c>
      <c r="AO21" s="100">
        <v>4.4009435462806161E-2</v>
      </c>
      <c r="AP21" s="100">
        <v>7.150749618912148E-4</v>
      </c>
      <c r="AQ21" s="100">
        <v>4.4620677622011801E-2</v>
      </c>
      <c r="AR21" s="100">
        <v>24</v>
      </c>
      <c r="AS21" s="100">
        <v>1497.6</v>
      </c>
      <c r="AT21" s="100">
        <v>23</v>
      </c>
      <c r="AU21" s="100">
        <v>1435.2</v>
      </c>
      <c r="AV21" s="100">
        <v>20</v>
      </c>
      <c r="AW21" s="100">
        <v>1248</v>
      </c>
      <c r="AX21" s="100">
        <v>19</v>
      </c>
      <c r="AY21" s="100">
        <v>1185.5999999999999</v>
      </c>
      <c r="AZ21" s="100">
        <v>31</v>
      </c>
      <c r="BA21" s="100">
        <v>1934.3999999999999</v>
      </c>
      <c r="BB21" s="100">
        <v>27</v>
      </c>
      <c r="BC21" s="100">
        <v>1684.8</v>
      </c>
      <c r="BD21" s="100">
        <v>17</v>
      </c>
      <c r="BE21" s="100">
        <v>1060.8</v>
      </c>
      <c r="BF21" s="100">
        <v>15</v>
      </c>
      <c r="BG21" s="100">
        <v>936</v>
      </c>
      <c r="BH21" s="100">
        <v>19</v>
      </c>
      <c r="BI21" s="100">
        <v>1185.5999999999999</v>
      </c>
      <c r="BJ21" s="100">
        <v>23</v>
      </c>
      <c r="BK21" s="100">
        <v>1435.2</v>
      </c>
      <c r="BL21" s="100">
        <v>29</v>
      </c>
      <c r="BM21" s="100">
        <v>1809.6</v>
      </c>
      <c r="BN21" s="100">
        <v>31</v>
      </c>
      <c r="BO21" s="100">
        <v>1934.3999999999999</v>
      </c>
      <c r="BP21" s="100">
        <v>32</v>
      </c>
      <c r="BQ21" s="100">
        <v>1996.8</v>
      </c>
      <c r="BR21" s="100">
        <v>29</v>
      </c>
      <c r="BS21" s="100">
        <v>1809.6</v>
      </c>
      <c r="BT21" s="100">
        <v>20</v>
      </c>
      <c r="BU21" s="100">
        <v>1248</v>
      </c>
      <c r="BV21" s="100">
        <v>24</v>
      </c>
      <c r="BW21" s="100">
        <v>1497.6</v>
      </c>
      <c r="BX21" s="100">
        <v>22.366941078156373</v>
      </c>
      <c r="BY21" s="100">
        <v>1395.6971232769577</v>
      </c>
      <c r="BZ21" s="100">
        <v>10.284935063133959</v>
      </c>
      <c r="CA21" s="100">
        <v>641.77994793955907</v>
      </c>
      <c r="CB21" s="100">
        <v>15.11863096889757</v>
      </c>
      <c r="CC21" s="100">
        <v>943.40257245920839</v>
      </c>
      <c r="CD21" s="100">
        <v>27.035827430302522</v>
      </c>
      <c r="CE21" s="100">
        <v>1687.0356316508773</v>
      </c>
      <c r="CF21" s="100">
        <v>23.975141766701061</v>
      </c>
      <c r="CG21" s="100">
        <v>1496.0488462421461</v>
      </c>
      <c r="CH21" s="100">
        <v>23.17653277517595</v>
      </c>
      <c r="CI21" s="100">
        <v>1446.2156451709793</v>
      </c>
      <c r="CJ21" s="100">
        <v>17.552803069228069</v>
      </c>
      <c r="CK21" s="100">
        <v>1095.2949115198314</v>
      </c>
      <c r="CL21" s="100">
        <v>26.597095153260671</v>
      </c>
      <c r="CM21" s="100">
        <v>1659.6587375634658</v>
      </c>
      <c r="CN21" s="100">
        <v>25.439732016884474</v>
      </c>
      <c r="CO21" s="100">
        <v>1587.4392778535912</v>
      </c>
      <c r="CP21" s="100">
        <v>19.884150332385108</v>
      </c>
      <c r="CQ21" s="100">
        <v>1240.7709807408307</v>
      </c>
      <c r="CR21" s="100">
        <v>25.754226523321439</v>
      </c>
      <c r="CS21" s="100">
        <v>1607.0637350552577</v>
      </c>
      <c r="CT21" s="100">
        <v>23.378510381876513</v>
      </c>
      <c r="CU21" s="100">
        <v>1458.8190478290944</v>
      </c>
    </row>
    <row r="22" spans="2:99">
      <c r="C22" s="99" t="s">
        <v>188</v>
      </c>
      <c r="D22" s="100">
        <v>15</v>
      </c>
      <c r="E22" s="100">
        <v>2808</v>
      </c>
      <c r="F22" s="100">
        <v>19</v>
      </c>
      <c r="G22" s="100">
        <v>3556.7999999999997</v>
      </c>
      <c r="H22" s="100">
        <v>25</v>
      </c>
      <c r="I22" s="100">
        <v>4680</v>
      </c>
      <c r="J22" s="100">
        <v>24.265090174968336</v>
      </c>
      <c r="K22" s="100">
        <v>4542.4248807540725</v>
      </c>
      <c r="L22" s="100">
        <v>19.544434679248766</v>
      </c>
      <c r="M22" s="100">
        <v>3658.7181719553687</v>
      </c>
      <c r="N22" s="100">
        <v>22.9407472188743</v>
      </c>
      <c r="O22" s="100">
        <v>4294.5078793732691</v>
      </c>
      <c r="P22" s="100">
        <v>24.232786771515631</v>
      </c>
      <c r="Q22" s="100">
        <v>4536.3776836277257</v>
      </c>
      <c r="R22" s="100">
        <v>24.162768212417479</v>
      </c>
      <c r="S22" s="100">
        <v>4523.2702093645521</v>
      </c>
      <c r="T22" s="100">
        <v>15</v>
      </c>
      <c r="U22" s="100">
        <v>2808</v>
      </c>
      <c r="V22" s="100">
        <v>27</v>
      </c>
      <c r="W22" s="100">
        <v>5054.3999999999996</v>
      </c>
      <c r="X22" s="100">
        <v>20</v>
      </c>
      <c r="Y22" s="100">
        <v>3744</v>
      </c>
      <c r="Z22" s="100">
        <v>24</v>
      </c>
      <c r="AA22" s="100">
        <v>4492.7999999999993</v>
      </c>
      <c r="AB22" s="100">
        <v>27</v>
      </c>
      <c r="AC22" s="100">
        <v>5054.3999999999996</v>
      </c>
      <c r="AD22" s="100">
        <v>29</v>
      </c>
      <c r="AE22" s="100">
        <v>5428.7999999999993</v>
      </c>
      <c r="AF22" s="100">
        <v>23</v>
      </c>
      <c r="AG22" s="100">
        <v>4305.5999999999995</v>
      </c>
      <c r="AH22" s="100">
        <v>20</v>
      </c>
      <c r="AI22" s="100">
        <v>3744</v>
      </c>
      <c r="AJ22" s="100">
        <v>8.3886546451876374</v>
      </c>
      <c r="AK22" s="100">
        <v>1570.3561495791257</v>
      </c>
      <c r="AL22" s="100">
        <v>5.3990559203217386E-4</v>
      </c>
      <c r="AM22" s="100">
        <v>0.10107032682842294</v>
      </c>
      <c r="AN22" s="100">
        <v>7.6405269900705144E-4</v>
      </c>
      <c r="AO22" s="100">
        <v>0.14303066525412003</v>
      </c>
      <c r="AP22" s="100">
        <v>7.150749618912148E-4</v>
      </c>
      <c r="AQ22" s="100">
        <v>0.1338620328660354</v>
      </c>
      <c r="AR22" s="100">
        <v>22</v>
      </c>
      <c r="AS22" s="100">
        <v>4118.3999999999996</v>
      </c>
      <c r="AT22" s="100">
        <v>20</v>
      </c>
      <c r="AU22" s="100">
        <v>3744</v>
      </c>
      <c r="AV22" s="100">
        <v>22</v>
      </c>
      <c r="AW22" s="100">
        <v>4118.3999999999996</v>
      </c>
      <c r="AX22" s="100">
        <v>22</v>
      </c>
      <c r="AY22" s="100">
        <v>4118.3999999999996</v>
      </c>
      <c r="AZ22" s="100">
        <v>31</v>
      </c>
      <c r="BA22" s="100">
        <v>5803.2</v>
      </c>
      <c r="BB22" s="100">
        <v>22</v>
      </c>
      <c r="BC22" s="100">
        <v>4118.3999999999996</v>
      </c>
      <c r="BD22" s="100">
        <v>15</v>
      </c>
      <c r="BE22" s="100">
        <v>2808</v>
      </c>
      <c r="BF22" s="100">
        <v>16</v>
      </c>
      <c r="BG22" s="100">
        <v>2995.2</v>
      </c>
      <c r="BH22" s="100">
        <v>19</v>
      </c>
      <c r="BI22" s="100">
        <v>3556.7999999999997</v>
      </c>
      <c r="BJ22" s="100">
        <v>22</v>
      </c>
      <c r="BK22" s="100">
        <v>4118.3999999999996</v>
      </c>
      <c r="BL22" s="100">
        <v>26</v>
      </c>
      <c r="BM22" s="100">
        <v>4867.2</v>
      </c>
      <c r="BN22" s="100">
        <v>30</v>
      </c>
      <c r="BO22" s="100">
        <v>5616</v>
      </c>
      <c r="BP22" s="100">
        <v>30</v>
      </c>
      <c r="BQ22" s="100">
        <v>5616</v>
      </c>
      <c r="BR22" s="100">
        <v>33</v>
      </c>
      <c r="BS22" s="100">
        <v>6177.5999999999995</v>
      </c>
      <c r="BT22" s="100">
        <v>21</v>
      </c>
      <c r="BU22" s="100">
        <v>3931.2</v>
      </c>
      <c r="BV22" s="100">
        <v>27</v>
      </c>
      <c r="BW22" s="100">
        <v>5054.3999999999996</v>
      </c>
      <c r="BX22" s="100">
        <v>21.051238661794233</v>
      </c>
      <c r="BY22" s="100">
        <v>3940.7918774878804</v>
      </c>
      <c r="BZ22" s="100">
        <v>9.9040115422771464</v>
      </c>
      <c r="CA22" s="100">
        <v>1854.0309607142817</v>
      </c>
      <c r="CB22" s="100">
        <v>17.278435393025795</v>
      </c>
      <c r="CC22" s="100">
        <v>3234.5231055744284</v>
      </c>
      <c r="CD22" s="100">
        <v>27.035827430302522</v>
      </c>
      <c r="CE22" s="100">
        <v>5061.1068949526316</v>
      </c>
      <c r="CF22" s="100">
        <v>28.108786898890898</v>
      </c>
      <c r="CG22" s="100">
        <v>5261.9649074723757</v>
      </c>
      <c r="CH22" s="100">
        <v>24.067937881913487</v>
      </c>
      <c r="CI22" s="100">
        <v>4505.5179714942042</v>
      </c>
      <c r="CJ22" s="100">
        <v>18.527958795296293</v>
      </c>
      <c r="CK22" s="100">
        <v>3468.4338864794659</v>
      </c>
      <c r="CL22" s="100">
        <v>23.845671516716465</v>
      </c>
      <c r="CM22" s="100">
        <v>4463.9097079293215</v>
      </c>
      <c r="CN22" s="100">
        <v>28.071428432424245</v>
      </c>
      <c r="CO22" s="100">
        <v>5254.9714025498188</v>
      </c>
      <c r="CP22" s="100">
        <v>19.088784319089704</v>
      </c>
      <c r="CQ22" s="100">
        <v>3573.4204245335923</v>
      </c>
      <c r="CR22" s="100">
        <v>28.615807248134931</v>
      </c>
      <c r="CS22" s="100">
        <v>5356.8791168508587</v>
      </c>
      <c r="CT22" s="100">
        <v>24.313650797151574</v>
      </c>
      <c r="CU22" s="100">
        <v>4551.5154292267744</v>
      </c>
    </row>
    <row r="23" spans="2:99">
      <c r="C23" s="99" t="s">
        <v>189</v>
      </c>
      <c r="D23" s="100">
        <v>17</v>
      </c>
      <c r="E23" s="100">
        <v>4998</v>
      </c>
      <c r="F23" s="100">
        <v>17</v>
      </c>
      <c r="G23" s="100">
        <v>4998</v>
      </c>
      <c r="H23" s="100">
        <v>26</v>
      </c>
      <c r="I23" s="100">
        <v>7644</v>
      </c>
      <c r="J23" s="100">
        <v>27.998180971117311</v>
      </c>
      <c r="K23" s="100">
        <v>8231.4652055084898</v>
      </c>
      <c r="L23" s="100">
        <v>18.656051284737458</v>
      </c>
      <c r="M23" s="100">
        <v>5484.8790777128124</v>
      </c>
      <c r="N23" s="100">
        <v>24.935594803124236</v>
      </c>
      <c r="O23" s="100">
        <v>7331.0648721185253</v>
      </c>
      <c r="P23" s="100">
        <v>25.130297392682877</v>
      </c>
      <c r="Q23" s="100">
        <v>7388.3074334487656</v>
      </c>
      <c r="R23" s="100">
        <v>25.092105451356613</v>
      </c>
      <c r="S23" s="100">
        <v>7377.0790026988443</v>
      </c>
      <c r="T23" s="100">
        <v>17</v>
      </c>
      <c r="U23" s="100">
        <v>4998</v>
      </c>
      <c r="V23" s="100">
        <v>27</v>
      </c>
      <c r="W23" s="100">
        <v>7938</v>
      </c>
      <c r="X23" s="100">
        <v>23</v>
      </c>
      <c r="Y23" s="100">
        <v>6762</v>
      </c>
      <c r="Z23" s="100">
        <v>21</v>
      </c>
      <c r="AA23" s="100">
        <v>6174</v>
      </c>
      <c r="AB23" s="100">
        <v>24</v>
      </c>
      <c r="AC23" s="100">
        <v>7056</v>
      </c>
      <c r="AD23" s="100">
        <v>25</v>
      </c>
      <c r="AE23" s="100">
        <v>7350</v>
      </c>
      <c r="AF23" s="100">
        <v>25</v>
      </c>
      <c r="AG23" s="100">
        <v>7350</v>
      </c>
      <c r="AH23" s="100">
        <v>22</v>
      </c>
      <c r="AI23" s="100">
        <v>6468</v>
      </c>
      <c r="AJ23" s="100">
        <v>7.505638366746834</v>
      </c>
      <c r="AK23" s="100">
        <v>2206.6576798235692</v>
      </c>
      <c r="AL23" s="100">
        <v>6.1189300430313041E-4</v>
      </c>
      <c r="AM23" s="100">
        <v>0.17989654326512033</v>
      </c>
      <c r="AN23" s="100">
        <v>7.9343934127655341E-4</v>
      </c>
      <c r="AO23" s="100">
        <v>0.2332711663353067</v>
      </c>
      <c r="AP23" s="100">
        <v>6.5006814717383167E-4</v>
      </c>
      <c r="AQ23" s="100">
        <v>0.19112003526910651</v>
      </c>
      <c r="AR23" s="100">
        <v>25</v>
      </c>
      <c r="AS23" s="100">
        <v>7350</v>
      </c>
      <c r="AT23" s="100">
        <v>20</v>
      </c>
      <c r="AU23" s="100">
        <v>5880</v>
      </c>
      <c r="AV23" s="100">
        <v>24</v>
      </c>
      <c r="AW23" s="100">
        <v>7056</v>
      </c>
      <c r="AX23" s="100">
        <v>19</v>
      </c>
      <c r="AY23" s="100">
        <v>5586</v>
      </c>
      <c r="AZ23" s="100">
        <v>32</v>
      </c>
      <c r="BA23" s="100">
        <v>9408</v>
      </c>
      <c r="BB23" s="100">
        <v>25</v>
      </c>
      <c r="BC23" s="100">
        <v>7350</v>
      </c>
      <c r="BD23" s="100">
        <v>18</v>
      </c>
      <c r="BE23" s="100">
        <v>5292</v>
      </c>
      <c r="BF23" s="100">
        <v>17</v>
      </c>
      <c r="BG23" s="100">
        <v>4998</v>
      </c>
      <c r="BH23" s="100">
        <v>18</v>
      </c>
      <c r="BI23" s="100">
        <v>5292</v>
      </c>
      <c r="BJ23" s="100">
        <v>21</v>
      </c>
      <c r="BK23" s="100">
        <v>6174</v>
      </c>
      <c r="BL23" s="100">
        <v>26</v>
      </c>
      <c r="BM23" s="100">
        <v>7644</v>
      </c>
      <c r="BN23" s="100">
        <v>31</v>
      </c>
      <c r="BO23" s="100">
        <v>9114</v>
      </c>
      <c r="BP23" s="100">
        <v>32</v>
      </c>
      <c r="BQ23" s="100">
        <v>9408</v>
      </c>
      <c r="BR23" s="100">
        <v>30</v>
      </c>
      <c r="BS23" s="100">
        <v>8820</v>
      </c>
      <c r="BT23" s="100">
        <v>22</v>
      </c>
      <c r="BU23" s="100">
        <v>6468</v>
      </c>
      <c r="BV23" s="100">
        <v>25</v>
      </c>
      <c r="BW23" s="100">
        <v>7350</v>
      </c>
      <c r="BX23" s="100">
        <v>19.077685037251022</v>
      </c>
      <c r="BY23" s="100">
        <v>5608.8394009518006</v>
      </c>
      <c r="BZ23" s="100">
        <v>9.5230880214203335</v>
      </c>
      <c r="CA23" s="100">
        <v>2799.7878782975781</v>
      </c>
      <c r="CB23" s="100">
        <v>15.838565776940312</v>
      </c>
      <c r="CC23" s="100">
        <v>4656.5383384204515</v>
      </c>
      <c r="CD23" s="100">
        <v>24.419457033821633</v>
      </c>
      <c r="CE23" s="100">
        <v>7179.3203679435601</v>
      </c>
      <c r="CF23" s="100">
        <v>23.975141766701061</v>
      </c>
      <c r="CG23" s="100">
        <v>7048.6916794101116</v>
      </c>
      <c r="CH23" s="100">
        <v>22.285127668438413</v>
      </c>
      <c r="CI23" s="100">
        <v>6551.8275345208931</v>
      </c>
      <c r="CJ23" s="100">
        <v>19.50311452136452</v>
      </c>
      <c r="CK23" s="100">
        <v>5733.9156692811684</v>
      </c>
      <c r="CL23" s="100">
        <v>22.928530304535059</v>
      </c>
      <c r="CM23" s="100">
        <v>6740.9879095333072</v>
      </c>
      <c r="CN23" s="100">
        <v>27.194196293910988</v>
      </c>
      <c r="CO23" s="100">
        <v>7995.0937104098302</v>
      </c>
      <c r="CP23" s="100">
        <v>19.884150332385108</v>
      </c>
      <c r="CQ23" s="100">
        <v>5845.9401977212219</v>
      </c>
      <c r="CR23" s="100">
        <v>25.754226523321439</v>
      </c>
      <c r="CS23" s="100">
        <v>7571.7425978565034</v>
      </c>
      <c r="CT23" s="100">
        <v>24.313650797151574</v>
      </c>
      <c r="CU23" s="100">
        <v>7148.2133343625628</v>
      </c>
    </row>
    <row r="24" spans="2:99">
      <c r="C24" s="99" t="s">
        <v>190</v>
      </c>
      <c r="D24" s="100">
        <v>14</v>
      </c>
      <c r="E24" s="100">
        <v>5140.8</v>
      </c>
      <c r="F24" s="100">
        <v>18</v>
      </c>
      <c r="G24" s="100">
        <v>6609.5999999999995</v>
      </c>
      <c r="H24" s="100">
        <v>26</v>
      </c>
      <c r="I24" s="100">
        <v>9547.1999999999989</v>
      </c>
      <c r="J24" s="100">
        <v>23.331817475931093</v>
      </c>
      <c r="K24" s="100">
        <v>8567.4433771618969</v>
      </c>
      <c r="L24" s="100">
        <v>21.321201468271379</v>
      </c>
      <c r="M24" s="100">
        <v>7829.14517914925</v>
      </c>
      <c r="N24" s="100">
        <v>21.94332342674933</v>
      </c>
      <c r="O24" s="100">
        <v>8057.5883623023537</v>
      </c>
      <c r="P24" s="100">
        <v>25.130297392682877</v>
      </c>
      <c r="Q24" s="100">
        <v>9227.8452025931529</v>
      </c>
      <c r="R24" s="100">
        <v>22.304093734539212</v>
      </c>
      <c r="S24" s="100">
        <v>8190.0632193227984</v>
      </c>
      <c r="T24" s="100">
        <v>16</v>
      </c>
      <c r="U24" s="100">
        <v>5875.2</v>
      </c>
      <c r="V24" s="100">
        <v>27</v>
      </c>
      <c r="W24" s="100">
        <v>9914.4</v>
      </c>
      <c r="X24" s="100">
        <v>23</v>
      </c>
      <c r="Y24" s="100">
        <v>8445.6</v>
      </c>
      <c r="Z24" s="100">
        <v>25</v>
      </c>
      <c r="AA24" s="100">
        <v>9180</v>
      </c>
      <c r="AB24" s="100">
        <v>27</v>
      </c>
      <c r="AC24" s="100">
        <v>9914.4</v>
      </c>
      <c r="AD24" s="100">
        <v>24</v>
      </c>
      <c r="AE24" s="100">
        <v>8812.7999999999993</v>
      </c>
      <c r="AF24" s="100">
        <v>23</v>
      </c>
      <c r="AG24" s="100">
        <v>8445.6</v>
      </c>
      <c r="AH24" s="100">
        <v>20</v>
      </c>
      <c r="AI24" s="100">
        <v>7344</v>
      </c>
      <c r="AJ24" s="100">
        <v>8.3886546451876374</v>
      </c>
      <c r="AK24" s="100">
        <v>3080.3139857129004</v>
      </c>
      <c r="AL24" s="100">
        <v>5.7589929816765219E-4</v>
      </c>
      <c r="AM24" s="100">
        <v>0.21147022228716186</v>
      </c>
      <c r="AN24" s="100">
        <v>7.3466605673754937E-4</v>
      </c>
      <c r="AO24" s="100">
        <v>0.26976937603402812</v>
      </c>
      <c r="AP24" s="100">
        <v>6.5006814717383167E-4</v>
      </c>
      <c r="AQ24" s="100">
        <v>0.23870502364223098</v>
      </c>
      <c r="AR24" s="100">
        <v>24</v>
      </c>
      <c r="AS24" s="100">
        <v>8812.7999999999993</v>
      </c>
      <c r="AT24" s="100">
        <v>20</v>
      </c>
      <c r="AU24" s="100">
        <v>7344</v>
      </c>
      <c r="AV24" s="100">
        <v>20</v>
      </c>
      <c r="AW24" s="100">
        <v>7344</v>
      </c>
      <c r="AX24" s="100">
        <v>18</v>
      </c>
      <c r="AY24" s="100">
        <v>6609.5999999999995</v>
      </c>
      <c r="AZ24" s="100">
        <v>29</v>
      </c>
      <c r="BA24" s="100">
        <v>10648.8</v>
      </c>
      <c r="BB24" s="100">
        <v>22</v>
      </c>
      <c r="BC24" s="100">
        <v>8078.4</v>
      </c>
      <c r="BD24" s="100">
        <v>16</v>
      </c>
      <c r="BE24" s="100">
        <v>5875.2</v>
      </c>
      <c r="BF24" s="100">
        <v>17</v>
      </c>
      <c r="BG24" s="100">
        <v>6242.4</v>
      </c>
      <c r="BH24" s="100">
        <v>20</v>
      </c>
      <c r="BI24" s="100">
        <v>7344</v>
      </c>
      <c r="BJ24" s="100">
        <v>22</v>
      </c>
      <c r="BK24" s="100">
        <v>8078.4</v>
      </c>
      <c r="BL24" s="100">
        <v>26</v>
      </c>
      <c r="BM24" s="100">
        <v>9547.1999999999989</v>
      </c>
      <c r="BN24" s="100">
        <v>31</v>
      </c>
      <c r="BO24" s="100">
        <v>11383.199999999999</v>
      </c>
      <c r="BP24" s="100">
        <v>30</v>
      </c>
      <c r="BQ24" s="100">
        <v>11016</v>
      </c>
      <c r="BR24" s="100">
        <v>34</v>
      </c>
      <c r="BS24" s="100">
        <v>12484.8</v>
      </c>
      <c r="BT24" s="100">
        <v>20</v>
      </c>
      <c r="BU24" s="100">
        <v>7344</v>
      </c>
      <c r="BV24" s="100">
        <v>27</v>
      </c>
      <c r="BW24" s="100">
        <v>9914.4</v>
      </c>
      <c r="BX24" s="100">
        <v>19.077685037251022</v>
      </c>
      <c r="BY24" s="100">
        <v>7005.3259456785754</v>
      </c>
      <c r="BZ24" s="100">
        <v>9.5230880214203335</v>
      </c>
      <c r="CA24" s="100">
        <v>3496.8779214655465</v>
      </c>
      <c r="CB24" s="100">
        <v>15.838565776940312</v>
      </c>
      <c r="CC24" s="100">
        <v>5815.9213532924823</v>
      </c>
      <c r="CD24" s="100">
        <v>25.291580499315263</v>
      </c>
      <c r="CE24" s="100">
        <v>9287.0683593485646</v>
      </c>
      <c r="CF24" s="100">
        <v>26.455328846014964</v>
      </c>
      <c r="CG24" s="100">
        <v>9714.3967522566945</v>
      </c>
      <c r="CH24" s="100">
        <v>24.067937881913487</v>
      </c>
      <c r="CI24" s="100">
        <v>8837.7467902386325</v>
      </c>
      <c r="CJ24" s="100">
        <v>17.552803069228069</v>
      </c>
      <c r="CK24" s="100">
        <v>6445.3892870205473</v>
      </c>
      <c r="CL24" s="100">
        <v>24.762812728897863</v>
      </c>
      <c r="CM24" s="100">
        <v>9092.9048340512945</v>
      </c>
      <c r="CN24" s="100">
        <v>23.685267739857959</v>
      </c>
      <c r="CO24" s="100">
        <v>8697.2303140758431</v>
      </c>
      <c r="CP24" s="100">
        <v>20.679516345680511</v>
      </c>
      <c r="CQ24" s="100">
        <v>7593.5184021338837</v>
      </c>
      <c r="CR24" s="100">
        <v>28.615807248134931</v>
      </c>
      <c r="CS24" s="100">
        <v>10507.724421515146</v>
      </c>
      <c r="CT24" s="100">
        <v>23.378510381876513</v>
      </c>
      <c r="CU24" s="100">
        <v>8584.5890122250548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16</v>
      </c>
      <c r="G25" s="100">
        <v>8486.4</v>
      </c>
      <c r="H25" s="100">
        <v>25</v>
      </c>
      <c r="I25" s="100">
        <v>13260</v>
      </c>
      <c r="J25" s="100">
        <v>22.398544776893846</v>
      </c>
      <c r="K25" s="100">
        <v>11880.188149664496</v>
      </c>
      <c r="L25" s="100">
        <v>18.656051284737458</v>
      </c>
      <c r="M25" s="100">
        <v>9895.1696014247482</v>
      </c>
      <c r="N25" s="100">
        <v>21.94332342674933</v>
      </c>
      <c r="O25" s="100">
        <v>11638.738745547844</v>
      </c>
      <c r="P25" s="100">
        <v>25.130297392682877</v>
      </c>
      <c r="Q25" s="100">
        <v>13329.109737078998</v>
      </c>
      <c r="R25" s="100">
        <v>25.092105451356613</v>
      </c>
      <c r="S25" s="100">
        <v>13308.852731399547</v>
      </c>
      <c r="T25" s="100">
        <v>17</v>
      </c>
      <c r="U25" s="100">
        <v>9016.7999999999993</v>
      </c>
      <c r="V25" s="100">
        <v>24</v>
      </c>
      <c r="W25" s="100">
        <v>12729.599999999999</v>
      </c>
      <c r="X25" s="100">
        <v>23</v>
      </c>
      <c r="Y25" s="100">
        <v>12199.199999999999</v>
      </c>
      <c r="Z25" s="100">
        <v>22</v>
      </c>
      <c r="AA25" s="100">
        <v>11668.8</v>
      </c>
      <c r="AB25" s="100">
        <v>22</v>
      </c>
      <c r="AC25" s="100">
        <v>11668.8</v>
      </c>
      <c r="AD25" s="100">
        <v>28</v>
      </c>
      <c r="AE25" s="100">
        <v>14851.199999999999</v>
      </c>
      <c r="AF25" s="100">
        <v>25</v>
      </c>
      <c r="AG25" s="100">
        <v>13260</v>
      </c>
      <c r="AH25" s="100">
        <v>21</v>
      </c>
      <c r="AI25" s="100">
        <v>11138.4</v>
      </c>
      <c r="AJ25" s="100">
        <v>7.9471465059672362</v>
      </c>
      <c r="AK25" s="100">
        <v>4215.1665067650219</v>
      </c>
      <c r="AL25" s="100">
        <v>6.1189300430313041E-4</v>
      </c>
      <c r="AM25" s="100">
        <v>0.32454804948238036</v>
      </c>
      <c r="AN25" s="100">
        <v>6.7589277219854554E-4</v>
      </c>
      <c r="AO25" s="100">
        <v>0.35849352637410853</v>
      </c>
      <c r="AP25" s="100">
        <v>6.1756473981513995E-4</v>
      </c>
      <c r="AQ25" s="100">
        <v>0.3275563379979502</v>
      </c>
      <c r="AR25" s="100">
        <v>20</v>
      </c>
      <c r="AS25" s="100">
        <v>10608</v>
      </c>
      <c r="AT25" s="100">
        <v>19</v>
      </c>
      <c r="AU25" s="100">
        <v>10077.6</v>
      </c>
      <c r="AV25" s="100">
        <v>21</v>
      </c>
      <c r="AW25" s="100">
        <v>11138.4</v>
      </c>
      <c r="AX25" s="100">
        <v>20</v>
      </c>
      <c r="AY25" s="100">
        <v>10608</v>
      </c>
      <c r="AZ25" s="100">
        <v>30</v>
      </c>
      <c r="BA25" s="100">
        <v>15912</v>
      </c>
      <c r="BB25" s="100">
        <v>24</v>
      </c>
      <c r="BC25" s="100">
        <v>12729.599999999999</v>
      </c>
      <c r="BD25" s="100">
        <v>16</v>
      </c>
      <c r="BE25" s="100">
        <v>8486.4</v>
      </c>
      <c r="BF25" s="100">
        <v>15</v>
      </c>
      <c r="BG25" s="100">
        <v>7956</v>
      </c>
      <c r="BH25" s="100">
        <v>17</v>
      </c>
      <c r="BI25" s="100">
        <v>9016.7999999999993</v>
      </c>
      <c r="BJ25" s="100">
        <v>23</v>
      </c>
      <c r="BK25" s="100">
        <v>12199.199999999999</v>
      </c>
      <c r="BL25" s="100">
        <v>23</v>
      </c>
      <c r="BM25" s="100">
        <v>12199.199999999999</v>
      </c>
      <c r="BN25" s="100">
        <v>29</v>
      </c>
      <c r="BO25" s="100">
        <v>15381.599999999999</v>
      </c>
      <c r="BP25" s="100">
        <v>28</v>
      </c>
      <c r="BQ25" s="100">
        <v>14851.199999999999</v>
      </c>
      <c r="BR25" s="100">
        <v>32</v>
      </c>
      <c r="BS25" s="100">
        <v>16972.8</v>
      </c>
      <c r="BT25" s="100">
        <v>20</v>
      </c>
      <c r="BU25" s="100">
        <v>10608</v>
      </c>
      <c r="BV25" s="100">
        <v>27</v>
      </c>
      <c r="BW25" s="100">
        <v>14320.8</v>
      </c>
      <c r="BX25" s="100">
        <v>21.051238661794233</v>
      </c>
      <c r="BY25" s="100">
        <v>11165.576986215661</v>
      </c>
      <c r="BZ25" s="100">
        <v>9.1421645005635206</v>
      </c>
      <c r="CA25" s="100">
        <v>4849.0040510988911</v>
      </c>
      <c r="CB25" s="100">
        <v>14.398696160854829</v>
      </c>
      <c r="CC25" s="100">
        <v>7637.0684437174014</v>
      </c>
      <c r="CD25" s="100">
        <v>25.291580499315263</v>
      </c>
      <c r="CE25" s="100">
        <v>13414.654296836814</v>
      </c>
      <c r="CF25" s="100">
        <v>25.628599819576998</v>
      </c>
      <c r="CG25" s="100">
        <v>13593.409344303638</v>
      </c>
      <c r="CH25" s="100">
        <v>25.85074809538856</v>
      </c>
      <c r="CI25" s="100">
        <v>13711.236789794091</v>
      </c>
      <c r="CJ25" s="100">
        <v>16.577647343159839</v>
      </c>
      <c r="CK25" s="100">
        <v>8792.7841508119782</v>
      </c>
      <c r="CL25" s="100">
        <v>22.928530304535059</v>
      </c>
      <c r="CM25" s="100">
        <v>12161.292473525395</v>
      </c>
      <c r="CN25" s="100">
        <v>25.439732016884474</v>
      </c>
      <c r="CO25" s="100">
        <v>13493.233861755523</v>
      </c>
      <c r="CP25" s="100">
        <v>18.293418305794301</v>
      </c>
      <c r="CQ25" s="100">
        <v>9702.8290693932977</v>
      </c>
      <c r="CR25" s="100">
        <v>24.80036628171694</v>
      </c>
      <c r="CS25" s="100">
        <v>13154.114275822665</v>
      </c>
      <c r="CT25" s="100">
        <v>20.573089136051333</v>
      </c>
      <c r="CU25" s="100">
        <v>10911.966477761627</v>
      </c>
    </row>
    <row r="26" spans="2:99">
      <c r="C26" s="99" t="s">
        <v>192</v>
      </c>
      <c r="D26" s="100">
        <v>16</v>
      </c>
      <c r="E26" s="100">
        <v>7776</v>
      </c>
      <c r="F26" s="100">
        <v>18</v>
      </c>
      <c r="G26" s="100">
        <v>8748</v>
      </c>
      <c r="H26" s="100">
        <v>23</v>
      </c>
      <c r="I26" s="100">
        <v>11178</v>
      </c>
      <c r="J26" s="100">
        <v>23.331817475931093</v>
      </c>
      <c r="K26" s="100">
        <v>11339.263293302511</v>
      </c>
      <c r="L26" s="100">
        <v>18.656051284737458</v>
      </c>
      <c r="M26" s="100">
        <v>9066.8409243824044</v>
      </c>
      <c r="N26" s="100">
        <v>21.94332342674933</v>
      </c>
      <c r="O26" s="100">
        <v>10664.455185400175</v>
      </c>
      <c r="P26" s="100">
        <v>21.540254908013896</v>
      </c>
      <c r="Q26" s="100">
        <v>10468.563885294754</v>
      </c>
      <c r="R26" s="100">
        <v>25.092105451356613</v>
      </c>
      <c r="S26" s="100">
        <v>12194.763249359314</v>
      </c>
      <c r="T26" s="100">
        <v>16</v>
      </c>
      <c r="U26" s="100">
        <v>7776</v>
      </c>
      <c r="V26" s="100">
        <v>23</v>
      </c>
      <c r="W26" s="100">
        <v>11178</v>
      </c>
      <c r="X26" s="100">
        <v>22</v>
      </c>
      <c r="Y26" s="100">
        <v>10692</v>
      </c>
      <c r="Z26" s="100">
        <v>24</v>
      </c>
      <c r="AA26" s="100">
        <v>11664</v>
      </c>
      <c r="AB26" s="100">
        <v>25</v>
      </c>
      <c r="AC26" s="100">
        <v>12150</v>
      </c>
      <c r="AD26" s="100">
        <v>28</v>
      </c>
      <c r="AE26" s="100">
        <v>13608</v>
      </c>
      <c r="AF26" s="100">
        <v>23</v>
      </c>
      <c r="AG26" s="100">
        <v>11178</v>
      </c>
      <c r="AH26" s="100">
        <v>19</v>
      </c>
      <c r="AI26" s="100">
        <v>9234</v>
      </c>
      <c r="AJ26" s="100">
        <v>7.505638366746834</v>
      </c>
      <c r="AK26" s="100">
        <v>3647.7402462389614</v>
      </c>
      <c r="AL26" s="100">
        <v>6.1189300430313041E-4</v>
      </c>
      <c r="AM26" s="100">
        <v>0.29738000009132137</v>
      </c>
      <c r="AN26" s="100">
        <v>7.3466605673754937E-4</v>
      </c>
      <c r="AO26" s="100">
        <v>0.35704770357444898</v>
      </c>
      <c r="AP26" s="100">
        <v>6.1756473981513995E-4</v>
      </c>
      <c r="AQ26" s="100">
        <v>0.30013646355015799</v>
      </c>
      <c r="AR26" s="100">
        <v>22</v>
      </c>
      <c r="AS26" s="100">
        <v>10692</v>
      </c>
      <c r="AT26" s="100">
        <v>19</v>
      </c>
      <c r="AU26" s="100">
        <v>9234</v>
      </c>
      <c r="AV26" s="100">
        <v>21</v>
      </c>
      <c r="AW26" s="100">
        <v>10206</v>
      </c>
      <c r="AX26" s="100">
        <v>20</v>
      </c>
      <c r="AY26" s="100">
        <v>9720</v>
      </c>
      <c r="AZ26" s="100">
        <v>27</v>
      </c>
      <c r="BA26" s="100">
        <v>13122</v>
      </c>
      <c r="BB26" s="100">
        <v>24</v>
      </c>
      <c r="BC26" s="100">
        <v>11664</v>
      </c>
      <c r="BD26" s="100">
        <v>17</v>
      </c>
      <c r="BE26" s="100">
        <v>8262</v>
      </c>
      <c r="BF26" s="100">
        <v>14</v>
      </c>
      <c r="BG26" s="100">
        <v>6804</v>
      </c>
      <c r="BH26" s="100">
        <v>20</v>
      </c>
      <c r="BI26" s="100">
        <v>9720</v>
      </c>
      <c r="BJ26" s="100">
        <v>22</v>
      </c>
      <c r="BK26" s="100">
        <v>10692</v>
      </c>
      <c r="BL26" s="100">
        <v>26</v>
      </c>
      <c r="BM26" s="100">
        <v>12636</v>
      </c>
      <c r="BN26" s="100">
        <v>32</v>
      </c>
      <c r="BO26" s="100">
        <v>15552</v>
      </c>
      <c r="BP26" s="100">
        <v>31</v>
      </c>
      <c r="BQ26" s="100">
        <v>15066</v>
      </c>
      <c r="BR26" s="100">
        <v>30</v>
      </c>
      <c r="BS26" s="100">
        <v>14580</v>
      </c>
      <c r="BT26" s="100">
        <v>22</v>
      </c>
      <c r="BU26" s="100">
        <v>10692</v>
      </c>
      <c r="BV26" s="100">
        <v>25</v>
      </c>
      <c r="BW26" s="100">
        <v>12150</v>
      </c>
      <c r="BX26" s="100">
        <v>20.393387453613162</v>
      </c>
      <c r="BY26" s="100">
        <v>9911.1863024559971</v>
      </c>
      <c r="BZ26" s="100">
        <v>9.5230880214203335</v>
      </c>
      <c r="CA26" s="100">
        <v>4628.220778410282</v>
      </c>
      <c r="CB26" s="100">
        <v>15.838565776940312</v>
      </c>
      <c r="CC26" s="100">
        <v>7697.5429675929918</v>
      </c>
      <c r="CD26" s="100">
        <v>25.291580499315263</v>
      </c>
      <c r="CE26" s="100">
        <v>12291.708122667218</v>
      </c>
      <c r="CF26" s="100">
        <v>26.455328846014964</v>
      </c>
      <c r="CG26" s="100">
        <v>12857.289819163272</v>
      </c>
      <c r="CH26" s="100">
        <v>24.95934298865102</v>
      </c>
      <c r="CI26" s="100">
        <v>12130.240692484396</v>
      </c>
      <c r="CJ26" s="100">
        <v>19.50311452136452</v>
      </c>
      <c r="CK26" s="100">
        <v>9478.5136573831569</v>
      </c>
      <c r="CL26" s="100">
        <v>23.845671516716465</v>
      </c>
      <c r="CM26" s="100">
        <v>11588.996357124202</v>
      </c>
      <c r="CN26" s="100">
        <v>28.071428432424245</v>
      </c>
      <c r="CO26" s="100">
        <v>13642.714218158182</v>
      </c>
      <c r="CP26" s="100">
        <v>18.293418305794301</v>
      </c>
      <c r="CQ26" s="100">
        <v>8890.6012966160306</v>
      </c>
      <c r="CR26" s="100">
        <v>27.661947006530433</v>
      </c>
      <c r="CS26" s="100">
        <v>13443.706245173791</v>
      </c>
      <c r="CT26" s="100">
        <v>22.443369966601452</v>
      </c>
      <c r="CU26" s="100">
        <v>10907.477803768306</v>
      </c>
    </row>
    <row r="27" spans="2:99">
      <c r="C27" s="99" t="s">
        <v>193</v>
      </c>
      <c r="D27" s="100">
        <v>15</v>
      </c>
      <c r="E27" s="100">
        <v>6408</v>
      </c>
      <c r="F27" s="100">
        <v>18</v>
      </c>
      <c r="G27" s="100">
        <v>7689.5999999999995</v>
      </c>
      <c r="H27" s="100">
        <v>27</v>
      </c>
      <c r="I27" s="100">
        <v>11534.4</v>
      </c>
      <c r="J27" s="100">
        <v>24.265090174968336</v>
      </c>
      <c r="K27" s="100">
        <v>10366.046522746472</v>
      </c>
      <c r="L27" s="100">
        <v>21.321201468271379</v>
      </c>
      <c r="M27" s="100">
        <v>9108.4172672455334</v>
      </c>
      <c r="N27" s="100">
        <v>20.945899634624361</v>
      </c>
      <c r="O27" s="100">
        <v>8948.0883239115265</v>
      </c>
      <c r="P27" s="100">
        <v>25.130297392682877</v>
      </c>
      <c r="Q27" s="100">
        <v>10735.663046154124</v>
      </c>
      <c r="R27" s="100">
        <v>26.95077992923488</v>
      </c>
      <c r="S27" s="100">
        <v>11513.37318576914</v>
      </c>
      <c r="T27" s="100">
        <v>16</v>
      </c>
      <c r="U27" s="100">
        <v>6835.2</v>
      </c>
      <c r="V27" s="100">
        <v>23</v>
      </c>
      <c r="W27" s="100">
        <v>9825.6</v>
      </c>
      <c r="X27" s="100">
        <v>23</v>
      </c>
      <c r="Y27" s="100">
        <v>9825.6</v>
      </c>
      <c r="Z27" s="100">
        <v>23</v>
      </c>
      <c r="AA27" s="100">
        <v>9825.6</v>
      </c>
      <c r="AB27" s="100">
        <v>25</v>
      </c>
      <c r="AC27" s="100">
        <v>10680</v>
      </c>
      <c r="AD27" s="100">
        <v>28</v>
      </c>
      <c r="AE27" s="100">
        <v>11961.6</v>
      </c>
      <c r="AF27" s="100">
        <v>23</v>
      </c>
      <c r="AG27" s="100">
        <v>9825.6</v>
      </c>
      <c r="AH27" s="100">
        <v>19</v>
      </c>
      <c r="AI27" s="100">
        <v>8116.8</v>
      </c>
      <c r="AJ27" s="100">
        <v>7.505638366746834</v>
      </c>
      <c r="AK27" s="100">
        <v>3206.4087102742474</v>
      </c>
      <c r="AL27" s="100">
        <v>6.4788671043860863E-4</v>
      </c>
      <c r="AM27" s="100">
        <v>0.27677720269937361</v>
      </c>
      <c r="AN27" s="100">
        <v>7.6405269900705144E-4</v>
      </c>
      <c r="AO27" s="100">
        <v>0.32640331301581238</v>
      </c>
      <c r="AP27" s="100">
        <v>6.1756473981513995E-4</v>
      </c>
      <c r="AQ27" s="100">
        <v>0.26382365684902775</v>
      </c>
      <c r="AR27" s="100">
        <v>22</v>
      </c>
      <c r="AS27" s="100">
        <v>9398.4</v>
      </c>
      <c r="AT27" s="100">
        <v>21</v>
      </c>
      <c r="AU27" s="100">
        <v>8971.1999999999989</v>
      </c>
      <c r="AV27" s="100">
        <v>22</v>
      </c>
      <c r="AW27" s="100">
        <v>9398.4</v>
      </c>
      <c r="AX27" s="100">
        <v>18</v>
      </c>
      <c r="AY27" s="100">
        <v>7689.5999999999995</v>
      </c>
      <c r="AZ27" s="100">
        <v>32</v>
      </c>
      <c r="BA27" s="100">
        <v>13670.4</v>
      </c>
      <c r="BB27" s="100">
        <v>25</v>
      </c>
      <c r="BC27" s="100">
        <v>10680</v>
      </c>
      <c r="BD27" s="100">
        <v>17</v>
      </c>
      <c r="BE27" s="100">
        <v>7262.4</v>
      </c>
      <c r="BF27" s="100">
        <v>16</v>
      </c>
      <c r="BG27" s="100">
        <v>6835.2</v>
      </c>
      <c r="BH27" s="100">
        <v>19</v>
      </c>
      <c r="BI27" s="100">
        <v>8116.8</v>
      </c>
      <c r="BJ27" s="100">
        <v>23</v>
      </c>
      <c r="BK27" s="100">
        <v>9825.6</v>
      </c>
      <c r="BL27" s="100">
        <v>27</v>
      </c>
      <c r="BM27" s="100">
        <v>11534.4</v>
      </c>
      <c r="BN27" s="100">
        <v>29</v>
      </c>
      <c r="BO27" s="100">
        <v>12388.8</v>
      </c>
      <c r="BP27" s="100">
        <v>27</v>
      </c>
      <c r="BQ27" s="100">
        <v>11534.4</v>
      </c>
      <c r="BR27" s="100">
        <v>29</v>
      </c>
      <c r="BS27" s="100">
        <v>12388.8</v>
      </c>
      <c r="BT27" s="100">
        <v>22</v>
      </c>
      <c r="BU27" s="100">
        <v>9398.4</v>
      </c>
      <c r="BV27" s="100">
        <v>25</v>
      </c>
      <c r="BW27" s="100">
        <v>10680</v>
      </c>
      <c r="BX27" s="100">
        <v>22.366941078156373</v>
      </c>
      <c r="BY27" s="100">
        <v>9555.1572285884013</v>
      </c>
      <c r="BZ27" s="100">
        <v>9.9040115422771464</v>
      </c>
      <c r="CA27" s="100">
        <v>4230.9937308607969</v>
      </c>
      <c r="CB27" s="100">
        <v>15.11863096889757</v>
      </c>
      <c r="CC27" s="100">
        <v>6458.6791499130413</v>
      </c>
      <c r="CD27" s="100">
        <v>23.547333568328003</v>
      </c>
      <c r="CE27" s="100">
        <v>10059.420900389723</v>
      </c>
      <c r="CF27" s="100">
        <v>25.628599819576998</v>
      </c>
      <c r="CG27" s="100">
        <v>10948.537842923293</v>
      </c>
      <c r="CH27" s="100">
        <v>25.85074809538856</v>
      </c>
      <c r="CI27" s="100">
        <v>11043.439586349992</v>
      </c>
      <c r="CJ27" s="100">
        <v>18.527958795296293</v>
      </c>
      <c r="CK27" s="100">
        <v>7915.1439973505758</v>
      </c>
      <c r="CL27" s="100">
        <v>24.762812728897863</v>
      </c>
      <c r="CM27" s="100">
        <v>10578.673597785168</v>
      </c>
      <c r="CN27" s="100">
        <v>26.316964155397731</v>
      </c>
      <c r="CO27" s="100">
        <v>11242.60708718591</v>
      </c>
      <c r="CP27" s="100">
        <v>18.293418305794301</v>
      </c>
      <c r="CQ27" s="100">
        <v>7814.9483002353254</v>
      </c>
      <c r="CR27" s="100">
        <v>27.661947006530433</v>
      </c>
      <c r="CS27" s="100">
        <v>11817.183761189801</v>
      </c>
      <c r="CT27" s="100">
        <v>21.508229551326394</v>
      </c>
      <c r="CU27" s="100">
        <v>9188.3156643266357</v>
      </c>
    </row>
    <row r="28" spans="2:99">
      <c r="C28" s="99" t="s">
        <v>194</v>
      </c>
      <c r="D28" s="100">
        <v>13</v>
      </c>
      <c r="E28" s="100">
        <v>9594</v>
      </c>
      <c r="F28" s="100">
        <v>18</v>
      </c>
      <c r="G28" s="100">
        <v>13284</v>
      </c>
      <c r="H28" s="100">
        <v>22</v>
      </c>
      <c r="I28" s="100">
        <v>16236</v>
      </c>
      <c r="J28" s="100">
        <v>23.331817475931093</v>
      </c>
      <c r="K28" s="100">
        <v>17218.881297237145</v>
      </c>
      <c r="L28" s="100">
        <v>17.76766789022615</v>
      </c>
      <c r="M28" s="100">
        <v>13112.538902986898</v>
      </c>
      <c r="N28" s="100">
        <v>21.94332342674933</v>
      </c>
      <c r="O28" s="100">
        <v>16194.172688941006</v>
      </c>
      <c r="P28" s="100">
        <v>24.232786771515631</v>
      </c>
      <c r="Q28" s="100">
        <v>17883.796637378535</v>
      </c>
      <c r="R28" s="100">
        <v>25.092105451356613</v>
      </c>
      <c r="S28" s="100">
        <v>18517.97382310118</v>
      </c>
      <c r="T28" s="100">
        <v>14</v>
      </c>
      <c r="U28" s="100">
        <v>10332</v>
      </c>
      <c r="V28" s="100">
        <v>25</v>
      </c>
      <c r="W28" s="100">
        <v>18450</v>
      </c>
      <c r="X28" s="100">
        <v>19</v>
      </c>
      <c r="Y28" s="100">
        <v>14022</v>
      </c>
      <c r="Z28" s="100">
        <v>20</v>
      </c>
      <c r="AA28" s="100">
        <v>14760</v>
      </c>
      <c r="AB28" s="100">
        <v>25</v>
      </c>
      <c r="AC28" s="100">
        <v>18450</v>
      </c>
      <c r="AD28" s="100">
        <v>24</v>
      </c>
      <c r="AE28" s="100">
        <v>17712</v>
      </c>
      <c r="AF28" s="100">
        <v>23</v>
      </c>
      <c r="AG28" s="100">
        <v>16974</v>
      </c>
      <c r="AH28" s="100">
        <v>21</v>
      </c>
      <c r="AI28" s="100">
        <v>15498</v>
      </c>
      <c r="AJ28" s="100">
        <v>7.9471465059672362</v>
      </c>
      <c r="AK28" s="100">
        <v>5864.9941214038199</v>
      </c>
      <c r="AL28" s="100">
        <v>6.1189300430313041E-4</v>
      </c>
      <c r="AM28" s="100">
        <v>0.45157703717571024</v>
      </c>
      <c r="AN28" s="100">
        <v>7.3466605673754937E-4</v>
      </c>
      <c r="AO28" s="100">
        <v>0.54218354987231143</v>
      </c>
      <c r="AP28" s="100">
        <v>5.8506133245644844E-4</v>
      </c>
      <c r="AQ28" s="100">
        <v>0.43177526335285893</v>
      </c>
      <c r="AR28" s="100">
        <v>20</v>
      </c>
      <c r="AS28" s="100">
        <v>14760</v>
      </c>
      <c r="AT28" s="100">
        <v>22</v>
      </c>
      <c r="AU28" s="100">
        <v>16236</v>
      </c>
      <c r="AV28" s="100">
        <v>23</v>
      </c>
      <c r="AW28" s="100">
        <v>16974</v>
      </c>
      <c r="AX28" s="100">
        <v>17</v>
      </c>
      <c r="AY28" s="100">
        <v>12546</v>
      </c>
      <c r="AZ28" s="100">
        <v>28</v>
      </c>
      <c r="BA28" s="100">
        <v>20664</v>
      </c>
      <c r="BB28" s="100">
        <v>21</v>
      </c>
      <c r="BC28" s="100">
        <v>15498</v>
      </c>
      <c r="BD28" s="100">
        <v>15</v>
      </c>
      <c r="BE28" s="100">
        <v>11070</v>
      </c>
      <c r="BF28" s="100">
        <v>17</v>
      </c>
      <c r="BG28" s="100">
        <v>12546</v>
      </c>
      <c r="BH28" s="100">
        <v>19</v>
      </c>
      <c r="BI28" s="100">
        <v>14022</v>
      </c>
      <c r="BJ28" s="100">
        <v>22</v>
      </c>
      <c r="BK28" s="100">
        <v>16236</v>
      </c>
      <c r="BL28" s="100">
        <v>26</v>
      </c>
      <c r="BM28" s="100">
        <v>19188</v>
      </c>
      <c r="BN28" s="100">
        <v>31</v>
      </c>
      <c r="BO28" s="100">
        <v>22878</v>
      </c>
      <c r="BP28" s="100">
        <v>28</v>
      </c>
      <c r="BQ28" s="100">
        <v>20664</v>
      </c>
      <c r="BR28" s="100">
        <v>28</v>
      </c>
      <c r="BS28" s="100">
        <v>20664</v>
      </c>
      <c r="BT28" s="100">
        <v>20</v>
      </c>
      <c r="BU28" s="100">
        <v>14760</v>
      </c>
      <c r="BV28" s="100">
        <v>27</v>
      </c>
      <c r="BW28" s="100">
        <v>19926</v>
      </c>
      <c r="BX28" s="100">
        <v>21.051238661794233</v>
      </c>
      <c r="BY28" s="100">
        <v>15535.814132404144</v>
      </c>
      <c r="BZ28" s="100">
        <v>8.7612409797067077</v>
      </c>
      <c r="CA28" s="100">
        <v>6465.7958430235503</v>
      </c>
      <c r="CB28" s="100">
        <v>13.678761352812087</v>
      </c>
      <c r="CC28" s="100">
        <v>10094.925878375319</v>
      </c>
      <c r="CD28" s="100">
        <v>26.163703964808892</v>
      </c>
      <c r="CE28" s="100">
        <v>19308.813526028964</v>
      </c>
      <c r="CF28" s="100">
        <v>23.975141766701061</v>
      </c>
      <c r="CG28" s="100">
        <v>17693.654623825383</v>
      </c>
      <c r="CH28" s="100">
        <v>22.285127668438413</v>
      </c>
      <c r="CI28" s="100">
        <v>16446.424219307548</v>
      </c>
      <c r="CJ28" s="100">
        <v>19.50311452136452</v>
      </c>
      <c r="CK28" s="100">
        <v>14393.298516767016</v>
      </c>
      <c r="CL28" s="100">
        <v>25.679953941079265</v>
      </c>
      <c r="CM28" s="100">
        <v>18951.806008516498</v>
      </c>
      <c r="CN28" s="100">
        <v>23.685267739857959</v>
      </c>
      <c r="CO28" s="100">
        <v>17479.727592015173</v>
      </c>
      <c r="CP28" s="100">
        <v>17.498052292498894</v>
      </c>
      <c r="CQ28" s="100">
        <v>12913.562591864184</v>
      </c>
      <c r="CR28" s="100">
        <v>23.846506040112441</v>
      </c>
      <c r="CS28" s="100">
        <v>17598.72145760298</v>
      </c>
      <c r="CT28" s="100">
        <v>21.508229551326394</v>
      </c>
      <c r="CU28" s="100">
        <v>15873.073408878879</v>
      </c>
    </row>
    <row r="29" spans="2:99">
      <c r="C29" s="99" t="s">
        <v>195</v>
      </c>
      <c r="D29" s="100">
        <v>15</v>
      </c>
      <c r="E29" s="100">
        <v>5076</v>
      </c>
      <c r="F29" s="100">
        <v>19</v>
      </c>
      <c r="G29" s="100">
        <v>6429.5999999999995</v>
      </c>
      <c r="H29" s="100">
        <v>25</v>
      </c>
      <c r="I29" s="100">
        <v>8460</v>
      </c>
      <c r="J29" s="100">
        <v>25.198362874005579</v>
      </c>
      <c r="K29" s="100">
        <v>8527.1259965634872</v>
      </c>
      <c r="L29" s="100">
        <v>18.656051284737458</v>
      </c>
      <c r="M29" s="100">
        <v>6313.2077547551553</v>
      </c>
      <c r="N29" s="100">
        <v>20.945899634624361</v>
      </c>
      <c r="O29" s="100">
        <v>7088.0924363568829</v>
      </c>
      <c r="P29" s="100">
        <v>25.130297392682877</v>
      </c>
      <c r="Q29" s="100">
        <v>8504.0926376838852</v>
      </c>
      <c r="R29" s="100">
        <v>25.092105451356613</v>
      </c>
      <c r="S29" s="100">
        <v>8491.168484739077</v>
      </c>
      <c r="T29" s="100">
        <v>16</v>
      </c>
      <c r="U29" s="100">
        <v>5414.4</v>
      </c>
      <c r="V29" s="100">
        <v>28</v>
      </c>
      <c r="W29" s="100">
        <v>9475.1999999999989</v>
      </c>
      <c r="X29" s="100">
        <v>22</v>
      </c>
      <c r="Y29" s="100">
        <v>7444.7999999999993</v>
      </c>
      <c r="Z29" s="100">
        <v>25</v>
      </c>
      <c r="AA29" s="100">
        <v>8460</v>
      </c>
      <c r="AB29" s="100">
        <v>23</v>
      </c>
      <c r="AC29" s="100">
        <v>7783.2</v>
      </c>
      <c r="AD29" s="100">
        <v>27</v>
      </c>
      <c r="AE29" s="100">
        <v>9136.7999999999993</v>
      </c>
      <c r="AF29" s="100">
        <v>25</v>
      </c>
      <c r="AG29" s="100">
        <v>8460</v>
      </c>
      <c r="AH29" s="100">
        <v>20</v>
      </c>
      <c r="AI29" s="100">
        <v>6768</v>
      </c>
      <c r="AJ29" s="100">
        <v>8.3886546451876374</v>
      </c>
      <c r="AK29" s="100">
        <v>2838.7207319314962</v>
      </c>
      <c r="AL29" s="100">
        <v>6.4788671043860863E-4</v>
      </c>
      <c r="AM29" s="100">
        <v>0.21924486281242514</v>
      </c>
      <c r="AN29" s="100">
        <v>7.0527941446804751E-4</v>
      </c>
      <c r="AO29" s="100">
        <v>0.23866655385598726</v>
      </c>
      <c r="AP29" s="100">
        <v>5.8506133245644844E-4</v>
      </c>
      <c r="AQ29" s="100">
        <v>0.19798475490326214</v>
      </c>
      <c r="AR29" s="100">
        <v>23</v>
      </c>
      <c r="AS29" s="100">
        <v>7783.2</v>
      </c>
      <c r="AT29" s="100">
        <v>21</v>
      </c>
      <c r="AU29" s="100">
        <v>7106.4</v>
      </c>
      <c r="AV29" s="100">
        <v>20</v>
      </c>
      <c r="AW29" s="100">
        <v>6768</v>
      </c>
      <c r="AX29" s="100">
        <v>19</v>
      </c>
      <c r="AY29" s="100">
        <v>6429.5999999999995</v>
      </c>
      <c r="AZ29" s="100">
        <v>31</v>
      </c>
      <c r="BA29" s="100">
        <v>10490.4</v>
      </c>
      <c r="BB29" s="100">
        <v>22</v>
      </c>
      <c r="BC29" s="100">
        <v>7444.7999999999993</v>
      </c>
      <c r="BD29" s="100">
        <v>15</v>
      </c>
      <c r="BE29" s="100">
        <v>5076</v>
      </c>
      <c r="BF29" s="100">
        <v>16</v>
      </c>
      <c r="BG29" s="100">
        <v>5414.4</v>
      </c>
      <c r="BH29" s="100">
        <v>18</v>
      </c>
      <c r="BI29" s="100">
        <v>6091.2</v>
      </c>
      <c r="BJ29" s="100">
        <v>20</v>
      </c>
      <c r="BK29" s="100">
        <v>6768</v>
      </c>
      <c r="BL29" s="100">
        <v>27</v>
      </c>
      <c r="BM29" s="100">
        <v>9136.7999999999993</v>
      </c>
      <c r="BN29" s="100">
        <v>32</v>
      </c>
      <c r="BO29" s="100">
        <v>10828.8</v>
      </c>
      <c r="BP29" s="100">
        <v>28</v>
      </c>
      <c r="BQ29" s="100">
        <v>9475.1999999999989</v>
      </c>
      <c r="BR29" s="100">
        <v>30</v>
      </c>
      <c r="BS29" s="100">
        <v>10152</v>
      </c>
      <c r="BT29" s="100">
        <v>20</v>
      </c>
      <c r="BU29" s="100">
        <v>6768</v>
      </c>
      <c r="BV29" s="100">
        <v>24</v>
      </c>
      <c r="BW29" s="100">
        <v>8121.5999999999995</v>
      </c>
      <c r="BX29" s="100">
        <v>18.419833829069955</v>
      </c>
      <c r="BY29" s="100">
        <v>6233.2717677572718</v>
      </c>
      <c r="BZ29" s="100">
        <v>9.5230880214203335</v>
      </c>
      <c r="CA29" s="100">
        <v>3222.6129864486406</v>
      </c>
      <c r="CB29" s="100">
        <v>15.838565776940312</v>
      </c>
      <c r="CC29" s="100">
        <v>5359.770658916601</v>
      </c>
      <c r="CD29" s="100">
        <v>24.419457033821633</v>
      </c>
      <c r="CE29" s="100">
        <v>8263.5442602452404</v>
      </c>
      <c r="CF29" s="100">
        <v>24.801870793139027</v>
      </c>
      <c r="CG29" s="100">
        <v>8392.9530763982457</v>
      </c>
      <c r="CH29" s="100">
        <v>24.067937881913487</v>
      </c>
      <c r="CI29" s="100">
        <v>8144.5901792395234</v>
      </c>
      <c r="CJ29" s="100">
        <v>18.527958795296293</v>
      </c>
      <c r="CK29" s="100">
        <v>6269.861256328265</v>
      </c>
      <c r="CL29" s="100">
        <v>26.597095153260671</v>
      </c>
      <c r="CM29" s="100">
        <v>9000.4569998634106</v>
      </c>
      <c r="CN29" s="100">
        <v>26.316964155397731</v>
      </c>
      <c r="CO29" s="100">
        <v>8905.6606701865912</v>
      </c>
      <c r="CP29" s="100">
        <v>19.088784319089704</v>
      </c>
      <c r="CQ29" s="100">
        <v>6459.6446135799551</v>
      </c>
      <c r="CR29" s="100">
        <v>28.615807248134931</v>
      </c>
      <c r="CS29" s="100">
        <v>9683.5891727688595</v>
      </c>
      <c r="CT29" s="100">
        <v>22.443369966601452</v>
      </c>
      <c r="CU29" s="100">
        <v>7594.8363966979305</v>
      </c>
    </row>
    <row r="30" spans="2:99">
      <c r="C30" s="99" t="s">
        <v>196</v>
      </c>
      <c r="D30" s="100">
        <v>17</v>
      </c>
      <c r="E30" s="100">
        <v>2366.3999999999996</v>
      </c>
      <c r="F30" s="100">
        <v>20</v>
      </c>
      <c r="G30" s="100">
        <v>2784</v>
      </c>
      <c r="H30" s="100">
        <v>28</v>
      </c>
      <c r="I30" s="100">
        <v>3897.5999999999995</v>
      </c>
      <c r="J30" s="100">
        <v>27.998180971117311</v>
      </c>
      <c r="K30" s="100">
        <v>3897.3467911795292</v>
      </c>
      <c r="L30" s="100">
        <v>19.544434679248766</v>
      </c>
      <c r="M30" s="100">
        <v>2720.5853073514281</v>
      </c>
      <c r="N30" s="100">
        <v>23.93817101099927</v>
      </c>
      <c r="O30" s="100">
        <v>3332.1934047310979</v>
      </c>
      <c r="P30" s="100">
        <v>23.335276150348385</v>
      </c>
      <c r="Q30" s="100">
        <v>3248.270440128495</v>
      </c>
      <c r="R30" s="100">
        <v>26.02144269029575</v>
      </c>
      <c r="S30" s="100">
        <v>3622.1848224891683</v>
      </c>
      <c r="T30" s="100">
        <v>15</v>
      </c>
      <c r="U30" s="100">
        <v>2088</v>
      </c>
      <c r="V30" s="100">
        <v>26</v>
      </c>
      <c r="W30" s="100">
        <v>3619.2</v>
      </c>
      <c r="X30" s="100">
        <v>22</v>
      </c>
      <c r="Y30" s="100">
        <v>3062.3999999999996</v>
      </c>
      <c r="Z30" s="100">
        <v>22</v>
      </c>
      <c r="AA30" s="100">
        <v>3062.3999999999996</v>
      </c>
      <c r="AB30" s="100">
        <v>28</v>
      </c>
      <c r="AC30" s="100">
        <v>3897.5999999999995</v>
      </c>
      <c r="AD30" s="100">
        <v>25</v>
      </c>
      <c r="AE30" s="100">
        <v>3479.9999999999995</v>
      </c>
      <c r="AF30" s="100">
        <v>24</v>
      </c>
      <c r="AG30" s="100">
        <v>3340.7999999999997</v>
      </c>
      <c r="AH30" s="100">
        <v>22</v>
      </c>
      <c r="AI30" s="100">
        <v>3062.3999999999996</v>
      </c>
      <c r="AJ30" s="100">
        <v>8.8301627844080404</v>
      </c>
      <c r="AK30" s="100">
        <v>1229.1586595895992</v>
      </c>
      <c r="AL30" s="100">
        <v>5.7589929816765219E-4</v>
      </c>
      <c r="AM30" s="100">
        <v>8.0165182304937174E-2</v>
      </c>
      <c r="AN30" s="100">
        <v>7.3466605673754937E-4</v>
      </c>
      <c r="AO30" s="100">
        <v>0.10226551509786687</v>
      </c>
      <c r="AP30" s="100">
        <v>6.5006814717383167E-4</v>
      </c>
      <c r="AQ30" s="100">
        <v>9.0489486086597362E-2</v>
      </c>
      <c r="AR30" s="100">
        <v>25</v>
      </c>
      <c r="AS30" s="100">
        <v>3479.9999999999995</v>
      </c>
      <c r="AT30" s="100">
        <v>21</v>
      </c>
      <c r="AU30" s="100">
        <v>2923.2</v>
      </c>
      <c r="AV30" s="100">
        <v>22</v>
      </c>
      <c r="AW30" s="100">
        <v>3062.3999999999996</v>
      </c>
      <c r="AX30" s="100">
        <v>19</v>
      </c>
      <c r="AY30" s="100">
        <v>2644.7999999999997</v>
      </c>
      <c r="AZ30" s="100">
        <v>32</v>
      </c>
      <c r="BA30" s="100">
        <v>4454.3999999999996</v>
      </c>
      <c r="BB30" s="100">
        <v>25</v>
      </c>
      <c r="BC30" s="100">
        <v>3479.9999999999995</v>
      </c>
      <c r="BD30" s="100">
        <v>16</v>
      </c>
      <c r="BE30" s="100">
        <v>2227.1999999999998</v>
      </c>
      <c r="BF30" s="100">
        <v>17</v>
      </c>
      <c r="BG30" s="100">
        <v>2366.3999999999996</v>
      </c>
      <c r="BH30" s="100">
        <v>20</v>
      </c>
      <c r="BI30" s="100">
        <v>2784</v>
      </c>
      <c r="BJ30" s="100">
        <v>21</v>
      </c>
      <c r="BK30" s="100">
        <v>2923.2</v>
      </c>
      <c r="BL30" s="100">
        <v>26</v>
      </c>
      <c r="BM30" s="100">
        <v>3619.2</v>
      </c>
      <c r="BN30" s="100">
        <v>34</v>
      </c>
      <c r="BO30" s="100">
        <v>4732.7999999999993</v>
      </c>
      <c r="BP30" s="100">
        <v>33</v>
      </c>
      <c r="BQ30" s="100">
        <v>4593.5999999999995</v>
      </c>
      <c r="BR30" s="100">
        <v>34</v>
      </c>
      <c r="BS30" s="100">
        <v>4732.7999999999993</v>
      </c>
      <c r="BT30" s="100">
        <v>20</v>
      </c>
      <c r="BU30" s="100">
        <v>2784</v>
      </c>
      <c r="BV30" s="100">
        <v>25</v>
      </c>
      <c r="BW30" s="100">
        <v>3479.9999999999995</v>
      </c>
      <c r="BX30" s="100">
        <v>19.735536245432094</v>
      </c>
      <c r="BY30" s="100">
        <v>2747.1866453641474</v>
      </c>
      <c r="BZ30" s="100">
        <v>9.9040115422771464</v>
      </c>
      <c r="CA30" s="100">
        <v>1378.6384066849787</v>
      </c>
      <c r="CB30" s="100">
        <v>15.11863096889757</v>
      </c>
      <c r="CC30" s="100">
        <v>2104.5134308705415</v>
      </c>
      <c r="CD30" s="100">
        <v>25.291580499315263</v>
      </c>
      <c r="CE30" s="100">
        <v>3520.5880055046841</v>
      </c>
      <c r="CF30" s="100">
        <v>23.975141766701061</v>
      </c>
      <c r="CG30" s="100">
        <v>3337.3397339247872</v>
      </c>
      <c r="CH30" s="100">
        <v>25.85074809538856</v>
      </c>
      <c r="CI30" s="100">
        <v>3598.4241348780874</v>
      </c>
      <c r="CJ30" s="100">
        <v>19.50311452136452</v>
      </c>
      <c r="CK30" s="100">
        <v>2714.833541373941</v>
      </c>
      <c r="CL30" s="100">
        <v>27.514236365442073</v>
      </c>
      <c r="CM30" s="100">
        <v>3829.9817020695364</v>
      </c>
      <c r="CN30" s="100">
        <v>25.439732016884474</v>
      </c>
      <c r="CO30" s="100">
        <v>3541.2106967503182</v>
      </c>
      <c r="CP30" s="100">
        <v>18.293418305794301</v>
      </c>
      <c r="CQ30" s="100">
        <v>2546.4438281665666</v>
      </c>
      <c r="CR30" s="100">
        <v>27.661947006530433</v>
      </c>
      <c r="CS30" s="100">
        <v>3850.543023309036</v>
      </c>
      <c r="CT30" s="100">
        <v>21.508229551326394</v>
      </c>
      <c r="CU30" s="100">
        <v>2993.9455535446336</v>
      </c>
    </row>
    <row r="31" spans="2:99">
      <c r="C31" s="99" t="s">
        <v>197</v>
      </c>
      <c r="D31" s="100">
        <v>16</v>
      </c>
      <c r="E31" s="100">
        <v>5452.8</v>
      </c>
      <c r="F31" s="100">
        <v>19</v>
      </c>
      <c r="G31" s="100">
        <v>6475.2</v>
      </c>
      <c r="H31" s="100">
        <v>27</v>
      </c>
      <c r="I31" s="100">
        <v>9201.6</v>
      </c>
      <c r="J31" s="100">
        <v>23.331817475931093</v>
      </c>
      <c r="K31" s="100">
        <v>7951.4833957973169</v>
      </c>
      <c r="L31" s="100">
        <v>19.544434679248766</v>
      </c>
      <c r="M31" s="100">
        <v>6660.7433386879802</v>
      </c>
      <c r="N31" s="100">
        <v>20.945899634624361</v>
      </c>
      <c r="O31" s="100">
        <v>7138.3625954799827</v>
      </c>
      <c r="P31" s="100">
        <v>24.232786771515631</v>
      </c>
      <c r="Q31" s="100">
        <v>8258.5337317325266</v>
      </c>
      <c r="R31" s="100">
        <v>24.162768212417479</v>
      </c>
      <c r="S31" s="100">
        <v>8234.6714067918765</v>
      </c>
      <c r="T31" s="100">
        <v>17</v>
      </c>
      <c r="U31" s="100">
        <v>5793.6</v>
      </c>
      <c r="V31" s="100">
        <v>26</v>
      </c>
      <c r="W31" s="100">
        <v>8860.8000000000011</v>
      </c>
      <c r="X31" s="100">
        <v>20</v>
      </c>
      <c r="Y31" s="100">
        <v>6816</v>
      </c>
      <c r="Z31" s="100">
        <v>24</v>
      </c>
      <c r="AA31" s="100">
        <v>8179.2000000000007</v>
      </c>
      <c r="AB31" s="100">
        <v>27</v>
      </c>
      <c r="AC31" s="100">
        <v>9201.6</v>
      </c>
      <c r="AD31" s="100">
        <v>25</v>
      </c>
      <c r="AE31" s="100">
        <v>8520</v>
      </c>
      <c r="AF31" s="100">
        <v>23</v>
      </c>
      <c r="AG31" s="100">
        <v>7838.4000000000005</v>
      </c>
      <c r="AH31" s="100">
        <v>20</v>
      </c>
      <c r="AI31" s="100">
        <v>6816</v>
      </c>
      <c r="AJ31" s="100">
        <v>7.505638366746834</v>
      </c>
      <c r="AK31" s="100">
        <v>2557.921555387321</v>
      </c>
      <c r="AL31" s="100">
        <v>6.4788671043860863E-4</v>
      </c>
      <c r="AM31" s="100">
        <v>0.22079979091747784</v>
      </c>
      <c r="AN31" s="100">
        <v>6.7589277219854554E-4</v>
      </c>
      <c r="AO31" s="100">
        <v>0.23034425676526432</v>
      </c>
      <c r="AP31" s="100">
        <v>6.5006814717383167E-4</v>
      </c>
      <c r="AQ31" s="100">
        <v>0.22154322455684183</v>
      </c>
      <c r="AR31" s="100">
        <v>22</v>
      </c>
      <c r="AS31" s="100">
        <v>7497.6</v>
      </c>
      <c r="AT31" s="100">
        <v>20</v>
      </c>
      <c r="AU31" s="100">
        <v>6816</v>
      </c>
      <c r="AV31" s="100">
        <v>22</v>
      </c>
      <c r="AW31" s="100">
        <v>7497.6</v>
      </c>
      <c r="AX31" s="100">
        <v>22</v>
      </c>
      <c r="AY31" s="100">
        <v>7497.6</v>
      </c>
      <c r="AZ31" s="100">
        <v>31</v>
      </c>
      <c r="BA31" s="100">
        <v>10564.800000000001</v>
      </c>
      <c r="BB31" s="100">
        <v>23</v>
      </c>
      <c r="BC31" s="100">
        <v>7838.4000000000005</v>
      </c>
      <c r="BD31" s="100">
        <v>16</v>
      </c>
      <c r="BE31" s="100">
        <v>5452.8</v>
      </c>
      <c r="BF31" s="100">
        <v>17</v>
      </c>
      <c r="BG31" s="100">
        <v>5793.6</v>
      </c>
      <c r="BH31" s="100">
        <v>21</v>
      </c>
      <c r="BI31" s="100">
        <v>7156.8</v>
      </c>
      <c r="BJ31" s="100">
        <v>24</v>
      </c>
      <c r="BK31" s="100">
        <v>8179.2000000000007</v>
      </c>
      <c r="BL31" s="100">
        <v>28</v>
      </c>
      <c r="BM31" s="100">
        <v>9542.4</v>
      </c>
      <c r="BN31" s="100">
        <v>32</v>
      </c>
      <c r="BO31" s="100">
        <v>10905.6</v>
      </c>
      <c r="BP31" s="100">
        <v>33</v>
      </c>
      <c r="BQ31" s="100">
        <v>11246.4</v>
      </c>
      <c r="BR31" s="100">
        <v>32</v>
      </c>
      <c r="BS31" s="100">
        <v>10905.6</v>
      </c>
      <c r="BT31" s="100">
        <v>20</v>
      </c>
      <c r="BU31" s="100">
        <v>6816</v>
      </c>
      <c r="BV31" s="100">
        <v>27</v>
      </c>
      <c r="BW31" s="100">
        <v>9201.6</v>
      </c>
      <c r="BX31" s="100">
        <v>21.051238661794233</v>
      </c>
      <c r="BY31" s="100">
        <v>7174.2621359394752</v>
      </c>
      <c r="BZ31" s="100">
        <v>9.9040115422771464</v>
      </c>
      <c r="CA31" s="100">
        <v>3375.2871336080516</v>
      </c>
      <c r="CB31" s="100">
        <v>15.11863096889757</v>
      </c>
      <c r="CC31" s="100">
        <v>5152.4294342002922</v>
      </c>
      <c r="CD31" s="100">
        <v>26.163703964808892</v>
      </c>
      <c r="CE31" s="100">
        <v>8916.59031120687</v>
      </c>
      <c r="CF31" s="100">
        <v>23.975141766701061</v>
      </c>
      <c r="CG31" s="100">
        <v>8170.7283140917216</v>
      </c>
      <c r="CH31" s="100">
        <v>24.067937881913487</v>
      </c>
      <c r="CI31" s="100">
        <v>8202.3532301561172</v>
      </c>
      <c r="CJ31" s="100">
        <v>18.527958795296293</v>
      </c>
      <c r="CK31" s="100">
        <v>6314.3283574369771</v>
      </c>
      <c r="CL31" s="100">
        <v>24.762812728897863</v>
      </c>
      <c r="CM31" s="100">
        <v>8439.1665780083913</v>
      </c>
      <c r="CN31" s="100">
        <v>28.071428432424245</v>
      </c>
      <c r="CO31" s="100">
        <v>9566.7428097701832</v>
      </c>
      <c r="CP31" s="100">
        <v>18.293418305794301</v>
      </c>
      <c r="CQ31" s="100">
        <v>6234.3969586146977</v>
      </c>
      <c r="CR31" s="100">
        <v>28.615807248134931</v>
      </c>
      <c r="CS31" s="100">
        <v>9752.2671101643846</v>
      </c>
      <c r="CT31" s="100">
        <v>20.573089136051333</v>
      </c>
      <c r="CU31" s="100">
        <v>7011.3087775662943</v>
      </c>
    </row>
    <row r="32" spans="2:99">
      <c r="C32" s="99" t="s">
        <v>198</v>
      </c>
      <c r="D32" s="100">
        <v>15</v>
      </c>
      <c r="E32" s="100">
        <v>12600</v>
      </c>
      <c r="F32" s="100">
        <v>17</v>
      </c>
      <c r="G32" s="100">
        <v>14280</v>
      </c>
      <c r="H32" s="100">
        <v>22</v>
      </c>
      <c r="I32" s="100">
        <v>18480</v>
      </c>
      <c r="J32" s="100">
        <v>23.331817475931093</v>
      </c>
      <c r="K32" s="100">
        <v>19598.726679782118</v>
      </c>
      <c r="L32" s="100">
        <v>19.544434679248766</v>
      </c>
      <c r="M32" s="100">
        <v>16417.325130568963</v>
      </c>
      <c r="N32" s="100">
        <v>23.93817101099927</v>
      </c>
      <c r="O32" s="100">
        <v>20108.063649239386</v>
      </c>
      <c r="P32" s="100">
        <v>22.437765529181142</v>
      </c>
      <c r="Q32" s="100">
        <v>18847.72304451216</v>
      </c>
      <c r="R32" s="100">
        <v>23.233430973478345</v>
      </c>
      <c r="S32" s="100">
        <v>19516.082017721808</v>
      </c>
      <c r="T32" s="100">
        <v>16</v>
      </c>
      <c r="U32" s="100">
        <v>13440</v>
      </c>
      <c r="V32" s="100">
        <v>24</v>
      </c>
      <c r="W32" s="100">
        <v>20160</v>
      </c>
      <c r="X32" s="100">
        <v>21</v>
      </c>
      <c r="Y32" s="100">
        <v>17640</v>
      </c>
      <c r="Z32" s="100">
        <v>22</v>
      </c>
      <c r="AA32" s="100">
        <v>18480</v>
      </c>
      <c r="AB32" s="100">
        <v>26</v>
      </c>
      <c r="AC32" s="100">
        <v>21840</v>
      </c>
      <c r="AD32" s="100">
        <v>27</v>
      </c>
      <c r="AE32" s="100">
        <v>22680</v>
      </c>
      <c r="AF32" s="100">
        <v>24</v>
      </c>
      <c r="AG32" s="100">
        <v>20160</v>
      </c>
      <c r="AH32" s="100">
        <v>20</v>
      </c>
      <c r="AI32" s="100">
        <v>16800</v>
      </c>
      <c r="AJ32" s="100">
        <v>7.9471465059672362</v>
      </c>
      <c r="AK32" s="100">
        <v>6675.6030650124785</v>
      </c>
      <c r="AL32" s="100">
        <v>6.1189300430313041E-4</v>
      </c>
      <c r="AM32" s="100">
        <v>0.51399012361462959</v>
      </c>
      <c r="AN32" s="100">
        <v>6.4650612992904347E-4</v>
      </c>
      <c r="AO32" s="100">
        <v>0.5430651491403965</v>
      </c>
      <c r="AP32" s="100">
        <v>6.1756473981513995E-4</v>
      </c>
      <c r="AQ32" s="100">
        <v>0.51875438144471753</v>
      </c>
      <c r="AR32" s="100">
        <v>22</v>
      </c>
      <c r="AS32" s="100">
        <v>18480</v>
      </c>
      <c r="AT32" s="100">
        <v>18</v>
      </c>
      <c r="AU32" s="100">
        <v>15120</v>
      </c>
      <c r="AV32" s="100">
        <v>21</v>
      </c>
      <c r="AW32" s="100">
        <v>17640</v>
      </c>
      <c r="AX32" s="100">
        <v>19</v>
      </c>
      <c r="AY32" s="100">
        <v>15960</v>
      </c>
      <c r="AZ32" s="100">
        <v>26</v>
      </c>
      <c r="BA32" s="100">
        <v>21840</v>
      </c>
      <c r="BB32" s="100">
        <v>24</v>
      </c>
      <c r="BC32" s="100">
        <v>20160</v>
      </c>
      <c r="BD32" s="100">
        <v>15</v>
      </c>
      <c r="BE32" s="100">
        <v>12600</v>
      </c>
      <c r="BF32" s="100">
        <v>14</v>
      </c>
      <c r="BG32" s="100">
        <v>11760</v>
      </c>
      <c r="BH32" s="100">
        <v>17</v>
      </c>
      <c r="BI32" s="100">
        <v>14280</v>
      </c>
      <c r="BJ32" s="100">
        <v>21</v>
      </c>
      <c r="BK32" s="100">
        <v>17640</v>
      </c>
      <c r="BL32" s="100">
        <v>26</v>
      </c>
      <c r="BM32" s="100">
        <v>21840</v>
      </c>
      <c r="BN32" s="100">
        <v>31</v>
      </c>
      <c r="BO32" s="100">
        <v>26040</v>
      </c>
      <c r="BP32" s="100">
        <v>27</v>
      </c>
      <c r="BQ32" s="100">
        <v>22680</v>
      </c>
      <c r="BR32" s="100">
        <v>29</v>
      </c>
      <c r="BS32" s="100">
        <v>24360</v>
      </c>
      <c r="BT32" s="100">
        <v>19</v>
      </c>
      <c r="BU32" s="100">
        <v>15960</v>
      </c>
      <c r="BV32" s="100">
        <v>25</v>
      </c>
      <c r="BW32" s="100">
        <v>21000</v>
      </c>
      <c r="BX32" s="100">
        <v>18.419833829069955</v>
      </c>
      <c r="BY32" s="100">
        <v>15472.660416418761</v>
      </c>
      <c r="BZ32" s="100">
        <v>8.7612409797067077</v>
      </c>
      <c r="CA32" s="100">
        <v>7359.4424229536344</v>
      </c>
      <c r="CB32" s="100">
        <v>14.398696160854829</v>
      </c>
      <c r="CC32" s="100">
        <v>12094.904775118057</v>
      </c>
      <c r="CD32" s="100">
        <v>25.291580499315263</v>
      </c>
      <c r="CE32" s="100">
        <v>21244.92761942482</v>
      </c>
      <c r="CF32" s="100">
        <v>22.321683713825124</v>
      </c>
      <c r="CG32" s="100">
        <v>18750.214319613104</v>
      </c>
      <c r="CH32" s="100">
        <v>22.285127668438413</v>
      </c>
      <c r="CI32" s="100">
        <v>18719.507241488267</v>
      </c>
      <c r="CJ32" s="100">
        <v>18.527958795296293</v>
      </c>
      <c r="CK32" s="100">
        <v>15563.485388048886</v>
      </c>
      <c r="CL32" s="100">
        <v>22.011389092353657</v>
      </c>
      <c r="CM32" s="100">
        <v>18489.566837577073</v>
      </c>
      <c r="CN32" s="100">
        <v>25.439732016884474</v>
      </c>
      <c r="CO32" s="100">
        <v>21369.374894182958</v>
      </c>
      <c r="CP32" s="100">
        <v>17.498052292498894</v>
      </c>
      <c r="CQ32" s="100">
        <v>14698.36392569907</v>
      </c>
      <c r="CR32" s="100">
        <v>23.846506040112441</v>
      </c>
      <c r="CS32" s="100">
        <v>20031.065073694452</v>
      </c>
      <c r="CT32" s="100">
        <v>22.443369966601452</v>
      </c>
      <c r="CU32" s="100">
        <v>18852.430771945219</v>
      </c>
    </row>
    <row r="33" spans="2:99">
      <c r="C33" s="99" t="s">
        <v>199</v>
      </c>
      <c r="D33" s="100">
        <v>15</v>
      </c>
      <c r="E33" s="100">
        <v>7110</v>
      </c>
      <c r="F33" s="100">
        <v>18</v>
      </c>
      <c r="G33" s="100">
        <v>8532</v>
      </c>
      <c r="H33" s="100">
        <v>24</v>
      </c>
      <c r="I33" s="100">
        <v>11376</v>
      </c>
      <c r="J33" s="100">
        <v>27.064908272080068</v>
      </c>
      <c r="K33" s="100">
        <v>12828.766520965952</v>
      </c>
      <c r="L33" s="100">
        <v>20.432818073760075</v>
      </c>
      <c r="M33" s="100">
        <v>9685.1557669622762</v>
      </c>
      <c r="N33" s="100">
        <v>21.94332342674933</v>
      </c>
      <c r="O33" s="100">
        <v>10401.135304279183</v>
      </c>
      <c r="P33" s="100">
        <v>22.437765529181142</v>
      </c>
      <c r="Q33" s="100">
        <v>10635.500860831862</v>
      </c>
      <c r="R33" s="100">
        <v>23.233430973478345</v>
      </c>
      <c r="S33" s="100">
        <v>11012.646281428735</v>
      </c>
      <c r="T33" s="100">
        <v>15</v>
      </c>
      <c r="U33" s="100">
        <v>7110</v>
      </c>
      <c r="V33" s="100">
        <v>24</v>
      </c>
      <c r="W33" s="100">
        <v>11376</v>
      </c>
      <c r="X33" s="100">
        <v>23</v>
      </c>
      <c r="Y33" s="100">
        <v>10902</v>
      </c>
      <c r="Z33" s="100">
        <v>22</v>
      </c>
      <c r="AA33" s="100">
        <v>10428</v>
      </c>
      <c r="AB33" s="100">
        <v>24</v>
      </c>
      <c r="AC33" s="100">
        <v>11376</v>
      </c>
      <c r="AD33" s="100">
        <v>25</v>
      </c>
      <c r="AE33" s="100">
        <v>11850</v>
      </c>
      <c r="AF33" s="100">
        <v>22</v>
      </c>
      <c r="AG33" s="100">
        <v>10428</v>
      </c>
      <c r="AH33" s="100">
        <v>19</v>
      </c>
      <c r="AI33" s="100">
        <v>9006</v>
      </c>
      <c r="AJ33" s="100">
        <v>7.9471465059672362</v>
      </c>
      <c r="AK33" s="100">
        <v>3766.9474438284701</v>
      </c>
      <c r="AL33" s="100">
        <v>5.7589929816765219E-4</v>
      </c>
      <c r="AM33" s="100">
        <v>0.27297626733146713</v>
      </c>
      <c r="AN33" s="100">
        <v>6.7589277219854554E-4</v>
      </c>
      <c r="AO33" s="100">
        <v>0.32037317402211057</v>
      </c>
      <c r="AP33" s="100">
        <v>6.1756473981513995E-4</v>
      </c>
      <c r="AQ33" s="100">
        <v>0.29272568667237636</v>
      </c>
      <c r="AR33" s="100">
        <v>22</v>
      </c>
      <c r="AS33" s="100">
        <v>10428</v>
      </c>
      <c r="AT33" s="100">
        <v>19</v>
      </c>
      <c r="AU33" s="100">
        <v>9006</v>
      </c>
      <c r="AV33" s="100">
        <v>20</v>
      </c>
      <c r="AW33" s="100">
        <v>9480</v>
      </c>
      <c r="AX33" s="100">
        <v>19</v>
      </c>
      <c r="AY33" s="100">
        <v>9006</v>
      </c>
      <c r="AZ33" s="100">
        <v>28</v>
      </c>
      <c r="BA33" s="100">
        <v>13272</v>
      </c>
      <c r="BB33" s="100">
        <v>25</v>
      </c>
      <c r="BC33" s="100">
        <v>11850</v>
      </c>
      <c r="BD33" s="100">
        <v>17</v>
      </c>
      <c r="BE33" s="100">
        <v>8058</v>
      </c>
      <c r="BF33" s="100">
        <v>17</v>
      </c>
      <c r="BG33" s="100">
        <v>8058</v>
      </c>
      <c r="BH33" s="100">
        <v>17</v>
      </c>
      <c r="BI33" s="100">
        <v>8058</v>
      </c>
      <c r="BJ33" s="100">
        <v>20</v>
      </c>
      <c r="BK33" s="100">
        <v>9480</v>
      </c>
      <c r="BL33" s="100">
        <v>24</v>
      </c>
      <c r="BM33" s="100">
        <v>11376</v>
      </c>
      <c r="BN33" s="100">
        <v>34</v>
      </c>
      <c r="BO33" s="100">
        <v>16116</v>
      </c>
      <c r="BP33" s="100">
        <v>30</v>
      </c>
      <c r="BQ33" s="100">
        <v>14220</v>
      </c>
      <c r="BR33" s="100">
        <v>28</v>
      </c>
      <c r="BS33" s="100">
        <v>13272</v>
      </c>
      <c r="BT33" s="100">
        <v>19</v>
      </c>
      <c r="BU33" s="100">
        <v>9006</v>
      </c>
      <c r="BV33" s="100">
        <v>25</v>
      </c>
      <c r="BW33" s="100">
        <v>11850</v>
      </c>
      <c r="BX33" s="100">
        <v>19.735536245432094</v>
      </c>
      <c r="BY33" s="100">
        <v>9354.6441803348134</v>
      </c>
      <c r="BZ33" s="100">
        <v>9.9040115422771464</v>
      </c>
      <c r="CA33" s="100">
        <v>4694.5014710393671</v>
      </c>
      <c r="CB33" s="100">
        <v>15.11863096889757</v>
      </c>
      <c r="CC33" s="100">
        <v>7166.2310792574481</v>
      </c>
      <c r="CD33" s="100">
        <v>27.035827430302522</v>
      </c>
      <c r="CE33" s="100">
        <v>12814.982201963396</v>
      </c>
      <c r="CF33" s="100">
        <v>23.148412740263094</v>
      </c>
      <c r="CG33" s="100">
        <v>10972.347638884707</v>
      </c>
      <c r="CH33" s="100">
        <v>24.95934298865102</v>
      </c>
      <c r="CI33" s="100">
        <v>11830.728576620584</v>
      </c>
      <c r="CJ33" s="100">
        <v>17.552803069228069</v>
      </c>
      <c r="CK33" s="100">
        <v>8320.0286548141048</v>
      </c>
      <c r="CL33" s="100">
        <v>22.928530304535059</v>
      </c>
      <c r="CM33" s="100">
        <v>10868.123364349618</v>
      </c>
      <c r="CN33" s="100">
        <v>25.439732016884474</v>
      </c>
      <c r="CO33" s="100">
        <v>12058.43297600324</v>
      </c>
      <c r="CP33" s="100">
        <v>18.293418305794301</v>
      </c>
      <c r="CQ33" s="100">
        <v>8671.080276946499</v>
      </c>
      <c r="CR33" s="100">
        <v>28.615807248134931</v>
      </c>
      <c r="CS33" s="100">
        <v>13563.892635615957</v>
      </c>
      <c r="CT33" s="100">
        <v>20.573089136051333</v>
      </c>
      <c r="CU33" s="100">
        <v>9751.6442504883325</v>
      </c>
    </row>
    <row r="34" spans="2:99">
      <c r="C34" s="99" t="s">
        <v>200</v>
      </c>
      <c r="D34" s="100">
        <v>15</v>
      </c>
      <c r="E34" s="100">
        <v>8226</v>
      </c>
      <c r="F34" s="100">
        <v>16</v>
      </c>
      <c r="G34" s="100">
        <v>8774.4</v>
      </c>
      <c r="H34" s="100">
        <v>26</v>
      </c>
      <c r="I34" s="100">
        <v>14258.4</v>
      </c>
      <c r="J34" s="100">
        <v>22.398544776893846</v>
      </c>
      <c r="K34" s="100">
        <v>12283.361955648585</v>
      </c>
      <c r="L34" s="100">
        <v>18.656051284737458</v>
      </c>
      <c r="M34" s="100">
        <v>10230.978524550022</v>
      </c>
      <c r="N34" s="100">
        <v>23.93817101099927</v>
      </c>
      <c r="O34" s="100">
        <v>13127.692982432</v>
      </c>
      <c r="P34" s="100">
        <v>25.130297392682877</v>
      </c>
      <c r="Q34" s="100">
        <v>13781.455090147289</v>
      </c>
      <c r="R34" s="100">
        <v>22.304093734539212</v>
      </c>
      <c r="S34" s="100">
        <v>12231.565004021304</v>
      </c>
      <c r="T34" s="100">
        <v>16</v>
      </c>
      <c r="U34" s="100">
        <v>8774.4</v>
      </c>
      <c r="V34" s="100">
        <v>25</v>
      </c>
      <c r="W34" s="100">
        <v>13710</v>
      </c>
      <c r="X34" s="100">
        <v>21</v>
      </c>
      <c r="Y34" s="100">
        <v>11516.4</v>
      </c>
      <c r="Z34" s="100">
        <v>23</v>
      </c>
      <c r="AA34" s="100">
        <v>12613.199999999999</v>
      </c>
      <c r="AB34" s="100">
        <v>24</v>
      </c>
      <c r="AC34" s="100">
        <v>13161.599999999999</v>
      </c>
      <c r="AD34" s="100">
        <v>26</v>
      </c>
      <c r="AE34" s="100">
        <v>14258.4</v>
      </c>
      <c r="AF34" s="100">
        <v>23</v>
      </c>
      <c r="AG34" s="100">
        <v>12613.199999999999</v>
      </c>
      <c r="AH34" s="100">
        <v>20</v>
      </c>
      <c r="AI34" s="100">
        <v>10968</v>
      </c>
      <c r="AJ34" s="100">
        <v>8.3886546451876374</v>
      </c>
      <c r="AK34" s="100">
        <v>4600.3382074209003</v>
      </c>
      <c r="AL34" s="100">
        <v>6.4788671043860863E-4</v>
      </c>
      <c r="AM34" s="100">
        <v>0.35530107200453298</v>
      </c>
      <c r="AN34" s="100">
        <v>7.9343934127655341E-4</v>
      </c>
      <c r="AO34" s="100">
        <v>0.43512213475606187</v>
      </c>
      <c r="AP34" s="100">
        <v>6.5006814717383167E-4</v>
      </c>
      <c r="AQ34" s="100">
        <v>0.35649737191012926</v>
      </c>
      <c r="AR34" s="100">
        <v>20</v>
      </c>
      <c r="AS34" s="100">
        <v>10968</v>
      </c>
      <c r="AT34" s="100">
        <v>21</v>
      </c>
      <c r="AU34" s="100">
        <v>11516.4</v>
      </c>
      <c r="AV34" s="100">
        <v>20</v>
      </c>
      <c r="AW34" s="100">
        <v>10968</v>
      </c>
      <c r="AX34" s="100">
        <v>18</v>
      </c>
      <c r="AY34" s="100">
        <v>9871.1999999999989</v>
      </c>
      <c r="AZ34" s="100">
        <v>28</v>
      </c>
      <c r="BA34" s="100">
        <v>15355.199999999999</v>
      </c>
      <c r="BB34" s="100">
        <v>23</v>
      </c>
      <c r="BC34" s="100">
        <v>12613.199999999999</v>
      </c>
      <c r="BD34" s="100">
        <v>16</v>
      </c>
      <c r="BE34" s="100">
        <v>8774.4</v>
      </c>
      <c r="BF34" s="100">
        <v>16</v>
      </c>
      <c r="BG34" s="100">
        <v>8774.4</v>
      </c>
      <c r="BH34" s="100">
        <v>18</v>
      </c>
      <c r="BI34" s="100">
        <v>9871.1999999999989</v>
      </c>
      <c r="BJ34" s="100">
        <v>20</v>
      </c>
      <c r="BK34" s="100">
        <v>10968</v>
      </c>
      <c r="BL34" s="100">
        <v>27</v>
      </c>
      <c r="BM34" s="100">
        <v>14806.8</v>
      </c>
      <c r="BN34" s="100">
        <v>30</v>
      </c>
      <c r="BO34" s="100">
        <v>16452</v>
      </c>
      <c r="BP34" s="100">
        <v>29</v>
      </c>
      <c r="BQ34" s="100">
        <v>15903.599999999999</v>
      </c>
      <c r="BR34" s="100">
        <v>30</v>
      </c>
      <c r="BS34" s="100">
        <v>16452</v>
      </c>
      <c r="BT34" s="100">
        <v>20</v>
      </c>
      <c r="BU34" s="100">
        <v>10968</v>
      </c>
      <c r="BV34" s="100">
        <v>27</v>
      </c>
      <c r="BW34" s="100">
        <v>14806.8</v>
      </c>
      <c r="BX34" s="100">
        <v>21.051238661794233</v>
      </c>
      <c r="BY34" s="100">
        <v>11544.499282127957</v>
      </c>
      <c r="BZ34" s="100">
        <v>8.380317458849893</v>
      </c>
      <c r="CA34" s="100">
        <v>4595.7660944332811</v>
      </c>
      <c r="CB34" s="100">
        <v>14.398696160854829</v>
      </c>
      <c r="CC34" s="100">
        <v>7896.2449746127877</v>
      </c>
      <c r="CD34" s="100">
        <v>24.419457033821633</v>
      </c>
      <c r="CE34" s="100">
        <v>13391.630237347783</v>
      </c>
      <c r="CF34" s="100">
        <v>24.801870793139027</v>
      </c>
      <c r="CG34" s="100">
        <v>13601.345942957441</v>
      </c>
      <c r="CH34" s="100">
        <v>24.067937881913487</v>
      </c>
      <c r="CI34" s="100">
        <v>13198.857134441356</v>
      </c>
      <c r="CJ34" s="100">
        <v>19.50311452136452</v>
      </c>
      <c r="CK34" s="100">
        <v>10695.508003516303</v>
      </c>
      <c r="CL34" s="100">
        <v>25.679953941079265</v>
      </c>
      <c r="CM34" s="100">
        <v>14082.886741287868</v>
      </c>
      <c r="CN34" s="100">
        <v>23.685267739857959</v>
      </c>
      <c r="CO34" s="100">
        <v>12989.000828538105</v>
      </c>
      <c r="CP34" s="100">
        <v>19.088784319089704</v>
      </c>
      <c r="CQ34" s="100">
        <v>10468.289320588794</v>
      </c>
      <c r="CR34" s="100">
        <v>23.846506040112441</v>
      </c>
      <c r="CS34" s="100">
        <v>13077.423912397662</v>
      </c>
      <c r="CT34" s="100">
        <v>21.508229551326394</v>
      </c>
      <c r="CU34" s="100">
        <v>11795.113085947394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16</v>
      </c>
      <c r="G35" s="100">
        <v>8044.7999999999984</v>
      </c>
      <c r="H35" s="100">
        <v>22</v>
      </c>
      <c r="I35" s="100">
        <v>11061.599999999999</v>
      </c>
      <c r="J35" s="100">
        <v>25.198362874005579</v>
      </c>
      <c r="K35" s="100">
        <v>12669.736853050003</v>
      </c>
      <c r="L35" s="100">
        <v>17.76766789022615</v>
      </c>
      <c r="M35" s="100">
        <v>8933.5834152057068</v>
      </c>
      <c r="N35" s="100">
        <v>22.9407472188743</v>
      </c>
      <c r="O35" s="100">
        <v>11534.607701649995</v>
      </c>
      <c r="P35" s="100">
        <v>23.335276150348385</v>
      </c>
      <c r="Q35" s="100">
        <v>11732.976848395165</v>
      </c>
      <c r="R35" s="100">
        <v>23.233430973478345</v>
      </c>
      <c r="S35" s="100">
        <v>11681.769093464909</v>
      </c>
      <c r="T35" s="100">
        <v>16</v>
      </c>
      <c r="U35" s="100">
        <v>8044.7999999999984</v>
      </c>
      <c r="V35" s="100">
        <v>25</v>
      </c>
      <c r="W35" s="100">
        <v>12569.999999999998</v>
      </c>
      <c r="X35" s="100">
        <v>22</v>
      </c>
      <c r="Y35" s="100">
        <v>11061.599999999999</v>
      </c>
      <c r="Z35" s="100">
        <v>23</v>
      </c>
      <c r="AA35" s="100">
        <v>11564.399999999998</v>
      </c>
      <c r="AB35" s="100">
        <v>26</v>
      </c>
      <c r="AC35" s="100">
        <v>13072.799999999997</v>
      </c>
      <c r="AD35" s="100">
        <v>25</v>
      </c>
      <c r="AE35" s="100">
        <v>12569.999999999998</v>
      </c>
      <c r="AF35" s="100">
        <v>25</v>
      </c>
      <c r="AG35" s="100">
        <v>12569.999999999998</v>
      </c>
      <c r="AH35" s="100">
        <v>18</v>
      </c>
      <c r="AI35" s="100">
        <v>9050.3999999999978</v>
      </c>
      <c r="AJ35" s="100">
        <v>8.3886546451876374</v>
      </c>
      <c r="AK35" s="100">
        <v>4217.815555600343</v>
      </c>
      <c r="AL35" s="100">
        <v>5.7589929816765219E-4</v>
      </c>
      <c r="AM35" s="100">
        <v>0.28956216711869548</v>
      </c>
      <c r="AN35" s="100">
        <v>7.3466605673754937E-4</v>
      </c>
      <c r="AO35" s="100">
        <v>0.36939009332763972</v>
      </c>
      <c r="AP35" s="100">
        <v>6.1756473981513995E-4</v>
      </c>
      <c r="AQ35" s="100">
        <v>0.31051155117905233</v>
      </c>
      <c r="AR35" s="100">
        <v>23</v>
      </c>
      <c r="AS35" s="100">
        <v>11564.399999999998</v>
      </c>
      <c r="AT35" s="100">
        <v>22</v>
      </c>
      <c r="AU35" s="100">
        <v>11061.599999999999</v>
      </c>
      <c r="AV35" s="100">
        <v>20</v>
      </c>
      <c r="AW35" s="100">
        <v>10055.999999999998</v>
      </c>
      <c r="AX35" s="100">
        <v>20</v>
      </c>
      <c r="AY35" s="100">
        <v>10055.999999999998</v>
      </c>
      <c r="AZ35" s="100">
        <v>30</v>
      </c>
      <c r="BA35" s="100">
        <v>15083.999999999996</v>
      </c>
      <c r="BB35" s="100">
        <v>24</v>
      </c>
      <c r="BC35" s="100">
        <v>12067.199999999997</v>
      </c>
      <c r="BD35" s="100">
        <v>17</v>
      </c>
      <c r="BE35" s="100">
        <v>8547.5999999999985</v>
      </c>
      <c r="BF35" s="100">
        <v>15</v>
      </c>
      <c r="BG35" s="100">
        <v>7541.9999999999982</v>
      </c>
      <c r="BH35" s="100">
        <v>20</v>
      </c>
      <c r="BI35" s="100">
        <v>10055.999999999998</v>
      </c>
      <c r="BJ35" s="100">
        <v>20</v>
      </c>
      <c r="BK35" s="100">
        <v>10055.999999999998</v>
      </c>
      <c r="BL35" s="100">
        <v>25</v>
      </c>
      <c r="BM35" s="100">
        <v>12569.999999999998</v>
      </c>
      <c r="BN35" s="100">
        <v>29</v>
      </c>
      <c r="BO35" s="100">
        <v>14581.199999999997</v>
      </c>
      <c r="BP35" s="100">
        <v>29</v>
      </c>
      <c r="BQ35" s="100">
        <v>14581.199999999997</v>
      </c>
      <c r="BR35" s="100">
        <v>34</v>
      </c>
      <c r="BS35" s="100">
        <v>17095.199999999997</v>
      </c>
      <c r="BT35" s="100">
        <v>19</v>
      </c>
      <c r="BU35" s="100">
        <v>9553.1999999999989</v>
      </c>
      <c r="BV35" s="100">
        <v>25</v>
      </c>
      <c r="BW35" s="100">
        <v>12569.999999999998</v>
      </c>
      <c r="BX35" s="100">
        <v>21.709089869975301</v>
      </c>
      <c r="BY35" s="100">
        <v>10915.33038662358</v>
      </c>
      <c r="BZ35" s="100">
        <v>8.380317458849893</v>
      </c>
      <c r="CA35" s="100">
        <v>4213.6236183097253</v>
      </c>
      <c r="CB35" s="100">
        <v>14.398696160854829</v>
      </c>
      <c r="CC35" s="100">
        <v>7239.6644296778068</v>
      </c>
      <c r="CD35" s="100">
        <v>27.035827430302522</v>
      </c>
      <c r="CE35" s="100">
        <v>13593.614031956105</v>
      </c>
      <c r="CF35" s="100">
        <v>25.628599819576998</v>
      </c>
      <c r="CG35" s="100">
        <v>12886.059989283312</v>
      </c>
      <c r="CH35" s="100">
        <v>22.285127668438413</v>
      </c>
      <c r="CI35" s="100">
        <v>11204.962191690833</v>
      </c>
      <c r="CJ35" s="100">
        <v>17.552803069228069</v>
      </c>
      <c r="CK35" s="100">
        <v>8825.5493832078719</v>
      </c>
      <c r="CL35" s="100">
        <v>23.845671516716465</v>
      </c>
      <c r="CM35" s="100">
        <v>11989.603638605036</v>
      </c>
      <c r="CN35" s="100">
        <v>22.808035601344699</v>
      </c>
      <c r="CO35" s="100">
        <v>11467.880300356112</v>
      </c>
      <c r="CP35" s="100">
        <v>17.498052292498894</v>
      </c>
      <c r="CQ35" s="100">
        <v>8798.0206926684423</v>
      </c>
      <c r="CR35" s="100">
        <v>25.754226523321439</v>
      </c>
      <c r="CS35" s="100">
        <v>12949.225095926016</v>
      </c>
      <c r="CT35" s="100">
        <v>21.508229551326394</v>
      </c>
      <c r="CU35" s="100">
        <v>10814.33781840691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19</v>
      </c>
      <c r="G36" s="100">
        <v>14455.199999999999</v>
      </c>
      <c r="H36" s="100">
        <v>23</v>
      </c>
      <c r="I36" s="100">
        <v>17498.399999999998</v>
      </c>
      <c r="J36" s="100">
        <v>22.398544776893846</v>
      </c>
      <c r="K36" s="100">
        <v>17040.812866260836</v>
      </c>
      <c r="L36" s="100">
        <v>17.76766789022615</v>
      </c>
      <c r="M36" s="100">
        <v>13517.641730884054</v>
      </c>
      <c r="N36" s="100">
        <v>23.93817101099927</v>
      </c>
      <c r="O36" s="100">
        <v>18212.160505168242</v>
      </c>
      <c r="P36" s="100">
        <v>22.437765529181142</v>
      </c>
      <c r="Q36" s="100">
        <v>17070.652014601012</v>
      </c>
      <c r="R36" s="100">
        <v>23.233430973478345</v>
      </c>
      <c r="S36" s="100">
        <v>17675.994284622324</v>
      </c>
      <c r="T36" s="100">
        <v>14</v>
      </c>
      <c r="U36" s="100">
        <v>10651.199999999999</v>
      </c>
      <c r="V36" s="100">
        <v>26</v>
      </c>
      <c r="W36" s="100">
        <v>19780.8</v>
      </c>
      <c r="X36" s="100">
        <v>20</v>
      </c>
      <c r="Y36" s="100">
        <v>15216</v>
      </c>
      <c r="Z36" s="100">
        <v>22</v>
      </c>
      <c r="AA36" s="100">
        <v>16737.599999999999</v>
      </c>
      <c r="AB36" s="100">
        <v>22</v>
      </c>
      <c r="AC36" s="100">
        <v>16737.599999999999</v>
      </c>
      <c r="AD36" s="100">
        <v>28</v>
      </c>
      <c r="AE36" s="100">
        <v>21302.399999999998</v>
      </c>
      <c r="AF36" s="100">
        <v>23</v>
      </c>
      <c r="AG36" s="100">
        <v>17498.399999999998</v>
      </c>
      <c r="AH36" s="100">
        <v>20</v>
      </c>
      <c r="AI36" s="100">
        <v>15216</v>
      </c>
      <c r="AJ36" s="100">
        <v>7.505638366746834</v>
      </c>
      <c r="AK36" s="100">
        <v>5710.2896694209912</v>
      </c>
      <c r="AL36" s="100">
        <v>6.4788671043860863E-4</v>
      </c>
      <c r="AM36" s="100">
        <v>0.49291220930169344</v>
      </c>
      <c r="AN36" s="100">
        <v>7.3466605673754937E-4</v>
      </c>
      <c r="AO36" s="100">
        <v>0.55893393596592755</v>
      </c>
      <c r="AP36" s="100">
        <v>6.1756473981513995E-4</v>
      </c>
      <c r="AQ36" s="100">
        <v>0.46984325405135846</v>
      </c>
      <c r="AR36" s="100">
        <v>22</v>
      </c>
      <c r="AS36" s="100">
        <v>16737.599999999999</v>
      </c>
      <c r="AT36" s="100">
        <v>21</v>
      </c>
      <c r="AU36" s="100">
        <v>15976.8</v>
      </c>
      <c r="AV36" s="100">
        <v>20</v>
      </c>
      <c r="AW36" s="100">
        <v>15216</v>
      </c>
      <c r="AX36" s="100">
        <v>18</v>
      </c>
      <c r="AY36" s="100">
        <v>13694.4</v>
      </c>
      <c r="AZ36" s="100">
        <v>29</v>
      </c>
      <c r="BA36" s="100">
        <v>22063.199999999997</v>
      </c>
      <c r="BB36" s="100">
        <v>21</v>
      </c>
      <c r="BC36" s="100">
        <v>15976.8</v>
      </c>
      <c r="BD36" s="100">
        <v>15</v>
      </c>
      <c r="BE36" s="100">
        <v>11412</v>
      </c>
      <c r="BF36" s="100">
        <v>17</v>
      </c>
      <c r="BG36" s="100">
        <v>12933.599999999999</v>
      </c>
      <c r="BH36" s="100">
        <v>17</v>
      </c>
      <c r="BI36" s="100">
        <v>12933.599999999999</v>
      </c>
      <c r="BJ36" s="100">
        <v>22</v>
      </c>
      <c r="BK36" s="100">
        <v>16737.599999999999</v>
      </c>
      <c r="BL36" s="100">
        <v>23</v>
      </c>
      <c r="BM36" s="100">
        <v>17498.399999999998</v>
      </c>
      <c r="BN36" s="100">
        <v>28</v>
      </c>
      <c r="BO36" s="100">
        <v>21302.399999999998</v>
      </c>
      <c r="BP36" s="100">
        <v>29</v>
      </c>
      <c r="BQ36" s="100">
        <v>22063.199999999997</v>
      </c>
      <c r="BR36" s="100">
        <v>30</v>
      </c>
      <c r="BS36" s="100">
        <v>22824</v>
      </c>
      <c r="BT36" s="100">
        <v>19</v>
      </c>
      <c r="BU36" s="100">
        <v>14455.199999999999</v>
      </c>
      <c r="BV36" s="100">
        <v>25</v>
      </c>
      <c r="BW36" s="100">
        <v>19020</v>
      </c>
      <c r="BX36" s="100">
        <v>17.761982620888883</v>
      </c>
      <c r="BY36" s="100">
        <v>13513.316377972262</v>
      </c>
      <c r="BZ36" s="100">
        <v>9.1421645005635206</v>
      </c>
      <c r="CA36" s="100">
        <v>6955.3587520287265</v>
      </c>
      <c r="CB36" s="100">
        <v>15.11863096889757</v>
      </c>
      <c r="CC36" s="100">
        <v>11502.254441137271</v>
      </c>
      <c r="CD36" s="100">
        <v>26.163703964808892</v>
      </c>
      <c r="CE36" s="100">
        <v>19905.345976426604</v>
      </c>
      <c r="CF36" s="100">
        <v>24.801870793139027</v>
      </c>
      <c r="CG36" s="100">
        <v>18869.26329942017</v>
      </c>
      <c r="CH36" s="100">
        <v>24.067937881913487</v>
      </c>
      <c r="CI36" s="100">
        <v>18310.887140559778</v>
      </c>
      <c r="CJ36" s="100">
        <v>18.527958795296293</v>
      </c>
      <c r="CK36" s="100">
        <v>14096.071051461418</v>
      </c>
      <c r="CL36" s="100">
        <v>22.011389092353657</v>
      </c>
      <c r="CM36" s="100">
        <v>16746.264821462661</v>
      </c>
      <c r="CN36" s="100">
        <v>22.808035601344699</v>
      </c>
      <c r="CO36" s="100">
        <v>17352.353485503045</v>
      </c>
      <c r="CP36" s="100">
        <v>17.498052292498894</v>
      </c>
      <c r="CQ36" s="100">
        <v>13312.518184133158</v>
      </c>
      <c r="CR36" s="100">
        <v>24.80036628171694</v>
      </c>
      <c r="CS36" s="100">
        <v>18868.118667130246</v>
      </c>
      <c r="CT36" s="100">
        <v>21.508229551326394</v>
      </c>
      <c r="CU36" s="100">
        <v>16363.46104264912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14</v>
      </c>
      <c r="G37" s="100">
        <v>12045.6</v>
      </c>
      <c r="H37" s="100">
        <v>17</v>
      </c>
      <c r="I37" s="100">
        <v>14626.8</v>
      </c>
      <c r="J37" s="100">
        <v>11.199272388446923</v>
      </c>
      <c r="K37" s="100">
        <v>9635.853963019732</v>
      </c>
      <c r="L37" s="100">
        <v>16.879284495714842</v>
      </c>
      <c r="M37" s="100">
        <v>14522.936380113049</v>
      </c>
      <c r="N37" s="100">
        <v>13.963933089749574</v>
      </c>
      <c r="O37" s="100">
        <v>12014.568030420533</v>
      </c>
      <c r="P37" s="100">
        <v>10.770127454006948</v>
      </c>
      <c r="Q37" s="100">
        <v>9266.6176614275773</v>
      </c>
      <c r="R37" s="100">
        <v>13.940058584087007</v>
      </c>
      <c r="S37" s="100">
        <v>11994.02640574846</v>
      </c>
      <c r="T37" s="100">
        <v>12</v>
      </c>
      <c r="U37" s="100">
        <v>10324.799999999999</v>
      </c>
      <c r="V37" s="100">
        <v>11</v>
      </c>
      <c r="W37" s="100">
        <v>9464.4</v>
      </c>
      <c r="X37" s="100">
        <v>13</v>
      </c>
      <c r="Y37" s="100">
        <v>11185.199999999999</v>
      </c>
      <c r="Z37" s="100">
        <v>15</v>
      </c>
      <c r="AA37" s="100">
        <v>12906</v>
      </c>
      <c r="AB37" s="100">
        <v>13</v>
      </c>
      <c r="AC37" s="100">
        <v>11185.199999999999</v>
      </c>
      <c r="AD37" s="100">
        <v>16</v>
      </c>
      <c r="AE37" s="100">
        <v>13766.4</v>
      </c>
      <c r="AF37" s="100">
        <v>20</v>
      </c>
      <c r="AG37" s="100">
        <v>17208</v>
      </c>
      <c r="AH37" s="100">
        <v>12</v>
      </c>
      <c r="AI37" s="100">
        <v>10324.799999999999</v>
      </c>
      <c r="AJ37" s="100">
        <v>8.8301627844080404</v>
      </c>
      <c r="AK37" s="100">
        <v>7597.472059704678</v>
      </c>
      <c r="AL37" s="100">
        <v>3.5993706135478264E-4</v>
      </c>
      <c r="AM37" s="100">
        <v>0.30968984758965495</v>
      </c>
      <c r="AN37" s="100">
        <v>4.9957291858153364E-4</v>
      </c>
      <c r="AO37" s="100">
        <v>0.42983253914755154</v>
      </c>
      <c r="AP37" s="100">
        <v>5.8506133245644844E-4</v>
      </c>
      <c r="AQ37" s="100">
        <v>0.50338677044552826</v>
      </c>
      <c r="AR37" s="100">
        <v>14</v>
      </c>
      <c r="AS37" s="100">
        <v>12045.6</v>
      </c>
      <c r="AT37" s="100">
        <v>17</v>
      </c>
      <c r="AU37" s="100">
        <v>14626.8</v>
      </c>
      <c r="AV37" s="100">
        <v>11</v>
      </c>
      <c r="AW37" s="100">
        <v>9464.4</v>
      </c>
      <c r="AX37" s="100">
        <v>18</v>
      </c>
      <c r="AY37" s="100">
        <v>15487.199999999999</v>
      </c>
      <c r="AZ37" s="100">
        <v>11</v>
      </c>
      <c r="BA37" s="100">
        <v>9464.4</v>
      </c>
      <c r="BB37" s="100">
        <v>12</v>
      </c>
      <c r="BC37" s="100">
        <v>10324.799999999999</v>
      </c>
      <c r="BD37" s="100">
        <v>16</v>
      </c>
      <c r="BE37" s="100">
        <v>13766.4</v>
      </c>
      <c r="BF37" s="100">
        <v>13</v>
      </c>
      <c r="BG37" s="100">
        <v>11185.199999999999</v>
      </c>
      <c r="BH37" s="100">
        <v>14</v>
      </c>
      <c r="BI37" s="100">
        <v>12045.6</v>
      </c>
      <c r="BJ37" s="100">
        <v>11</v>
      </c>
      <c r="BK37" s="100">
        <v>9464.4</v>
      </c>
      <c r="BL37" s="100">
        <v>16</v>
      </c>
      <c r="BM37" s="100">
        <v>13766.4</v>
      </c>
      <c r="BN37" s="100">
        <v>18</v>
      </c>
      <c r="BO37" s="100">
        <v>15487.199999999999</v>
      </c>
      <c r="BP37" s="100">
        <v>17</v>
      </c>
      <c r="BQ37" s="100">
        <v>14626.8</v>
      </c>
      <c r="BR37" s="100">
        <v>13</v>
      </c>
      <c r="BS37" s="100">
        <v>11185.199999999999</v>
      </c>
      <c r="BT37" s="100">
        <v>16</v>
      </c>
      <c r="BU37" s="100">
        <v>13766.4</v>
      </c>
      <c r="BV37" s="100">
        <v>14</v>
      </c>
      <c r="BW37" s="100">
        <v>12045.6</v>
      </c>
      <c r="BX37" s="100">
        <v>11.183470539078186</v>
      </c>
      <c r="BY37" s="100">
        <v>9622.2580518228715</v>
      </c>
      <c r="BZ37" s="100">
        <v>6.0947763337090137</v>
      </c>
      <c r="CA37" s="100">
        <v>5243.945557523235</v>
      </c>
      <c r="CB37" s="100">
        <v>8.6392176965128975</v>
      </c>
      <c r="CC37" s="100">
        <v>7433.1829060796972</v>
      </c>
      <c r="CD37" s="100">
        <v>12.209728516910817</v>
      </c>
      <c r="CE37" s="100">
        <v>10505.250415950066</v>
      </c>
      <c r="CF37" s="100">
        <v>15.707851502321386</v>
      </c>
      <c r="CG37" s="100">
        <v>13515.03543259732</v>
      </c>
      <c r="CH37" s="100">
        <v>13.371076601063049</v>
      </c>
      <c r="CI37" s="100">
        <v>11504.474307554647</v>
      </c>
      <c r="CJ37" s="100">
        <v>18.527958795296293</v>
      </c>
      <c r="CK37" s="100">
        <v>15941.45574747293</v>
      </c>
      <c r="CL37" s="100">
        <v>15.591400607083839</v>
      </c>
      <c r="CM37" s="100">
        <v>13414.841082334935</v>
      </c>
      <c r="CN37" s="100">
        <v>15.790178493238638</v>
      </c>
      <c r="CO37" s="100">
        <v>13585.869575582525</v>
      </c>
      <c r="CP37" s="100">
        <v>16.70268627920349</v>
      </c>
      <c r="CQ37" s="100">
        <v>14370.991274626684</v>
      </c>
      <c r="CR37" s="100">
        <v>11.446322899253973</v>
      </c>
      <c r="CS37" s="100">
        <v>9848.416222518119</v>
      </c>
      <c r="CT37" s="100">
        <v>13.091965813850848</v>
      </c>
      <c r="CU37" s="100">
        <v>11264.32738623727</v>
      </c>
    </row>
    <row r="38" spans="2:99">
      <c r="C38" s="99" t="s">
        <v>204</v>
      </c>
      <c r="D38" s="100">
        <v>13</v>
      </c>
      <c r="E38" s="100">
        <v>16146</v>
      </c>
      <c r="F38" s="100">
        <v>16</v>
      </c>
      <c r="G38" s="100">
        <v>19872</v>
      </c>
      <c r="H38" s="100">
        <v>18</v>
      </c>
      <c r="I38" s="100">
        <v>22356</v>
      </c>
      <c r="J38" s="100">
        <v>11.199272388446923</v>
      </c>
      <c r="K38" s="100">
        <v>13909.496306451079</v>
      </c>
      <c r="L38" s="100">
        <v>15.102517706692229</v>
      </c>
      <c r="M38" s="100">
        <v>18757.326991711747</v>
      </c>
      <c r="N38" s="100">
        <v>13.963933089749574</v>
      </c>
      <c r="O38" s="100">
        <v>17343.204897468971</v>
      </c>
      <c r="P38" s="100">
        <v>10.770127454006948</v>
      </c>
      <c r="Q38" s="100">
        <v>13376.498297876629</v>
      </c>
      <c r="R38" s="100">
        <v>13.010721345147875</v>
      </c>
      <c r="S38" s="100">
        <v>16159.31591067366</v>
      </c>
      <c r="T38" s="100">
        <v>12</v>
      </c>
      <c r="U38" s="100">
        <v>14904</v>
      </c>
      <c r="V38" s="100">
        <v>9</v>
      </c>
      <c r="W38" s="100">
        <v>11178</v>
      </c>
      <c r="X38" s="100">
        <v>11</v>
      </c>
      <c r="Y38" s="100">
        <v>13662</v>
      </c>
      <c r="Z38" s="100">
        <v>16</v>
      </c>
      <c r="AA38" s="100">
        <v>19872</v>
      </c>
      <c r="AB38" s="100">
        <v>13</v>
      </c>
      <c r="AC38" s="100">
        <v>16146</v>
      </c>
      <c r="AD38" s="100">
        <v>16</v>
      </c>
      <c r="AE38" s="100">
        <v>19872</v>
      </c>
      <c r="AF38" s="100">
        <v>16</v>
      </c>
      <c r="AG38" s="100">
        <v>19872</v>
      </c>
      <c r="AH38" s="100">
        <v>10</v>
      </c>
      <c r="AI38" s="100">
        <v>12420</v>
      </c>
      <c r="AJ38" s="100">
        <v>7.0641302275264319</v>
      </c>
      <c r="AK38" s="100">
        <v>8773.6497425878279</v>
      </c>
      <c r="AL38" s="100">
        <v>3.2394335521930431E-4</v>
      </c>
      <c r="AM38" s="100">
        <v>0.40233764718237597</v>
      </c>
      <c r="AN38" s="100">
        <v>5.289595608510355E-4</v>
      </c>
      <c r="AO38" s="100">
        <v>0.65696777457698607</v>
      </c>
      <c r="AP38" s="100">
        <v>5.5255792509775682E-4</v>
      </c>
      <c r="AQ38" s="100">
        <v>0.68627694297141395</v>
      </c>
      <c r="AR38" s="100">
        <v>14</v>
      </c>
      <c r="AS38" s="100">
        <v>17388</v>
      </c>
      <c r="AT38" s="100">
        <v>18</v>
      </c>
      <c r="AU38" s="100">
        <v>22356</v>
      </c>
      <c r="AV38" s="100">
        <v>11</v>
      </c>
      <c r="AW38" s="100">
        <v>13662</v>
      </c>
      <c r="AX38" s="100">
        <v>16</v>
      </c>
      <c r="AY38" s="100">
        <v>19872</v>
      </c>
      <c r="AZ38" s="100">
        <v>10</v>
      </c>
      <c r="BA38" s="100">
        <v>12420</v>
      </c>
      <c r="BB38" s="100">
        <v>12</v>
      </c>
      <c r="BC38" s="100">
        <v>14904</v>
      </c>
      <c r="BD38" s="100">
        <v>13</v>
      </c>
      <c r="BE38" s="100">
        <v>16146</v>
      </c>
      <c r="BF38" s="100">
        <v>12</v>
      </c>
      <c r="BG38" s="100">
        <v>14904</v>
      </c>
      <c r="BH38" s="100">
        <v>15</v>
      </c>
      <c r="BI38" s="100">
        <v>18630</v>
      </c>
      <c r="BJ38" s="100">
        <v>10</v>
      </c>
      <c r="BK38" s="100">
        <v>12420</v>
      </c>
      <c r="BL38" s="100">
        <v>17</v>
      </c>
      <c r="BM38" s="100">
        <v>21114</v>
      </c>
      <c r="BN38" s="100">
        <v>16</v>
      </c>
      <c r="BO38" s="100">
        <v>19872</v>
      </c>
      <c r="BP38" s="100">
        <v>19</v>
      </c>
      <c r="BQ38" s="100">
        <v>23598</v>
      </c>
      <c r="BR38" s="100">
        <v>12</v>
      </c>
      <c r="BS38" s="100">
        <v>14904</v>
      </c>
      <c r="BT38" s="100">
        <v>18</v>
      </c>
      <c r="BU38" s="100">
        <v>22356</v>
      </c>
      <c r="BV38" s="100">
        <v>14</v>
      </c>
      <c r="BW38" s="100">
        <v>17388</v>
      </c>
      <c r="BX38" s="100">
        <v>11.841321747259256</v>
      </c>
      <c r="BY38" s="100">
        <v>14706.921610095997</v>
      </c>
      <c r="BZ38" s="100">
        <v>5.332929291995387</v>
      </c>
      <c r="CA38" s="100">
        <v>6623.4981806582709</v>
      </c>
      <c r="CB38" s="100">
        <v>7.919282888470156</v>
      </c>
      <c r="CC38" s="100">
        <v>9835.7493474799339</v>
      </c>
      <c r="CD38" s="100">
        <v>12.209728516910817</v>
      </c>
      <c r="CE38" s="100">
        <v>15164.482818003235</v>
      </c>
      <c r="CF38" s="100">
        <v>14.881122475883418</v>
      </c>
      <c r="CG38" s="100">
        <v>18482.354115047205</v>
      </c>
      <c r="CH38" s="100">
        <v>12.47967149432551</v>
      </c>
      <c r="CI38" s="100">
        <v>15499.751995952283</v>
      </c>
      <c r="CJ38" s="100">
        <v>16.577647343159839</v>
      </c>
      <c r="CK38" s="100">
        <v>20589.438000204522</v>
      </c>
      <c r="CL38" s="100">
        <v>16.508541819265243</v>
      </c>
      <c r="CM38" s="100">
        <v>20503.608939527432</v>
      </c>
      <c r="CN38" s="100">
        <v>18.421874908778413</v>
      </c>
      <c r="CO38" s="100">
        <v>22879.96863670279</v>
      </c>
      <c r="CP38" s="100">
        <v>13.521222226021873</v>
      </c>
      <c r="CQ38" s="100">
        <v>16793.358004719168</v>
      </c>
      <c r="CR38" s="100">
        <v>12.40018314085847</v>
      </c>
      <c r="CS38" s="100">
        <v>15401.027460946219</v>
      </c>
      <c r="CT38" s="100">
        <v>12.156825398575787</v>
      </c>
      <c r="CU38" s="100">
        <v>15098.777145031128</v>
      </c>
    </row>
    <row r="39" spans="2:99">
      <c r="C39" s="99" t="s">
        <v>205</v>
      </c>
      <c r="D39" s="100">
        <v>11</v>
      </c>
      <c r="E39" s="100">
        <v>15655.2</v>
      </c>
      <c r="F39" s="100">
        <v>14</v>
      </c>
      <c r="G39" s="100">
        <v>19924.8</v>
      </c>
      <c r="H39" s="100">
        <v>15</v>
      </c>
      <c r="I39" s="100">
        <v>21348</v>
      </c>
      <c r="J39" s="100">
        <v>12.132545087484168</v>
      </c>
      <c r="K39" s="100">
        <v>17267.038168507468</v>
      </c>
      <c r="L39" s="100">
        <v>15.102517706692229</v>
      </c>
      <c r="M39" s="100">
        <v>21493.903200164379</v>
      </c>
      <c r="N39" s="100">
        <v>12.966509297624604</v>
      </c>
      <c r="O39" s="100">
        <v>18453.936032379337</v>
      </c>
      <c r="P39" s="100">
        <v>10.770127454006948</v>
      </c>
      <c r="Q39" s="100">
        <v>15328.045392542688</v>
      </c>
      <c r="R39" s="100">
        <v>12.081384106208739</v>
      </c>
      <c r="S39" s="100">
        <v>17194.225859956277</v>
      </c>
      <c r="T39" s="100">
        <v>11</v>
      </c>
      <c r="U39" s="100">
        <v>15655.2</v>
      </c>
      <c r="V39" s="100">
        <v>10</v>
      </c>
      <c r="W39" s="100">
        <v>14232</v>
      </c>
      <c r="X39" s="100">
        <v>10</v>
      </c>
      <c r="Y39" s="100">
        <v>14232</v>
      </c>
      <c r="Z39" s="100">
        <v>16</v>
      </c>
      <c r="AA39" s="100">
        <v>22771.200000000001</v>
      </c>
      <c r="AB39" s="100">
        <v>15</v>
      </c>
      <c r="AC39" s="100">
        <v>21348</v>
      </c>
      <c r="AD39" s="100">
        <v>16</v>
      </c>
      <c r="AE39" s="100">
        <v>22771.200000000001</v>
      </c>
      <c r="AF39" s="100">
        <v>18</v>
      </c>
      <c r="AG39" s="100">
        <v>25617.600000000002</v>
      </c>
      <c r="AH39" s="100">
        <v>11</v>
      </c>
      <c r="AI39" s="100">
        <v>15655.2</v>
      </c>
      <c r="AJ39" s="100">
        <v>7.0641302275264319</v>
      </c>
      <c r="AK39" s="100">
        <v>10053.670139815618</v>
      </c>
      <c r="AL39" s="100">
        <v>3.5993706135478264E-4</v>
      </c>
      <c r="AM39" s="100">
        <v>0.5122624257201267</v>
      </c>
      <c r="AN39" s="100">
        <v>5.5834620312053757E-4</v>
      </c>
      <c r="AO39" s="100">
        <v>0.79463831628114912</v>
      </c>
      <c r="AP39" s="100">
        <v>5.2005451773906532E-4</v>
      </c>
      <c r="AQ39" s="100">
        <v>0.74014158964623777</v>
      </c>
      <c r="AR39" s="100">
        <v>16</v>
      </c>
      <c r="AS39" s="100">
        <v>22771.200000000001</v>
      </c>
      <c r="AT39" s="100">
        <v>17</v>
      </c>
      <c r="AU39" s="100">
        <v>24194.400000000001</v>
      </c>
      <c r="AV39" s="100">
        <v>10</v>
      </c>
      <c r="AW39" s="100">
        <v>14232</v>
      </c>
      <c r="AX39" s="100">
        <v>15</v>
      </c>
      <c r="AY39" s="100">
        <v>21348</v>
      </c>
      <c r="AZ39" s="100">
        <v>9</v>
      </c>
      <c r="BA39" s="100">
        <v>12808.800000000001</v>
      </c>
      <c r="BB39" s="100">
        <v>12</v>
      </c>
      <c r="BC39" s="100">
        <v>17078.400000000001</v>
      </c>
      <c r="BD39" s="100">
        <v>16</v>
      </c>
      <c r="BE39" s="100">
        <v>22771.200000000001</v>
      </c>
      <c r="BF39" s="100">
        <v>11</v>
      </c>
      <c r="BG39" s="100">
        <v>15655.2</v>
      </c>
      <c r="BH39" s="100">
        <v>13</v>
      </c>
      <c r="BI39" s="100">
        <v>18501.600000000002</v>
      </c>
      <c r="BJ39" s="100">
        <v>9</v>
      </c>
      <c r="BK39" s="100">
        <v>12808.800000000001</v>
      </c>
      <c r="BL39" s="100">
        <v>16</v>
      </c>
      <c r="BM39" s="100">
        <v>22771.200000000001</v>
      </c>
      <c r="BN39" s="100">
        <v>15</v>
      </c>
      <c r="BO39" s="100">
        <v>21348</v>
      </c>
      <c r="BP39" s="100">
        <v>18</v>
      </c>
      <c r="BQ39" s="100">
        <v>25617.600000000002</v>
      </c>
      <c r="BR39" s="100">
        <v>11</v>
      </c>
      <c r="BS39" s="100">
        <v>15655.2</v>
      </c>
      <c r="BT39" s="100">
        <v>16</v>
      </c>
      <c r="BU39" s="100">
        <v>22771.200000000001</v>
      </c>
      <c r="BV39" s="100">
        <v>15</v>
      </c>
      <c r="BW39" s="100">
        <v>21348</v>
      </c>
      <c r="BX39" s="100">
        <v>10.525619330897117</v>
      </c>
      <c r="BY39" s="100">
        <v>14980.061431732776</v>
      </c>
      <c r="BZ39" s="100">
        <v>5.332929291995387</v>
      </c>
      <c r="CA39" s="100">
        <v>7589.824968367835</v>
      </c>
      <c r="CB39" s="100">
        <v>7.919282888470156</v>
      </c>
      <c r="CC39" s="100">
        <v>11270.723406870726</v>
      </c>
      <c r="CD39" s="100">
        <v>11.337605051417187</v>
      </c>
      <c r="CE39" s="100">
        <v>16135.679509176942</v>
      </c>
      <c r="CF39" s="100">
        <v>14.054393449445449</v>
      </c>
      <c r="CG39" s="100">
        <v>20002.212757250763</v>
      </c>
      <c r="CH39" s="100">
        <v>13.371076601063049</v>
      </c>
      <c r="CI39" s="100">
        <v>19029.71621863293</v>
      </c>
      <c r="CJ39" s="100">
        <v>16.577647343159839</v>
      </c>
      <c r="CK39" s="100">
        <v>23593.307698785084</v>
      </c>
      <c r="CL39" s="100">
        <v>17.425683031446646</v>
      </c>
      <c r="CM39" s="100">
        <v>24800.232090354868</v>
      </c>
      <c r="CN39" s="100">
        <v>17.544642770265153</v>
      </c>
      <c r="CO39" s="100">
        <v>24969.535590641364</v>
      </c>
      <c r="CP39" s="100">
        <v>13.521222226021873</v>
      </c>
      <c r="CQ39" s="100">
        <v>19243.403472074329</v>
      </c>
      <c r="CR39" s="100">
        <v>11.446322899253973</v>
      </c>
      <c r="CS39" s="100">
        <v>16290.406750218255</v>
      </c>
      <c r="CT39" s="100">
        <v>12.156825398575787</v>
      </c>
      <c r="CU39" s="100">
        <v>17301.59390725306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15</v>
      </c>
      <c r="G40" s="100">
        <v>10872</v>
      </c>
      <c r="H40" s="100">
        <v>17</v>
      </c>
      <c r="I40" s="100">
        <v>12321.599999999999</v>
      </c>
      <c r="J40" s="100">
        <v>13.065817786521412</v>
      </c>
      <c r="K40" s="100">
        <v>9470.104731670719</v>
      </c>
      <c r="L40" s="100">
        <v>17.76766789022615</v>
      </c>
      <c r="M40" s="100">
        <v>12878.005686835913</v>
      </c>
      <c r="N40" s="100">
        <v>13.963933089749574</v>
      </c>
      <c r="O40" s="100">
        <v>10121.05870345049</v>
      </c>
      <c r="P40" s="100">
        <v>10.770127454006948</v>
      </c>
      <c r="Q40" s="100">
        <v>7806.1883786642356</v>
      </c>
      <c r="R40" s="100">
        <v>13.010721345147875</v>
      </c>
      <c r="S40" s="100">
        <v>9430.1708309631795</v>
      </c>
      <c r="T40" s="100">
        <v>12</v>
      </c>
      <c r="U40" s="100">
        <v>8697.5999999999985</v>
      </c>
      <c r="V40" s="100">
        <v>10</v>
      </c>
      <c r="W40" s="100">
        <v>7248</v>
      </c>
      <c r="X40" s="100">
        <v>13</v>
      </c>
      <c r="Y40" s="100">
        <v>9422.4</v>
      </c>
      <c r="Z40" s="100">
        <v>16</v>
      </c>
      <c r="AA40" s="100">
        <v>11596.8</v>
      </c>
      <c r="AB40" s="100">
        <v>14</v>
      </c>
      <c r="AC40" s="100">
        <v>10147.199999999999</v>
      </c>
      <c r="AD40" s="100">
        <v>18</v>
      </c>
      <c r="AE40" s="100">
        <v>13046.4</v>
      </c>
      <c r="AF40" s="100">
        <v>17</v>
      </c>
      <c r="AG40" s="100">
        <v>12321.599999999999</v>
      </c>
      <c r="AH40" s="100">
        <v>12</v>
      </c>
      <c r="AI40" s="100">
        <v>8697.5999999999985</v>
      </c>
      <c r="AJ40" s="100">
        <v>7.9471465059672362</v>
      </c>
      <c r="AK40" s="100">
        <v>5760.0917875250525</v>
      </c>
      <c r="AL40" s="100">
        <v>3.9593076749026086E-4</v>
      </c>
      <c r="AM40" s="100">
        <v>0.28697062027694104</v>
      </c>
      <c r="AN40" s="100">
        <v>5.5834620312053757E-4</v>
      </c>
      <c r="AO40" s="100">
        <v>0.4046893280217656</v>
      </c>
      <c r="AP40" s="100">
        <v>5.5255792509775682E-4</v>
      </c>
      <c r="AQ40" s="100">
        <v>0.40049398411085413</v>
      </c>
      <c r="AR40" s="100">
        <v>16</v>
      </c>
      <c r="AS40" s="100">
        <v>11596.8</v>
      </c>
      <c r="AT40" s="100">
        <v>18</v>
      </c>
      <c r="AU40" s="100">
        <v>13046.4</v>
      </c>
      <c r="AV40" s="100">
        <v>11</v>
      </c>
      <c r="AW40" s="100">
        <v>7972.7999999999993</v>
      </c>
      <c r="AX40" s="100">
        <v>17</v>
      </c>
      <c r="AY40" s="100">
        <v>12321.599999999999</v>
      </c>
      <c r="AZ40" s="100">
        <v>10</v>
      </c>
      <c r="BA40" s="100">
        <v>7248</v>
      </c>
      <c r="BB40" s="100">
        <v>13</v>
      </c>
      <c r="BC40" s="100">
        <v>9422.4</v>
      </c>
      <c r="BD40" s="100">
        <v>17</v>
      </c>
      <c r="BE40" s="100">
        <v>12321.599999999999</v>
      </c>
      <c r="BF40" s="100">
        <v>12</v>
      </c>
      <c r="BG40" s="100">
        <v>8697.5999999999985</v>
      </c>
      <c r="BH40" s="100">
        <v>15</v>
      </c>
      <c r="BI40" s="100">
        <v>10872</v>
      </c>
      <c r="BJ40" s="100">
        <v>9</v>
      </c>
      <c r="BK40" s="100">
        <v>6523.2</v>
      </c>
      <c r="BL40" s="100">
        <v>18</v>
      </c>
      <c r="BM40" s="100">
        <v>13046.4</v>
      </c>
      <c r="BN40" s="100">
        <v>16</v>
      </c>
      <c r="BO40" s="100">
        <v>11596.8</v>
      </c>
      <c r="BP40" s="100">
        <v>19</v>
      </c>
      <c r="BQ40" s="100">
        <v>13771.199999999999</v>
      </c>
      <c r="BR40" s="100">
        <v>12</v>
      </c>
      <c r="BS40" s="100">
        <v>8697.5999999999985</v>
      </c>
      <c r="BT40" s="100">
        <v>19</v>
      </c>
      <c r="BU40" s="100">
        <v>13771.199999999999</v>
      </c>
      <c r="BV40" s="100">
        <v>16</v>
      </c>
      <c r="BW40" s="100">
        <v>11596.8</v>
      </c>
      <c r="BX40" s="100">
        <v>11.841321747259256</v>
      </c>
      <c r="BY40" s="100">
        <v>8582.590002413508</v>
      </c>
      <c r="BZ40" s="100">
        <v>6.4756998545658266</v>
      </c>
      <c r="CA40" s="100">
        <v>4693.5872545893108</v>
      </c>
      <c r="CB40" s="100">
        <v>9.3591525045556399</v>
      </c>
      <c r="CC40" s="100">
        <v>6783.5137353019272</v>
      </c>
      <c r="CD40" s="100">
        <v>12.209728516910817</v>
      </c>
      <c r="CE40" s="100">
        <v>8849.6112290569599</v>
      </c>
      <c r="CF40" s="100">
        <v>14.054393449445449</v>
      </c>
      <c r="CG40" s="100">
        <v>10186.624372158061</v>
      </c>
      <c r="CH40" s="100">
        <v>13.371076601063049</v>
      </c>
      <c r="CI40" s="100">
        <v>9691.3563204504972</v>
      </c>
      <c r="CJ40" s="100">
        <v>20.478270247432746</v>
      </c>
      <c r="CK40" s="100">
        <v>14842.650275339254</v>
      </c>
      <c r="CL40" s="100">
        <v>18.342824243628048</v>
      </c>
      <c r="CM40" s="100">
        <v>13294.879011781608</v>
      </c>
      <c r="CN40" s="100">
        <v>16.667410631751896</v>
      </c>
      <c r="CO40" s="100">
        <v>12080.539225893774</v>
      </c>
      <c r="CP40" s="100">
        <v>16.70268627920349</v>
      </c>
      <c r="CQ40" s="100">
        <v>12106.10701516669</v>
      </c>
      <c r="CR40" s="100">
        <v>11.446322899253973</v>
      </c>
      <c r="CS40" s="100">
        <v>8296.2948373792788</v>
      </c>
      <c r="CT40" s="100">
        <v>11.221684983300726</v>
      </c>
      <c r="CU40" s="100">
        <v>8133.4772758963654</v>
      </c>
    </row>
    <row r="41" spans="2:99">
      <c r="C41" s="99" t="s">
        <v>207</v>
      </c>
      <c r="D41" s="100">
        <v>12</v>
      </c>
      <c r="E41" s="100">
        <v>7920</v>
      </c>
      <c r="F41" s="100">
        <v>15</v>
      </c>
      <c r="G41" s="100">
        <v>9900</v>
      </c>
      <c r="H41" s="100">
        <v>19</v>
      </c>
      <c r="I41" s="100">
        <v>12540</v>
      </c>
      <c r="J41" s="100">
        <v>13.999090485558655</v>
      </c>
      <c r="K41" s="100">
        <v>9239.399720468713</v>
      </c>
      <c r="L41" s="100">
        <v>16.879284495714842</v>
      </c>
      <c r="M41" s="100">
        <v>11140.327767171795</v>
      </c>
      <c r="N41" s="100">
        <v>13.963933089749574</v>
      </c>
      <c r="O41" s="100">
        <v>9216.1958392347187</v>
      </c>
      <c r="P41" s="100">
        <v>11.667638075174192</v>
      </c>
      <c r="Q41" s="100">
        <v>7700.6411296149672</v>
      </c>
      <c r="R41" s="100">
        <v>13.010721345147875</v>
      </c>
      <c r="S41" s="100">
        <v>8587.0760877975972</v>
      </c>
      <c r="T41" s="100">
        <v>12</v>
      </c>
      <c r="U41" s="100">
        <v>7920</v>
      </c>
      <c r="V41" s="100">
        <v>11</v>
      </c>
      <c r="W41" s="100">
        <v>7260</v>
      </c>
      <c r="X41" s="100">
        <v>12</v>
      </c>
      <c r="Y41" s="100">
        <v>7920</v>
      </c>
      <c r="Z41" s="100">
        <v>16</v>
      </c>
      <c r="AA41" s="100">
        <v>10560</v>
      </c>
      <c r="AB41" s="100">
        <v>14</v>
      </c>
      <c r="AC41" s="100">
        <v>9240</v>
      </c>
      <c r="AD41" s="100">
        <v>18</v>
      </c>
      <c r="AE41" s="100">
        <v>11880</v>
      </c>
      <c r="AF41" s="100">
        <v>17</v>
      </c>
      <c r="AG41" s="100">
        <v>11220</v>
      </c>
      <c r="AH41" s="100">
        <v>10</v>
      </c>
      <c r="AI41" s="100">
        <v>6600</v>
      </c>
      <c r="AJ41" s="100">
        <v>9.2716709236284416</v>
      </c>
      <c r="AK41" s="100">
        <v>6119.3028095947711</v>
      </c>
      <c r="AL41" s="100">
        <v>3.5993706135478264E-4</v>
      </c>
      <c r="AM41" s="100">
        <v>0.23755846049415655</v>
      </c>
      <c r="AN41" s="100">
        <v>5.5834620312053757E-4</v>
      </c>
      <c r="AO41" s="100">
        <v>0.36850849405955477</v>
      </c>
      <c r="AP41" s="100">
        <v>5.2005451773906532E-4</v>
      </c>
      <c r="AQ41" s="100">
        <v>0.34323598170778313</v>
      </c>
      <c r="AR41" s="100">
        <v>17</v>
      </c>
      <c r="AS41" s="100">
        <v>11220</v>
      </c>
      <c r="AT41" s="100">
        <v>19</v>
      </c>
      <c r="AU41" s="100">
        <v>12540</v>
      </c>
      <c r="AV41" s="100">
        <v>10</v>
      </c>
      <c r="AW41" s="100">
        <v>6600</v>
      </c>
      <c r="AX41" s="100">
        <v>18</v>
      </c>
      <c r="AY41" s="100">
        <v>11880</v>
      </c>
      <c r="AZ41" s="100">
        <v>10</v>
      </c>
      <c r="BA41" s="100">
        <v>6600</v>
      </c>
      <c r="BB41" s="100">
        <v>13</v>
      </c>
      <c r="BC41" s="100">
        <v>8580</v>
      </c>
      <c r="BD41" s="100">
        <v>15</v>
      </c>
      <c r="BE41" s="100">
        <v>9900</v>
      </c>
      <c r="BF41" s="100">
        <v>13</v>
      </c>
      <c r="BG41" s="100">
        <v>8580</v>
      </c>
      <c r="BH41" s="100">
        <v>16</v>
      </c>
      <c r="BI41" s="100">
        <v>10560</v>
      </c>
      <c r="BJ41" s="100">
        <v>9</v>
      </c>
      <c r="BK41" s="100">
        <v>5940</v>
      </c>
      <c r="BL41" s="100">
        <v>16</v>
      </c>
      <c r="BM41" s="100">
        <v>10560</v>
      </c>
      <c r="BN41" s="100">
        <v>15</v>
      </c>
      <c r="BO41" s="100">
        <v>9900</v>
      </c>
      <c r="BP41" s="100">
        <v>20</v>
      </c>
      <c r="BQ41" s="100">
        <v>13200</v>
      </c>
      <c r="BR41" s="100">
        <v>12</v>
      </c>
      <c r="BS41" s="100">
        <v>7920</v>
      </c>
      <c r="BT41" s="100">
        <v>17</v>
      </c>
      <c r="BU41" s="100">
        <v>11220</v>
      </c>
      <c r="BV41" s="100">
        <v>16</v>
      </c>
      <c r="BW41" s="100">
        <v>10560</v>
      </c>
      <c r="BX41" s="100">
        <v>12.499172955440326</v>
      </c>
      <c r="BY41" s="100">
        <v>8249.4541505906145</v>
      </c>
      <c r="BZ41" s="100">
        <v>5.7138528128521999</v>
      </c>
      <c r="CA41" s="100">
        <v>3771.1428564824519</v>
      </c>
      <c r="CB41" s="100">
        <v>8.6392176965128975</v>
      </c>
      <c r="CC41" s="100">
        <v>5701.8836796985124</v>
      </c>
      <c r="CD41" s="100">
        <v>13.081851982404446</v>
      </c>
      <c r="CE41" s="100">
        <v>8634.022308386935</v>
      </c>
      <c r="CF41" s="100">
        <v>16.534580528759353</v>
      </c>
      <c r="CG41" s="100">
        <v>10912.823148981173</v>
      </c>
      <c r="CH41" s="100">
        <v>14.262481707800584</v>
      </c>
      <c r="CI41" s="100">
        <v>9413.237927148386</v>
      </c>
      <c r="CJ41" s="100">
        <v>17.552803069228069</v>
      </c>
      <c r="CK41" s="100">
        <v>11584.850025690526</v>
      </c>
      <c r="CL41" s="100">
        <v>15.591400607083839</v>
      </c>
      <c r="CM41" s="100">
        <v>10290.324400675334</v>
      </c>
      <c r="CN41" s="100">
        <v>17.544642770265153</v>
      </c>
      <c r="CO41" s="100">
        <v>11579.464228375</v>
      </c>
      <c r="CP41" s="100">
        <v>15.111954252612682</v>
      </c>
      <c r="CQ41" s="100">
        <v>9973.8898067243699</v>
      </c>
      <c r="CR41" s="100">
        <v>12.40018314085847</v>
      </c>
      <c r="CS41" s="100">
        <v>8184.1208729665905</v>
      </c>
      <c r="CT41" s="100">
        <v>11.221684983300726</v>
      </c>
      <c r="CU41" s="100">
        <v>7406.3120889784796</v>
      </c>
    </row>
    <row r="42" spans="2:99">
      <c r="C42" s="99" t="s">
        <v>208</v>
      </c>
      <c r="D42" s="100">
        <v>14</v>
      </c>
      <c r="E42" s="100">
        <v>11844</v>
      </c>
      <c r="F42" s="100">
        <v>17</v>
      </c>
      <c r="G42" s="100">
        <v>14382</v>
      </c>
      <c r="H42" s="100">
        <v>17</v>
      </c>
      <c r="I42" s="100">
        <v>14382</v>
      </c>
      <c r="J42" s="100">
        <v>12.132545087484168</v>
      </c>
      <c r="K42" s="100">
        <v>10264.133144011606</v>
      </c>
      <c r="L42" s="100">
        <v>15.102517706692229</v>
      </c>
      <c r="M42" s="100">
        <v>12776.729979861626</v>
      </c>
      <c r="N42" s="100">
        <v>14.961356881874543</v>
      </c>
      <c r="O42" s="100">
        <v>12657.307922065864</v>
      </c>
      <c r="P42" s="100">
        <v>11.667638075174192</v>
      </c>
      <c r="Q42" s="100">
        <v>9870.8218115973668</v>
      </c>
      <c r="R42" s="100">
        <v>14.86939582302614</v>
      </c>
      <c r="S42" s="100">
        <v>12579.508866280115</v>
      </c>
      <c r="T42" s="100">
        <v>12</v>
      </c>
      <c r="U42" s="100">
        <v>10152</v>
      </c>
      <c r="V42" s="100">
        <v>9</v>
      </c>
      <c r="W42" s="100">
        <v>7614</v>
      </c>
      <c r="X42" s="100">
        <v>13</v>
      </c>
      <c r="Y42" s="100">
        <v>10998</v>
      </c>
      <c r="Z42" s="100">
        <v>15</v>
      </c>
      <c r="AA42" s="100">
        <v>12690</v>
      </c>
      <c r="AB42" s="100">
        <v>15</v>
      </c>
      <c r="AC42" s="100">
        <v>12690</v>
      </c>
      <c r="AD42" s="100">
        <v>15</v>
      </c>
      <c r="AE42" s="100">
        <v>12690</v>
      </c>
      <c r="AF42" s="100">
        <v>17</v>
      </c>
      <c r="AG42" s="100">
        <v>14382</v>
      </c>
      <c r="AH42" s="100">
        <v>11</v>
      </c>
      <c r="AI42" s="100">
        <v>9306</v>
      </c>
      <c r="AJ42" s="100">
        <v>7.505638366746834</v>
      </c>
      <c r="AK42" s="100">
        <v>6349.7700582678217</v>
      </c>
      <c r="AL42" s="100">
        <v>3.5993706135478264E-4</v>
      </c>
      <c r="AM42" s="100">
        <v>0.30450675390614612</v>
      </c>
      <c r="AN42" s="100">
        <v>5.5834620312053757E-4</v>
      </c>
      <c r="AO42" s="100">
        <v>0.47236088783997476</v>
      </c>
      <c r="AP42" s="100">
        <v>5.2005451773906532E-4</v>
      </c>
      <c r="AQ42" s="100">
        <v>0.43996612200724927</v>
      </c>
      <c r="AR42" s="100">
        <v>15</v>
      </c>
      <c r="AS42" s="100">
        <v>12690</v>
      </c>
      <c r="AT42" s="100">
        <v>18</v>
      </c>
      <c r="AU42" s="100">
        <v>15228</v>
      </c>
      <c r="AV42" s="100">
        <v>11</v>
      </c>
      <c r="AW42" s="100">
        <v>9306</v>
      </c>
      <c r="AX42" s="100">
        <v>17</v>
      </c>
      <c r="AY42" s="100">
        <v>14382</v>
      </c>
      <c r="AZ42" s="100">
        <v>11</v>
      </c>
      <c r="BA42" s="100">
        <v>9306</v>
      </c>
      <c r="BB42" s="100">
        <v>14</v>
      </c>
      <c r="BC42" s="100">
        <v>11844</v>
      </c>
      <c r="BD42" s="100">
        <v>16</v>
      </c>
      <c r="BE42" s="100">
        <v>13536</v>
      </c>
      <c r="BF42" s="100">
        <v>12</v>
      </c>
      <c r="BG42" s="100">
        <v>10152</v>
      </c>
      <c r="BH42" s="100">
        <v>15</v>
      </c>
      <c r="BI42" s="100">
        <v>12690</v>
      </c>
      <c r="BJ42" s="100">
        <v>10</v>
      </c>
      <c r="BK42" s="100">
        <v>8460</v>
      </c>
      <c r="BL42" s="100">
        <v>16</v>
      </c>
      <c r="BM42" s="100">
        <v>13536</v>
      </c>
      <c r="BN42" s="100">
        <v>16</v>
      </c>
      <c r="BO42" s="100">
        <v>13536</v>
      </c>
      <c r="BP42" s="100">
        <v>17</v>
      </c>
      <c r="BQ42" s="100">
        <v>14382</v>
      </c>
      <c r="BR42" s="100">
        <v>12</v>
      </c>
      <c r="BS42" s="100">
        <v>10152</v>
      </c>
      <c r="BT42" s="100">
        <v>18</v>
      </c>
      <c r="BU42" s="100">
        <v>15228</v>
      </c>
      <c r="BV42" s="100">
        <v>13</v>
      </c>
      <c r="BW42" s="100">
        <v>10998</v>
      </c>
      <c r="BX42" s="100">
        <v>11.841321747259256</v>
      </c>
      <c r="BY42" s="100">
        <v>10017.758198181331</v>
      </c>
      <c r="BZ42" s="100">
        <v>6.4756998545658266</v>
      </c>
      <c r="CA42" s="100">
        <v>5478.4420769626895</v>
      </c>
      <c r="CB42" s="100">
        <v>9.3591525045556399</v>
      </c>
      <c r="CC42" s="100">
        <v>7917.8430188540715</v>
      </c>
      <c r="CD42" s="100">
        <v>12.209728516910817</v>
      </c>
      <c r="CE42" s="100">
        <v>10329.43032530655</v>
      </c>
      <c r="CF42" s="100">
        <v>14.881122475883418</v>
      </c>
      <c r="CG42" s="100">
        <v>12589.429614597371</v>
      </c>
      <c r="CH42" s="100">
        <v>15.15388681453812</v>
      </c>
      <c r="CI42" s="100">
        <v>12820.188245099251</v>
      </c>
      <c r="CJ42" s="100">
        <v>17.552803069228069</v>
      </c>
      <c r="CK42" s="100">
        <v>14849.671396566946</v>
      </c>
      <c r="CL42" s="100">
        <v>17.425683031446646</v>
      </c>
      <c r="CM42" s="100">
        <v>14742.127844603861</v>
      </c>
      <c r="CN42" s="100">
        <v>17.544642770265153</v>
      </c>
      <c r="CO42" s="100">
        <v>14842.76778364432</v>
      </c>
      <c r="CP42" s="100">
        <v>14.316588239317278</v>
      </c>
      <c r="CQ42" s="100">
        <v>12111.833650462417</v>
      </c>
      <c r="CR42" s="100">
        <v>12.40018314085847</v>
      </c>
      <c r="CS42" s="100">
        <v>10490.554937166266</v>
      </c>
      <c r="CT42" s="100">
        <v>11.221684983300726</v>
      </c>
      <c r="CU42" s="100">
        <v>9493.5454958724149</v>
      </c>
    </row>
    <row r="43" spans="2:99">
      <c r="C43" s="99" t="s">
        <v>209</v>
      </c>
      <c r="D43" s="100">
        <v>12</v>
      </c>
      <c r="E43" s="100">
        <v>12268.8</v>
      </c>
      <c r="F43" s="100">
        <v>16</v>
      </c>
      <c r="G43" s="100">
        <v>16358.4</v>
      </c>
      <c r="H43" s="100">
        <v>18</v>
      </c>
      <c r="I43" s="100">
        <v>18403.2</v>
      </c>
      <c r="J43" s="100">
        <v>11.199272388446923</v>
      </c>
      <c r="K43" s="100">
        <v>11450.136089948133</v>
      </c>
      <c r="L43" s="100">
        <v>16.879284495714842</v>
      </c>
      <c r="M43" s="100">
        <v>17257.380468418854</v>
      </c>
      <c r="N43" s="100">
        <v>13.963933089749574</v>
      </c>
      <c r="O43" s="100">
        <v>14276.725190959964</v>
      </c>
      <c r="P43" s="100">
        <v>9.8726168328397019</v>
      </c>
      <c r="Q43" s="100">
        <v>10093.76344989531</v>
      </c>
      <c r="R43" s="100">
        <v>13.940058584087007</v>
      </c>
      <c r="S43" s="100">
        <v>14252.315896370555</v>
      </c>
      <c r="T43" s="100">
        <v>11</v>
      </c>
      <c r="U43" s="100">
        <v>11246.4</v>
      </c>
      <c r="V43" s="100">
        <v>9</v>
      </c>
      <c r="W43" s="100">
        <v>9201.6</v>
      </c>
      <c r="X43" s="100">
        <v>13</v>
      </c>
      <c r="Y43" s="100">
        <v>13291.199999999999</v>
      </c>
      <c r="Z43" s="100">
        <v>15</v>
      </c>
      <c r="AA43" s="100">
        <v>15336</v>
      </c>
      <c r="AB43" s="100">
        <v>14</v>
      </c>
      <c r="AC43" s="100">
        <v>14313.6</v>
      </c>
      <c r="AD43" s="100">
        <v>17</v>
      </c>
      <c r="AE43" s="100">
        <v>17380.8</v>
      </c>
      <c r="AF43" s="100">
        <v>19</v>
      </c>
      <c r="AG43" s="100">
        <v>19425.599999999999</v>
      </c>
      <c r="AH43" s="100">
        <v>10</v>
      </c>
      <c r="AI43" s="100">
        <v>10224</v>
      </c>
      <c r="AJ43" s="100">
        <v>8.8301627844080404</v>
      </c>
      <c r="AK43" s="100">
        <v>9027.9584307787809</v>
      </c>
      <c r="AL43" s="100">
        <v>3.9593076749026086E-4</v>
      </c>
      <c r="AM43" s="100">
        <v>0.40479961668204267</v>
      </c>
      <c r="AN43" s="100">
        <v>5.289595608510355E-4</v>
      </c>
      <c r="AO43" s="100">
        <v>0.54080825501409868</v>
      </c>
      <c r="AP43" s="100">
        <v>5.8506133245644844E-4</v>
      </c>
      <c r="AQ43" s="100">
        <v>0.59816670630347291</v>
      </c>
      <c r="AR43" s="100">
        <v>16</v>
      </c>
      <c r="AS43" s="100">
        <v>16358.4</v>
      </c>
      <c r="AT43" s="100">
        <v>19</v>
      </c>
      <c r="AU43" s="100">
        <v>19425.599999999999</v>
      </c>
      <c r="AV43" s="100">
        <v>10</v>
      </c>
      <c r="AW43" s="100">
        <v>10224</v>
      </c>
      <c r="AX43" s="100">
        <v>16</v>
      </c>
      <c r="AY43" s="100">
        <v>16358.4</v>
      </c>
      <c r="AZ43" s="100">
        <v>10</v>
      </c>
      <c r="BA43" s="100">
        <v>10224</v>
      </c>
      <c r="BB43" s="100">
        <v>13</v>
      </c>
      <c r="BC43" s="100">
        <v>13291.199999999999</v>
      </c>
      <c r="BD43" s="100">
        <v>16</v>
      </c>
      <c r="BE43" s="100">
        <v>16358.4</v>
      </c>
      <c r="BF43" s="100">
        <v>12</v>
      </c>
      <c r="BG43" s="100">
        <v>12268.8</v>
      </c>
      <c r="BH43" s="100">
        <v>14</v>
      </c>
      <c r="BI43" s="100">
        <v>14313.6</v>
      </c>
      <c r="BJ43" s="100">
        <v>10</v>
      </c>
      <c r="BK43" s="100">
        <v>10224</v>
      </c>
      <c r="BL43" s="100">
        <v>16</v>
      </c>
      <c r="BM43" s="100">
        <v>16358.4</v>
      </c>
      <c r="BN43" s="100">
        <v>15</v>
      </c>
      <c r="BO43" s="100">
        <v>15336</v>
      </c>
      <c r="BP43" s="100">
        <v>17</v>
      </c>
      <c r="BQ43" s="100">
        <v>17380.8</v>
      </c>
      <c r="BR43" s="100">
        <v>11</v>
      </c>
      <c r="BS43" s="100">
        <v>11246.4</v>
      </c>
      <c r="BT43" s="100">
        <v>19</v>
      </c>
      <c r="BU43" s="100">
        <v>19425.599999999999</v>
      </c>
      <c r="BV43" s="100">
        <v>14</v>
      </c>
      <c r="BW43" s="100">
        <v>14313.6</v>
      </c>
      <c r="BX43" s="100">
        <v>11.183470539078186</v>
      </c>
      <c r="BY43" s="100">
        <v>11433.980279153537</v>
      </c>
      <c r="BZ43" s="100">
        <v>5.332929291995387</v>
      </c>
      <c r="CA43" s="100">
        <v>5452.3869081360835</v>
      </c>
      <c r="CB43" s="100">
        <v>9.3591525045556399</v>
      </c>
      <c r="CC43" s="100">
        <v>9568.7975206576866</v>
      </c>
      <c r="CD43" s="100">
        <v>12.209728516910817</v>
      </c>
      <c r="CE43" s="100">
        <v>12483.226435689619</v>
      </c>
      <c r="CF43" s="100">
        <v>14.054393449445449</v>
      </c>
      <c r="CG43" s="100">
        <v>14369.211862713028</v>
      </c>
      <c r="CH43" s="100">
        <v>13.371076601063049</v>
      </c>
      <c r="CI43" s="100">
        <v>13670.588716926861</v>
      </c>
      <c r="CJ43" s="100">
        <v>19.50311452136452</v>
      </c>
      <c r="CK43" s="100">
        <v>19939.984286643084</v>
      </c>
      <c r="CL43" s="100">
        <v>15.591400607083839</v>
      </c>
      <c r="CM43" s="100">
        <v>15940.647980682517</v>
      </c>
      <c r="CN43" s="100">
        <v>17.544642770265153</v>
      </c>
      <c r="CO43" s="100">
        <v>17937.642768319092</v>
      </c>
      <c r="CP43" s="100">
        <v>15.111954252612682</v>
      </c>
      <c r="CQ43" s="100">
        <v>15450.462027871206</v>
      </c>
      <c r="CR43" s="100">
        <v>12.40018314085847</v>
      </c>
      <c r="CS43" s="100">
        <v>12677.947243213699</v>
      </c>
      <c r="CT43" s="100">
        <v>11.221684983300726</v>
      </c>
      <c r="CU43" s="100">
        <v>11473.050726926662</v>
      </c>
    </row>
    <row r="44" spans="2:99">
      <c r="C44" s="99" t="s">
        <v>210</v>
      </c>
      <c r="D44" s="100">
        <v>14</v>
      </c>
      <c r="E44" s="100">
        <v>14313.6</v>
      </c>
      <c r="F44" s="100">
        <v>14</v>
      </c>
      <c r="G44" s="100">
        <v>14313.6</v>
      </c>
      <c r="H44" s="100">
        <v>16</v>
      </c>
      <c r="I44" s="100">
        <v>16358.4</v>
      </c>
      <c r="J44" s="100">
        <v>13.065817786521412</v>
      </c>
      <c r="K44" s="100">
        <v>13358.492104939492</v>
      </c>
      <c r="L44" s="100">
        <v>15.990901101203537</v>
      </c>
      <c r="M44" s="100">
        <v>16349.097285870495</v>
      </c>
      <c r="N44" s="100">
        <v>12.966509297624604</v>
      </c>
      <c r="O44" s="100">
        <v>13256.959105891396</v>
      </c>
      <c r="P44" s="100">
        <v>10.770127454006948</v>
      </c>
      <c r="Q44" s="100">
        <v>11011.378308976704</v>
      </c>
      <c r="R44" s="100">
        <v>13.010721345147875</v>
      </c>
      <c r="S44" s="100">
        <v>13302.161503279187</v>
      </c>
      <c r="T44" s="100">
        <v>11</v>
      </c>
      <c r="U44" s="100">
        <v>11246.4</v>
      </c>
      <c r="V44" s="100">
        <v>9</v>
      </c>
      <c r="W44" s="100">
        <v>9201.6</v>
      </c>
      <c r="X44" s="100">
        <v>11</v>
      </c>
      <c r="Y44" s="100">
        <v>11246.4</v>
      </c>
      <c r="Z44" s="100">
        <v>15</v>
      </c>
      <c r="AA44" s="100">
        <v>15336</v>
      </c>
      <c r="AB44" s="100">
        <v>13</v>
      </c>
      <c r="AC44" s="100">
        <v>13291.199999999999</v>
      </c>
      <c r="AD44" s="100">
        <v>17</v>
      </c>
      <c r="AE44" s="100">
        <v>17380.8</v>
      </c>
      <c r="AF44" s="100">
        <v>17</v>
      </c>
      <c r="AG44" s="100">
        <v>17380.8</v>
      </c>
      <c r="AH44" s="100">
        <v>11</v>
      </c>
      <c r="AI44" s="100">
        <v>11246.4</v>
      </c>
      <c r="AJ44" s="100">
        <v>8.3886546451876374</v>
      </c>
      <c r="AK44" s="100">
        <v>8576.56050923984</v>
      </c>
      <c r="AL44" s="100">
        <v>3.9593076749026086E-4</v>
      </c>
      <c r="AM44" s="100">
        <v>0.40479961668204267</v>
      </c>
      <c r="AN44" s="100">
        <v>5.5834620312053757E-4</v>
      </c>
      <c r="AO44" s="100">
        <v>0.57085315807043757</v>
      </c>
      <c r="AP44" s="100">
        <v>5.2005451773906532E-4</v>
      </c>
      <c r="AQ44" s="100">
        <v>0.53170373893642042</v>
      </c>
      <c r="AR44" s="100">
        <v>15</v>
      </c>
      <c r="AS44" s="100">
        <v>15336</v>
      </c>
      <c r="AT44" s="100">
        <v>17</v>
      </c>
      <c r="AU44" s="100">
        <v>17380.8</v>
      </c>
      <c r="AV44" s="100">
        <v>10</v>
      </c>
      <c r="AW44" s="100">
        <v>10224</v>
      </c>
      <c r="AX44" s="100">
        <v>15</v>
      </c>
      <c r="AY44" s="100">
        <v>15336</v>
      </c>
      <c r="AZ44" s="100">
        <v>10</v>
      </c>
      <c r="BA44" s="100">
        <v>10224</v>
      </c>
      <c r="BB44" s="100">
        <v>14</v>
      </c>
      <c r="BC44" s="100">
        <v>14313.6</v>
      </c>
      <c r="BD44" s="100">
        <v>16</v>
      </c>
      <c r="BE44" s="100">
        <v>16358.4</v>
      </c>
      <c r="BF44" s="100">
        <v>12</v>
      </c>
      <c r="BG44" s="100">
        <v>12268.8</v>
      </c>
      <c r="BH44" s="100">
        <v>14</v>
      </c>
      <c r="BI44" s="100">
        <v>14313.6</v>
      </c>
      <c r="BJ44" s="100">
        <v>10</v>
      </c>
      <c r="BK44" s="100">
        <v>10224</v>
      </c>
      <c r="BL44" s="100">
        <v>17</v>
      </c>
      <c r="BM44" s="100">
        <v>17380.8</v>
      </c>
      <c r="BN44" s="100">
        <v>15</v>
      </c>
      <c r="BO44" s="100">
        <v>15336</v>
      </c>
      <c r="BP44" s="100">
        <v>19</v>
      </c>
      <c r="BQ44" s="100">
        <v>19425.599999999999</v>
      </c>
      <c r="BR44" s="100">
        <v>13</v>
      </c>
      <c r="BS44" s="100">
        <v>13291.199999999999</v>
      </c>
      <c r="BT44" s="100">
        <v>18</v>
      </c>
      <c r="BU44" s="100">
        <v>18403.2</v>
      </c>
      <c r="BV44" s="100">
        <v>16</v>
      </c>
      <c r="BW44" s="100">
        <v>16358.4</v>
      </c>
      <c r="BX44" s="100">
        <v>10.525619330897117</v>
      </c>
      <c r="BY44" s="100">
        <v>10761.393203909212</v>
      </c>
      <c r="BZ44" s="100">
        <v>5.7138528128521999</v>
      </c>
      <c r="CA44" s="100">
        <v>5841.8431158600888</v>
      </c>
      <c r="CB44" s="100">
        <v>7.919282888470156</v>
      </c>
      <c r="CC44" s="100">
        <v>8096.6748251718873</v>
      </c>
      <c r="CD44" s="100">
        <v>11.337605051417187</v>
      </c>
      <c r="CE44" s="100">
        <v>11591.567404568932</v>
      </c>
      <c r="CF44" s="100">
        <v>15.707851502321386</v>
      </c>
      <c r="CG44" s="100">
        <v>16059.707375973385</v>
      </c>
      <c r="CH44" s="100">
        <v>12.47967149432551</v>
      </c>
      <c r="CI44" s="100">
        <v>12759.216135798401</v>
      </c>
      <c r="CJ44" s="100">
        <v>19.50311452136452</v>
      </c>
      <c r="CK44" s="100">
        <v>19939.984286643084</v>
      </c>
      <c r="CL44" s="100">
        <v>14.674259394902439</v>
      </c>
      <c r="CM44" s="100">
        <v>15002.962805348254</v>
      </c>
      <c r="CN44" s="100">
        <v>15.790178493238638</v>
      </c>
      <c r="CO44" s="100">
        <v>16143.878491487183</v>
      </c>
      <c r="CP44" s="100">
        <v>13.521222226021873</v>
      </c>
      <c r="CQ44" s="100">
        <v>13824.097603884762</v>
      </c>
      <c r="CR44" s="100">
        <v>11.446322899253973</v>
      </c>
      <c r="CS44" s="100">
        <v>11702.720532197261</v>
      </c>
      <c r="CT44" s="100">
        <v>11.221684983300726</v>
      </c>
      <c r="CU44" s="100">
        <v>11473.050726926662</v>
      </c>
    </row>
    <row r="45" spans="2:99">
      <c r="C45" s="99" t="s">
        <v>211</v>
      </c>
      <c r="D45" s="100">
        <v>11</v>
      </c>
      <c r="E45" s="100">
        <v>13741.2</v>
      </c>
      <c r="F45" s="100">
        <v>14</v>
      </c>
      <c r="G45" s="100">
        <v>17488.8</v>
      </c>
      <c r="H45" s="100">
        <v>18</v>
      </c>
      <c r="I45" s="100">
        <v>22485.600000000002</v>
      </c>
      <c r="J45" s="100">
        <v>12.132545087484168</v>
      </c>
      <c r="K45" s="100">
        <v>15155.975323285224</v>
      </c>
      <c r="L45" s="100">
        <v>15.990901101203537</v>
      </c>
      <c r="M45" s="100">
        <v>19975.833655623461</v>
      </c>
      <c r="N45" s="100">
        <v>12.966509297624604</v>
      </c>
      <c r="O45" s="100">
        <v>16197.763414592657</v>
      </c>
      <c r="P45" s="100">
        <v>10.770127454006948</v>
      </c>
      <c r="Q45" s="100">
        <v>13454.04321554548</v>
      </c>
      <c r="R45" s="100">
        <v>11.152046867269606</v>
      </c>
      <c r="S45" s="100">
        <v>13931.136946593193</v>
      </c>
      <c r="T45" s="100">
        <v>11</v>
      </c>
      <c r="U45" s="100">
        <v>13741.2</v>
      </c>
      <c r="V45" s="100">
        <v>8</v>
      </c>
      <c r="W45" s="100">
        <v>9993.6</v>
      </c>
      <c r="X45" s="100">
        <v>11</v>
      </c>
      <c r="Y45" s="100">
        <v>13741.2</v>
      </c>
      <c r="Z45" s="100">
        <v>15</v>
      </c>
      <c r="AA45" s="100">
        <v>18738</v>
      </c>
      <c r="AB45" s="100">
        <v>15</v>
      </c>
      <c r="AC45" s="100">
        <v>18738</v>
      </c>
      <c r="AD45" s="100">
        <v>17</v>
      </c>
      <c r="AE45" s="100">
        <v>21236.400000000001</v>
      </c>
      <c r="AF45" s="100">
        <v>19</v>
      </c>
      <c r="AG45" s="100">
        <v>23734.799999999999</v>
      </c>
      <c r="AH45" s="100">
        <v>11</v>
      </c>
      <c r="AI45" s="100">
        <v>13741.2</v>
      </c>
      <c r="AJ45" s="100">
        <v>7.505638366746834</v>
      </c>
      <c r="AK45" s="100">
        <v>9376.043447740145</v>
      </c>
      <c r="AL45" s="100">
        <v>3.5993706135478264E-4</v>
      </c>
      <c r="AM45" s="100">
        <v>0.44963337704439449</v>
      </c>
      <c r="AN45" s="100">
        <v>4.9957291858153364E-4</v>
      </c>
      <c r="AO45" s="100">
        <v>0.62406648989205182</v>
      </c>
      <c r="AP45" s="100">
        <v>5.2005451773906532E-4</v>
      </c>
      <c r="AQ45" s="100">
        <v>0.64965210355964043</v>
      </c>
      <c r="AR45" s="100">
        <v>14</v>
      </c>
      <c r="AS45" s="100">
        <v>17488.8</v>
      </c>
      <c r="AT45" s="100">
        <v>18</v>
      </c>
      <c r="AU45" s="100">
        <v>22485.600000000002</v>
      </c>
      <c r="AV45" s="100">
        <v>10</v>
      </c>
      <c r="AW45" s="100">
        <v>12492</v>
      </c>
      <c r="AX45" s="100">
        <v>14</v>
      </c>
      <c r="AY45" s="100">
        <v>17488.8</v>
      </c>
      <c r="AZ45" s="100">
        <v>10</v>
      </c>
      <c r="BA45" s="100">
        <v>12492</v>
      </c>
      <c r="BB45" s="100">
        <v>14</v>
      </c>
      <c r="BC45" s="100">
        <v>17488.8</v>
      </c>
      <c r="BD45" s="100">
        <v>15</v>
      </c>
      <c r="BE45" s="100">
        <v>18738</v>
      </c>
      <c r="BF45" s="100">
        <v>13</v>
      </c>
      <c r="BG45" s="100">
        <v>16239.6</v>
      </c>
      <c r="BH45" s="100">
        <v>13</v>
      </c>
      <c r="BI45" s="100">
        <v>16239.6</v>
      </c>
      <c r="BJ45" s="100">
        <v>10</v>
      </c>
      <c r="BK45" s="100">
        <v>12492</v>
      </c>
      <c r="BL45" s="100">
        <v>16</v>
      </c>
      <c r="BM45" s="100">
        <v>19987.2</v>
      </c>
      <c r="BN45" s="100">
        <v>14</v>
      </c>
      <c r="BO45" s="100">
        <v>17488.8</v>
      </c>
      <c r="BP45" s="100">
        <v>17</v>
      </c>
      <c r="BQ45" s="100">
        <v>21236.400000000001</v>
      </c>
      <c r="BR45" s="100">
        <v>12</v>
      </c>
      <c r="BS45" s="100">
        <v>14990.400000000001</v>
      </c>
      <c r="BT45" s="100">
        <v>17</v>
      </c>
      <c r="BU45" s="100">
        <v>21236.400000000001</v>
      </c>
      <c r="BV45" s="100">
        <v>15</v>
      </c>
      <c r="BW45" s="100">
        <v>18738</v>
      </c>
      <c r="BX45" s="100">
        <v>11.183470539078186</v>
      </c>
      <c r="BY45" s="100">
        <v>13970.391397416472</v>
      </c>
      <c r="BZ45" s="100">
        <v>6.0947763337090137</v>
      </c>
      <c r="CA45" s="100">
        <v>7613.5945960693007</v>
      </c>
      <c r="CB45" s="100">
        <v>8.6392176965128975</v>
      </c>
      <c r="CC45" s="100">
        <v>10792.110746483911</v>
      </c>
      <c r="CD45" s="100">
        <v>12.209728516910817</v>
      </c>
      <c r="CE45" s="100">
        <v>15252.392863324993</v>
      </c>
      <c r="CF45" s="100">
        <v>15.707851502321386</v>
      </c>
      <c r="CG45" s="100">
        <v>19622.248096699877</v>
      </c>
      <c r="CH45" s="100">
        <v>13.371076601063049</v>
      </c>
      <c r="CI45" s="100">
        <v>16703.14889004796</v>
      </c>
      <c r="CJ45" s="100">
        <v>19.50311452136452</v>
      </c>
      <c r="CK45" s="100">
        <v>24363.290660088558</v>
      </c>
      <c r="CL45" s="100">
        <v>17.425683031446646</v>
      </c>
      <c r="CM45" s="100">
        <v>21768.163242883151</v>
      </c>
      <c r="CN45" s="100">
        <v>17.544642770265153</v>
      </c>
      <c r="CO45" s="100">
        <v>21916.767748615228</v>
      </c>
      <c r="CP45" s="100">
        <v>15.111954252612682</v>
      </c>
      <c r="CQ45" s="100">
        <v>18877.853252363762</v>
      </c>
      <c r="CR45" s="100">
        <v>11.446322899253973</v>
      </c>
      <c r="CS45" s="100">
        <v>14298.746565748064</v>
      </c>
      <c r="CT45" s="100">
        <v>12.156825398575787</v>
      </c>
      <c r="CU45" s="100">
        <v>15186.306287900874</v>
      </c>
    </row>
    <row r="46" spans="2:99">
      <c r="C46" s="99" t="s">
        <v>212</v>
      </c>
      <c r="D46" s="100">
        <v>13</v>
      </c>
      <c r="E46" s="100">
        <v>15756</v>
      </c>
      <c r="F46" s="100">
        <v>13</v>
      </c>
      <c r="G46" s="100">
        <v>15756</v>
      </c>
      <c r="H46" s="100">
        <v>16</v>
      </c>
      <c r="I46" s="100">
        <v>19392</v>
      </c>
      <c r="J46" s="100">
        <v>13.065817786521412</v>
      </c>
      <c r="K46" s="100">
        <v>15835.771157263953</v>
      </c>
      <c r="L46" s="100">
        <v>15.102517706692229</v>
      </c>
      <c r="M46" s="100">
        <v>18304.251460510983</v>
      </c>
      <c r="N46" s="100">
        <v>12.966509297624604</v>
      </c>
      <c r="O46" s="100">
        <v>15715.409268721021</v>
      </c>
      <c r="P46" s="100">
        <v>10.770127454006948</v>
      </c>
      <c r="Q46" s="100">
        <v>13053.394474256422</v>
      </c>
      <c r="R46" s="100">
        <v>13.010721345147875</v>
      </c>
      <c r="S46" s="100">
        <v>15768.994270319225</v>
      </c>
      <c r="T46" s="100">
        <v>12</v>
      </c>
      <c r="U46" s="100">
        <v>14544</v>
      </c>
      <c r="V46" s="100">
        <v>9</v>
      </c>
      <c r="W46" s="100">
        <v>10908</v>
      </c>
      <c r="X46" s="100">
        <v>11</v>
      </c>
      <c r="Y46" s="100">
        <v>13332</v>
      </c>
      <c r="Z46" s="100">
        <v>15</v>
      </c>
      <c r="AA46" s="100">
        <v>18180</v>
      </c>
      <c r="AB46" s="100">
        <v>13</v>
      </c>
      <c r="AC46" s="100">
        <v>15756</v>
      </c>
      <c r="AD46" s="100">
        <v>17</v>
      </c>
      <c r="AE46" s="100">
        <v>20604</v>
      </c>
      <c r="AF46" s="100">
        <v>16</v>
      </c>
      <c r="AG46" s="100">
        <v>19392</v>
      </c>
      <c r="AH46" s="100">
        <v>11</v>
      </c>
      <c r="AI46" s="100">
        <v>13332</v>
      </c>
      <c r="AJ46" s="100">
        <v>7.0641302275264319</v>
      </c>
      <c r="AK46" s="100">
        <v>8561.7258357620358</v>
      </c>
      <c r="AL46" s="100">
        <v>3.5993706135478264E-4</v>
      </c>
      <c r="AM46" s="100">
        <v>0.43624371836199655</v>
      </c>
      <c r="AN46" s="100">
        <v>4.7018627631203162E-4</v>
      </c>
      <c r="AO46" s="100">
        <v>0.56986576689018231</v>
      </c>
      <c r="AP46" s="100">
        <v>5.8506133245644844E-4</v>
      </c>
      <c r="AQ46" s="100">
        <v>0.70909433493721552</v>
      </c>
      <c r="AR46" s="100">
        <v>14</v>
      </c>
      <c r="AS46" s="100">
        <v>16968</v>
      </c>
      <c r="AT46" s="100">
        <v>17</v>
      </c>
      <c r="AU46" s="100">
        <v>20604</v>
      </c>
      <c r="AV46" s="100">
        <v>9</v>
      </c>
      <c r="AW46" s="100">
        <v>10908</v>
      </c>
      <c r="AX46" s="100">
        <v>16</v>
      </c>
      <c r="AY46" s="100">
        <v>19392</v>
      </c>
      <c r="AZ46" s="100">
        <v>10</v>
      </c>
      <c r="BA46" s="100">
        <v>12120</v>
      </c>
      <c r="BB46" s="100">
        <v>14</v>
      </c>
      <c r="BC46" s="100">
        <v>16968</v>
      </c>
      <c r="BD46" s="100">
        <v>13</v>
      </c>
      <c r="BE46" s="100">
        <v>15756</v>
      </c>
      <c r="BF46" s="100">
        <v>11</v>
      </c>
      <c r="BG46" s="100">
        <v>13332</v>
      </c>
      <c r="BH46" s="100">
        <v>15</v>
      </c>
      <c r="BI46" s="100">
        <v>18180</v>
      </c>
      <c r="BJ46" s="100">
        <v>10</v>
      </c>
      <c r="BK46" s="100">
        <v>12120</v>
      </c>
      <c r="BL46" s="100">
        <v>18</v>
      </c>
      <c r="BM46" s="100">
        <v>21816</v>
      </c>
      <c r="BN46" s="100">
        <v>16</v>
      </c>
      <c r="BO46" s="100">
        <v>19392</v>
      </c>
      <c r="BP46" s="100">
        <v>17</v>
      </c>
      <c r="BQ46" s="100">
        <v>20604</v>
      </c>
      <c r="BR46" s="100">
        <v>11</v>
      </c>
      <c r="BS46" s="100">
        <v>13332</v>
      </c>
      <c r="BT46" s="100">
        <v>16</v>
      </c>
      <c r="BU46" s="100">
        <v>19392</v>
      </c>
      <c r="BV46" s="100">
        <v>13</v>
      </c>
      <c r="BW46" s="100">
        <v>15756</v>
      </c>
      <c r="BX46" s="100">
        <v>12.499172955440326</v>
      </c>
      <c r="BY46" s="100">
        <v>15148.997621993674</v>
      </c>
      <c r="BZ46" s="100">
        <v>6.0947763337090137</v>
      </c>
      <c r="CA46" s="100">
        <v>7386.8689164553243</v>
      </c>
      <c r="CB46" s="100">
        <v>7.919282888470156</v>
      </c>
      <c r="CC46" s="100">
        <v>9598.1708608258286</v>
      </c>
      <c r="CD46" s="100">
        <v>11.337605051417187</v>
      </c>
      <c r="CE46" s="100">
        <v>13741.17732231763</v>
      </c>
      <c r="CF46" s="100">
        <v>14.054393449445449</v>
      </c>
      <c r="CG46" s="100">
        <v>17033.924860727886</v>
      </c>
      <c r="CH46" s="100">
        <v>14.262481707800584</v>
      </c>
      <c r="CI46" s="100">
        <v>17286.127829854307</v>
      </c>
      <c r="CJ46" s="100">
        <v>19.50311452136452</v>
      </c>
      <c r="CK46" s="100">
        <v>23637.774799893799</v>
      </c>
      <c r="CL46" s="100">
        <v>17.425683031446646</v>
      </c>
      <c r="CM46" s="100">
        <v>21119.927834113336</v>
      </c>
      <c r="CN46" s="100">
        <v>17.544642770265153</v>
      </c>
      <c r="CO46" s="100">
        <v>21264.107037561364</v>
      </c>
      <c r="CP46" s="100">
        <v>15.111954252612682</v>
      </c>
      <c r="CQ46" s="100">
        <v>18315.688554166569</v>
      </c>
      <c r="CR46" s="100">
        <v>10.492462657649474</v>
      </c>
      <c r="CS46" s="100">
        <v>12716.864741071162</v>
      </c>
      <c r="CT46" s="100">
        <v>12.156825398575787</v>
      </c>
      <c r="CU46" s="100">
        <v>14734.072383073853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13</v>
      </c>
      <c r="G47" s="100">
        <v>19858.8</v>
      </c>
      <c r="H47" s="100">
        <v>17</v>
      </c>
      <c r="I47" s="100">
        <v>25969.199999999997</v>
      </c>
      <c r="J47" s="100">
        <v>11.199272388446923</v>
      </c>
      <c r="K47" s="100">
        <v>17108.008500591517</v>
      </c>
      <c r="L47" s="100">
        <v>15.990901101203537</v>
      </c>
      <c r="M47" s="100">
        <v>24427.700522198524</v>
      </c>
      <c r="N47" s="100">
        <v>11.969085505499635</v>
      </c>
      <c r="O47" s="100">
        <v>18283.975018201239</v>
      </c>
      <c r="P47" s="100">
        <v>9.8726168328397019</v>
      </c>
      <c r="Q47" s="100">
        <v>15081.409473845928</v>
      </c>
      <c r="R47" s="100">
        <v>12.081384106208739</v>
      </c>
      <c r="S47" s="100">
        <v>18455.522360644471</v>
      </c>
      <c r="T47" s="100">
        <v>12</v>
      </c>
      <c r="U47" s="100">
        <v>18331.199999999997</v>
      </c>
      <c r="V47" s="100">
        <v>8</v>
      </c>
      <c r="W47" s="100">
        <v>12220.8</v>
      </c>
      <c r="X47" s="100">
        <v>12</v>
      </c>
      <c r="Y47" s="100">
        <v>18331.199999999997</v>
      </c>
      <c r="Z47" s="100">
        <v>14</v>
      </c>
      <c r="AA47" s="100">
        <v>21386.399999999998</v>
      </c>
      <c r="AB47" s="100">
        <v>12</v>
      </c>
      <c r="AC47" s="100">
        <v>18331.199999999997</v>
      </c>
      <c r="AD47" s="100">
        <v>15</v>
      </c>
      <c r="AE47" s="100">
        <v>22914</v>
      </c>
      <c r="AF47" s="100">
        <v>16</v>
      </c>
      <c r="AG47" s="100">
        <v>24441.599999999999</v>
      </c>
      <c r="AH47" s="100">
        <v>9</v>
      </c>
      <c r="AI47" s="100">
        <v>13748.4</v>
      </c>
      <c r="AJ47" s="100">
        <v>8.3886546451876374</v>
      </c>
      <c r="AK47" s="100">
        <v>12814.508835988634</v>
      </c>
      <c r="AL47" s="100">
        <v>3.5993706135478264E-4</v>
      </c>
      <c r="AM47" s="100">
        <v>0.54983985492556597</v>
      </c>
      <c r="AN47" s="100">
        <v>4.9957291858153364E-4</v>
      </c>
      <c r="AO47" s="100">
        <v>0.76314759042515079</v>
      </c>
      <c r="AP47" s="100">
        <v>5.5255792509775682E-4</v>
      </c>
      <c r="AQ47" s="100">
        <v>0.84408748637933328</v>
      </c>
      <c r="AR47" s="100">
        <v>15</v>
      </c>
      <c r="AS47" s="100">
        <v>22914</v>
      </c>
      <c r="AT47" s="100">
        <v>17</v>
      </c>
      <c r="AU47" s="100">
        <v>25969.199999999997</v>
      </c>
      <c r="AV47" s="100">
        <v>10</v>
      </c>
      <c r="AW47" s="100">
        <v>15276</v>
      </c>
      <c r="AX47" s="100">
        <v>15</v>
      </c>
      <c r="AY47" s="100">
        <v>22914</v>
      </c>
      <c r="AZ47" s="100">
        <v>10</v>
      </c>
      <c r="BA47" s="100">
        <v>15276</v>
      </c>
      <c r="BB47" s="100">
        <v>13</v>
      </c>
      <c r="BC47" s="100">
        <v>19858.8</v>
      </c>
      <c r="BD47" s="100">
        <v>14</v>
      </c>
      <c r="BE47" s="100">
        <v>21386.399999999998</v>
      </c>
      <c r="BF47" s="100">
        <v>12</v>
      </c>
      <c r="BG47" s="100">
        <v>18331.199999999997</v>
      </c>
      <c r="BH47" s="100">
        <v>13</v>
      </c>
      <c r="BI47" s="100">
        <v>19858.8</v>
      </c>
      <c r="BJ47" s="100">
        <v>8</v>
      </c>
      <c r="BK47" s="100">
        <v>12220.8</v>
      </c>
      <c r="BL47" s="100">
        <v>16</v>
      </c>
      <c r="BM47" s="100">
        <v>24441.599999999999</v>
      </c>
      <c r="BN47" s="100">
        <v>16</v>
      </c>
      <c r="BO47" s="100">
        <v>24441.599999999999</v>
      </c>
      <c r="BP47" s="100">
        <v>17</v>
      </c>
      <c r="BQ47" s="100">
        <v>25969.199999999997</v>
      </c>
      <c r="BR47" s="100">
        <v>11</v>
      </c>
      <c r="BS47" s="100">
        <v>16803.599999999999</v>
      </c>
      <c r="BT47" s="100">
        <v>17</v>
      </c>
      <c r="BU47" s="100">
        <v>25969.199999999997</v>
      </c>
      <c r="BV47" s="100">
        <v>14</v>
      </c>
      <c r="BW47" s="100">
        <v>21386.399999999998</v>
      </c>
      <c r="BX47" s="100">
        <v>11.841321747259256</v>
      </c>
      <c r="BY47" s="100">
        <v>18088.803101113237</v>
      </c>
      <c r="BZ47" s="100">
        <v>5.332929291995387</v>
      </c>
      <c r="CA47" s="100">
        <v>8146.5827864521525</v>
      </c>
      <c r="CB47" s="100">
        <v>8.6392176965128975</v>
      </c>
      <c r="CC47" s="100">
        <v>13197.268953193101</v>
      </c>
      <c r="CD47" s="100">
        <v>13.081851982404446</v>
      </c>
      <c r="CE47" s="100">
        <v>19983.83708832103</v>
      </c>
      <c r="CF47" s="100">
        <v>14.881122475883418</v>
      </c>
      <c r="CG47" s="100">
        <v>22732.402694159508</v>
      </c>
      <c r="CH47" s="100">
        <v>12.47967149432551</v>
      </c>
      <c r="CI47" s="100">
        <v>19063.946174731649</v>
      </c>
      <c r="CJ47" s="100">
        <v>18.527958795296293</v>
      </c>
      <c r="CK47" s="100">
        <v>28303.309855694613</v>
      </c>
      <c r="CL47" s="100">
        <v>16.508541819265243</v>
      </c>
      <c r="CM47" s="100">
        <v>25218.448483109583</v>
      </c>
      <c r="CN47" s="100">
        <v>16.667410631751896</v>
      </c>
      <c r="CO47" s="100">
        <v>25461.136481064194</v>
      </c>
      <c r="CP47" s="100">
        <v>14.316588239317278</v>
      </c>
      <c r="CQ47" s="100">
        <v>21870.020194381072</v>
      </c>
      <c r="CR47" s="100">
        <v>12.40018314085847</v>
      </c>
      <c r="CS47" s="100">
        <v>18942.519765975398</v>
      </c>
      <c r="CT47" s="100">
        <v>11.221684983300726</v>
      </c>
      <c r="CU47" s="100">
        <v>17142.245980490188</v>
      </c>
    </row>
    <row r="48" spans="2:99">
      <c r="C48" s="99" t="s">
        <v>214</v>
      </c>
      <c r="D48" s="100">
        <v>14</v>
      </c>
      <c r="E48" s="100">
        <v>12146.4</v>
      </c>
      <c r="F48" s="100">
        <v>16</v>
      </c>
      <c r="G48" s="100">
        <v>13881.6</v>
      </c>
      <c r="H48" s="100">
        <v>17</v>
      </c>
      <c r="I48" s="100">
        <v>14749.2</v>
      </c>
      <c r="J48" s="100">
        <v>13.065817786521412</v>
      </c>
      <c r="K48" s="100">
        <v>11335.903511585977</v>
      </c>
      <c r="L48" s="100">
        <v>15.990901101203537</v>
      </c>
      <c r="M48" s="100">
        <v>13873.705795404188</v>
      </c>
      <c r="N48" s="100">
        <v>14.961356881874543</v>
      </c>
      <c r="O48" s="100">
        <v>12980.473230714355</v>
      </c>
      <c r="P48" s="100">
        <v>10.770127454006948</v>
      </c>
      <c r="Q48" s="100">
        <v>9344.1625790964281</v>
      </c>
      <c r="R48" s="100">
        <v>12.081384106208739</v>
      </c>
      <c r="S48" s="100">
        <v>10481.808850546702</v>
      </c>
      <c r="T48" s="100">
        <v>12</v>
      </c>
      <c r="U48" s="100">
        <v>10411.200000000001</v>
      </c>
      <c r="V48" s="100">
        <v>9</v>
      </c>
      <c r="W48" s="100">
        <v>7808.4000000000005</v>
      </c>
      <c r="X48" s="100">
        <v>12</v>
      </c>
      <c r="Y48" s="100">
        <v>10411.200000000001</v>
      </c>
      <c r="Z48" s="100">
        <v>17</v>
      </c>
      <c r="AA48" s="100">
        <v>14749.2</v>
      </c>
      <c r="AB48" s="100">
        <v>15</v>
      </c>
      <c r="AC48" s="100">
        <v>13014</v>
      </c>
      <c r="AD48" s="100">
        <v>16</v>
      </c>
      <c r="AE48" s="100">
        <v>13881.6</v>
      </c>
      <c r="AF48" s="100">
        <v>19</v>
      </c>
      <c r="AG48" s="100">
        <v>16484.400000000001</v>
      </c>
      <c r="AH48" s="100">
        <v>11</v>
      </c>
      <c r="AI48" s="100">
        <v>9543.6</v>
      </c>
      <c r="AJ48" s="100">
        <v>7.9471465059672362</v>
      </c>
      <c r="AK48" s="100">
        <v>6894.9443085771745</v>
      </c>
      <c r="AL48" s="100">
        <v>3.9593076749026086E-4</v>
      </c>
      <c r="AM48" s="100">
        <v>0.34350953387455035</v>
      </c>
      <c r="AN48" s="100">
        <v>5.5834620312053757E-4</v>
      </c>
      <c r="AO48" s="100">
        <v>0.48442116582737843</v>
      </c>
      <c r="AP48" s="100">
        <v>6.5006814717383167E-4</v>
      </c>
      <c r="AQ48" s="100">
        <v>0.56399912448801637</v>
      </c>
      <c r="AR48" s="100">
        <v>16</v>
      </c>
      <c r="AS48" s="100">
        <v>13881.6</v>
      </c>
      <c r="AT48" s="100">
        <v>19</v>
      </c>
      <c r="AU48" s="100">
        <v>16484.400000000001</v>
      </c>
      <c r="AV48" s="100">
        <v>11</v>
      </c>
      <c r="AW48" s="100">
        <v>9543.6</v>
      </c>
      <c r="AX48" s="100">
        <v>17</v>
      </c>
      <c r="AY48" s="100">
        <v>14749.2</v>
      </c>
      <c r="AZ48" s="100">
        <v>11</v>
      </c>
      <c r="BA48" s="100">
        <v>9543.6</v>
      </c>
      <c r="BB48" s="100">
        <v>13</v>
      </c>
      <c r="BC48" s="100">
        <v>11278.800000000001</v>
      </c>
      <c r="BD48" s="100">
        <v>17</v>
      </c>
      <c r="BE48" s="100">
        <v>14749.2</v>
      </c>
      <c r="BF48" s="100">
        <v>12</v>
      </c>
      <c r="BG48" s="100">
        <v>10411.200000000001</v>
      </c>
      <c r="BH48" s="100">
        <v>16</v>
      </c>
      <c r="BI48" s="100">
        <v>13881.6</v>
      </c>
      <c r="BJ48" s="100">
        <v>10</v>
      </c>
      <c r="BK48" s="100">
        <v>8676</v>
      </c>
      <c r="BL48" s="100">
        <v>17</v>
      </c>
      <c r="BM48" s="100">
        <v>14749.2</v>
      </c>
      <c r="BN48" s="100">
        <v>15</v>
      </c>
      <c r="BO48" s="100">
        <v>13014</v>
      </c>
      <c r="BP48" s="100">
        <v>20</v>
      </c>
      <c r="BQ48" s="100">
        <v>17352</v>
      </c>
      <c r="BR48" s="100">
        <v>12</v>
      </c>
      <c r="BS48" s="100">
        <v>10411.200000000001</v>
      </c>
      <c r="BT48" s="100">
        <v>16</v>
      </c>
      <c r="BU48" s="100">
        <v>13881.6</v>
      </c>
      <c r="BV48" s="100">
        <v>14</v>
      </c>
      <c r="BW48" s="100">
        <v>12146.4</v>
      </c>
      <c r="BX48" s="100">
        <v>11.183470539078186</v>
      </c>
      <c r="BY48" s="100">
        <v>9702.7790397042354</v>
      </c>
      <c r="BZ48" s="100">
        <v>5.7138528128521999</v>
      </c>
      <c r="CA48" s="100">
        <v>4957.3387004305687</v>
      </c>
      <c r="CB48" s="100">
        <v>7.919282888470156</v>
      </c>
      <c r="CC48" s="100">
        <v>6870.7698340367078</v>
      </c>
      <c r="CD48" s="100">
        <v>13.953975447898076</v>
      </c>
      <c r="CE48" s="100">
        <v>12106.469098596372</v>
      </c>
      <c r="CF48" s="100">
        <v>15.707851502321386</v>
      </c>
      <c r="CG48" s="100">
        <v>13628.131963414035</v>
      </c>
      <c r="CH48" s="100">
        <v>14.262481707800584</v>
      </c>
      <c r="CI48" s="100">
        <v>12374.129129687786</v>
      </c>
      <c r="CJ48" s="100">
        <v>19.50311452136452</v>
      </c>
      <c r="CK48" s="100">
        <v>16920.902158735858</v>
      </c>
      <c r="CL48" s="100">
        <v>18.342824243628048</v>
      </c>
      <c r="CM48" s="100">
        <v>15914.234313771694</v>
      </c>
      <c r="CN48" s="100">
        <v>18.421874908778413</v>
      </c>
      <c r="CO48" s="100">
        <v>15982.818670856152</v>
      </c>
      <c r="CP48" s="100">
        <v>15.907320265908087</v>
      </c>
      <c r="CQ48" s="100">
        <v>13801.191062701857</v>
      </c>
      <c r="CR48" s="100">
        <v>11.446322899253973</v>
      </c>
      <c r="CS48" s="100">
        <v>9930.8297473927469</v>
      </c>
      <c r="CT48" s="100">
        <v>12.156825398575787</v>
      </c>
      <c r="CU48" s="100">
        <v>10547.261715804352</v>
      </c>
    </row>
    <row r="49" spans="2:99">
      <c r="B49" s="99" t="s">
        <v>129</v>
      </c>
      <c r="C49" s="99" t="s">
        <v>215</v>
      </c>
      <c r="D49" s="100">
        <v>14</v>
      </c>
      <c r="E49" s="100">
        <v>13792.8</v>
      </c>
      <c r="F49" s="100">
        <v>13</v>
      </c>
      <c r="G49" s="100">
        <v>12807.599999999999</v>
      </c>
      <c r="H49" s="100">
        <v>11</v>
      </c>
      <c r="I49" s="100">
        <v>10837.199999999999</v>
      </c>
      <c r="J49" s="100">
        <v>16</v>
      </c>
      <c r="K49" s="100">
        <v>15763.199999999999</v>
      </c>
      <c r="L49" s="100">
        <v>15</v>
      </c>
      <c r="M49" s="100">
        <v>14777.999999999998</v>
      </c>
      <c r="N49" s="100">
        <v>17</v>
      </c>
      <c r="O49" s="100">
        <v>16748.399999999998</v>
      </c>
      <c r="P49" s="100">
        <v>10</v>
      </c>
      <c r="Q49" s="100">
        <v>9852</v>
      </c>
      <c r="R49" s="100">
        <v>10</v>
      </c>
      <c r="S49" s="100">
        <v>9852</v>
      </c>
      <c r="T49" s="100">
        <v>13</v>
      </c>
      <c r="U49" s="100">
        <v>12807.599999999999</v>
      </c>
      <c r="V49" s="100">
        <v>11</v>
      </c>
      <c r="W49" s="100">
        <v>10837.199999999999</v>
      </c>
      <c r="X49" s="100">
        <v>16</v>
      </c>
      <c r="Y49" s="100">
        <v>15763.199999999999</v>
      </c>
      <c r="Z49" s="100">
        <v>8</v>
      </c>
      <c r="AA49" s="100">
        <v>7881.5999999999995</v>
      </c>
      <c r="AB49" s="100">
        <v>14</v>
      </c>
      <c r="AC49" s="100">
        <v>13792.8</v>
      </c>
      <c r="AD49" s="100">
        <v>13</v>
      </c>
      <c r="AE49" s="100">
        <v>12807.599999999999</v>
      </c>
      <c r="AF49" s="100">
        <v>11</v>
      </c>
      <c r="AG49" s="100">
        <v>10837.199999999999</v>
      </c>
      <c r="AH49" s="100">
        <v>13</v>
      </c>
      <c r="AI49" s="100">
        <v>12807.599999999999</v>
      </c>
      <c r="AJ49" s="100">
        <v>16</v>
      </c>
      <c r="AK49" s="100">
        <v>15763.199999999999</v>
      </c>
      <c r="AL49" s="100">
        <v>13</v>
      </c>
      <c r="AM49" s="100">
        <v>12807.599999999999</v>
      </c>
      <c r="AN49" s="100">
        <v>10</v>
      </c>
      <c r="AO49" s="100">
        <v>9852</v>
      </c>
      <c r="AP49" s="100">
        <v>12</v>
      </c>
      <c r="AQ49" s="100">
        <v>11822.4</v>
      </c>
      <c r="AR49" s="100">
        <v>11</v>
      </c>
      <c r="AS49" s="100">
        <v>10837.199999999999</v>
      </c>
      <c r="AT49" s="100">
        <v>11</v>
      </c>
      <c r="AU49" s="100">
        <v>10837.199999999999</v>
      </c>
      <c r="AV49" s="100">
        <v>11</v>
      </c>
      <c r="AW49" s="100">
        <v>10837.199999999999</v>
      </c>
      <c r="AX49" s="100">
        <v>15</v>
      </c>
      <c r="AY49" s="100">
        <v>14777.999999999998</v>
      </c>
      <c r="AZ49" s="100">
        <v>15</v>
      </c>
      <c r="BA49" s="100">
        <v>14777.999999999998</v>
      </c>
      <c r="BB49" s="100">
        <v>16</v>
      </c>
      <c r="BC49" s="100">
        <v>15763.199999999999</v>
      </c>
      <c r="BD49" s="100">
        <v>17</v>
      </c>
      <c r="BE49" s="100">
        <v>16748.399999999998</v>
      </c>
      <c r="BF49" s="100">
        <v>14</v>
      </c>
      <c r="BG49" s="100">
        <v>13792.8</v>
      </c>
      <c r="BH49" s="100">
        <v>11</v>
      </c>
      <c r="BI49" s="100">
        <v>10837.199999999999</v>
      </c>
      <c r="BJ49" s="100">
        <v>15</v>
      </c>
      <c r="BK49" s="100">
        <v>14777.999999999998</v>
      </c>
      <c r="BL49" s="100">
        <v>8</v>
      </c>
      <c r="BM49" s="100">
        <v>7881.5999999999995</v>
      </c>
      <c r="BN49" s="100">
        <v>9</v>
      </c>
      <c r="BO49" s="100">
        <v>8866.7999999999993</v>
      </c>
      <c r="BP49" s="100">
        <v>11</v>
      </c>
      <c r="BQ49" s="100">
        <v>10837.199999999999</v>
      </c>
      <c r="BR49" s="100">
        <v>10</v>
      </c>
      <c r="BS49" s="100">
        <v>9852</v>
      </c>
      <c r="BT49" s="100">
        <v>11</v>
      </c>
      <c r="BU49" s="100">
        <v>10837.199999999999</v>
      </c>
      <c r="BV49" s="100">
        <v>13</v>
      </c>
      <c r="BW49" s="100">
        <v>12807.599999999999</v>
      </c>
      <c r="BX49" s="100">
        <v>8</v>
      </c>
      <c r="BY49" s="100">
        <v>7881.5999999999995</v>
      </c>
      <c r="BZ49" s="100">
        <v>9</v>
      </c>
      <c r="CA49" s="100">
        <v>8866.7999999999993</v>
      </c>
      <c r="CB49" s="100">
        <v>15</v>
      </c>
      <c r="CC49" s="100">
        <v>14777.999999999998</v>
      </c>
      <c r="CD49" s="100">
        <v>17</v>
      </c>
      <c r="CE49" s="100">
        <v>16748.399999999998</v>
      </c>
      <c r="CF49" s="100">
        <v>10</v>
      </c>
      <c r="CG49" s="100">
        <v>9852</v>
      </c>
      <c r="CH49" s="100">
        <v>16</v>
      </c>
      <c r="CI49" s="100">
        <v>15763.199999999999</v>
      </c>
      <c r="CJ49" s="100">
        <v>17</v>
      </c>
      <c r="CK49" s="100">
        <v>16748.399999999998</v>
      </c>
      <c r="CL49" s="100">
        <v>10</v>
      </c>
      <c r="CM49" s="100">
        <v>9852</v>
      </c>
      <c r="CN49" s="100">
        <v>9</v>
      </c>
      <c r="CO49" s="100">
        <v>8866.7999999999993</v>
      </c>
      <c r="CP49" s="100">
        <v>14</v>
      </c>
      <c r="CQ49" s="100">
        <v>13792.8</v>
      </c>
      <c r="CR49" s="100">
        <v>9</v>
      </c>
      <c r="CS49" s="100">
        <v>8866.7999999999993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15</v>
      </c>
      <c r="E50" s="100">
        <v>4230</v>
      </c>
      <c r="F50" s="100">
        <v>13</v>
      </c>
      <c r="G50" s="100">
        <v>3666</v>
      </c>
      <c r="H50" s="100">
        <v>14</v>
      </c>
      <c r="I50" s="100">
        <v>3948</v>
      </c>
      <c r="J50" s="100">
        <v>14.9323631845959</v>
      </c>
      <c r="K50" s="100">
        <v>4210.926418056044</v>
      </c>
      <c r="L50" s="100">
        <v>14.214134312180921</v>
      </c>
      <c r="M50" s="100">
        <v>4008.3858760350195</v>
      </c>
      <c r="N50" s="100">
        <v>17.953628258249449</v>
      </c>
      <c r="O50" s="100">
        <v>5062.9231688263444</v>
      </c>
      <c r="P50" s="100">
        <v>10.770127454006948</v>
      </c>
      <c r="Q50" s="100">
        <v>3037.1759420299595</v>
      </c>
      <c r="R50" s="100">
        <v>11.152046867269606</v>
      </c>
      <c r="S50" s="100">
        <v>3144.8772165700288</v>
      </c>
      <c r="T50" s="100">
        <v>14</v>
      </c>
      <c r="U50" s="100">
        <v>3948</v>
      </c>
      <c r="V50" s="100">
        <v>13</v>
      </c>
      <c r="W50" s="100">
        <v>3666</v>
      </c>
      <c r="X50" s="100">
        <v>17</v>
      </c>
      <c r="Y50" s="100">
        <v>4794</v>
      </c>
      <c r="Z50" s="100">
        <v>8</v>
      </c>
      <c r="AA50" s="100">
        <v>2256</v>
      </c>
      <c r="AB50" s="100">
        <v>15</v>
      </c>
      <c r="AC50" s="100">
        <v>4230</v>
      </c>
      <c r="AD50" s="100">
        <v>13</v>
      </c>
      <c r="AE50" s="100">
        <v>3666</v>
      </c>
      <c r="AF50" s="100">
        <v>10</v>
      </c>
      <c r="AG50" s="100">
        <v>2820</v>
      </c>
      <c r="AH50" s="100">
        <v>16</v>
      </c>
      <c r="AI50" s="100">
        <v>4512</v>
      </c>
      <c r="AJ50" s="100">
        <v>7.9471465059672362</v>
      </c>
      <c r="AK50" s="100">
        <v>2241.0953146827605</v>
      </c>
      <c r="AL50" s="100">
        <v>5.3990559203217386E-4</v>
      </c>
      <c r="AM50" s="100">
        <v>0.15225337695307303</v>
      </c>
      <c r="AN50" s="100">
        <v>2.9386642269501977E-4</v>
      </c>
      <c r="AO50" s="100">
        <v>8.2870331199995581E-2</v>
      </c>
      <c r="AP50" s="100">
        <v>4.5504770302168214E-4</v>
      </c>
      <c r="AQ50" s="100">
        <v>0.12832345225211436</v>
      </c>
      <c r="AR50" s="100">
        <v>12</v>
      </c>
      <c r="AS50" s="100">
        <v>3384</v>
      </c>
      <c r="AT50" s="100">
        <v>12</v>
      </c>
      <c r="AU50" s="100">
        <v>3384</v>
      </c>
      <c r="AV50" s="100">
        <v>12</v>
      </c>
      <c r="AW50" s="100">
        <v>3384</v>
      </c>
      <c r="AX50" s="100">
        <v>16</v>
      </c>
      <c r="AY50" s="100">
        <v>4512</v>
      </c>
      <c r="AZ50" s="100">
        <v>16</v>
      </c>
      <c r="BA50" s="100">
        <v>4512</v>
      </c>
      <c r="BB50" s="100">
        <v>16</v>
      </c>
      <c r="BC50" s="100">
        <v>4512</v>
      </c>
      <c r="BD50" s="100">
        <v>18</v>
      </c>
      <c r="BE50" s="100">
        <v>5076</v>
      </c>
      <c r="BF50" s="100">
        <v>14</v>
      </c>
      <c r="BG50" s="100">
        <v>3948</v>
      </c>
      <c r="BH50" s="100">
        <v>12</v>
      </c>
      <c r="BI50" s="100">
        <v>3384</v>
      </c>
      <c r="BJ50" s="100">
        <v>15</v>
      </c>
      <c r="BK50" s="100">
        <v>4230</v>
      </c>
      <c r="BL50" s="100">
        <v>10</v>
      </c>
      <c r="BM50" s="100">
        <v>2820</v>
      </c>
      <c r="BN50" s="100">
        <v>11</v>
      </c>
      <c r="BO50" s="100">
        <v>3102</v>
      </c>
      <c r="BP50" s="100">
        <v>10</v>
      </c>
      <c r="BQ50" s="100">
        <v>2820</v>
      </c>
      <c r="BR50" s="100">
        <v>11</v>
      </c>
      <c r="BS50" s="100">
        <v>3102</v>
      </c>
      <c r="BT50" s="100">
        <v>11</v>
      </c>
      <c r="BU50" s="100">
        <v>3102</v>
      </c>
      <c r="BV50" s="100">
        <v>14</v>
      </c>
      <c r="BW50" s="100">
        <v>3948</v>
      </c>
      <c r="BX50" s="100">
        <v>5.920660873629628</v>
      </c>
      <c r="BY50" s="100">
        <v>1669.626366363555</v>
      </c>
      <c r="BZ50" s="100">
        <v>3.4283116877113202</v>
      </c>
      <c r="CA50" s="100">
        <v>966.78389593459235</v>
      </c>
      <c r="CB50" s="100">
        <v>12.238891736726604</v>
      </c>
      <c r="CC50" s="100">
        <v>3451.3674697569022</v>
      </c>
      <c r="CD50" s="100">
        <v>15.698222378885337</v>
      </c>
      <c r="CE50" s="100">
        <v>4426.8987108456649</v>
      </c>
      <c r="CF50" s="100">
        <v>8.2672902643796764</v>
      </c>
      <c r="CG50" s="100">
        <v>2331.3758545550686</v>
      </c>
      <c r="CH50" s="100">
        <v>15.15388681453812</v>
      </c>
      <c r="CI50" s="100">
        <v>4273.3960816997496</v>
      </c>
      <c r="CJ50" s="100">
        <v>15.602491617091617</v>
      </c>
      <c r="CK50" s="100">
        <v>4399.9026360198359</v>
      </c>
      <c r="CL50" s="100">
        <v>11.005694546176828</v>
      </c>
      <c r="CM50" s="100">
        <v>3103.6058620218655</v>
      </c>
      <c r="CN50" s="100">
        <v>8.7723213851325763</v>
      </c>
      <c r="CO50" s="100">
        <v>2473.7946306073864</v>
      </c>
      <c r="CP50" s="100">
        <v>14.316588239317278</v>
      </c>
      <c r="CQ50" s="100">
        <v>4037.2778834874725</v>
      </c>
      <c r="CR50" s="100">
        <v>8.5847421744404802</v>
      </c>
      <c r="CS50" s="100">
        <v>2420.8972931922153</v>
      </c>
      <c r="CT50" s="100">
        <v>9.3514041527506055</v>
      </c>
      <c r="CU50" s="100">
        <v>2637.0959710756706</v>
      </c>
    </row>
    <row r="51" spans="2:99">
      <c r="C51" s="99" t="s">
        <v>217</v>
      </c>
      <c r="D51" s="100">
        <v>15</v>
      </c>
      <c r="E51" s="100">
        <v>12816</v>
      </c>
      <c r="F51" s="100">
        <v>12</v>
      </c>
      <c r="G51" s="100">
        <v>10252.799999999999</v>
      </c>
      <c r="H51" s="100">
        <v>14</v>
      </c>
      <c r="I51" s="100">
        <v>11961.6</v>
      </c>
      <c r="J51" s="100">
        <v>13.065817786521412</v>
      </c>
      <c r="K51" s="100">
        <v>11163.434716803895</v>
      </c>
      <c r="L51" s="100">
        <v>11.548984128646998</v>
      </c>
      <c r="M51" s="100">
        <v>9867.4520395159943</v>
      </c>
      <c r="N51" s="100">
        <v>16.956204466124483</v>
      </c>
      <c r="O51" s="100">
        <v>14487.381095856757</v>
      </c>
      <c r="P51" s="100">
        <v>10.770127454006948</v>
      </c>
      <c r="Q51" s="100">
        <v>9201.9968967035365</v>
      </c>
      <c r="R51" s="100">
        <v>9.2933723893913385</v>
      </c>
      <c r="S51" s="100">
        <v>7940.2573694959592</v>
      </c>
      <c r="T51" s="100">
        <v>13</v>
      </c>
      <c r="U51" s="100">
        <v>11107.199999999999</v>
      </c>
      <c r="V51" s="100">
        <v>12</v>
      </c>
      <c r="W51" s="100">
        <v>10252.799999999999</v>
      </c>
      <c r="X51" s="100">
        <v>16</v>
      </c>
      <c r="Y51" s="100">
        <v>13670.4</v>
      </c>
      <c r="Z51" s="100">
        <v>9</v>
      </c>
      <c r="AA51" s="100">
        <v>7689.5999999999995</v>
      </c>
      <c r="AB51" s="100">
        <v>16</v>
      </c>
      <c r="AC51" s="100">
        <v>13670.4</v>
      </c>
      <c r="AD51" s="100">
        <v>14</v>
      </c>
      <c r="AE51" s="100">
        <v>11961.6</v>
      </c>
      <c r="AF51" s="100">
        <v>11</v>
      </c>
      <c r="AG51" s="100">
        <v>9398.4</v>
      </c>
      <c r="AH51" s="100">
        <v>16</v>
      </c>
      <c r="AI51" s="100">
        <v>13670.4</v>
      </c>
      <c r="AJ51" s="100">
        <v>6.6226220883060298</v>
      </c>
      <c r="AK51" s="100">
        <v>5658.3683122486718</v>
      </c>
      <c r="AL51" s="100">
        <v>4.3192447362573914E-4</v>
      </c>
      <c r="AM51" s="100">
        <v>0.36903627026583152</v>
      </c>
      <c r="AN51" s="100">
        <v>3.2325306496452173E-4</v>
      </c>
      <c r="AO51" s="100">
        <v>0.27618741870568736</v>
      </c>
      <c r="AP51" s="100">
        <v>3.9004088830429896E-4</v>
      </c>
      <c r="AQ51" s="100">
        <v>0.33325093496719305</v>
      </c>
      <c r="AR51" s="100">
        <v>12</v>
      </c>
      <c r="AS51" s="100">
        <v>10252.799999999999</v>
      </c>
      <c r="AT51" s="100">
        <v>13</v>
      </c>
      <c r="AU51" s="100">
        <v>11107.199999999999</v>
      </c>
      <c r="AV51" s="100">
        <v>11</v>
      </c>
      <c r="AW51" s="100">
        <v>9398.4</v>
      </c>
      <c r="AX51" s="100">
        <v>14</v>
      </c>
      <c r="AY51" s="100">
        <v>11961.6</v>
      </c>
      <c r="AZ51" s="100">
        <v>15</v>
      </c>
      <c r="BA51" s="100">
        <v>12816</v>
      </c>
      <c r="BB51" s="100">
        <v>15</v>
      </c>
      <c r="BC51" s="100">
        <v>12816</v>
      </c>
      <c r="BD51" s="100">
        <v>16</v>
      </c>
      <c r="BE51" s="100">
        <v>13670.4</v>
      </c>
      <c r="BF51" s="100">
        <v>14</v>
      </c>
      <c r="BG51" s="100">
        <v>11961.6</v>
      </c>
      <c r="BH51" s="100">
        <v>11</v>
      </c>
      <c r="BI51" s="100">
        <v>9398.4</v>
      </c>
      <c r="BJ51" s="100">
        <v>15</v>
      </c>
      <c r="BK51" s="100">
        <v>12816</v>
      </c>
      <c r="BL51" s="100">
        <v>9</v>
      </c>
      <c r="BM51" s="100">
        <v>7689.5999999999995</v>
      </c>
      <c r="BN51" s="100">
        <v>9</v>
      </c>
      <c r="BO51" s="100">
        <v>7689.5999999999995</v>
      </c>
      <c r="BP51" s="100">
        <v>11</v>
      </c>
      <c r="BQ51" s="100">
        <v>9398.4</v>
      </c>
      <c r="BR51" s="100">
        <v>11</v>
      </c>
      <c r="BS51" s="100">
        <v>9398.4</v>
      </c>
      <c r="BT51" s="100">
        <v>10</v>
      </c>
      <c r="BU51" s="100">
        <v>8544</v>
      </c>
      <c r="BV51" s="100">
        <v>14</v>
      </c>
      <c r="BW51" s="100">
        <v>11961.6</v>
      </c>
      <c r="BX51" s="100">
        <v>6.5785120818106977</v>
      </c>
      <c r="BY51" s="100">
        <v>5620.6807226990595</v>
      </c>
      <c r="BZ51" s="100">
        <v>3.8092352085681331</v>
      </c>
      <c r="CA51" s="100">
        <v>3254.610562200613</v>
      </c>
      <c r="CB51" s="100">
        <v>10.799022120641121</v>
      </c>
      <c r="CC51" s="100">
        <v>9226.6844998757733</v>
      </c>
      <c r="CD51" s="100">
        <v>13.081851982404446</v>
      </c>
      <c r="CE51" s="100">
        <v>11177.134333766358</v>
      </c>
      <c r="CF51" s="100">
        <v>7.4405612379417088</v>
      </c>
      <c r="CG51" s="100">
        <v>6357.2155216973961</v>
      </c>
      <c r="CH51" s="100">
        <v>12.47967149432551</v>
      </c>
      <c r="CI51" s="100">
        <v>10662.631324751716</v>
      </c>
      <c r="CJ51" s="100">
        <v>15.602491617091617</v>
      </c>
      <c r="CK51" s="100">
        <v>13330.768837643078</v>
      </c>
      <c r="CL51" s="100">
        <v>10.088553333995426</v>
      </c>
      <c r="CM51" s="100">
        <v>8619.6599685656911</v>
      </c>
      <c r="CN51" s="100">
        <v>8.7723213851325763</v>
      </c>
      <c r="CO51" s="100">
        <v>7495.0713914572734</v>
      </c>
      <c r="CP51" s="100">
        <v>13.521222226021873</v>
      </c>
      <c r="CQ51" s="100">
        <v>11552.532269913088</v>
      </c>
      <c r="CR51" s="100">
        <v>7.6308819328359814</v>
      </c>
      <c r="CS51" s="100">
        <v>6519.825523415062</v>
      </c>
      <c r="CT51" s="100">
        <v>9.3514041527506055</v>
      </c>
      <c r="CU51" s="100">
        <v>7989.8397081101175</v>
      </c>
    </row>
    <row r="52" spans="2:99">
      <c r="C52" s="99" t="s">
        <v>218</v>
      </c>
      <c r="D52" s="100">
        <v>16</v>
      </c>
      <c r="E52" s="100">
        <v>8640</v>
      </c>
      <c r="F52" s="100">
        <v>12</v>
      </c>
      <c r="G52" s="100">
        <v>6480</v>
      </c>
      <c r="H52" s="100">
        <v>14</v>
      </c>
      <c r="I52" s="100">
        <v>7560</v>
      </c>
      <c r="J52" s="100">
        <v>13.999090485558655</v>
      </c>
      <c r="K52" s="100">
        <v>7559.5088622016738</v>
      </c>
      <c r="L52" s="100">
        <v>12.437367523158306</v>
      </c>
      <c r="M52" s="100">
        <v>6716.1784625054852</v>
      </c>
      <c r="N52" s="100">
        <v>18.951052050374422</v>
      </c>
      <c r="O52" s="100">
        <v>10233.568107202187</v>
      </c>
      <c r="P52" s="100">
        <v>8.9751062116724558</v>
      </c>
      <c r="Q52" s="100">
        <v>4846.557354303126</v>
      </c>
      <c r="R52" s="100">
        <v>10.222709628330472</v>
      </c>
      <c r="S52" s="100">
        <v>5520.2631992984552</v>
      </c>
      <c r="T52" s="100">
        <v>15</v>
      </c>
      <c r="U52" s="100">
        <v>8100</v>
      </c>
      <c r="V52" s="100">
        <v>12</v>
      </c>
      <c r="W52" s="100">
        <v>6480</v>
      </c>
      <c r="X52" s="100">
        <v>18</v>
      </c>
      <c r="Y52" s="100">
        <v>9720</v>
      </c>
      <c r="Z52" s="100">
        <v>9</v>
      </c>
      <c r="AA52" s="100">
        <v>4860</v>
      </c>
      <c r="AB52" s="100">
        <v>16</v>
      </c>
      <c r="AC52" s="100">
        <v>8640</v>
      </c>
      <c r="AD52" s="100">
        <v>13</v>
      </c>
      <c r="AE52" s="100">
        <v>7020</v>
      </c>
      <c r="AF52" s="100">
        <v>11</v>
      </c>
      <c r="AG52" s="100">
        <v>5940</v>
      </c>
      <c r="AH52" s="100">
        <v>16</v>
      </c>
      <c r="AI52" s="100">
        <v>8640</v>
      </c>
      <c r="AJ52" s="100">
        <v>7.0641302275264319</v>
      </c>
      <c r="AK52" s="100">
        <v>3814.6303228642732</v>
      </c>
      <c r="AL52" s="100">
        <v>5.0391188589669564E-4</v>
      </c>
      <c r="AM52" s="100">
        <v>0.27211241838421563</v>
      </c>
      <c r="AN52" s="100">
        <v>2.9386642269501977E-4</v>
      </c>
      <c r="AO52" s="100">
        <v>0.15868786825531067</v>
      </c>
      <c r="AP52" s="100">
        <v>4.5504770302168214E-4</v>
      </c>
      <c r="AQ52" s="100">
        <v>0.24572575963170837</v>
      </c>
      <c r="AR52" s="100">
        <v>12</v>
      </c>
      <c r="AS52" s="100">
        <v>6480</v>
      </c>
      <c r="AT52" s="100">
        <v>12</v>
      </c>
      <c r="AU52" s="100">
        <v>6480</v>
      </c>
      <c r="AV52" s="100">
        <v>13</v>
      </c>
      <c r="AW52" s="100">
        <v>7020</v>
      </c>
      <c r="AX52" s="100">
        <v>15</v>
      </c>
      <c r="AY52" s="100">
        <v>8100</v>
      </c>
      <c r="AZ52" s="100">
        <v>16</v>
      </c>
      <c r="BA52" s="100">
        <v>8640</v>
      </c>
      <c r="BB52" s="100">
        <v>15</v>
      </c>
      <c r="BC52" s="100">
        <v>8100</v>
      </c>
      <c r="BD52" s="100">
        <v>18</v>
      </c>
      <c r="BE52" s="100">
        <v>9720</v>
      </c>
      <c r="BF52" s="100">
        <v>14</v>
      </c>
      <c r="BG52" s="100">
        <v>7560</v>
      </c>
      <c r="BH52" s="100">
        <v>12</v>
      </c>
      <c r="BI52" s="100">
        <v>6480</v>
      </c>
      <c r="BJ52" s="100">
        <v>15</v>
      </c>
      <c r="BK52" s="100">
        <v>8100</v>
      </c>
      <c r="BL52" s="100">
        <v>9</v>
      </c>
      <c r="BM52" s="100">
        <v>4860</v>
      </c>
      <c r="BN52" s="100">
        <v>10</v>
      </c>
      <c r="BO52" s="100">
        <v>5400</v>
      </c>
      <c r="BP52" s="100">
        <v>10</v>
      </c>
      <c r="BQ52" s="100">
        <v>5400</v>
      </c>
      <c r="BR52" s="100">
        <v>10</v>
      </c>
      <c r="BS52" s="100">
        <v>5400</v>
      </c>
      <c r="BT52" s="100">
        <v>10</v>
      </c>
      <c r="BU52" s="100">
        <v>5400</v>
      </c>
      <c r="BV52" s="100">
        <v>13</v>
      </c>
      <c r="BW52" s="100">
        <v>7020</v>
      </c>
      <c r="BX52" s="100">
        <v>6.5785120818106977</v>
      </c>
      <c r="BY52" s="100">
        <v>3552.3965241777769</v>
      </c>
      <c r="BZ52" s="100">
        <v>3.4283116877113202</v>
      </c>
      <c r="CA52" s="100">
        <v>1851.2883113641128</v>
      </c>
      <c r="CB52" s="100">
        <v>10.799022120641121</v>
      </c>
      <c r="CC52" s="100">
        <v>5831.4719451462051</v>
      </c>
      <c r="CD52" s="100">
        <v>15.698222378885337</v>
      </c>
      <c r="CE52" s="100">
        <v>8477.0400845980821</v>
      </c>
      <c r="CF52" s="100">
        <v>7.4405612379417088</v>
      </c>
      <c r="CG52" s="100">
        <v>4017.9030684885229</v>
      </c>
      <c r="CH52" s="100">
        <v>14.262481707800584</v>
      </c>
      <c r="CI52" s="100">
        <v>7701.7401222123153</v>
      </c>
      <c r="CJ52" s="100">
        <v>14.627335891023391</v>
      </c>
      <c r="CK52" s="100">
        <v>7898.7613811526307</v>
      </c>
      <c r="CL52" s="100">
        <v>9.1714121218140239</v>
      </c>
      <c r="CM52" s="100">
        <v>4952.5625457795732</v>
      </c>
      <c r="CN52" s="100">
        <v>8.7723213851325763</v>
      </c>
      <c r="CO52" s="100">
        <v>4737.0535479715909</v>
      </c>
      <c r="CP52" s="100">
        <v>11.930490199431064</v>
      </c>
      <c r="CQ52" s="100">
        <v>6442.4647076927749</v>
      </c>
      <c r="CR52" s="100">
        <v>8.5847421744404802</v>
      </c>
      <c r="CS52" s="100">
        <v>4635.7607741978591</v>
      </c>
      <c r="CT52" s="100">
        <v>10.286544568025667</v>
      </c>
      <c r="CU52" s="100">
        <v>5554.7340667338603</v>
      </c>
    </row>
    <row r="53" spans="2:99">
      <c r="C53" s="99" t="s">
        <v>219</v>
      </c>
      <c r="D53" s="100">
        <v>16</v>
      </c>
      <c r="E53" s="100">
        <v>6508.8</v>
      </c>
      <c r="F53" s="100">
        <v>14</v>
      </c>
      <c r="G53" s="100">
        <v>5695.2</v>
      </c>
      <c r="H53" s="100">
        <v>12</v>
      </c>
      <c r="I53" s="100">
        <v>4881.6000000000004</v>
      </c>
      <c r="J53" s="100">
        <v>15.865635883633143</v>
      </c>
      <c r="K53" s="100">
        <v>6454.1406774619627</v>
      </c>
      <c r="L53" s="100">
        <v>15.102517706692229</v>
      </c>
      <c r="M53" s="100">
        <v>6143.7042030823986</v>
      </c>
      <c r="N53" s="100">
        <v>15.958780673999513</v>
      </c>
      <c r="O53" s="100">
        <v>6492.0319781830021</v>
      </c>
      <c r="P53" s="100">
        <v>10.770127454006948</v>
      </c>
      <c r="Q53" s="100">
        <v>4381.2878482900269</v>
      </c>
      <c r="R53" s="100">
        <v>10.222709628330472</v>
      </c>
      <c r="S53" s="100">
        <v>4158.5982768048361</v>
      </c>
      <c r="T53" s="100">
        <v>13</v>
      </c>
      <c r="U53" s="100">
        <v>5288.4000000000005</v>
      </c>
      <c r="V53" s="100">
        <v>13</v>
      </c>
      <c r="W53" s="100">
        <v>5288.4000000000005</v>
      </c>
      <c r="X53" s="100">
        <v>16</v>
      </c>
      <c r="Y53" s="100">
        <v>6508.8</v>
      </c>
      <c r="Z53" s="100">
        <v>9</v>
      </c>
      <c r="AA53" s="100">
        <v>3661.2000000000003</v>
      </c>
      <c r="AB53" s="100">
        <v>16</v>
      </c>
      <c r="AC53" s="100">
        <v>6508.8</v>
      </c>
      <c r="AD53" s="100">
        <v>15</v>
      </c>
      <c r="AE53" s="100">
        <v>6102</v>
      </c>
      <c r="AF53" s="100">
        <v>10</v>
      </c>
      <c r="AG53" s="100">
        <v>4068</v>
      </c>
      <c r="AH53" s="100">
        <v>17</v>
      </c>
      <c r="AI53" s="100">
        <v>6915.6</v>
      </c>
      <c r="AJ53" s="100">
        <v>7.0641302275264319</v>
      </c>
      <c r="AK53" s="100">
        <v>2873.6881765577527</v>
      </c>
      <c r="AL53" s="100">
        <v>4.6791817976121736E-4</v>
      </c>
      <c r="AM53" s="100">
        <v>0.19034911552686323</v>
      </c>
      <c r="AN53" s="100">
        <v>3.2325306496452173E-4</v>
      </c>
      <c r="AO53" s="100">
        <v>0.13149934682756745</v>
      </c>
      <c r="AP53" s="100">
        <v>4.2254429566299052E-4</v>
      </c>
      <c r="AQ53" s="100">
        <v>0.17189101947570454</v>
      </c>
      <c r="AR53" s="100">
        <v>12</v>
      </c>
      <c r="AS53" s="100">
        <v>4881.6000000000004</v>
      </c>
      <c r="AT53" s="100">
        <v>13</v>
      </c>
      <c r="AU53" s="100">
        <v>5288.4000000000005</v>
      </c>
      <c r="AV53" s="100">
        <v>12</v>
      </c>
      <c r="AW53" s="100">
        <v>4881.6000000000004</v>
      </c>
      <c r="AX53" s="100">
        <v>16</v>
      </c>
      <c r="AY53" s="100">
        <v>6508.8</v>
      </c>
      <c r="AZ53" s="100">
        <v>15</v>
      </c>
      <c r="BA53" s="100">
        <v>6102</v>
      </c>
      <c r="BB53" s="100">
        <v>18</v>
      </c>
      <c r="BC53" s="100">
        <v>7322.4000000000005</v>
      </c>
      <c r="BD53" s="100">
        <v>19</v>
      </c>
      <c r="BE53" s="100">
        <v>7729.2</v>
      </c>
      <c r="BF53" s="100">
        <v>15</v>
      </c>
      <c r="BG53" s="100">
        <v>6102</v>
      </c>
      <c r="BH53" s="100">
        <v>11</v>
      </c>
      <c r="BI53" s="100">
        <v>4474.8</v>
      </c>
      <c r="BJ53" s="100">
        <v>14</v>
      </c>
      <c r="BK53" s="100">
        <v>5695.2</v>
      </c>
      <c r="BL53" s="100">
        <v>10</v>
      </c>
      <c r="BM53" s="100">
        <v>4068</v>
      </c>
      <c r="BN53" s="100">
        <v>9</v>
      </c>
      <c r="BO53" s="100">
        <v>3661.2000000000003</v>
      </c>
      <c r="BP53" s="100">
        <v>11</v>
      </c>
      <c r="BQ53" s="100">
        <v>4474.8</v>
      </c>
      <c r="BR53" s="100">
        <v>11</v>
      </c>
      <c r="BS53" s="100">
        <v>4474.8</v>
      </c>
      <c r="BT53" s="100">
        <v>11</v>
      </c>
      <c r="BU53" s="100">
        <v>4474.8</v>
      </c>
      <c r="BV53" s="100">
        <v>14</v>
      </c>
      <c r="BW53" s="100">
        <v>5695.2</v>
      </c>
      <c r="BX53" s="100">
        <v>5.920660873629628</v>
      </c>
      <c r="BY53" s="100">
        <v>2408.5248433925326</v>
      </c>
      <c r="BZ53" s="100">
        <v>3.4283116877113202</v>
      </c>
      <c r="CA53" s="100">
        <v>1394.6371945609651</v>
      </c>
      <c r="CB53" s="100">
        <v>12.238891736726604</v>
      </c>
      <c r="CC53" s="100">
        <v>4978.7811585003828</v>
      </c>
      <c r="CD53" s="100">
        <v>15.698222378885337</v>
      </c>
      <c r="CE53" s="100">
        <v>6386.0368637305555</v>
      </c>
      <c r="CF53" s="100">
        <v>7.4405612379417088</v>
      </c>
      <c r="CG53" s="100">
        <v>3026.8203115946872</v>
      </c>
      <c r="CH53" s="100">
        <v>14.262481707800584</v>
      </c>
      <c r="CI53" s="100">
        <v>5801.9775587332779</v>
      </c>
      <c r="CJ53" s="100">
        <v>15.602491617091617</v>
      </c>
      <c r="CK53" s="100">
        <v>6347.0935898328698</v>
      </c>
      <c r="CL53" s="100">
        <v>10.088553333995426</v>
      </c>
      <c r="CM53" s="100">
        <v>4104.0234962693394</v>
      </c>
      <c r="CN53" s="100">
        <v>8.7723213851325763</v>
      </c>
      <c r="CO53" s="100">
        <v>3568.5803394719323</v>
      </c>
      <c r="CP53" s="100">
        <v>14.316588239317278</v>
      </c>
      <c r="CQ53" s="100">
        <v>5823.9880957542691</v>
      </c>
      <c r="CR53" s="100">
        <v>8.5847421744404802</v>
      </c>
      <c r="CS53" s="100">
        <v>3492.2731165623873</v>
      </c>
      <c r="CT53" s="100">
        <v>9.3514041527506055</v>
      </c>
      <c r="CU53" s="100">
        <v>3804.1512093389465</v>
      </c>
    </row>
    <row r="54" spans="2:99">
      <c r="C54" s="99" t="s">
        <v>220</v>
      </c>
      <c r="D54" s="100">
        <v>14</v>
      </c>
      <c r="E54" s="100">
        <v>4687.2</v>
      </c>
      <c r="F54" s="100">
        <v>14</v>
      </c>
      <c r="G54" s="100">
        <v>4687.2</v>
      </c>
      <c r="H54" s="100">
        <v>13</v>
      </c>
      <c r="I54" s="100">
        <v>4352.4000000000005</v>
      </c>
      <c r="J54" s="100">
        <v>15.865635883633143</v>
      </c>
      <c r="K54" s="100">
        <v>5311.8148938403765</v>
      </c>
      <c r="L54" s="100">
        <v>12.437367523158306</v>
      </c>
      <c r="M54" s="100">
        <v>4164.030646753401</v>
      </c>
      <c r="N54" s="100">
        <v>18.951052050374422</v>
      </c>
      <c r="O54" s="100">
        <v>6344.8122264653566</v>
      </c>
      <c r="P54" s="100">
        <v>10.770127454006948</v>
      </c>
      <c r="Q54" s="100">
        <v>3605.8386716015261</v>
      </c>
      <c r="R54" s="100">
        <v>10.222709628330472</v>
      </c>
      <c r="S54" s="100">
        <v>3422.563183565042</v>
      </c>
      <c r="T54" s="100">
        <v>14</v>
      </c>
      <c r="U54" s="100">
        <v>4687.2</v>
      </c>
      <c r="V54" s="100">
        <v>12</v>
      </c>
      <c r="W54" s="100">
        <v>4017.6000000000004</v>
      </c>
      <c r="X54" s="100">
        <v>15</v>
      </c>
      <c r="Y54" s="100">
        <v>5022</v>
      </c>
      <c r="Z54" s="100">
        <v>9</v>
      </c>
      <c r="AA54" s="100">
        <v>3013.2000000000003</v>
      </c>
      <c r="AB54" s="100">
        <v>15</v>
      </c>
      <c r="AC54" s="100">
        <v>5022</v>
      </c>
      <c r="AD54" s="100">
        <v>15</v>
      </c>
      <c r="AE54" s="100">
        <v>5022</v>
      </c>
      <c r="AF54" s="100">
        <v>11</v>
      </c>
      <c r="AG54" s="100">
        <v>3682.8</v>
      </c>
      <c r="AH54" s="100">
        <v>17</v>
      </c>
      <c r="AI54" s="100">
        <v>5691.6</v>
      </c>
      <c r="AJ54" s="100">
        <v>6.6226220883060298</v>
      </c>
      <c r="AK54" s="100">
        <v>2217.253875164859</v>
      </c>
      <c r="AL54" s="100">
        <v>5.3990559203217386E-4</v>
      </c>
      <c r="AM54" s="100">
        <v>0.18076039221237181</v>
      </c>
      <c r="AN54" s="100">
        <v>3.2325306496452173E-4</v>
      </c>
      <c r="AO54" s="100">
        <v>0.10822512615012188</v>
      </c>
      <c r="AP54" s="100">
        <v>4.2254429566299052E-4</v>
      </c>
      <c r="AQ54" s="100">
        <v>0.14146783018796924</v>
      </c>
      <c r="AR54" s="100">
        <v>12</v>
      </c>
      <c r="AS54" s="100">
        <v>4017.6000000000004</v>
      </c>
      <c r="AT54" s="100">
        <v>15</v>
      </c>
      <c r="AU54" s="100">
        <v>5022</v>
      </c>
      <c r="AV54" s="100">
        <v>12</v>
      </c>
      <c r="AW54" s="100">
        <v>4017.6000000000004</v>
      </c>
      <c r="AX54" s="100">
        <v>14</v>
      </c>
      <c r="AY54" s="100">
        <v>4687.2</v>
      </c>
      <c r="AZ54" s="100">
        <v>16</v>
      </c>
      <c r="BA54" s="100">
        <v>5356.8</v>
      </c>
      <c r="BB54" s="100">
        <v>17</v>
      </c>
      <c r="BC54" s="100">
        <v>5691.6</v>
      </c>
      <c r="BD54" s="100">
        <v>18</v>
      </c>
      <c r="BE54" s="100">
        <v>6026.4000000000005</v>
      </c>
      <c r="BF54" s="100">
        <v>14</v>
      </c>
      <c r="BG54" s="100">
        <v>4687.2</v>
      </c>
      <c r="BH54" s="100">
        <v>11</v>
      </c>
      <c r="BI54" s="100">
        <v>3682.8</v>
      </c>
      <c r="BJ54" s="100">
        <v>15</v>
      </c>
      <c r="BK54" s="100">
        <v>5022</v>
      </c>
      <c r="BL54" s="100">
        <v>9</v>
      </c>
      <c r="BM54" s="100">
        <v>3013.2000000000003</v>
      </c>
      <c r="BN54" s="100">
        <v>11</v>
      </c>
      <c r="BO54" s="100">
        <v>3682.8</v>
      </c>
      <c r="BP54" s="100">
        <v>12</v>
      </c>
      <c r="BQ54" s="100">
        <v>4017.6000000000004</v>
      </c>
      <c r="BR54" s="100">
        <v>10</v>
      </c>
      <c r="BS54" s="100">
        <v>3348</v>
      </c>
      <c r="BT54" s="100">
        <v>11</v>
      </c>
      <c r="BU54" s="100">
        <v>3682.8</v>
      </c>
      <c r="BV54" s="100">
        <v>13</v>
      </c>
      <c r="BW54" s="100">
        <v>4352.4000000000005</v>
      </c>
      <c r="BX54" s="100">
        <v>5.920660873629628</v>
      </c>
      <c r="BY54" s="100">
        <v>1982.2372604911995</v>
      </c>
      <c r="BZ54" s="100">
        <v>3.8092352085681331</v>
      </c>
      <c r="CA54" s="100">
        <v>1275.331947828611</v>
      </c>
      <c r="CB54" s="100">
        <v>12.238891736726604</v>
      </c>
      <c r="CC54" s="100">
        <v>4097.5809534560667</v>
      </c>
      <c r="CD54" s="100">
        <v>14.826098913391705</v>
      </c>
      <c r="CE54" s="100">
        <v>4963.7779162035431</v>
      </c>
      <c r="CF54" s="100">
        <v>8.2672902643796764</v>
      </c>
      <c r="CG54" s="100">
        <v>2767.8887805143158</v>
      </c>
      <c r="CH54" s="100">
        <v>12.47967149432551</v>
      </c>
      <c r="CI54" s="100">
        <v>4178.1940163001809</v>
      </c>
      <c r="CJ54" s="100">
        <v>17.552803069228069</v>
      </c>
      <c r="CK54" s="100">
        <v>5876.678467577558</v>
      </c>
      <c r="CL54" s="100">
        <v>10.088553333995426</v>
      </c>
      <c r="CM54" s="100">
        <v>3377.647656221669</v>
      </c>
      <c r="CN54" s="100">
        <v>10.526785662159092</v>
      </c>
      <c r="CO54" s="100">
        <v>3524.367839690864</v>
      </c>
      <c r="CP54" s="100">
        <v>12.72585621272647</v>
      </c>
      <c r="CQ54" s="100">
        <v>4260.6166600208226</v>
      </c>
      <c r="CR54" s="100">
        <v>9.5386024160449754</v>
      </c>
      <c r="CS54" s="100">
        <v>3193.5240888918579</v>
      </c>
      <c r="CT54" s="100">
        <v>10.286544568025667</v>
      </c>
      <c r="CU54" s="100">
        <v>3443.9351213749933</v>
      </c>
    </row>
    <row r="55" spans="2:99">
      <c r="C55" s="99" t="s">
        <v>221</v>
      </c>
      <c r="D55" s="100">
        <v>14</v>
      </c>
      <c r="E55" s="100">
        <v>9290.4</v>
      </c>
      <c r="F55" s="100">
        <v>14</v>
      </c>
      <c r="G55" s="100">
        <v>9290.4</v>
      </c>
      <c r="H55" s="100">
        <v>14</v>
      </c>
      <c r="I55" s="100">
        <v>9290.4</v>
      </c>
      <c r="J55" s="100">
        <v>13.999090485558655</v>
      </c>
      <c r="K55" s="100">
        <v>9289.7964462167238</v>
      </c>
      <c r="L55" s="100">
        <v>12.437367523158306</v>
      </c>
      <c r="M55" s="100">
        <v>8253.437088367853</v>
      </c>
      <c r="N55" s="100">
        <v>15.958780673999513</v>
      </c>
      <c r="O55" s="100">
        <v>10590.246855266078</v>
      </c>
      <c r="P55" s="100">
        <v>8.9751062116724558</v>
      </c>
      <c r="Q55" s="100">
        <v>5955.8804820658415</v>
      </c>
      <c r="R55" s="100">
        <v>11.152046867269606</v>
      </c>
      <c r="S55" s="100">
        <v>7400.4983011201102</v>
      </c>
      <c r="T55" s="100">
        <v>15</v>
      </c>
      <c r="U55" s="100">
        <v>9954</v>
      </c>
      <c r="V55" s="100">
        <v>11</v>
      </c>
      <c r="W55" s="100">
        <v>7299.6</v>
      </c>
      <c r="X55" s="100">
        <v>17</v>
      </c>
      <c r="Y55" s="100">
        <v>11281.2</v>
      </c>
      <c r="Z55" s="100">
        <v>8</v>
      </c>
      <c r="AA55" s="100">
        <v>5308.8</v>
      </c>
      <c r="AB55" s="100">
        <v>15</v>
      </c>
      <c r="AC55" s="100">
        <v>9954</v>
      </c>
      <c r="AD55" s="100">
        <v>13</v>
      </c>
      <c r="AE55" s="100">
        <v>8626.8000000000011</v>
      </c>
      <c r="AF55" s="100">
        <v>11</v>
      </c>
      <c r="AG55" s="100">
        <v>7299.6</v>
      </c>
      <c r="AH55" s="100">
        <v>16</v>
      </c>
      <c r="AI55" s="100">
        <v>10617.6</v>
      </c>
      <c r="AJ55" s="100">
        <v>7.0641302275264319</v>
      </c>
      <c r="AK55" s="100">
        <v>4687.7568189865406</v>
      </c>
      <c r="AL55" s="100">
        <v>4.6791817976121736E-4</v>
      </c>
      <c r="AM55" s="100">
        <v>0.31051050408954384</v>
      </c>
      <c r="AN55" s="100">
        <v>3.2325306496452173E-4</v>
      </c>
      <c r="AO55" s="100">
        <v>0.21451073391045664</v>
      </c>
      <c r="AP55" s="100">
        <v>4.2254429566299052E-4</v>
      </c>
      <c r="AQ55" s="100">
        <v>0.28040039460196053</v>
      </c>
      <c r="AR55" s="100">
        <v>13</v>
      </c>
      <c r="AS55" s="100">
        <v>8626.8000000000011</v>
      </c>
      <c r="AT55" s="100">
        <v>12</v>
      </c>
      <c r="AU55" s="100">
        <v>7963.2000000000007</v>
      </c>
      <c r="AV55" s="100">
        <v>11</v>
      </c>
      <c r="AW55" s="100">
        <v>7299.6</v>
      </c>
      <c r="AX55" s="100">
        <v>15</v>
      </c>
      <c r="AY55" s="100">
        <v>9954</v>
      </c>
      <c r="AZ55" s="100">
        <v>15</v>
      </c>
      <c r="BA55" s="100">
        <v>9954</v>
      </c>
      <c r="BB55" s="100">
        <v>17</v>
      </c>
      <c r="BC55" s="100">
        <v>11281.2</v>
      </c>
      <c r="BD55" s="100">
        <v>18</v>
      </c>
      <c r="BE55" s="100">
        <v>11944.800000000001</v>
      </c>
      <c r="BF55" s="100">
        <v>14</v>
      </c>
      <c r="BG55" s="100">
        <v>9290.4</v>
      </c>
      <c r="BH55" s="100">
        <v>11</v>
      </c>
      <c r="BI55" s="100">
        <v>7299.6</v>
      </c>
      <c r="BJ55" s="100">
        <v>14</v>
      </c>
      <c r="BK55" s="100">
        <v>9290.4</v>
      </c>
      <c r="BL55" s="100">
        <v>10</v>
      </c>
      <c r="BM55" s="100">
        <v>6636</v>
      </c>
      <c r="BN55" s="100">
        <v>10</v>
      </c>
      <c r="BO55" s="100">
        <v>6636</v>
      </c>
      <c r="BP55" s="100">
        <v>11</v>
      </c>
      <c r="BQ55" s="100">
        <v>7299.6</v>
      </c>
      <c r="BR55" s="100">
        <v>10</v>
      </c>
      <c r="BS55" s="100">
        <v>6636</v>
      </c>
      <c r="BT55" s="100">
        <v>11</v>
      </c>
      <c r="BU55" s="100">
        <v>7299.6</v>
      </c>
      <c r="BV55" s="100">
        <v>15</v>
      </c>
      <c r="BW55" s="100">
        <v>9954</v>
      </c>
      <c r="BX55" s="100">
        <v>5.2628096654485583</v>
      </c>
      <c r="BY55" s="100">
        <v>3492.4004939916636</v>
      </c>
      <c r="BZ55" s="100">
        <v>3.4283116877113202</v>
      </c>
      <c r="CA55" s="100">
        <v>2275.0276359652321</v>
      </c>
      <c r="CB55" s="100">
        <v>12.238891736726604</v>
      </c>
      <c r="CC55" s="100">
        <v>8121.7285564917747</v>
      </c>
      <c r="CD55" s="100">
        <v>13.081851982404446</v>
      </c>
      <c r="CE55" s="100">
        <v>8681.1169755235915</v>
      </c>
      <c r="CF55" s="100">
        <v>7.4405612379417088</v>
      </c>
      <c r="CG55" s="100">
        <v>4937.5564374981177</v>
      </c>
      <c r="CH55" s="100">
        <v>15.15388681453812</v>
      </c>
      <c r="CI55" s="100">
        <v>10056.119290127497</v>
      </c>
      <c r="CJ55" s="100">
        <v>17.552803069228069</v>
      </c>
      <c r="CK55" s="100">
        <v>11648.040116739747</v>
      </c>
      <c r="CL55" s="100">
        <v>9.1714121218140239</v>
      </c>
      <c r="CM55" s="100">
        <v>6086.1490840357865</v>
      </c>
      <c r="CN55" s="100">
        <v>9.6495535236458352</v>
      </c>
      <c r="CO55" s="100">
        <v>6403.4437182913762</v>
      </c>
      <c r="CP55" s="100">
        <v>12.72585621272647</v>
      </c>
      <c r="CQ55" s="100">
        <v>8444.8781827652856</v>
      </c>
      <c r="CR55" s="100">
        <v>8.5847421744404802</v>
      </c>
      <c r="CS55" s="100">
        <v>5696.834906958703</v>
      </c>
      <c r="CT55" s="100">
        <v>9.3514041527506055</v>
      </c>
      <c r="CU55" s="100">
        <v>6205.5917957653019</v>
      </c>
    </row>
    <row r="56" spans="2:99">
      <c r="C56" s="99" t="s">
        <v>222</v>
      </c>
      <c r="D56" s="100">
        <v>13</v>
      </c>
      <c r="E56" s="100">
        <v>12760.8</v>
      </c>
      <c r="F56" s="100">
        <v>13</v>
      </c>
      <c r="G56" s="100">
        <v>12760.8</v>
      </c>
      <c r="H56" s="100">
        <v>13</v>
      </c>
      <c r="I56" s="100">
        <v>12760.8</v>
      </c>
      <c r="J56" s="100">
        <v>16</v>
      </c>
      <c r="K56" s="100">
        <v>15705.599999999999</v>
      </c>
      <c r="L56" s="100">
        <v>14</v>
      </c>
      <c r="M56" s="100">
        <v>13742.399999999998</v>
      </c>
      <c r="N56" s="100">
        <v>17</v>
      </c>
      <c r="O56" s="100">
        <v>16687.199999999997</v>
      </c>
      <c r="P56" s="100">
        <v>11</v>
      </c>
      <c r="Q56" s="100">
        <v>10797.599999999999</v>
      </c>
      <c r="R56" s="100">
        <v>10</v>
      </c>
      <c r="S56" s="100">
        <v>9816</v>
      </c>
      <c r="T56" s="100">
        <v>14</v>
      </c>
      <c r="U56" s="100">
        <v>13742.399999999998</v>
      </c>
      <c r="V56" s="100">
        <v>12</v>
      </c>
      <c r="W56" s="100">
        <v>11779.199999999999</v>
      </c>
      <c r="X56" s="100">
        <v>16</v>
      </c>
      <c r="Y56" s="100">
        <v>15705.599999999999</v>
      </c>
      <c r="Z56" s="100">
        <v>8</v>
      </c>
      <c r="AA56" s="100">
        <v>7852.7999999999993</v>
      </c>
      <c r="AB56" s="100">
        <v>13</v>
      </c>
      <c r="AC56" s="100">
        <v>12760.8</v>
      </c>
      <c r="AD56" s="100">
        <v>13</v>
      </c>
      <c r="AE56" s="100">
        <v>12760.8</v>
      </c>
      <c r="AF56" s="100">
        <v>11</v>
      </c>
      <c r="AG56" s="100">
        <v>10797.599999999999</v>
      </c>
      <c r="AH56" s="100">
        <v>15</v>
      </c>
      <c r="AI56" s="100">
        <v>14723.999999999998</v>
      </c>
      <c r="AJ56" s="100">
        <v>17</v>
      </c>
      <c r="AK56" s="100">
        <v>16687.199999999997</v>
      </c>
      <c r="AL56" s="100">
        <v>13</v>
      </c>
      <c r="AM56" s="100">
        <v>12760.8</v>
      </c>
      <c r="AN56" s="100">
        <v>10</v>
      </c>
      <c r="AO56" s="100">
        <v>9816</v>
      </c>
      <c r="AP56" s="100">
        <v>12</v>
      </c>
      <c r="AQ56" s="100">
        <v>11779.199999999999</v>
      </c>
      <c r="AR56" s="100">
        <v>12</v>
      </c>
      <c r="AS56" s="100">
        <v>11779.199999999999</v>
      </c>
      <c r="AT56" s="100">
        <v>12</v>
      </c>
      <c r="AU56" s="100">
        <v>11779.199999999999</v>
      </c>
      <c r="AV56" s="100">
        <v>12</v>
      </c>
      <c r="AW56" s="100">
        <v>11779.199999999999</v>
      </c>
      <c r="AX56" s="100">
        <v>13</v>
      </c>
      <c r="AY56" s="100">
        <v>12760.8</v>
      </c>
      <c r="AZ56" s="100">
        <v>15</v>
      </c>
      <c r="BA56" s="100">
        <v>14723.999999999998</v>
      </c>
      <c r="BB56" s="100">
        <v>15</v>
      </c>
      <c r="BC56" s="100">
        <v>14723.999999999998</v>
      </c>
      <c r="BD56" s="100">
        <v>17</v>
      </c>
      <c r="BE56" s="100">
        <v>16687.199999999997</v>
      </c>
      <c r="BF56" s="100">
        <v>12</v>
      </c>
      <c r="BG56" s="100">
        <v>11779.199999999999</v>
      </c>
      <c r="BH56" s="100">
        <v>11</v>
      </c>
      <c r="BI56" s="100">
        <v>10797.599999999999</v>
      </c>
      <c r="BJ56" s="100">
        <v>14</v>
      </c>
      <c r="BK56" s="100">
        <v>13742.399999999998</v>
      </c>
      <c r="BL56" s="100">
        <v>8</v>
      </c>
      <c r="BM56" s="100">
        <v>7852.7999999999993</v>
      </c>
      <c r="BN56" s="100">
        <v>8</v>
      </c>
      <c r="BO56" s="100">
        <v>7852.7999999999993</v>
      </c>
      <c r="BP56" s="100">
        <v>10</v>
      </c>
      <c r="BQ56" s="100">
        <v>9816</v>
      </c>
      <c r="BR56" s="100">
        <v>9</v>
      </c>
      <c r="BS56" s="100">
        <v>8834.4</v>
      </c>
      <c r="BT56" s="100">
        <v>11</v>
      </c>
      <c r="BU56" s="100">
        <v>10797.599999999999</v>
      </c>
      <c r="BV56" s="100">
        <v>12</v>
      </c>
      <c r="BW56" s="100">
        <v>11779.199999999999</v>
      </c>
      <c r="BX56" s="100">
        <v>9</v>
      </c>
      <c r="BY56" s="100">
        <v>8834.4</v>
      </c>
      <c r="BZ56" s="100">
        <v>9</v>
      </c>
      <c r="CA56" s="100">
        <v>8834.4</v>
      </c>
      <c r="CB56" s="100">
        <v>15</v>
      </c>
      <c r="CC56" s="100">
        <v>14723.999999999998</v>
      </c>
      <c r="CD56" s="100">
        <v>15</v>
      </c>
      <c r="CE56" s="100">
        <v>14723.999999999998</v>
      </c>
      <c r="CF56" s="100">
        <v>10</v>
      </c>
      <c r="CG56" s="100">
        <v>9816</v>
      </c>
      <c r="CH56" s="100">
        <v>14</v>
      </c>
      <c r="CI56" s="100">
        <v>13742.399999999998</v>
      </c>
      <c r="CJ56" s="100">
        <v>17</v>
      </c>
      <c r="CK56" s="100">
        <v>16687.199999999997</v>
      </c>
      <c r="CL56" s="100">
        <v>9</v>
      </c>
      <c r="CM56" s="100">
        <v>8834.4</v>
      </c>
      <c r="CN56" s="100">
        <v>10</v>
      </c>
      <c r="CO56" s="100">
        <v>9816</v>
      </c>
      <c r="CP56" s="100">
        <v>15</v>
      </c>
      <c r="CQ56" s="100">
        <v>14723.999999999998</v>
      </c>
      <c r="CR56" s="100">
        <v>8</v>
      </c>
      <c r="CS56" s="100">
        <v>7852.7999999999993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14</v>
      </c>
      <c r="E57" s="100">
        <v>19756.8</v>
      </c>
      <c r="F57" s="100">
        <v>13</v>
      </c>
      <c r="G57" s="100">
        <v>18345.600000000002</v>
      </c>
      <c r="H57" s="100">
        <v>12</v>
      </c>
      <c r="I57" s="100">
        <v>16934.400000000001</v>
      </c>
      <c r="J57" s="100">
        <v>12.132545087484168</v>
      </c>
      <c r="K57" s="100">
        <v>17121.447627457659</v>
      </c>
      <c r="L57" s="100">
        <v>11.548984128646998</v>
      </c>
      <c r="M57" s="100">
        <v>16297.926402346644</v>
      </c>
      <c r="N57" s="100">
        <v>14.961356881874543</v>
      </c>
      <c r="O57" s="100">
        <v>21113.466831701357</v>
      </c>
      <c r="P57" s="100">
        <v>9.8726168328397019</v>
      </c>
      <c r="Q57" s="100">
        <v>13932.236874503387</v>
      </c>
      <c r="R57" s="100">
        <v>10.222709628330472</v>
      </c>
      <c r="S57" s="100">
        <v>14426.287827499962</v>
      </c>
      <c r="T57" s="100">
        <v>14</v>
      </c>
      <c r="U57" s="100">
        <v>19756.8</v>
      </c>
      <c r="V57" s="100">
        <v>11</v>
      </c>
      <c r="W57" s="100">
        <v>15523.2</v>
      </c>
      <c r="X57" s="100">
        <v>15</v>
      </c>
      <c r="Y57" s="100">
        <v>21168</v>
      </c>
      <c r="Z57" s="100">
        <v>9</v>
      </c>
      <c r="AA57" s="100">
        <v>12700.800000000001</v>
      </c>
      <c r="AB57" s="100">
        <v>13</v>
      </c>
      <c r="AC57" s="100">
        <v>18345.600000000002</v>
      </c>
      <c r="AD57" s="100">
        <v>12</v>
      </c>
      <c r="AE57" s="100">
        <v>16934.400000000001</v>
      </c>
      <c r="AF57" s="100">
        <v>10</v>
      </c>
      <c r="AG57" s="100">
        <v>14112</v>
      </c>
      <c r="AH57" s="100">
        <v>14</v>
      </c>
      <c r="AI57" s="100">
        <v>19756.8</v>
      </c>
      <c r="AJ57" s="100">
        <v>7.0641302275264319</v>
      </c>
      <c r="AK57" s="100">
        <v>9968.9005770853018</v>
      </c>
      <c r="AL57" s="100">
        <v>4.6791817976121736E-4</v>
      </c>
      <c r="AM57" s="100">
        <v>0.66032613527902995</v>
      </c>
      <c r="AN57" s="100">
        <v>2.9386642269501977E-4</v>
      </c>
      <c r="AO57" s="100">
        <v>0.4147042957072119</v>
      </c>
      <c r="AP57" s="100">
        <v>3.575374809456074E-4</v>
      </c>
      <c r="AQ57" s="100">
        <v>0.50455689311044116</v>
      </c>
      <c r="AR57" s="100">
        <v>12</v>
      </c>
      <c r="AS57" s="100">
        <v>16934.400000000001</v>
      </c>
      <c r="AT57" s="100">
        <v>11</v>
      </c>
      <c r="AU57" s="100">
        <v>15523.2</v>
      </c>
      <c r="AV57" s="100">
        <v>11</v>
      </c>
      <c r="AW57" s="100">
        <v>15523.2</v>
      </c>
      <c r="AX57" s="100">
        <v>13</v>
      </c>
      <c r="AY57" s="100">
        <v>18345.600000000002</v>
      </c>
      <c r="AZ57" s="100">
        <v>14</v>
      </c>
      <c r="BA57" s="100">
        <v>19756.8</v>
      </c>
      <c r="BB57" s="100">
        <v>16</v>
      </c>
      <c r="BC57" s="100">
        <v>22579.200000000001</v>
      </c>
      <c r="BD57" s="100">
        <v>14</v>
      </c>
      <c r="BE57" s="100">
        <v>19756.8</v>
      </c>
      <c r="BF57" s="100">
        <v>12</v>
      </c>
      <c r="BG57" s="100">
        <v>16934.400000000001</v>
      </c>
      <c r="BH57" s="100">
        <v>10</v>
      </c>
      <c r="BI57" s="100">
        <v>14112</v>
      </c>
      <c r="BJ57" s="100">
        <v>12</v>
      </c>
      <c r="BK57" s="100">
        <v>16934.400000000001</v>
      </c>
      <c r="BL57" s="100">
        <v>8</v>
      </c>
      <c r="BM57" s="100">
        <v>11289.6</v>
      </c>
      <c r="BN57" s="100">
        <v>9</v>
      </c>
      <c r="BO57" s="100">
        <v>12700.800000000001</v>
      </c>
      <c r="BP57" s="100">
        <v>10</v>
      </c>
      <c r="BQ57" s="100">
        <v>14112</v>
      </c>
      <c r="BR57" s="100">
        <v>9</v>
      </c>
      <c r="BS57" s="100">
        <v>12700.800000000001</v>
      </c>
      <c r="BT57" s="100">
        <v>10</v>
      </c>
      <c r="BU57" s="100">
        <v>14112</v>
      </c>
      <c r="BV57" s="100">
        <v>12</v>
      </c>
      <c r="BW57" s="100">
        <v>16934.400000000001</v>
      </c>
      <c r="BX57" s="100">
        <v>5.2628096654485583</v>
      </c>
      <c r="BY57" s="100">
        <v>7426.8769998810058</v>
      </c>
      <c r="BZ57" s="100">
        <v>3.4283116877113202</v>
      </c>
      <c r="CA57" s="100">
        <v>4838.0334536982155</v>
      </c>
      <c r="CB57" s="100">
        <v>12.238891736726604</v>
      </c>
      <c r="CC57" s="100">
        <v>17271.524018868586</v>
      </c>
      <c r="CD57" s="100">
        <v>13.953975447898076</v>
      </c>
      <c r="CE57" s="100">
        <v>19691.850152073766</v>
      </c>
      <c r="CF57" s="100">
        <v>7.4405612379417088</v>
      </c>
      <c r="CG57" s="100">
        <v>10500.12001898334</v>
      </c>
      <c r="CH57" s="100">
        <v>12.47967149432551</v>
      </c>
      <c r="CI57" s="100">
        <v>17611.312412792162</v>
      </c>
      <c r="CJ57" s="100">
        <v>14.627335891023391</v>
      </c>
      <c r="CK57" s="100">
        <v>20642.09640941221</v>
      </c>
      <c r="CL57" s="100">
        <v>9.1714121218140239</v>
      </c>
      <c r="CM57" s="100">
        <v>12942.696786303952</v>
      </c>
      <c r="CN57" s="100">
        <v>8.7723213851325763</v>
      </c>
      <c r="CO57" s="100">
        <v>12379.499938699091</v>
      </c>
      <c r="CP57" s="100">
        <v>12.72585621272647</v>
      </c>
      <c r="CQ57" s="100">
        <v>17958.728287399594</v>
      </c>
      <c r="CR57" s="100">
        <v>7.6308819328359814</v>
      </c>
      <c r="CS57" s="100">
        <v>10768.700583618138</v>
      </c>
      <c r="CT57" s="100">
        <v>8.4162637374755445</v>
      </c>
      <c r="CU57" s="100">
        <v>11877.031386325489</v>
      </c>
    </row>
    <row r="58" spans="2:99">
      <c r="C58" s="99" t="s">
        <v>224</v>
      </c>
      <c r="D58" s="100">
        <v>14</v>
      </c>
      <c r="E58" s="100">
        <v>16480.8</v>
      </c>
      <c r="F58" s="100">
        <v>12</v>
      </c>
      <c r="G58" s="100">
        <v>14126.400000000001</v>
      </c>
      <c r="H58" s="100">
        <v>12</v>
      </c>
      <c r="I58" s="100">
        <v>14126.400000000001</v>
      </c>
      <c r="J58" s="100">
        <v>15</v>
      </c>
      <c r="K58" s="100">
        <v>17658</v>
      </c>
      <c r="L58" s="100">
        <v>16</v>
      </c>
      <c r="M58" s="100">
        <v>18835.2</v>
      </c>
      <c r="N58" s="100">
        <v>17</v>
      </c>
      <c r="O58" s="100">
        <v>20012.400000000001</v>
      </c>
      <c r="P58" s="100">
        <v>10</v>
      </c>
      <c r="Q58" s="100">
        <v>11772</v>
      </c>
      <c r="R58" s="100">
        <v>10</v>
      </c>
      <c r="S58" s="100">
        <v>11772</v>
      </c>
      <c r="T58" s="100">
        <v>14</v>
      </c>
      <c r="U58" s="100">
        <v>16480.8</v>
      </c>
      <c r="V58" s="100">
        <v>11</v>
      </c>
      <c r="W58" s="100">
        <v>12949.2</v>
      </c>
      <c r="X58" s="100">
        <v>15</v>
      </c>
      <c r="Y58" s="100">
        <v>17658</v>
      </c>
      <c r="Z58" s="100">
        <v>8</v>
      </c>
      <c r="AA58" s="100">
        <v>9417.6</v>
      </c>
      <c r="AB58" s="100">
        <v>15</v>
      </c>
      <c r="AC58" s="100">
        <v>17658</v>
      </c>
      <c r="AD58" s="100">
        <v>12</v>
      </c>
      <c r="AE58" s="100">
        <v>14126.400000000001</v>
      </c>
      <c r="AF58" s="100">
        <v>10</v>
      </c>
      <c r="AG58" s="100">
        <v>11772</v>
      </c>
      <c r="AH58" s="100">
        <v>15</v>
      </c>
      <c r="AI58" s="100">
        <v>17658</v>
      </c>
      <c r="AJ58" s="100">
        <v>17</v>
      </c>
      <c r="AK58" s="100">
        <v>20012.400000000001</v>
      </c>
      <c r="AL58" s="100">
        <v>13</v>
      </c>
      <c r="AM58" s="100">
        <v>15303.6</v>
      </c>
      <c r="AN58" s="100">
        <v>9</v>
      </c>
      <c r="AO58" s="100">
        <v>10594.800000000001</v>
      </c>
      <c r="AP58" s="100">
        <v>12</v>
      </c>
      <c r="AQ58" s="100">
        <v>14126.400000000001</v>
      </c>
      <c r="AR58" s="100">
        <v>12</v>
      </c>
      <c r="AS58" s="100">
        <v>14126.400000000001</v>
      </c>
      <c r="AT58" s="100">
        <v>12</v>
      </c>
      <c r="AU58" s="100">
        <v>14126.400000000001</v>
      </c>
      <c r="AV58" s="100">
        <v>11</v>
      </c>
      <c r="AW58" s="100">
        <v>12949.2</v>
      </c>
      <c r="AX58" s="100">
        <v>12</v>
      </c>
      <c r="AY58" s="100">
        <v>14126.400000000001</v>
      </c>
      <c r="AZ58" s="100">
        <v>15</v>
      </c>
      <c r="BA58" s="100">
        <v>17658</v>
      </c>
      <c r="BB58" s="100">
        <v>16</v>
      </c>
      <c r="BC58" s="100">
        <v>18835.2</v>
      </c>
      <c r="BD58" s="100">
        <v>16</v>
      </c>
      <c r="BE58" s="100">
        <v>18835.2</v>
      </c>
      <c r="BF58" s="100">
        <v>14</v>
      </c>
      <c r="BG58" s="100">
        <v>16480.8</v>
      </c>
      <c r="BH58" s="100">
        <v>9</v>
      </c>
      <c r="BI58" s="100">
        <v>10594.800000000001</v>
      </c>
      <c r="BJ58" s="100">
        <v>14</v>
      </c>
      <c r="BK58" s="100">
        <v>16480.8</v>
      </c>
      <c r="BL58" s="100">
        <v>10</v>
      </c>
      <c r="BM58" s="100">
        <v>11772</v>
      </c>
      <c r="BN58" s="100">
        <v>9</v>
      </c>
      <c r="BO58" s="100">
        <v>10594.800000000001</v>
      </c>
      <c r="BP58" s="100">
        <v>10</v>
      </c>
      <c r="BQ58" s="100">
        <v>11772</v>
      </c>
      <c r="BR58" s="100">
        <v>10</v>
      </c>
      <c r="BS58" s="100">
        <v>11772</v>
      </c>
      <c r="BT58" s="100">
        <v>11</v>
      </c>
      <c r="BU58" s="100">
        <v>12949.2</v>
      </c>
      <c r="BV58" s="100">
        <v>14</v>
      </c>
      <c r="BW58" s="100">
        <v>16480.8</v>
      </c>
      <c r="BX58" s="100">
        <v>9</v>
      </c>
      <c r="BY58" s="100">
        <v>10594.800000000001</v>
      </c>
      <c r="BZ58" s="100">
        <v>9</v>
      </c>
      <c r="CA58" s="100">
        <v>10594.800000000001</v>
      </c>
      <c r="CB58" s="100">
        <v>15</v>
      </c>
      <c r="CC58" s="100">
        <v>17658</v>
      </c>
      <c r="CD58" s="100">
        <v>14</v>
      </c>
      <c r="CE58" s="100">
        <v>16480.8</v>
      </c>
      <c r="CF58" s="100">
        <v>9</v>
      </c>
      <c r="CG58" s="100">
        <v>10594.800000000001</v>
      </c>
      <c r="CH58" s="100">
        <v>13</v>
      </c>
      <c r="CI58" s="100">
        <v>15303.6</v>
      </c>
      <c r="CJ58" s="100">
        <v>17</v>
      </c>
      <c r="CK58" s="100">
        <v>20012.400000000001</v>
      </c>
      <c r="CL58" s="100">
        <v>10</v>
      </c>
      <c r="CM58" s="100">
        <v>11772</v>
      </c>
      <c r="CN58" s="100">
        <v>9</v>
      </c>
      <c r="CO58" s="100">
        <v>10594.800000000001</v>
      </c>
      <c r="CP58" s="100">
        <v>14</v>
      </c>
      <c r="CQ58" s="100">
        <v>16480.8</v>
      </c>
      <c r="CR58" s="100">
        <v>9</v>
      </c>
      <c r="CS58" s="100">
        <v>10594.800000000001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14</v>
      </c>
      <c r="E59" s="100">
        <v>4250.3999999999996</v>
      </c>
      <c r="F59" s="100">
        <v>14</v>
      </c>
      <c r="G59" s="100">
        <v>4250.3999999999996</v>
      </c>
      <c r="H59" s="100">
        <v>14</v>
      </c>
      <c r="I59" s="100">
        <v>4250.3999999999996</v>
      </c>
      <c r="J59" s="100">
        <v>13.999090485558655</v>
      </c>
      <c r="K59" s="100">
        <v>4250.123871415607</v>
      </c>
      <c r="L59" s="100">
        <v>12.437367523158306</v>
      </c>
      <c r="M59" s="100">
        <v>3775.9847800308612</v>
      </c>
      <c r="N59" s="100">
        <v>17.953628258249449</v>
      </c>
      <c r="O59" s="100">
        <v>5450.7215392045318</v>
      </c>
      <c r="P59" s="100">
        <v>9.8726168328397019</v>
      </c>
      <c r="Q59" s="100">
        <v>2997.326470450133</v>
      </c>
      <c r="R59" s="100">
        <v>11.152046867269606</v>
      </c>
      <c r="S59" s="100">
        <v>3385.7614289030521</v>
      </c>
      <c r="T59" s="100">
        <v>15</v>
      </c>
      <c r="U59" s="100">
        <v>4553.9999999999991</v>
      </c>
      <c r="V59" s="100">
        <v>13</v>
      </c>
      <c r="W59" s="100">
        <v>3946.7999999999997</v>
      </c>
      <c r="X59" s="100">
        <v>16</v>
      </c>
      <c r="Y59" s="100">
        <v>4857.5999999999995</v>
      </c>
      <c r="Z59" s="100">
        <v>9</v>
      </c>
      <c r="AA59" s="100">
        <v>2732.3999999999996</v>
      </c>
      <c r="AB59" s="100">
        <v>15</v>
      </c>
      <c r="AC59" s="100">
        <v>4553.9999999999991</v>
      </c>
      <c r="AD59" s="100">
        <v>15</v>
      </c>
      <c r="AE59" s="100">
        <v>4553.9999999999991</v>
      </c>
      <c r="AF59" s="100">
        <v>10</v>
      </c>
      <c r="AG59" s="100">
        <v>3035.9999999999995</v>
      </c>
      <c r="AH59" s="100">
        <v>16</v>
      </c>
      <c r="AI59" s="100">
        <v>4857.5999999999995</v>
      </c>
      <c r="AJ59" s="100">
        <v>7.505638366746834</v>
      </c>
      <c r="AK59" s="100">
        <v>2278.7118081443386</v>
      </c>
      <c r="AL59" s="100">
        <v>5.0391188589669564E-4</v>
      </c>
      <c r="AM59" s="100">
        <v>0.15298764855823677</v>
      </c>
      <c r="AN59" s="100">
        <v>3.2325306496452173E-4</v>
      </c>
      <c r="AO59" s="100">
        <v>9.8139630523228785E-2</v>
      </c>
      <c r="AP59" s="100">
        <v>4.5504770302168214E-4</v>
      </c>
      <c r="AQ59" s="100">
        <v>0.1381524826373827</v>
      </c>
      <c r="AR59" s="100">
        <v>13</v>
      </c>
      <c r="AS59" s="100">
        <v>3946.7999999999997</v>
      </c>
      <c r="AT59" s="100">
        <v>14</v>
      </c>
      <c r="AU59" s="100">
        <v>4250.3999999999996</v>
      </c>
      <c r="AV59" s="100">
        <v>11</v>
      </c>
      <c r="AW59" s="100">
        <v>3339.5999999999995</v>
      </c>
      <c r="AX59" s="100">
        <v>13</v>
      </c>
      <c r="AY59" s="100">
        <v>3946.7999999999997</v>
      </c>
      <c r="AZ59" s="100">
        <v>15</v>
      </c>
      <c r="BA59" s="100">
        <v>4553.9999999999991</v>
      </c>
      <c r="BB59" s="100">
        <v>17</v>
      </c>
      <c r="BC59" s="100">
        <v>5161.2</v>
      </c>
      <c r="BD59" s="100">
        <v>18</v>
      </c>
      <c r="BE59" s="100">
        <v>5464.7999999999993</v>
      </c>
      <c r="BF59" s="100">
        <v>16</v>
      </c>
      <c r="BG59" s="100">
        <v>4857.5999999999995</v>
      </c>
      <c r="BH59" s="100">
        <v>10</v>
      </c>
      <c r="BI59" s="100">
        <v>3035.9999999999995</v>
      </c>
      <c r="BJ59" s="100">
        <v>15</v>
      </c>
      <c r="BK59" s="100">
        <v>4553.9999999999991</v>
      </c>
      <c r="BL59" s="100">
        <v>9</v>
      </c>
      <c r="BM59" s="100">
        <v>2732.3999999999996</v>
      </c>
      <c r="BN59" s="100">
        <v>9</v>
      </c>
      <c r="BO59" s="100">
        <v>2732.3999999999996</v>
      </c>
      <c r="BP59" s="100">
        <v>12</v>
      </c>
      <c r="BQ59" s="100">
        <v>3643.2</v>
      </c>
      <c r="BR59" s="100">
        <v>11</v>
      </c>
      <c r="BS59" s="100">
        <v>3339.5999999999995</v>
      </c>
      <c r="BT59" s="100">
        <v>11</v>
      </c>
      <c r="BU59" s="100">
        <v>3339.5999999999995</v>
      </c>
      <c r="BV59" s="100">
        <v>14</v>
      </c>
      <c r="BW59" s="100">
        <v>4250.3999999999996</v>
      </c>
      <c r="BX59" s="100">
        <v>5.920660873629628</v>
      </c>
      <c r="BY59" s="100">
        <v>1797.5126412339548</v>
      </c>
      <c r="BZ59" s="100">
        <v>3.4283116877113202</v>
      </c>
      <c r="CA59" s="100">
        <v>1040.8354283891567</v>
      </c>
      <c r="CB59" s="100">
        <v>12.238891736726604</v>
      </c>
      <c r="CC59" s="100">
        <v>3715.7275312701963</v>
      </c>
      <c r="CD59" s="100">
        <v>14.826098913391705</v>
      </c>
      <c r="CE59" s="100">
        <v>4501.2036301057215</v>
      </c>
      <c r="CF59" s="100">
        <v>9.0940192908176432</v>
      </c>
      <c r="CG59" s="100">
        <v>2760.9442566922362</v>
      </c>
      <c r="CH59" s="100">
        <v>14.262481707800584</v>
      </c>
      <c r="CI59" s="100">
        <v>4330.0894464882567</v>
      </c>
      <c r="CJ59" s="100">
        <v>16.577647343159839</v>
      </c>
      <c r="CK59" s="100">
        <v>5032.9737333833264</v>
      </c>
      <c r="CL59" s="100">
        <v>10.088553333995426</v>
      </c>
      <c r="CM59" s="100">
        <v>3062.8847922010109</v>
      </c>
      <c r="CN59" s="100">
        <v>8.7723213851325763</v>
      </c>
      <c r="CO59" s="100">
        <v>2663.2767725262497</v>
      </c>
      <c r="CP59" s="100">
        <v>11.930490199431064</v>
      </c>
      <c r="CQ59" s="100">
        <v>3622.0968245472709</v>
      </c>
      <c r="CR59" s="100">
        <v>9.5386024160449754</v>
      </c>
      <c r="CS59" s="100">
        <v>2895.9196935112541</v>
      </c>
      <c r="CT59" s="100">
        <v>10.286544568025667</v>
      </c>
      <c r="CU59" s="100">
        <v>3122.994930852592</v>
      </c>
    </row>
    <row r="60" spans="2:99">
      <c r="C60" s="99" t="s">
        <v>226</v>
      </c>
      <c r="D60" s="100">
        <v>15</v>
      </c>
      <c r="E60" s="100">
        <v>9774</v>
      </c>
      <c r="F60" s="100">
        <v>14</v>
      </c>
      <c r="G60" s="100">
        <v>9122.4</v>
      </c>
      <c r="H60" s="100">
        <v>14</v>
      </c>
      <c r="I60" s="100">
        <v>9122.4</v>
      </c>
      <c r="J60" s="100">
        <v>14.9323631845959</v>
      </c>
      <c r="K60" s="100">
        <v>9729.927851082688</v>
      </c>
      <c r="L60" s="100">
        <v>14.214134312180921</v>
      </c>
      <c r="M60" s="100">
        <v>9261.9299178170877</v>
      </c>
      <c r="N60" s="100">
        <v>16.956204466124483</v>
      </c>
      <c r="O60" s="100">
        <v>11048.662830126714</v>
      </c>
      <c r="P60" s="100">
        <v>10.770127454006948</v>
      </c>
      <c r="Q60" s="100">
        <v>7017.8150490309272</v>
      </c>
      <c r="R60" s="100">
        <v>11.152046867269606</v>
      </c>
      <c r="S60" s="100">
        <v>7266.6737387128751</v>
      </c>
      <c r="T60" s="100">
        <v>15</v>
      </c>
      <c r="U60" s="100">
        <v>9774</v>
      </c>
      <c r="V60" s="100">
        <v>11</v>
      </c>
      <c r="W60" s="100">
        <v>7167.6</v>
      </c>
      <c r="X60" s="100">
        <v>15</v>
      </c>
      <c r="Y60" s="100">
        <v>9774</v>
      </c>
      <c r="Z60" s="100">
        <v>9</v>
      </c>
      <c r="AA60" s="100">
        <v>5864.4000000000005</v>
      </c>
      <c r="AB60" s="100">
        <v>14</v>
      </c>
      <c r="AC60" s="100">
        <v>9122.4</v>
      </c>
      <c r="AD60" s="100">
        <v>14</v>
      </c>
      <c r="AE60" s="100">
        <v>9122.4</v>
      </c>
      <c r="AF60" s="100">
        <v>10</v>
      </c>
      <c r="AG60" s="100">
        <v>6516</v>
      </c>
      <c r="AH60" s="100">
        <v>16</v>
      </c>
      <c r="AI60" s="100">
        <v>10425.6</v>
      </c>
      <c r="AJ60" s="100">
        <v>7.505638366746834</v>
      </c>
      <c r="AK60" s="100">
        <v>4890.6739597722371</v>
      </c>
      <c r="AL60" s="100">
        <v>5.0391188589669564E-4</v>
      </c>
      <c r="AM60" s="100">
        <v>0.32834898485028691</v>
      </c>
      <c r="AN60" s="100">
        <v>3.2325306496452173E-4</v>
      </c>
      <c r="AO60" s="100">
        <v>0.21063169713088237</v>
      </c>
      <c r="AP60" s="100">
        <v>3.9004088830429896E-4</v>
      </c>
      <c r="AQ60" s="100">
        <v>0.25415064281908123</v>
      </c>
      <c r="AR60" s="100">
        <v>14</v>
      </c>
      <c r="AS60" s="100">
        <v>9122.4</v>
      </c>
      <c r="AT60" s="100">
        <v>12</v>
      </c>
      <c r="AU60" s="100">
        <v>7819.2000000000007</v>
      </c>
      <c r="AV60" s="100">
        <v>12</v>
      </c>
      <c r="AW60" s="100">
        <v>7819.2000000000007</v>
      </c>
      <c r="AX60" s="100">
        <v>13</v>
      </c>
      <c r="AY60" s="100">
        <v>8470.8000000000011</v>
      </c>
      <c r="AZ60" s="100">
        <v>14</v>
      </c>
      <c r="BA60" s="100">
        <v>9122.4</v>
      </c>
      <c r="BB60" s="100">
        <v>16</v>
      </c>
      <c r="BC60" s="100">
        <v>10425.6</v>
      </c>
      <c r="BD60" s="100">
        <v>16</v>
      </c>
      <c r="BE60" s="100">
        <v>10425.6</v>
      </c>
      <c r="BF60" s="100">
        <v>13</v>
      </c>
      <c r="BG60" s="100">
        <v>8470.8000000000011</v>
      </c>
      <c r="BH60" s="100">
        <v>11</v>
      </c>
      <c r="BI60" s="100">
        <v>7167.6</v>
      </c>
      <c r="BJ60" s="100">
        <v>15</v>
      </c>
      <c r="BK60" s="100">
        <v>9774</v>
      </c>
      <c r="BL60" s="100">
        <v>10</v>
      </c>
      <c r="BM60" s="100">
        <v>6516</v>
      </c>
      <c r="BN60" s="100">
        <v>10</v>
      </c>
      <c r="BO60" s="100">
        <v>6516</v>
      </c>
      <c r="BP60" s="100">
        <v>11</v>
      </c>
      <c r="BQ60" s="100">
        <v>7167.6</v>
      </c>
      <c r="BR60" s="100">
        <v>11</v>
      </c>
      <c r="BS60" s="100">
        <v>7167.6</v>
      </c>
      <c r="BT60" s="100">
        <v>12</v>
      </c>
      <c r="BU60" s="100">
        <v>7819.2000000000007</v>
      </c>
      <c r="BV60" s="100">
        <v>13</v>
      </c>
      <c r="BW60" s="100">
        <v>8470.8000000000011</v>
      </c>
      <c r="BX60" s="100">
        <v>5.2628096654485583</v>
      </c>
      <c r="BY60" s="100">
        <v>3429.2467780062807</v>
      </c>
      <c r="BZ60" s="100">
        <v>3.8092352085681331</v>
      </c>
      <c r="CA60" s="100">
        <v>2482.0976619029957</v>
      </c>
      <c r="CB60" s="100">
        <v>12.958826544769346</v>
      </c>
      <c r="CC60" s="100">
        <v>8443.9713765717061</v>
      </c>
      <c r="CD60" s="100">
        <v>15.698222378885337</v>
      </c>
      <c r="CE60" s="100">
        <v>10228.961702081686</v>
      </c>
      <c r="CF60" s="100">
        <v>9.0940192908176432</v>
      </c>
      <c r="CG60" s="100">
        <v>5925.6629698967763</v>
      </c>
      <c r="CH60" s="100">
        <v>14.262481707800584</v>
      </c>
      <c r="CI60" s="100">
        <v>9293.4330808028608</v>
      </c>
      <c r="CJ60" s="100">
        <v>14.627335891023391</v>
      </c>
      <c r="CK60" s="100">
        <v>9531.1720665908415</v>
      </c>
      <c r="CL60" s="100">
        <v>9.1714121218140239</v>
      </c>
      <c r="CM60" s="100">
        <v>5976.0921385740185</v>
      </c>
      <c r="CN60" s="100">
        <v>8.7723213851325763</v>
      </c>
      <c r="CO60" s="100">
        <v>5716.0446145523865</v>
      </c>
      <c r="CP60" s="100">
        <v>13.521222226021873</v>
      </c>
      <c r="CQ60" s="100">
        <v>8810.4284024758526</v>
      </c>
      <c r="CR60" s="100">
        <v>8.5847421744404802</v>
      </c>
      <c r="CS60" s="100">
        <v>5593.8180008654172</v>
      </c>
      <c r="CT60" s="100">
        <v>8.4162637374755445</v>
      </c>
      <c r="CU60" s="100">
        <v>5484.0374513390652</v>
      </c>
    </row>
    <row r="61" spans="2:99">
      <c r="C61" s="99" t="s">
        <v>227</v>
      </c>
      <c r="D61" s="100">
        <v>14</v>
      </c>
      <c r="E61" s="100">
        <v>13322.399999999998</v>
      </c>
      <c r="F61" s="100">
        <v>13</v>
      </c>
      <c r="G61" s="100">
        <v>12370.8</v>
      </c>
      <c r="H61" s="100">
        <v>13</v>
      </c>
      <c r="I61" s="100">
        <v>12370.8</v>
      </c>
      <c r="J61" s="100">
        <v>13.999090485558655</v>
      </c>
      <c r="K61" s="100">
        <v>13321.534506057615</v>
      </c>
      <c r="L61" s="100">
        <v>13.325750917669614</v>
      </c>
      <c r="M61" s="100">
        <v>12680.784573254403</v>
      </c>
      <c r="N61" s="100">
        <v>15.958780673999513</v>
      </c>
      <c r="O61" s="100">
        <v>15186.375689377935</v>
      </c>
      <c r="P61" s="100">
        <v>10.770127454006948</v>
      </c>
      <c r="Q61" s="100">
        <v>10248.85328523301</v>
      </c>
      <c r="R61" s="100">
        <v>9.2933723893913385</v>
      </c>
      <c r="S61" s="100">
        <v>8843.5731657447977</v>
      </c>
      <c r="T61" s="100">
        <v>13</v>
      </c>
      <c r="U61" s="100">
        <v>12370.8</v>
      </c>
      <c r="V61" s="100">
        <v>10</v>
      </c>
      <c r="W61" s="100">
        <v>9516</v>
      </c>
      <c r="X61" s="100">
        <v>16</v>
      </c>
      <c r="Y61" s="100">
        <v>15225.599999999999</v>
      </c>
      <c r="Z61" s="100">
        <v>9</v>
      </c>
      <c r="AA61" s="100">
        <v>8564.4</v>
      </c>
      <c r="AB61" s="100">
        <v>16</v>
      </c>
      <c r="AC61" s="100">
        <v>15225.599999999999</v>
      </c>
      <c r="AD61" s="100">
        <v>13</v>
      </c>
      <c r="AE61" s="100">
        <v>12370.8</v>
      </c>
      <c r="AF61" s="100">
        <v>11</v>
      </c>
      <c r="AG61" s="100">
        <v>10467.599999999999</v>
      </c>
      <c r="AH61" s="100">
        <v>14</v>
      </c>
      <c r="AI61" s="100">
        <v>13322.399999999998</v>
      </c>
      <c r="AJ61" s="100">
        <v>6.6226220883060298</v>
      </c>
      <c r="AK61" s="100">
        <v>6302.0871792320177</v>
      </c>
      <c r="AL61" s="100">
        <v>4.6791817976121736E-4</v>
      </c>
      <c r="AM61" s="100">
        <v>0.44527093986077437</v>
      </c>
      <c r="AN61" s="100">
        <v>3.2325306496452173E-4</v>
      </c>
      <c r="AO61" s="100">
        <v>0.30760761662023883</v>
      </c>
      <c r="AP61" s="100">
        <v>4.2254429566299052E-4</v>
      </c>
      <c r="AQ61" s="100">
        <v>0.40209315175290172</v>
      </c>
      <c r="AR61" s="100">
        <v>11</v>
      </c>
      <c r="AS61" s="100">
        <v>10467.599999999999</v>
      </c>
      <c r="AT61" s="100">
        <v>13</v>
      </c>
      <c r="AU61" s="100">
        <v>12370.8</v>
      </c>
      <c r="AV61" s="100">
        <v>11</v>
      </c>
      <c r="AW61" s="100">
        <v>10467.599999999999</v>
      </c>
      <c r="AX61" s="100">
        <v>14</v>
      </c>
      <c r="AY61" s="100">
        <v>13322.399999999998</v>
      </c>
      <c r="AZ61" s="100">
        <v>14</v>
      </c>
      <c r="BA61" s="100">
        <v>13322.399999999998</v>
      </c>
      <c r="BB61" s="100">
        <v>15</v>
      </c>
      <c r="BC61" s="100">
        <v>14273.999999999998</v>
      </c>
      <c r="BD61" s="100">
        <v>17</v>
      </c>
      <c r="BE61" s="100">
        <v>16177.199999999999</v>
      </c>
      <c r="BF61" s="100">
        <v>13</v>
      </c>
      <c r="BG61" s="100">
        <v>12370.8</v>
      </c>
      <c r="BH61" s="100">
        <v>10</v>
      </c>
      <c r="BI61" s="100">
        <v>9516</v>
      </c>
      <c r="BJ61" s="100">
        <v>14</v>
      </c>
      <c r="BK61" s="100">
        <v>13322.399999999998</v>
      </c>
      <c r="BL61" s="100">
        <v>9</v>
      </c>
      <c r="BM61" s="100">
        <v>8564.4</v>
      </c>
      <c r="BN61" s="100">
        <v>10</v>
      </c>
      <c r="BO61" s="100">
        <v>9516</v>
      </c>
      <c r="BP61" s="100">
        <v>9</v>
      </c>
      <c r="BQ61" s="100">
        <v>8564.4</v>
      </c>
      <c r="BR61" s="100">
        <v>10</v>
      </c>
      <c r="BS61" s="100">
        <v>9516</v>
      </c>
      <c r="BT61" s="100">
        <v>11</v>
      </c>
      <c r="BU61" s="100">
        <v>10467.599999999999</v>
      </c>
      <c r="BV61" s="100">
        <v>14</v>
      </c>
      <c r="BW61" s="100">
        <v>13322.399999999998</v>
      </c>
      <c r="BX61" s="100">
        <v>5.920660873629628</v>
      </c>
      <c r="BY61" s="100">
        <v>5634.1008873459532</v>
      </c>
      <c r="BZ61" s="100">
        <v>3.0473881668545069</v>
      </c>
      <c r="CA61" s="100">
        <v>2899.8945795787486</v>
      </c>
      <c r="CB61" s="100">
        <v>12.238891736726604</v>
      </c>
      <c r="CC61" s="100">
        <v>11646.529376669036</v>
      </c>
      <c r="CD61" s="100">
        <v>14.826098913391705</v>
      </c>
      <c r="CE61" s="100">
        <v>14108.515725983545</v>
      </c>
      <c r="CF61" s="100">
        <v>7.4405612379417088</v>
      </c>
      <c r="CG61" s="100">
        <v>7080.4380740253291</v>
      </c>
      <c r="CH61" s="100">
        <v>14.262481707800584</v>
      </c>
      <c r="CI61" s="100">
        <v>13572.177593143035</v>
      </c>
      <c r="CJ61" s="100">
        <v>13.652180164955164</v>
      </c>
      <c r="CK61" s="100">
        <v>12991.414644971333</v>
      </c>
      <c r="CL61" s="100">
        <v>10.088553333995426</v>
      </c>
      <c r="CM61" s="100">
        <v>9600.2673526300459</v>
      </c>
      <c r="CN61" s="100">
        <v>8.7723213851325763</v>
      </c>
      <c r="CO61" s="100">
        <v>8347.7410300921583</v>
      </c>
      <c r="CP61" s="100">
        <v>13.521222226021873</v>
      </c>
      <c r="CQ61" s="100">
        <v>12866.795070282413</v>
      </c>
      <c r="CR61" s="100">
        <v>7.6308819328359814</v>
      </c>
      <c r="CS61" s="100">
        <v>7261.5472472867195</v>
      </c>
      <c r="CT61" s="100">
        <v>8.4162637374755445</v>
      </c>
      <c r="CU61" s="100">
        <v>8008.9165725817275</v>
      </c>
    </row>
    <row r="62" spans="2:99">
      <c r="C62" s="99" t="s">
        <v>228</v>
      </c>
      <c r="D62" s="100">
        <v>14</v>
      </c>
      <c r="E62" s="100">
        <v>23368.799999999999</v>
      </c>
      <c r="F62" s="100">
        <v>12</v>
      </c>
      <c r="G62" s="100">
        <v>20030.400000000001</v>
      </c>
      <c r="H62" s="100">
        <v>13</v>
      </c>
      <c r="I62" s="100">
        <v>21699.600000000002</v>
      </c>
      <c r="J62" s="100">
        <v>13</v>
      </c>
      <c r="K62" s="100">
        <v>21699.600000000002</v>
      </c>
      <c r="L62" s="100">
        <v>14</v>
      </c>
      <c r="M62" s="100">
        <v>23368.799999999999</v>
      </c>
      <c r="N62" s="100">
        <v>16</v>
      </c>
      <c r="O62" s="100">
        <v>26707.200000000001</v>
      </c>
      <c r="P62" s="100">
        <v>10</v>
      </c>
      <c r="Q62" s="100">
        <v>16692</v>
      </c>
      <c r="R62" s="100">
        <v>10</v>
      </c>
      <c r="S62" s="100">
        <v>16692</v>
      </c>
      <c r="T62" s="100">
        <v>12</v>
      </c>
      <c r="U62" s="100">
        <v>20030.400000000001</v>
      </c>
      <c r="V62" s="100">
        <v>11</v>
      </c>
      <c r="W62" s="100">
        <v>18361.2</v>
      </c>
      <c r="X62" s="100">
        <v>16</v>
      </c>
      <c r="Y62" s="100">
        <v>26707.200000000001</v>
      </c>
      <c r="Z62" s="100">
        <v>8</v>
      </c>
      <c r="AA62" s="100">
        <v>13353.6</v>
      </c>
      <c r="AB62" s="100">
        <v>13</v>
      </c>
      <c r="AC62" s="100">
        <v>21699.600000000002</v>
      </c>
      <c r="AD62" s="100">
        <v>13</v>
      </c>
      <c r="AE62" s="100">
        <v>21699.600000000002</v>
      </c>
      <c r="AF62" s="100">
        <v>9</v>
      </c>
      <c r="AG62" s="100">
        <v>15022.800000000001</v>
      </c>
      <c r="AH62" s="100">
        <v>14</v>
      </c>
      <c r="AI62" s="100">
        <v>23368.799999999999</v>
      </c>
      <c r="AJ62" s="100">
        <v>15</v>
      </c>
      <c r="AK62" s="100">
        <v>25038</v>
      </c>
      <c r="AL62" s="100">
        <v>11</v>
      </c>
      <c r="AM62" s="100">
        <v>18361.2</v>
      </c>
      <c r="AN62" s="100">
        <v>10</v>
      </c>
      <c r="AO62" s="100">
        <v>16692</v>
      </c>
      <c r="AP62" s="100">
        <v>11</v>
      </c>
      <c r="AQ62" s="100">
        <v>18361.2</v>
      </c>
      <c r="AR62" s="100">
        <v>12</v>
      </c>
      <c r="AS62" s="100">
        <v>20030.400000000001</v>
      </c>
      <c r="AT62" s="100">
        <v>11</v>
      </c>
      <c r="AU62" s="100">
        <v>18361.2</v>
      </c>
      <c r="AV62" s="100">
        <v>11</v>
      </c>
      <c r="AW62" s="100">
        <v>18361.2</v>
      </c>
      <c r="AX62" s="100">
        <v>13</v>
      </c>
      <c r="AY62" s="100">
        <v>21699.600000000002</v>
      </c>
      <c r="AZ62" s="100">
        <v>13</v>
      </c>
      <c r="BA62" s="100">
        <v>21699.600000000002</v>
      </c>
      <c r="BB62" s="100">
        <v>14</v>
      </c>
      <c r="BC62" s="100">
        <v>23368.799999999999</v>
      </c>
      <c r="BD62" s="100">
        <v>16</v>
      </c>
      <c r="BE62" s="100">
        <v>26707.200000000001</v>
      </c>
      <c r="BF62" s="100">
        <v>11</v>
      </c>
      <c r="BG62" s="100">
        <v>18361.2</v>
      </c>
      <c r="BH62" s="100">
        <v>9</v>
      </c>
      <c r="BI62" s="100">
        <v>15022.800000000001</v>
      </c>
      <c r="BJ62" s="100">
        <v>14</v>
      </c>
      <c r="BK62" s="100">
        <v>23368.799999999999</v>
      </c>
      <c r="BL62" s="100">
        <v>9</v>
      </c>
      <c r="BM62" s="100">
        <v>15022.800000000001</v>
      </c>
      <c r="BN62" s="100">
        <v>8</v>
      </c>
      <c r="BO62" s="100">
        <v>13353.6</v>
      </c>
      <c r="BP62" s="100">
        <v>9</v>
      </c>
      <c r="BQ62" s="100">
        <v>15022.800000000001</v>
      </c>
      <c r="BR62" s="100">
        <v>10</v>
      </c>
      <c r="BS62" s="100">
        <v>16692</v>
      </c>
      <c r="BT62" s="100">
        <v>9</v>
      </c>
      <c r="BU62" s="100">
        <v>15022.800000000001</v>
      </c>
      <c r="BV62" s="100">
        <v>13</v>
      </c>
      <c r="BW62" s="100">
        <v>21699.600000000002</v>
      </c>
      <c r="BX62" s="100">
        <v>8</v>
      </c>
      <c r="BY62" s="100">
        <v>13353.6</v>
      </c>
      <c r="BZ62" s="100">
        <v>9</v>
      </c>
      <c r="CA62" s="100">
        <v>15022.800000000001</v>
      </c>
      <c r="CB62" s="100">
        <v>15</v>
      </c>
      <c r="CC62" s="100">
        <v>25038</v>
      </c>
      <c r="CD62" s="100">
        <v>14</v>
      </c>
      <c r="CE62" s="100">
        <v>23368.799999999999</v>
      </c>
      <c r="CF62" s="100">
        <v>10</v>
      </c>
      <c r="CG62" s="100">
        <v>16692</v>
      </c>
      <c r="CH62" s="100">
        <v>14</v>
      </c>
      <c r="CI62" s="100">
        <v>23368.799999999999</v>
      </c>
      <c r="CJ62" s="100">
        <v>14</v>
      </c>
      <c r="CK62" s="100">
        <v>23368.799999999999</v>
      </c>
      <c r="CL62" s="100">
        <v>10</v>
      </c>
      <c r="CM62" s="100">
        <v>16692</v>
      </c>
      <c r="CN62" s="100">
        <v>10</v>
      </c>
      <c r="CO62" s="100">
        <v>16692</v>
      </c>
      <c r="CP62" s="100">
        <v>15</v>
      </c>
      <c r="CQ62" s="100">
        <v>25038</v>
      </c>
      <c r="CR62" s="100">
        <v>7</v>
      </c>
      <c r="CS62" s="100">
        <v>11684.4</v>
      </c>
      <c r="CT62" s="100">
        <v>9</v>
      </c>
      <c r="CU62" s="100">
        <v>15022.800000000001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14</v>
      </c>
      <c r="G63" s="100">
        <v>11138.4</v>
      </c>
      <c r="H63" s="100">
        <v>12</v>
      </c>
      <c r="I63" s="100">
        <v>9547.2000000000007</v>
      </c>
      <c r="J63" s="100">
        <v>13.999090485558655</v>
      </c>
      <c r="K63" s="100">
        <v>11137.676390310466</v>
      </c>
      <c r="L63" s="100">
        <v>12.437367523158306</v>
      </c>
      <c r="M63" s="100">
        <v>9895.1696014247482</v>
      </c>
      <c r="N63" s="100">
        <v>16.956204466124483</v>
      </c>
      <c r="O63" s="100">
        <v>13490.356273248639</v>
      </c>
      <c r="P63" s="100">
        <v>10.770127454006948</v>
      </c>
      <c r="Q63" s="100">
        <v>8568.7134024079278</v>
      </c>
      <c r="R63" s="100">
        <v>9.2933723893913385</v>
      </c>
      <c r="S63" s="100">
        <v>7393.8070729997489</v>
      </c>
      <c r="T63" s="100">
        <v>13</v>
      </c>
      <c r="U63" s="100">
        <v>10342.800000000001</v>
      </c>
      <c r="V63" s="100">
        <v>12</v>
      </c>
      <c r="W63" s="100">
        <v>9547.2000000000007</v>
      </c>
      <c r="X63" s="100">
        <v>18</v>
      </c>
      <c r="Y63" s="100">
        <v>14320.800000000001</v>
      </c>
      <c r="Z63" s="100">
        <v>8</v>
      </c>
      <c r="AA63" s="100">
        <v>6364.8</v>
      </c>
      <c r="AB63" s="100">
        <v>15</v>
      </c>
      <c r="AC63" s="100">
        <v>11934</v>
      </c>
      <c r="AD63" s="100">
        <v>13</v>
      </c>
      <c r="AE63" s="100">
        <v>10342.800000000001</v>
      </c>
      <c r="AF63" s="100">
        <v>10</v>
      </c>
      <c r="AG63" s="100">
        <v>7956</v>
      </c>
      <c r="AH63" s="100">
        <v>15</v>
      </c>
      <c r="AI63" s="100">
        <v>11934</v>
      </c>
      <c r="AJ63" s="100">
        <v>7.505638366746834</v>
      </c>
      <c r="AK63" s="100">
        <v>5971.4858845837816</v>
      </c>
      <c r="AL63" s="100">
        <v>4.6791817976121736E-4</v>
      </c>
      <c r="AM63" s="100">
        <v>0.37227570381802455</v>
      </c>
      <c r="AN63" s="100">
        <v>3.2325306496452173E-4</v>
      </c>
      <c r="AO63" s="100">
        <v>0.25718013848577348</v>
      </c>
      <c r="AP63" s="100">
        <v>4.2254429566299052E-4</v>
      </c>
      <c r="AQ63" s="100">
        <v>0.33617624162947529</v>
      </c>
      <c r="AR63" s="100">
        <v>13</v>
      </c>
      <c r="AS63" s="100">
        <v>10342.800000000001</v>
      </c>
      <c r="AT63" s="100">
        <v>13</v>
      </c>
      <c r="AU63" s="100">
        <v>10342.800000000001</v>
      </c>
      <c r="AV63" s="100">
        <v>12</v>
      </c>
      <c r="AW63" s="100">
        <v>9547.2000000000007</v>
      </c>
      <c r="AX63" s="100">
        <v>14</v>
      </c>
      <c r="AY63" s="100">
        <v>11138.4</v>
      </c>
      <c r="AZ63" s="100">
        <v>16</v>
      </c>
      <c r="BA63" s="100">
        <v>12729.6</v>
      </c>
      <c r="BB63" s="100">
        <v>16</v>
      </c>
      <c r="BC63" s="100">
        <v>12729.6</v>
      </c>
      <c r="BD63" s="100">
        <v>17</v>
      </c>
      <c r="BE63" s="100">
        <v>13525.2</v>
      </c>
      <c r="BF63" s="100">
        <v>13</v>
      </c>
      <c r="BG63" s="100">
        <v>10342.800000000001</v>
      </c>
      <c r="BH63" s="100">
        <v>10</v>
      </c>
      <c r="BI63" s="100">
        <v>7956</v>
      </c>
      <c r="BJ63" s="100">
        <v>15</v>
      </c>
      <c r="BK63" s="100">
        <v>11934</v>
      </c>
      <c r="BL63" s="100">
        <v>9</v>
      </c>
      <c r="BM63" s="100">
        <v>7160.4000000000005</v>
      </c>
      <c r="BN63" s="100">
        <v>9</v>
      </c>
      <c r="BO63" s="100">
        <v>7160.4000000000005</v>
      </c>
      <c r="BP63" s="100">
        <v>11</v>
      </c>
      <c r="BQ63" s="100">
        <v>8751.6</v>
      </c>
      <c r="BR63" s="100">
        <v>11</v>
      </c>
      <c r="BS63" s="100">
        <v>8751.6</v>
      </c>
      <c r="BT63" s="100">
        <v>11</v>
      </c>
      <c r="BU63" s="100">
        <v>8751.6</v>
      </c>
      <c r="BV63" s="100">
        <v>12</v>
      </c>
      <c r="BW63" s="100">
        <v>9547.2000000000007</v>
      </c>
      <c r="BX63" s="100">
        <v>5.2628096654485583</v>
      </c>
      <c r="BY63" s="100">
        <v>4187.0913698308732</v>
      </c>
      <c r="BZ63" s="100">
        <v>3.0473881668545069</v>
      </c>
      <c r="CA63" s="100">
        <v>2424.5020255494455</v>
      </c>
      <c r="CB63" s="100">
        <v>11.518956928683863</v>
      </c>
      <c r="CC63" s="100">
        <v>9164.482132460882</v>
      </c>
      <c r="CD63" s="100">
        <v>15.698222378885337</v>
      </c>
      <c r="CE63" s="100">
        <v>12489.505724641174</v>
      </c>
      <c r="CF63" s="100">
        <v>9.0940192908176432</v>
      </c>
      <c r="CG63" s="100">
        <v>7235.2017477745167</v>
      </c>
      <c r="CH63" s="100">
        <v>12.47967149432551</v>
      </c>
      <c r="CI63" s="100">
        <v>9928.826640885376</v>
      </c>
      <c r="CJ63" s="100">
        <v>14.627335891023391</v>
      </c>
      <c r="CK63" s="100">
        <v>11637.508434898209</v>
      </c>
      <c r="CL63" s="100">
        <v>10.088553333995426</v>
      </c>
      <c r="CM63" s="100">
        <v>8026.4530325267615</v>
      </c>
      <c r="CN63" s="100">
        <v>8.7723213851325763</v>
      </c>
      <c r="CO63" s="100">
        <v>6979.2588940114783</v>
      </c>
      <c r="CP63" s="100">
        <v>13.521222226021873</v>
      </c>
      <c r="CQ63" s="100">
        <v>10757.484403023003</v>
      </c>
      <c r="CR63" s="100">
        <v>7.6308819328359814</v>
      </c>
      <c r="CS63" s="100">
        <v>6071.129665764307</v>
      </c>
      <c r="CT63" s="100">
        <v>8.4162637374755445</v>
      </c>
      <c r="CU63" s="100">
        <v>6695.9794295355432</v>
      </c>
    </row>
    <row r="64" spans="2:99">
      <c r="C64" s="99" t="s">
        <v>230</v>
      </c>
      <c r="D64" s="100">
        <v>14</v>
      </c>
      <c r="E64" s="100">
        <v>14128.799999999997</v>
      </c>
      <c r="F64" s="100">
        <v>13</v>
      </c>
      <c r="G64" s="100">
        <v>13119.599999999999</v>
      </c>
      <c r="H64" s="100">
        <v>14</v>
      </c>
      <c r="I64" s="100">
        <v>14128.799999999997</v>
      </c>
      <c r="J64" s="100">
        <v>14.9323631845959</v>
      </c>
      <c r="K64" s="100">
        <v>15069.740925894179</v>
      </c>
      <c r="L64" s="100">
        <v>13.325750917669614</v>
      </c>
      <c r="M64" s="100">
        <v>13448.347826112173</v>
      </c>
      <c r="N64" s="100">
        <v>14.961356881874543</v>
      </c>
      <c r="O64" s="100">
        <v>15099.001365187787</v>
      </c>
      <c r="P64" s="100">
        <v>8.9751062116724558</v>
      </c>
      <c r="Q64" s="100">
        <v>9057.67718881984</v>
      </c>
      <c r="R64" s="100">
        <v>9.2933723893913385</v>
      </c>
      <c r="S64" s="100">
        <v>9378.8714153737365</v>
      </c>
      <c r="T64" s="100">
        <v>13</v>
      </c>
      <c r="U64" s="100">
        <v>13119.599999999999</v>
      </c>
      <c r="V64" s="100">
        <v>10</v>
      </c>
      <c r="W64" s="100">
        <v>10091.999999999998</v>
      </c>
      <c r="X64" s="100">
        <v>16</v>
      </c>
      <c r="Y64" s="100">
        <v>16147.199999999997</v>
      </c>
      <c r="Z64" s="100">
        <v>8</v>
      </c>
      <c r="AA64" s="100">
        <v>8073.5999999999985</v>
      </c>
      <c r="AB64" s="100">
        <v>15</v>
      </c>
      <c r="AC64" s="100">
        <v>15137.999999999996</v>
      </c>
      <c r="AD64" s="100">
        <v>15</v>
      </c>
      <c r="AE64" s="100">
        <v>15137.999999999996</v>
      </c>
      <c r="AF64" s="100">
        <v>10</v>
      </c>
      <c r="AG64" s="100">
        <v>10091.999999999998</v>
      </c>
      <c r="AH64" s="100">
        <v>16</v>
      </c>
      <c r="AI64" s="100">
        <v>16147.199999999997</v>
      </c>
      <c r="AJ64" s="100">
        <v>7.505638366746834</v>
      </c>
      <c r="AK64" s="100">
        <v>7574.6902397209033</v>
      </c>
      <c r="AL64" s="100">
        <v>4.6791817976121736E-4</v>
      </c>
      <c r="AM64" s="100">
        <v>0.4722230270150205</v>
      </c>
      <c r="AN64" s="100">
        <v>2.6447978042551775E-4</v>
      </c>
      <c r="AO64" s="100">
        <v>0.26691299440543248</v>
      </c>
      <c r="AP64" s="100">
        <v>3.9004088830429896E-4</v>
      </c>
      <c r="AQ64" s="100">
        <v>0.39362926447669844</v>
      </c>
      <c r="AR64" s="100">
        <v>12</v>
      </c>
      <c r="AS64" s="100">
        <v>12110.399999999998</v>
      </c>
      <c r="AT64" s="100">
        <v>12</v>
      </c>
      <c r="AU64" s="100">
        <v>12110.399999999998</v>
      </c>
      <c r="AV64" s="100">
        <v>11</v>
      </c>
      <c r="AW64" s="100">
        <v>11101.199999999997</v>
      </c>
      <c r="AX64" s="100">
        <v>14</v>
      </c>
      <c r="AY64" s="100">
        <v>14128.799999999997</v>
      </c>
      <c r="AZ64" s="100">
        <v>16</v>
      </c>
      <c r="BA64" s="100">
        <v>16147.199999999997</v>
      </c>
      <c r="BB64" s="100">
        <v>17</v>
      </c>
      <c r="BC64" s="100">
        <v>17156.399999999998</v>
      </c>
      <c r="BD64" s="100">
        <v>18</v>
      </c>
      <c r="BE64" s="100">
        <v>18165.599999999999</v>
      </c>
      <c r="BF64" s="100">
        <v>14</v>
      </c>
      <c r="BG64" s="100">
        <v>14128.799999999997</v>
      </c>
      <c r="BH64" s="100">
        <v>9</v>
      </c>
      <c r="BI64" s="100">
        <v>9082.7999999999993</v>
      </c>
      <c r="BJ64" s="100">
        <v>13</v>
      </c>
      <c r="BK64" s="100">
        <v>13119.599999999999</v>
      </c>
      <c r="BL64" s="100">
        <v>8</v>
      </c>
      <c r="BM64" s="100">
        <v>8073.5999999999985</v>
      </c>
      <c r="BN64" s="100">
        <v>10</v>
      </c>
      <c r="BO64" s="100">
        <v>10091.999999999998</v>
      </c>
      <c r="BP64" s="100">
        <v>10</v>
      </c>
      <c r="BQ64" s="100">
        <v>10091.999999999998</v>
      </c>
      <c r="BR64" s="100">
        <v>9</v>
      </c>
      <c r="BS64" s="100">
        <v>9082.7999999999993</v>
      </c>
      <c r="BT64" s="100">
        <v>11</v>
      </c>
      <c r="BU64" s="100">
        <v>11101.199999999997</v>
      </c>
      <c r="BV64" s="100">
        <v>14</v>
      </c>
      <c r="BW64" s="100">
        <v>14128.799999999997</v>
      </c>
      <c r="BX64" s="100">
        <v>6.5785120818106977</v>
      </c>
      <c r="BY64" s="100">
        <v>6639.0343929633545</v>
      </c>
      <c r="BZ64" s="100">
        <v>3.4283116877113202</v>
      </c>
      <c r="CA64" s="100">
        <v>3459.8521552382635</v>
      </c>
      <c r="CB64" s="100">
        <v>11.518956928683863</v>
      </c>
      <c r="CC64" s="100">
        <v>11624.931332427754</v>
      </c>
      <c r="CD64" s="100">
        <v>13.953975447898076</v>
      </c>
      <c r="CE64" s="100">
        <v>14082.352022018735</v>
      </c>
      <c r="CF64" s="100">
        <v>8.2672902643796764</v>
      </c>
      <c r="CG64" s="100">
        <v>8343.3493348119682</v>
      </c>
      <c r="CH64" s="100">
        <v>14.262481707800584</v>
      </c>
      <c r="CI64" s="100">
        <v>14393.696539512346</v>
      </c>
      <c r="CJ64" s="100">
        <v>15.602491617091617</v>
      </c>
      <c r="CK64" s="100">
        <v>15746.034539968858</v>
      </c>
      <c r="CL64" s="100">
        <v>10.088553333995426</v>
      </c>
      <c r="CM64" s="100">
        <v>10181.368024668182</v>
      </c>
      <c r="CN64" s="100">
        <v>8.7723213851325763</v>
      </c>
      <c r="CO64" s="100">
        <v>8853.026741875794</v>
      </c>
      <c r="CP64" s="100">
        <v>11.135124186135661</v>
      </c>
      <c r="CQ64" s="100">
        <v>11237.567328648107</v>
      </c>
      <c r="CR64" s="100">
        <v>8.5847421744404802</v>
      </c>
      <c r="CS64" s="100">
        <v>8663.7218024453305</v>
      </c>
      <c r="CT64" s="100">
        <v>10.286544568025667</v>
      </c>
      <c r="CU64" s="100">
        <v>10381.180778051501</v>
      </c>
    </row>
    <row r="65" spans="2:99">
      <c r="C65" s="99" t="s">
        <v>231</v>
      </c>
      <c r="D65" s="100">
        <v>16</v>
      </c>
      <c r="E65" s="100">
        <v>16416</v>
      </c>
      <c r="F65" s="100">
        <v>12</v>
      </c>
      <c r="G65" s="100">
        <v>12312</v>
      </c>
      <c r="H65" s="100">
        <v>14</v>
      </c>
      <c r="I65" s="100">
        <v>14364</v>
      </c>
      <c r="J65" s="100">
        <v>13.065817786521412</v>
      </c>
      <c r="K65" s="100">
        <v>13405.52904897097</v>
      </c>
      <c r="L65" s="100">
        <v>14.214134312180921</v>
      </c>
      <c r="M65" s="100">
        <v>14583.701804297625</v>
      </c>
      <c r="N65" s="100">
        <v>15.958780673999513</v>
      </c>
      <c r="O65" s="100">
        <v>16373.7089715235</v>
      </c>
      <c r="P65" s="100">
        <v>9.8726168328397019</v>
      </c>
      <c r="Q65" s="100">
        <v>10129.304870493534</v>
      </c>
      <c r="R65" s="100">
        <v>8.364035150452203</v>
      </c>
      <c r="S65" s="100">
        <v>8581.5000643639596</v>
      </c>
      <c r="T65" s="100">
        <v>13</v>
      </c>
      <c r="U65" s="100">
        <v>13338</v>
      </c>
      <c r="V65" s="100">
        <v>12</v>
      </c>
      <c r="W65" s="100">
        <v>12312</v>
      </c>
      <c r="X65" s="100">
        <v>17</v>
      </c>
      <c r="Y65" s="100">
        <v>17442</v>
      </c>
      <c r="Z65" s="100">
        <v>9</v>
      </c>
      <c r="AA65" s="100">
        <v>9234</v>
      </c>
      <c r="AB65" s="100">
        <v>13</v>
      </c>
      <c r="AC65" s="100">
        <v>13338</v>
      </c>
      <c r="AD65" s="100">
        <v>14</v>
      </c>
      <c r="AE65" s="100">
        <v>14364</v>
      </c>
      <c r="AF65" s="100">
        <v>10</v>
      </c>
      <c r="AG65" s="100">
        <v>10260</v>
      </c>
      <c r="AH65" s="100">
        <v>15</v>
      </c>
      <c r="AI65" s="100">
        <v>15390</v>
      </c>
      <c r="AJ65" s="100">
        <v>7.505638366746834</v>
      </c>
      <c r="AK65" s="100">
        <v>7700.7849642822521</v>
      </c>
      <c r="AL65" s="100">
        <v>4.6791817976121736E-4</v>
      </c>
      <c r="AM65" s="100">
        <v>0.48008405243500901</v>
      </c>
      <c r="AN65" s="100">
        <v>2.9386642269501977E-4</v>
      </c>
      <c r="AO65" s="100">
        <v>0.30150694968509029</v>
      </c>
      <c r="AP65" s="100">
        <v>3.9004088830429896E-4</v>
      </c>
      <c r="AQ65" s="100">
        <v>0.40018195140021073</v>
      </c>
      <c r="AR65" s="100">
        <v>13</v>
      </c>
      <c r="AS65" s="100">
        <v>13338</v>
      </c>
      <c r="AT65" s="100">
        <v>13</v>
      </c>
      <c r="AU65" s="100">
        <v>13338</v>
      </c>
      <c r="AV65" s="100">
        <v>11</v>
      </c>
      <c r="AW65" s="100">
        <v>11286</v>
      </c>
      <c r="AX65" s="100">
        <v>15</v>
      </c>
      <c r="AY65" s="100">
        <v>15390</v>
      </c>
      <c r="AZ65" s="100">
        <v>14</v>
      </c>
      <c r="BA65" s="100">
        <v>14364</v>
      </c>
      <c r="BB65" s="100">
        <v>16</v>
      </c>
      <c r="BC65" s="100">
        <v>16416</v>
      </c>
      <c r="BD65" s="100">
        <v>18</v>
      </c>
      <c r="BE65" s="100">
        <v>18468</v>
      </c>
      <c r="BF65" s="100">
        <v>14</v>
      </c>
      <c r="BG65" s="100">
        <v>14364</v>
      </c>
      <c r="BH65" s="100">
        <v>10</v>
      </c>
      <c r="BI65" s="100">
        <v>10260</v>
      </c>
      <c r="BJ65" s="100">
        <v>15</v>
      </c>
      <c r="BK65" s="100">
        <v>15390</v>
      </c>
      <c r="BL65" s="100">
        <v>9</v>
      </c>
      <c r="BM65" s="100">
        <v>9234</v>
      </c>
      <c r="BN65" s="100">
        <v>10</v>
      </c>
      <c r="BO65" s="100">
        <v>10260</v>
      </c>
      <c r="BP65" s="100">
        <v>10</v>
      </c>
      <c r="BQ65" s="100">
        <v>10260</v>
      </c>
      <c r="BR65" s="100">
        <v>11</v>
      </c>
      <c r="BS65" s="100">
        <v>11286</v>
      </c>
      <c r="BT65" s="100">
        <v>10</v>
      </c>
      <c r="BU65" s="100">
        <v>10260</v>
      </c>
      <c r="BV65" s="100">
        <v>13</v>
      </c>
      <c r="BW65" s="100">
        <v>13338</v>
      </c>
      <c r="BX65" s="100">
        <v>5.920660873629628</v>
      </c>
      <c r="BY65" s="100">
        <v>6074.598056343998</v>
      </c>
      <c r="BZ65" s="100">
        <v>3.4283116877113202</v>
      </c>
      <c r="CA65" s="100">
        <v>3517.4477915918146</v>
      </c>
      <c r="CB65" s="100">
        <v>10.799022120641121</v>
      </c>
      <c r="CC65" s="100">
        <v>11079.79669577779</v>
      </c>
      <c r="CD65" s="100">
        <v>13.953975447898076</v>
      </c>
      <c r="CE65" s="100">
        <v>14316.778809543426</v>
      </c>
      <c r="CF65" s="100">
        <v>7.4405612379417088</v>
      </c>
      <c r="CG65" s="100">
        <v>7634.0158301281936</v>
      </c>
      <c r="CH65" s="100">
        <v>13.371076601063049</v>
      </c>
      <c r="CI65" s="100">
        <v>13718.724592690687</v>
      </c>
      <c r="CJ65" s="100">
        <v>15.602491617091617</v>
      </c>
      <c r="CK65" s="100">
        <v>16008.156399136</v>
      </c>
      <c r="CL65" s="100">
        <v>10.088553333995426</v>
      </c>
      <c r="CM65" s="100">
        <v>10350.855720679307</v>
      </c>
      <c r="CN65" s="100">
        <v>9.6495535236458352</v>
      </c>
      <c r="CO65" s="100">
        <v>9900.441915260626</v>
      </c>
      <c r="CP65" s="100">
        <v>12.72585621272647</v>
      </c>
      <c r="CQ65" s="100">
        <v>13056.728474257357</v>
      </c>
      <c r="CR65" s="100">
        <v>8.5847421744404802</v>
      </c>
      <c r="CS65" s="100">
        <v>8807.945470975932</v>
      </c>
      <c r="CT65" s="100">
        <v>9.3514041527506055</v>
      </c>
      <c r="CU65" s="100">
        <v>9594.5406607221212</v>
      </c>
    </row>
    <row r="66" spans="2:99">
      <c r="C66" s="99" t="s">
        <v>232</v>
      </c>
      <c r="D66" s="100">
        <v>14</v>
      </c>
      <c r="E66" s="100">
        <v>16665.599999999999</v>
      </c>
      <c r="F66" s="100">
        <v>12</v>
      </c>
      <c r="G66" s="100">
        <v>14284.8</v>
      </c>
      <c r="H66" s="100">
        <v>11</v>
      </c>
      <c r="I66" s="100">
        <v>13094.399999999998</v>
      </c>
      <c r="J66" s="100">
        <v>13.065817786521412</v>
      </c>
      <c r="K66" s="100">
        <v>15553.549493075088</v>
      </c>
      <c r="L66" s="100">
        <v>12.437367523158306</v>
      </c>
      <c r="M66" s="100">
        <v>14805.442299567645</v>
      </c>
      <c r="N66" s="100">
        <v>16.956204466124483</v>
      </c>
      <c r="O66" s="100">
        <v>20184.665796474583</v>
      </c>
      <c r="P66" s="100">
        <v>9.8726168328397019</v>
      </c>
      <c r="Q66" s="100">
        <v>11752.363077812381</v>
      </c>
      <c r="R66" s="100">
        <v>10.222709628330472</v>
      </c>
      <c r="S66" s="100">
        <v>12169.113541564593</v>
      </c>
      <c r="T66" s="100">
        <v>13</v>
      </c>
      <c r="U66" s="100">
        <v>15475.199999999999</v>
      </c>
      <c r="V66" s="100">
        <v>10</v>
      </c>
      <c r="W66" s="100">
        <v>11903.999999999998</v>
      </c>
      <c r="X66" s="100">
        <v>16</v>
      </c>
      <c r="Y66" s="100">
        <v>19046.399999999998</v>
      </c>
      <c r="Z66" s="100">
        <v>9</v>
      </c>
      <c r="AA66" s="100">
        <v>10713.599999999999</v>
      </c>
      <c r="AB66" s="100">
        <v>15</v>
      </c>
      <c r="AC66" s="100">
        <v>17855.999999999996</v>
      </c>
      <c r="AD66" s="100">
        <v>13</v>
      </c>
      <c r="AE66" s="100">
        <v>15475.199999999999</v>
      </c>
      <c r="AF66" s="100">
        <v>9</v>
      </c>
      <c r="AG66" s="100">
        <v>10713.599999999999</v>
      </c>
      <c r="AH66" s="100">
        <v>14</v>
      </c>
      <c r="AI66" s="100">
        <v>16665.599999999999</v>
      </c>
      <c r="AJ66" s="100">
        <v>6.1811139490856277</v>
      </c>
      <c r="AK66" s="100">
        <v>7357.9980449915302</v>
      </c>
      <c r="AL66" s="100">
        <v>5.0391188589669564E-4</v>
      </c>
      <c r="AM66" s="100">
        <v>0.5998567089714264</v>
      </c>
      <c r="AN66" s="100">
        <v>2.9386642269501977E-4</v>
      </c>
      <c r="AO66" s="100">
        <v>0.34981858957615147</v>
      </c>
      <c r="AP66" s="100">
        <v>3.9004088830429896E-4</v>
      </c>
      <c r="AQ66" s="100">
        <v>0.46430467343743742</v>
      </c>
      <c r="AR66" s="100">
        <v>12</v>
      </c>
      <c r="AS66" s="100">
        <v>14284.8</v>
      </c>
      <c r="AT66" s="100">
        <v>13</v>
      </c>
      <c r="AU66" s="100">
        <v>15475.199999999999</v>
      </c>
      <c r="AV66" s="100">
        <v>10</v>
      </c>
      <c r="AW66" s="100">
        <v>11903.999999999998</v>
      </c>
      <c r="AX66" s="100">
        <v>14</v>
      </c>
      <c r="AY66" s="100">
        <v>16665.599999999999</v>
      </c>
      <c r="AZ66" s="100">
        <v>14</v>
      </c>
      <c r="BA66" s="100">
        <v>16665.599999999999</v>
      </c>
      <c r="BB66" s="100">
        <v>16</v>
      </c>
      <c r="BC66" s="100">
        <v>19046.399999999998</v>
      </c>
      <c r="BD66" s="100">
        <v>15</v>
      </c>
      <c r="BE66" s="100">
        <v>17855.999999999996</v>
      </c>
      <c r="BF66" s="100">
        <v>13</v>
      </c>
      <c r="BG66" s="100">
        <v>15475.199999999999</v>
      </c>
      <c r="BH66" s="100">
        <v>10</v>
      </c>
      <c r="BI66" s="100">
        <v>11903.999999999998</v>
      </c>
      <c r="BJ66" s="100">
        <v>12</v>
      </c>
      <c r="BK66" s="100">
        <v>14284.8</v>
      </c>
      <c r="BL66" s="100">
        <v>9</v>
      </c>
      <c r="BM66" s="100">
        <v>10713.599999999999</v>
      </c>
      <c r="BN66" s="100">
        <v>9</v>
      </c>
      <c r="BO66" s="100">
        <v>10713.599999999999</v>
      </c>
      <c r="BP66" s="100">
        <v>10</v>
      </c>
      <c r="BQ66" s="100">
        <v>11903.999999999998</v>
      </c>
      <c r="BR66" s="100">
        <v>10</v>
      </c>
      <c r="BS66" s="100">
        <v>11903.999999999998</v>
      </c>
      <c r="BT66" s="100">
        <v>11</v>
      </c>
      <c r="BU66" s="100">
        <v>13094.399999999998</v>
      </c>
      <c r="BV66" s="100">
        <v>12</v>
      </c>
      <c r="BW66" s="100">
        <v>14284.8</v>
      </c>
      <c r="BX66" s="100">
        <v>5.2628096654485583</v>
      </c>
      <c r="BY66" s="100">
        <v>6264.8486257499635</v>
      </c>
      <c r="BZ66" s="100">
        <v>3.0473881668545069</v>
      </c>
      <c r="CA66" s="100">
        <v>3627.6108738236044</v>
      </c>
      <c r="CB66" s="100">
        <v>10.799022120641121</v>
      </c>
      <c r="CC66" s="100">
        <v>12855.155932411189</v>
      </c>
      <c r="CD66" s="100">
        <v>14.826098913391705</v>
      </c>
      <c r="CE66" s="100">
        <v>17648.988146501484</v>
      </c>
      <c r="CF66" s="100">
        <v>7.4405612379417088</v>
      </c>
      <c r="CG66" s="100">
        <v>8857.2440976458092</v>
      </c>
      <c r="CH66" s="100">
        <v>11.588266387587975</v>
      </c>
      <c r="CI66" s="100">
        <v>13794.672307784724</v>
      </c>
      <c r="CJ66" s="100">
        <v>13.652180164955164</v>
      </c>
      <c r="CK66" s="100">
        <v>16251.555268362625</v>
      </c>
      <c r="CL66" s="100">
        <v>8.2542709096326217</v>
      </c>
      <c r="CM66" s="100">
        <v>9825.884090826672</v>
      </c>
      <c r="CN66" s="100">
        <v>7.8950892466193192</v>
      </c>
      <c r="CO66" s="100">
        <v>9398.3142391756373</v>
      </c>
      <c r="CP66" s="100">
        <v>11.930490199431064</v>
      </c>
      <c r="CQ66" s="100">
        <v>14202.055533402738</v>
      </c>
      <c r="CR66" s="100">
        <v>8.5847421744404802</v>
      </c>
      <c r="CS66" s="100">
        <v>10219.277084453946</v>
      </c>
      <c r="CT66" s="100">
        <v>9.3514041527506055</v>
      </c>
      <c r="CU66" s="100">
        <v>11131.911503434319</v>
      </c>
    </row>
    <row r="67" spans="2:99">
      <c r="C67" s="99" t="s">
        <v>233</v>
      </c>
      <c r="D67" s="100">
        <v>13</v>
      </c>
      <c r="E67" s="100">
        <v>14601.6</v>
      </c>
      <c r="F67" s="100">
        <v>13</v>
      </c>
      <c r="G67" s="100">
        <v>14601.6</v>
      </c>
      <c r="H67" s="100">
        <v>12</v>
      </c>
      <c r="I67" s="100">
        <v>13478.400000000001</v>
      </c>
      <c r="J67" s="100">
        <v>12.132545087484168</v>
      </c>
      <c r="K67" s="100">
        <v>13627.274642262219</v>
      </c>
      <c r="L67" s="100">
        <v>12.437367523158306</v>
      </c>
      <c r="M67" s="100">
        <v>13969.65120201141</v>
      </c>
      <c r="N67" s="100">
        <v>15.958780673999513</v>
      </c>
      <c r="O67" s="100">
        <v>17924.902453036255</v>
      </c>
      <c r="P67" s="100">
        <v>9.8726168328397019</v>
      </c>
      <c r="Q67" s="100">
        <v>11088.923226645553</v>
      </c>
      <c r="R67" s="100">
        <v>9.2933723893913385</v>
      </c>
      <c r="S67" s="100">
        <v>10438.315867764351</v>
      </c>
      <c r="T67" s="100">
        <v>12</v>
      </c>
      <c r="U67" s="100">
        <v>13478.400000000001</v>
      </c>
      <c r="V67" s="100">
        <v>11</v>
      </c>
      <c r="W67" s="100">
        <v>12355.2</v>
      </c>
      <c r="X67" s="100">
        <v>15</v>
      </c>
      <c r="Y67" s="100">
        <v>16848</v>
      </c>
      <c r="Z67" s="100">
        <v>8</v>
      </c>
      <c r="AA67" s="100">
        <v>8985.6</v>
      </c>
      <c r="AB67" s="100">
        <v>15</v>
      </c>
      <c r="AC67" s="100">
        <v>16848</v>
      </c>
      <c r="AD67" s="100">
        <v>13</v>
      </c>
      <c r="AE67" s="100">
        <v>14601.6</v>
      </c>
      <c r="AF67" s="100">
        <v>10</v>
      </c>
      <c r="AG67" s="100">
        <v>11232</v>
      </c>
      <c r="AH67" s="100">
        <v>14</v>
      </c>
      <c r="AI67" s="100">
        <v>15724.800000000001</v>
      </c>
      <c r="AJ67" s="100">
        <v>7.0641302275264319</v>
      </c>
      <c r="AK67" s="100">
        <v>7934.4310715576885</v>
      </c>
      <c r="AL67" s="100">
        <v>5.0391188589669564E-4</v>
      </c>
      <c r="AM67" s="100">
        <v>0.5659938302391686</v>
      </c>
      <c r="AN67" s="100">
        <v>2.6447978042551775E-4</v>
      </c>
      <c r="AO67" s="100">
        <v>0.29706368937394156</v>
      </c>
      <c r="AP67" s="100">
        <v>4.2254429566299052E-4</v>
      </c>
      <c r="AQ67" s="100">
        <v>0.47460175288867096</v>
      </c>
      <c r="AR67" s="100">
        <v>11</v>
      </c>
      <c r="AS67" s="100">
        <v>12355.2</v>
      </c>
      <c r="AT67" s="100">
        <v>14</v>
      </c>
      <c r="AU67" s="100">
        <v>15724.800000000001</v>
      </c>
      <c r="AV67" s="100">
        <v>10</v>
      </c>
      <c r="AW67" s="100">
        <v>11232</v>
      </c>
      <c r="AX67" s="100">
        <v>14</v>
      </c>
      <c r="AY67" s="100">
        <v>15724.800000000001</v>
      </c>
      <c r="AZ67" s="100">
        <v>14</v>
      </c>
      <c r="BA67" s="100">
        <v>15724.800000000001</v>
      </c>
      <c r="BB67" s="100">
        <v>15</v>
      </c>
      <c r="BC67" s="100">
        <v>16848</v>
      </c>
      <c r="BD67" s="100">
        <v>16</v>
      </c>
      <c r="BE67" s="100">
        <v>17971.2</v>
      </c>
      <c r="BF67" s="100">
        <v>14</v>
      </c>
      <c r="BG67" s="100">
        <v>15724.800000000001</v>
      </c>
      <c r="BH67" s="100">
        <v>11</v>
      </c>
      <c r="BI67" s="100">
        <v>12355.2</v>
      </c>
      <c r="BJ67" s="100">
        <v>15</v>
      </c>
      <c r="BK67" s="100">
        <v>16848</v>
      </c>
      <c r="BL67" s="100">
        <v>8</v>
      </c>
      <c r="BM67" s="100">
        <v>8985.6</v>
      </c>
      <c r="BN67" s="100">
        <v>9</v>
      </c>
      <c r="BO67" s="100">
        <v>10108.800000000001</v>
      </c>
      <c r="BP67" s="100">
        <v>10</v>
      </c>
      <c r="BQ67" s="100">
        <v>11232</v>
      </c>
      <c r="BR67" s="100">
        <v>10</v>
      </c>
      <c r="BS67" s="100">
        <v>11232</v>
      </c>
      <c r="BT67" s="100">
        <v>10</v>
      </c>
      <c r="BU67" s="100">
        <v>11232</v>
      </c>
      <c r="BV67" s="100">
        <v>13</v>
      </c>
      <c r="BW67" s="100">
        <v>14601.6</v>
      </c>
      <c r="BX67" s="100">
        <v>5.920660873629628</v>
      </c>
      <c r="BY67" s="100">
        <v>6650.0862932607988</v>
      </c>
      <c r="BZ67" s="100">
        <v>3.0473881668545069</v>
      </c>
      <c r="CA67" s="100">
        <v>3422.8263890109824</v>
      </c>
      <c r="CB67" s="100">
        <v>10.799022120641121</v>
      </c>
      <c r="CC67" s="100">
        <v>12129.461645904108</v>
      </c>
      <c r="CD67" s="100">
        <v>13.953975447898076</v>
      </c>
      <c r="CE67" s="100">
        <v>15673.105223079119</v>
      </c>
      <c r="CF67" s="100">
        <v>8.2672902643796764</v>
      </c>
      <c r="CG67" s="100">
        <v>9285.8204249512528</v>
      </c>
      <c r="CH67" s="100">
        <v>13.371076601063049</v>
      </c>
      <c r="CI67" s="100">
        <v>15018.393238314016</v>
      </c>
      <c r="CJ67" s="100">
        <v>14.627335891023391</v>
      </c>
      <c r="CK67" s="100">
        <v>16429.423672797471</v>
      </c>
      <c r="CL67" s="100">
        <v>8.2542709096326217</v>
      </c>
      <c r="CM67" s="100">
        <v>9271.1970856993612</v>
      </c>
      <c r="CN67" s="100">
        <v>8.7723213851325763</v>
      </c>
      <c r="CO67" s="100">
        <v>9853.0713797809094</v>
      </c>
      <c r="CP67" s="100">
        <v>12.72585621272647</v>
      </c>
      <c r="CQ67" s="100">
        <v>14293.681698134371</v>
      </c>
      <c r="CR67" s="100">
        <v>8.5847421744404802</v>
      </c>
      <c r="CS67" s="100">
        <v>9642.3824103315474</v>
      </c>
      <c r="CT67" s="100">
        <v>9.3514041527506055</v>
      </c>
      <c r="CU67" s="100">
        <v>10503.497144369481</v>
      </c>
    </row>
    <row r="68" spans="2:99">
      <c r="C68" s="99" t="s">
        <v>234</v>
      </c>
      <c r="D68" s="100">
        <v>15</v>
      </c>
      <c r="E68" s="100">
        <v>15498</v>
      </c>
      <c r="F68" s="100">
        <v>13</v>
      </c>
      <c r="G68" s="100">
        <v>13431.6</v>
      </c>
      <c r="H68" s="100">
        <v>12</v>
      </c>
      <c r="I68" s="100">
        <v>12398.400000000001</v>
      </c>
      <c r="J68" s="100">
        <v>13.999090485558655</v>
      </c>
      <c r="K68" s="100">
        <v>14463.860289679204</v>
      </c>
      <c r="L68" s="100">
        <v>14.214134312180921</v>
      </c>
      <c r="M68" s="100">
        <v>14686.043571345328</v>
      </c>
      <c r="N68" s="100">
        <v>17.953628258249449</v>
      </c>
      <c r="O68" s="100">
        <v>18549.68871642333</v>
      </c>
      <c r="P68" s="100">
        <v>8.9751062116724558</v>
      </c>
      <c r="Q68" s="100">
        <v>9273.0797378999814</v>
      </c>
      <c r="R68" s="100">
        <v>9.2933723893913385</v>
      </c>
      <c r="S68" s="100">
        <v>9601.9123527191314</v>
      </c>
      <c r="T68" s="100">
        <v>13</v>
      </c>
      <c r="U68" s="100">
        <v>13431.6</v>
      </c>
      <c r="V68" s="100">
        <v>11</v>
      </c>
      <c r="W68" s="100">
        <v>11365.2</v>
      </c>
      <c r="X68" s="100">
        <v>16</v>
      </c>
      <c r="Y68" s="100">
        <v>16531.2</v>
      </c>
      <c r="Z68" s="100">
        <v>8</v>
      </c>
      <c r="AA68" s="100">
        <v>8265.6</v>
      </c>
      <c r="AB68" s="100">
        <v>15</v>
      </c>
      <c r="AC68" s="100">
        <v>15498</v>
      </c>
      <c r="AD68" s="100">
        <v>14</v>
      </c>
      <c r="AE68" s="100">
        <v>14464.800000000001</v>
      </c>
      <c r="AF68" s="100">
        <v>10</v>
      </c>
      <c r="AG68" s="100">
        <v>10332</v>
      </c>
      <c r="AH68" s="100">
        <v>14</v>
      </c>
      <c r="AI68" s="100">
        <v>14464.800000000001</v>
      </c>
      <c r="AJ68" s="100">
        <v>6.1811139490856277</v>
      </c>
      <c r="AK68" s="100">
        <v>6386.3269321952712</v>
      </c>
      <c r="AL68" s="100">
        <v>4.3192447362573914E-4</v>
      </c>
      <c r="AM68" s="100">
        <v>0.44626436615011372</v>
      </c>
      <c r="AN68" s="100">
        <v>2.6447978042551775E-4</v>
      </c>
      <c r="AO68" s="100">
        <v>0.27326050913564492</v>
      </c>
      <c r="AP68" s="100">
        <v>4.5504770302168214E-4</v>
      </c>
      <c r="AQ68" s="100">
        <v>0.47015528676200202</v>
      </c>
      <c r="AR68" s="100">
        <v>13</v>
      </c>
      <c r="AS68" s="100">
        <v>13431.6</v>
      </c>
      <c r="AT68" s="100">
        <v>12</v>
      </c>
      <c r="AU68" s="100">
        <v>12398.400000000001</v>
      </c>
      <c r="AV68" s="100">
        <v>10</v>
      </c>
      <c r="AW68" s="100">
        <v>10332</v>
      </c>
      <c r="AX68" s="100">
        <v>12</v>
      </c>
      <c r="AY68" s="100">
        <v>12398.400000000001</v>
      </c>
      <c r="AZ68" s="100">
        <v>13</v>
      </c>
      <c r="BA68" s="100">
        <v>13431.6</v>
      </c>
      <c r="BB68" s="100">
        <v>16</v>
      </c>
      <c r="BC68" s="100">
        <v>16531.2</v>
      </c>
      <c r="BD68" s="100">
        <v>15</v>
      </c>
      <c r="BE68" s="100">
        <v>15498</v>
      </c>
      <c r="BF68" s="100">
        <v>12</v>
      </c>
      <c r="BG68" s="100">
        <v>12398.400000000001</v>
      </c>
      <c r="BH68" s="100">
        <v>10</v>
      </c>
      <c r="BI68" s="100">
        <v>10332</v>
      </c>
      <c r="BJ68" s="100">
        <v>14</v>
      </c>
      <c r="BK68" s="100">
        <v>14464.800000000001</v>
      </c>
      <c r="BL68" s="100">
        <v>9</v>
      </c>
      <c r="BM68" s="100">
        <v>9298.8000000000011</v>
      </c>
      <c r="BN68" s="100">
        <v>10</v>
      </c>
      <c r="BO68" s="100">
        <v>10332</v>
      </c>
      <c r="BP68" s="100">
        <v>9</v>
      </c>
      <c r="BQ68" s="100">
        <v>9298.8000000000011</v>
      </c>
      <c r="BR68" s="100">
        <v>10</v>
      </c>
      <c r="BS68" s="100">
        <v>10332</v>
      </c>
      <c r="BT68" s="100">
        <v>10</v>
      </c>
      <c r="BU68" s="100">
        <v>10332</v>
      </c>
      <c r="BV68" s="100">
        <v>12</v>
      </c>
      <c r="BW68" s="100">
        <v>12398.400000000001</v>
      </c>
      <c r="BX68" s="100">
        <v>5.2628096654485583</v>
      </c>
      <c r="BY68" s="100">
        <v>5437.5349463414504</v>
      </c>
      <c r="BZ68" s="100">
        <v>3.8092352085681331</v>
      </c>
      <c r="CA68" s="100">
        <v>3935.7018174925952</v>
      </c>
      <c r="CB68" s="100">
        <v>12.958826544769346</v>
      </c>
      <c r="CC68" s="100">
        <v>13389.05958605569</v>
      </c>
      <c r="CD68" s="100">
        <v>14.826098913391705</v>
      </c>
      <c r="CE68" s="100">
        <v>15318.32539731631</v>
      </c>
      <c r="CF68" s="100">
        <v>8.2672902643796764</v>
      </c>
      <c r="CG68" s="100">
        <v>8541.7643011570817</v>
      </c>
      <c r="CH68" s="100">
        <v>12.47967149432551</v>
      </c>
      <c r="CI68" s="100">
        <v>12893.996587937118</v>
      </c>
      <c r="CJ68" s="100">
        <v>14.627335891023391</v>
      </c>
      <c r="CK68" s="100">
        <v>15112.963442605367</v>
      </c>
      <c r="CL68" s="100">
        <v>9.1714121218140239</v>
      </c>
      <c r="CM68" s="100">
        <v>9475.903004258249</v>
      </c>
      <c r="CN68" s="100">
        <v>7.8950892466193192</v>
      </c>
      <c r="CO68" s="100">
        <v>8157.2062096070813</v>
      </c>
      <c r="CP68" s="100">
        <v>11.930490199431064</v>
      </c>
      <c r="CQ68" s="100">
        <v>12326.582474052177</v>
      </c>
      <c r="CR68" s="100">
        <v>7.6308819328359814</v>
      </c>
      <c r="CS68" s="100">
        <v>7884.2272130061365</v>
      </c>
      <c r="CT68" s="100">
        <v>9.3514041527506055</v>
      </c>
      <c r="CU68" s="100">
        <v>9661.8707706219266</v>
      </c>
    </row>
    <row r="69" spans="2:99">
      <c r="C69" s="99" t="s">
        <v>235</v>
      </c>
      <c r="D69" s="100">
        <v>15</v>
      </c>
      <c r="E69" s="100">
        <v>11376</v>
      </c>
      <c r="F69" s="100">
        <v>14</v>
      </c>
      <c r="G69" s="100">
        <v>10617.6</v>
      </c>
      <c r="H69" s="100">
        <v>12</v>
      </c>
      <c r="I69" s="100">
        <v>9100.7999999999993</v>
      </c>
      <c r="J69" s="100">
        <v>15.865635883633143</v>
      </c>
      <c r="K69" s="100">
        <v>12032.498254147375</v>
      </c>
      <c r="L69" s="100">
        <v>14.214134312180921</v>
      </c>
      <c r="M69" s="100">
        <v>10779.99946235801</v>
      </c>
      <c r="N69" s="100">
        <v>17.953628258249449</v>
      </c>
      <c r="O69" s="100">
        <v>13616.031671056382</v>
      </c>
      <c r="P69" s="100">
        <v>10.770127454006948</v>
      </c>
      <c r="Q69" s="100">
        <v>8168.0646611188695</v>
      </c>
      <c r="R69" s="100">
        <v>10.222709628330472</v>
      </c>
      <c r="S69" s="100">
        <v>7752.90298212583</v>
      </c>
      <c r="T69" s="100">
        <v>14</v>
      </c>
      <c r="U69" s="100">
        <v>10617.6</v>
      </c>
      <c r="V69" s="100">
        <v>11</v>
      </c>
      <c r="W69" s="100">
        <v>8342.4</v>
      </c>
      <c r="X69" s="100">
        <v>18</v>
      </c>
      <c r="Y69" s="100">
        <v>13651.199999999999</v>
      </c>
      <c r="Z69" s="100">
        <v>9</v>
      </c>
      <c r="AA69" s="100">
        <v>6825.5999999999995</v>
      </c>
      <c r="AB69" s="100">
        <v>14</v>
      </c>
      <c r="AC69" s="100">
        <v>10617.6</v>
      </c>
      <c r="AD69" s="100">
        <v>13</v>
      </c>
      <c r="AE69" s="100">
        <v>9859.1999999999989</v>
      </c>
      <c r="AF69" s="100">
        <v>11</v>
      </c>
      <c r="AG69" s="100">
        <v>8342.4</v>
      </c>
      <c r="AH69" s="100">
        <v>16</v>
      </c>
      <c r="AI69" s="100">
        <v>12134.4</v>
      </c>
      <c r="AJ69" s="100">
        <v>6.6226220883060298</v>
      </c>
      <c r="AK69" s="100">
        <v>5022.5965917712929</v>
      </c>
      <c r="AL69" s="100">
        <v>4.3192447362573914E-4</v>
      </c>
      <c r="AM69" s="100">
        <v>0.32757152079776053</v>
      </c>
      <c r="AN69" s="100">
        <v>2.9386642269501977E-4</v>
      </c>
      <c r="AO69" s="100">
        <v>0.222868294971903</v>
      </c>
      <c r="AP69" s="100">
        <v>3.9004088830429896E-4</v>
      </c>
      <c r="AQ69" s="100">
        <v>0.2958070096899803</v>
      </c>
      <c r="AR69" s="100">
        <v>14</v>
      </c>
      <c r="AS69" s="100">
        <v>10617.6</v>
      </c>
      <c r="AT69" s="100">
        <v>12</v>
      </c>
      <c r="AU69" s="100">
        <v>9100.7999999999993</v>
      </c>
      <c r="AV69" s="100">
        <v>11</v>
      </c>
      <c r="AW69" s="100">
        <v>8342.4</v>
      </c>
      <c r="AX69" s="100">
        <v>15</v>
      </c>
      <c r="AY69" s="100">
        <v>11376</v>
      </c>
      <c r="AZ69" s="100">
        <v>15</v>
      </c>
      <c r="BA69" s="100">
        <v>11376</v>
      </c>
      <c r="BB69" s="100">
        <v>17</v>
      </c>
      <c r="BC69" s="100">
        <v>12892.8</v>
      </c>
      <c r="BD69" s="100">
        <v>18</v>
      </c>
      <c r="BE69" s="100">
        <v>13651.199999999999</v>
      </c>
      <c r="BF69" s="100">
        <v>13</v>
      </c>
      <c r="BG69" s="100">
        <v>9859.1999999999989</v>
      </c>
      <c r="BH69" s="100">
        <v>11</v>
      </c>
      <c r="BI69" s="100">
        <v>8342.4</v>
      </c>
      <c r="BJ69" s="100">
        <v>14</v>
      </c>
      <c r="BK69" s="100">
        <v>10617.6</v>
      </c>
      <c r="BL69" s="100">
        <v>9</v>
      </c>
      <c r="BM69" s="100">
        <v>6825.5999999999995</v>
      </c>
      <c r="BN69" s="100">
        <v>10</v>
      </c>
      <c r="BO69" s="100">
        <v>7584</v>
      </c>
      <c r="BP69" s="100">
        <v>10</v>
      </c>
      <c r="BQ69" s="100">
        <v>7584</v>
      </c>
      <c r="BR69" s="100">
        <v>10</v>
      </c>
      <c r="BS69" s="100">
        <v>7584</v>
      </c>
      <c r="BT69" s="100">
        <v>10</v>
      </c>
      <c r="BU69" s="100">
        <v>7584</v>
      </c>
      <c r="BV69" s="100">
        <v>13</v>
      </c>
      <c r="BW69" s="100">
        <v>9859.1999999999989</v>
      </c>
      <c r="BX69" s="100">
        <v>6.5785120818106977</v>
      </c>
      <c r="BY69" s="100">
        <v>4989.1435628452327</v>
      </c>
      <c r="BZ69" s="100">
        <v>3.4283116877113202</v>
      </c>
      <c r="CA69" s="100">
        <v>2600.0315839602654</v>
      </c>
      <c r="CB69" s="100">
        <v>12.238891736726604</v>
      </c>
      <c r="CC69" s="100">
        <v>9281.9754931334555</v>
      </c>
      <c r="CD69" s="100">
        <v>15.698222378885337</v>
      </c>
      <c r="CE69" s="100">
        <v>11905.53185214664</v>
      </c>
      <c r="CF69" s="100">
        <v>8.2672902643796764</v>
      </c>
      <c r="CG69" s="100">
        <v>6269.912936505546</v>
      </c>
      <c r="CH69" s="100">
        <v>12.47967149432551</v>
      </c>
      <c r="CI69" s="100">
        <v>9464.5828612964669</v>
      </c>
      <c r="CJ69" s="100">
        <v>15.602491617091617</v>
      </c>
      <c r="CK69" s="100">
        <v>11832.929642402283</v>
      </c>
      <c r="CL69" s="100">
        <v>9.1714121218140239</v>
      </c>
      <c r="CM69" s="100">
        <v>6955.5989531837558</v>
      </c>
      <c r="CN69" s="100">
        <v>9.6495535236458352</v>
      </c>
      <c r="CO69" s="100">
        <v>7318.2213923330009</v>
      </c>
      <c r="CP69" s="100">
        <v>12.72585621272647</v>
      </c>
      <c r="CQ69" s="100">
        <v>9651.2893517317534</v>
      </c>
      <c r="CR69" s="100">
        <v>7.6308819328359814</v>
      </c>
      <c r="CS69" s="100">
        <v>5787.2608578628078</v>
      </c>
      <c r="CT69" s="100">
        <v>8.4162637374755445</v>
      </c>
      <c r="CU69" s="100">
        <v>6382.8944185014525</v>
      </c>
    </row>
    <row r="70" spans="2:99">
      <c r="C70" s="99" t="s">
        <v>236</v>
      </c>
      <c r="D70" s="100">
        <v>15</v>
      </c>
      <c r="E70" s="100">
        <v>8027.9999999999991</v>
      </c>
      <c r="F70" s="100">
        <v>14</v>
      </c>
      <c r="G70" s="100">
        <v>7492.7999999999993</v>
      </c>
      <c r="H70" s="100">
        <v>12</v>
      </c>
      <c r="I70" s="100">
        <v>6422.4</v>
      </c>
      <c r="J70" s="100">
        <v>13.999090485558655</v>
      </c>
      <c r="K70" s="100">
        <v>7492.3132278709918</v>
      </c>
      <c r="L70" s="100">
        <v>13.325750917669614</v>
      </c>
      <c r="M70" s="100">
        <v>7131.9418911367766</v>
      </c>
      <c r="N70" s="100">
        <v>15.958780673999513</v>
      </c>
      <c r="O70" s="100">
        <v>8541.139416724538</v>
      </c>
      <c r="P70" s="100">
        <v>10.770127454006948</v>
      </c>
      <c r="Q70" s="100">
        <v>5764.1722133845178</v>
      </c>
      <c r="R70" s="100">
        <v>10.222709628330472</v>
      </c>
      <c r="S70" s="100">
        <v>5471.1941930824678</v>
      </c>
      <c r="T70" s="100">
        <v>13</v>
      </c>
      <c r="U70" s="100">
        <v>6957.5999999999995</v>
      </c>
      <c r="V70" s="100">
        <v>12</v>
      </c>
      <c r="W70" s="100">
        <v>6422.4</v>
      </c>
      <c r="X70" s="100">
        <v>18</v>
      </c>
      <c r="Y70" s="100">
        <v>9633.5999999999985</v>
      </c>
      <c r="Z70" s="100">
        <v>8</v>
      </c>
      <c r="AA70" s="100">
        <v>4281.5999999999995</v>
      </c>
      <c r="AB70" s="100">
        <v>15</v>
      </c>
      <c r="AC70" s="100">
        <v>8027.9999999999991</v>
      </c>
      <c r="AD70" s="100">
        <v>14</v>
      </c>
      <c r="AE70" s="100">
        <v>7492.7999999999993</v>
      </c>
      <c r="AF70" s="100">
        <v>11</v>
      </c>
      <c r="AG70" s="100">
        <v>5887.1999999999989</v>
      </c>
      <c r="AH70" s="100">
        <v>16</v>
      </c>
      <c r="AI70" s="100">
        <v>8563.1999999999989</v>
      </c>
      <c r="AJ70" s="100">
        <v>7.0641302275264319</v>
      </c>
      <c r="AK70" s="100">
        <v>3780.7224977721457</v>
      </c>
      <c r="AL70" s="100">
        <v>5.0391188589669564E-4</v>
      </c>
      <c r="AM70" s="100">
        <v>0.26969364133191148</v>
      </c>
      <c r="AN70" s="100">
        <v>2.9386642269501977E-4</v>
      </c>
      <c r="AO70" s="100">
        <v>0.15727730942637455</v>
      </c>
      <c r="AP70" s="100">
        <v>4.5504770302168214E-4</v>
      </c>
      <c r="AQ70" s="100">
        <v>0.24354153065720424</v>
      </c>
      <c r="AR70" s="100">
        <v>12</v>
      </c>
      <c r="AS70" s="100">
        <v>6422.4</v>
      </c>
      <c r="AT70" s="100">
        <v>13</v>
      </c>
      <c r="AU70" s="100">
        <v>6957.5999999999995</v>
      </c>
      <c r="AV70" s="100">
        <v>12</v>
      </c>
      <c r="AW70" s="100">
        <v>6422.4</v>
      </c>
      <c r="AX70" s="100">
        <v>14</v>
      </c>
      <c r="AY70" s="100">
        <v>7492.7999999999993</v>
      </c>
      <c r="AZ70" s="100">
        <v>16</v>
      </c>
      <c r="BA70" s="100">
        <v>8563.1999999999989</v>
      </c>
      <c r="BB70" s="100">
        <v>16</v>
      </c>
      <c r="BC70" s="100">
        <v>8563.1999999999989</v>
      </c>
      <c r="BD70" s="100">
        <v>17</v>
      </c>
      <c r="BE70" s="100">
        <v>9098.4</v>
      </c>
      <c r="BF70" s="100">
        <v>13</v>
      </c>
      <c r="BG70" s="100">
        <v>6957.5999999999995</v>
      </c>
      <c r="BH70" s="100">
        <v>10</v>
      </c>
      <c r="BI70" s="100">
        <v>5351.9999999999991</v>
      </c>
      <c r="BJ70" s="100">
        <v>16</v>
      </c>
      <c r="BK70" s="100">
        <v>8563.1999999999989</v>
      </c>
      <c r="BL70" s="100">
        <v>9</v>
      </c>
      <c r="BM70" s="100">
        <v>4816.7999999999993</v>
      </c>
      <c r="BN70" s="100">
        <v>10</v>
      </c>
      <c r="BO70" s="100">
        <v>5351.9999999999991</v>
      </c>
      <c r="BP70" s="100">
        <v>10</v>
      </c>
      <c r="BQ70" s="100">
        <v>5351.9999999999991</v>
      </c>
      <c r="BR70" s="100">
        <v>11</v>
      </c>
      <c r="BS70" s="100">
        <v>5887.1999999999989</v>
      </c>
      <c r="BT70" s="100">
        <v>11</v>
      </c>
      <c r="BU70" s="100">
        <v>5887.1999999999989</v>
      </c>
      <c r="BV70" s="100">
        <v>15</v>
      </c>
      <c r="BW70" s="100">
        <v>8027.9999999999991</v>
      </c>
      <c r="BX70" s="100">
        <v>5.920660873629628</v>
      </c>
      <c r="BY70" s="100">
        <v>3168.7376995665763</v>
      </c>
      <c r="BZ70" s="100">
        <v>3.4283116877113202</v>
      </c>
      <c r="CA70" s="100">
        <v>1834.8324152630983</v>
      </c>
      <c r="CB70" s="100">
        <v>12.958826544769346</v>
      </c>
      <c r="CC70" s="100">
        <v>6935.5639667605528</v>
      </c>
      <c r="CD70" s="100">
        <v>15.698222378885337</v>
      </c>
      <c r="CE70" s="100">
        <v>8401.6886171794304</v>
      </c>
      <c r="CF70" s="100">
        <v>8.2672902643796764</v>
      </c>
      <c r="CG70" s="100">
        <v>4424.6537494960021</v>
      </c>
      <c r="CH70" s="100">
        <v>13.371076601063049</v>
      </c>
      <c r="CI70" s="100">
        <v>7156.2001968889426</v>
      </c>
      <c r="CJ70" s="100">
        <v>17.552803069228069</v>
      </c>
      <c r="CK70" s="100">
        <v>9394.2602026508612</v>
      </c>
      <c r="CL70" s="100">
        <v>9.1714121218140239</v>
      </c>
      <c r="CM70" s="100">
        <v>4908.5397675948652</v>
      </c>
      <c r="CN70" s="100">
        <v>9.6495535236458352</v>
      </c>
      <c r="CO70" s="100">
        <v>5164.4410458552502</v>
      </c>
      <c r="CP70" s="100">
        <v>11.930490199431064</v>
      </c>
      <c r="CQ70" s="100">
        <v>6385.1983547355048</v>
      </c>
      <c r="CR70" s="100">
        <v>9.5386024160449754</v>
      </c>
      <c r="CS70" s="100">
        <v>5105.0600130672701</v>
      </c>
      <c r="CT70" s="100">
        <v>8.4162637374755445</v>
      </c>
      <c r="CU70" s="100">
        <v>4504.3843522969109</v>
      </c>
    </row>
    <row r="71" spans="2:99">
      <c r="B71" s="99" t="s">
        <v>130</v>
      </c>
      <c r="C71" s="99" t="s">
        <v>237</v>
      </c>
      <c r="D71" s="100">
        <v>9</v>
      </c>
      <c r="E71" s="100">
        <v>5076</v>
      </c>
      <c r="F71" s="100">
        <v>6</v>
      </c>
      <c r="G71" s="100">
        <v>3384</v>
      </c>
      <c r="H71" s="100">
        <v>6</v>
      </c>
      <c r="I71" s="100">
        <v>3384</v>
      </c>
      <c r="J71" s="100">
        <v>5</v>
      </c>
      <c r="K71" s="100">
        <v>2820</v>
      </c>
      <c r="L71" s="100">
        <v>6</v>
      </c>
      <c r="M71" s="100">
        <v>3384</v>
      </c>
      <c r="N71" s="100">
        <v>8</v>
      </c>
      <c r="O71" s="100">
        <v>4512</v>
      </c>
      <c r="P71" s="100">
        <v>9</v>
      </c>
      <c r="Q71" s="100">
        <v>5076</v>
      </c>
      <c r="R71" s="100">
        <v>6</v>
      </c>
      <c r="S71" s="100">
        <v>3384</v>
      </c>
      <c r="T71" s="100">
        <v>7</v>
      </c>
      <c r="U71" s="100">
        <v>3948</v>
      </c>
      <c r="V71" s="100">
        <v>5</v>
      </c>
      <c r="W71" s="100">
        <v>2820</v>
      </c>
      <c r="X71" s="100">
        <v>6</v>
      </c>
      <c r="Y71" s="100">
        <v>3384</v>
      </c>
      <c r="Z71" s="100">
        <v>9</v>
      </c>
      <c r="AA71" s="100">
        <v>5076</v>
      </c>
      <c r="AB71" s="100">
        <v>6</v>
      </c>
      <c r="AC71" s="100">
        <v>3384</v>
      </c>
      <c r="AD71" s="100">
        <v>7</v>
      </c>
      <c r="AE71" s="100">
        <v>3948</v>
      </c>
      <c r="AF71" s="100">
        <v>8</v>
      </c>
      <c r="AG71" s="100">
        <v>4512</v>
      </c>
      <c r="AH71" s="100">
        <v>8</v>
      </c>
      <c r="AI71" s="100">
        <v>4512</v>
      </c>
      <c r="AJ71" s="100">
        <v>6</v>
      </c>
      <c r="AK71" s="100">
        <v>3384</v>
      </c>
      <c r="AL71" s="100">
        <v>6</v>
      </c>
      <c r="AM71" s="100">
        <v>3384</v>
      </c>
      <c r="AN71" s="100">
        <v>5</v>
      </c>
      <c r="AO71" s="100">
        <v>2820</v>
      </c>
      <c r="AP71" s="100">
        <v>5</v>
      </c>
      <c r="AQ71" s="100">
        <v>2820</v>
      </c>
      <c r="AR71" s="100">
        <v>9</v>
      </c>
      <c r="AS71" s="100">
        <v>5076</v>
      </c>
      <c r="AT71" s="100">
        <v>10</v>
      </c>
      <c r="AU71" s="100">
        <v>5640</v>
      </c>
      <c r="AV71" s="100">
        <v>7</v>
      </c>
      <c r="AW71" s="100">
        <v>3948</v>
      </c>
      <c r="AX71" s="100">
        <v>11</v>
      </c>
      <c r="AY71" s="100">
        <v>6204</v>
      </c>
      <c r="AZ71" s="100">
        <v>6</v>
      </c>
      <c r="BA71" s="100">
        <v>3384</v>
      </c>
      <c r="BB71" s="100">
        <v>11</v>
      </c>
      <c r="BC71" s="100">
        <v>6204</v>
      </c>
      <c r="BD71" s="100">
        <v>8</v>
      </c>
      <c r="BE71" s="100">
        <v>4512</v>
      </c>
      <c r="BF71" s="100">
        <v>6</v>
      </c>
      <c r="BG71" s="100">
        <v>3384</v>
      </c>
      <c r="BH71" s="100">
        <v>9</v>
      </c>
      <c r="BI71" s="100">
        <v>5076</v>
      </c>
      <c r="BJ71" s="100">
        <v>6</v>
      </c>
      <c r="BK71" s="100">
        <v>3384</v>
      </c>
      <c r="BL71" s="100">
        <v>10</v>
      </c>
      <c r="BM71" s="100">
        <v>5640</v>
      </c>
      <c r="BN71" s="100">
        <v>8</v>
      </c>
      <c r="BO71" s="100">
        <v>4512</v>
      </c>
      <c r="BP71" s="100">
        <v>8</v>
      </c>
      <c r="BQ71" s="100">
        <v>4512</v>
      </c>
      <c r="BR71" s="100">
        <v>8</v>
      </c>
      <c r="BS71" s="100">
        <v>4512</v>
      </c>
      <c r="BT71" s="100">
        <v>8</v>
      </c>
      <c r="BU71" s="100">
        <v>4512</v>
      </c>
      <c r="BV71" s="100">
        <v>9</v>
      </c>
      <c r="BW71" s="100">
        <v>5076</v>
      </c>
      <c r="BX71" s="100">
        <v>8</v>
      </c>
      <c r="BY71" s="100">
        <v>4512</v>
      </c>
      <c r="BZ71" s="100">
        <v>7</v>
      </c>
      <c r="CA71" s="100">
        <v>3948</v>
      </c>
      <c r="CB71" s="100">
        <v>10</v>
      </c>
      <c r="CC71" s="100">
        <v>5640</v>
      </c>
      <c r="CD71" s="100">
        <v>8</v>
      </c>
      <c r="CE71" s="100">
        <v>4512</v>
      </c>
      <c r="CF71" s="100">
        <v>6</v>
      </c>
      <c r="CG71" s="100">
        <v>3384</v>
      </c>
      <c r="CH71" s="100">
        <v>5</v>
      </c>
      <c r="CI71" s="100">
        <v>2820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8</v>
      </c>
      <c r="CO71" s="100">
        <v>4512</v>
      </c>
      <c r="CP71" s="100">
        <v>8</v>
      </c>
      <c r="CQ71" s="100">
        <v>4512</v>
      </c>
      <c r="CR71" s="100">
        <v>9</v>
      </c>
      <c r="CS71" s="100">
        <v>5076</v>
      </c>
      <c r="CT71" s="100">
        <v>6</v>
      </c>
      <c r="CU71" s="100">
        <v>3384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6</v>
      </c>
      <c r="G72" s="100">
        <v>446.4</v>
      </c>
      <c r="H72" s="100">
        <v>6</v>
      </c>
      <c r="I72" s="100">
        <v>446.4</v>
      </c>
      <c r="J72" s="100">
        <v>5</v>
      </c>
      <c r="K72" s="100">
        <v>371.99999999999994</v>
      </c>
      <c r="L72" s="100">
        <v>6</v>
      </c>
      <c r="M72" s="100">
        <v>446.4</v>
      </c>
      <c r="N72" s="100">
        <v>9</v>
      </c>
      <c r="O72" s="100">
        <v>669.59999999999991</v>
      </c>
      <c r="P72" s="100">
        <v>9</v>
      </c>
      <c r="Q72" s="100">
        <v>669.59999999999991</v>
      </c>
      <c r="R72" s="100">
        <v>6</v>
      </c>
      <c r="S72" s="100">
        <v>446.4</v>
      </c>
      <c r="T72" s="100">
        <v>8</v>
      </c>
      <c r="U72" s="100">
        <v>595.19999999999993</v>
      </c>
      <c r="V72" s="100">
        <v>6</v>
      </c>
      <c r="W72" s="100">
        <v>446.4</v>
      </c>
      <c r="X72" s="100">
        <v>7</v>
      </c>
      <c r="Y72" s="100">
        <v>520.79999999999995</v>
      </c>
      <c r="Z72" s="100">
        <v>9</v>
      </c>
      <c r="AA72" s="100">
        <v>669.59999999999991</v>
      </c>
      <c r="AB72" s="100">
        <v>7</v>
      </c>
      <c r="AC72" s="100">
        <v>520.79999999999995</v>
      </c>
      <c r="AD72" s="100">
        <v>8</v>
      </c>
      <c r="AE72" s="100">
        <v>595.19999999999993</v>
      </c>
      <c r="AF72" s="100">
        <v>8</v>
      </c>
      <c r="AG72" s="100">
        <v>595.19999999999993</v>
      </c>
      <c r="AH72" s="100">
        <v>9</v>
      </c>
      <c r="AI72" s="100">
        <v>669.59999999999991</v>
      </c>
      <c r="AJ72" s="100">
        <v>6</v>
      </c>
      <c r="AK72" s="100">
        <v>446.4</v>
      </c>
      <c r="AL72" s="100">
        <v>6</v>
      </c>
      <c r="AM72" s="100">
        <v>446.4</v>
      </c>
      <c r="AN72" s="100">
        <v>5</v>
      </c>
      <c r="AO72" s="100">
        <v>371.99999999999994</v>
      </c>
      <c r="AP72" s="100">
        <v>5</v>
      </c>
      <c r="AQ72" s="100">
        <v>371.99999999999994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8</v>
      </c>
      <c r="AW72" s="100">
        <v>595.19999999999993</v>
      </c>
      <c r="AX72" s="100">
        <v>11</v>
      </c>
      <c r="AY72" s="100">
        <v>818.39999999999986</v>
      </c>
      <c r="AZ72" s="100">
        <v>7</v>
      </c>
      <c r="BA72" s="100">
        <v>520.79999999999995</v>
      </c>
      <c r="BB72" s="100">
        <v>11</v>
      </c>
      <c r="BC72" s="100">
        <v>818.39999999999986</v>
      </c>
      <c r="BD72" s="100">
        <v>9</v>
      </c>
      <c r="BE72" s="100">
        <v>669.59999999999991</v>
      </c>
      <c r="BF72" s="100">
        <v>6</v>
      </c>
      <c r="BG72" s="100">
        <v>446.4</v>
      </c>
      <c r="BH72" s="100">
        <v>11</v>
      </c>
      <c r="BI72" s="100">
        <v>818.39999999999986</v>
      </c>
      <c r="BJ72" s="100">
        <v>7</v>
      </c>
      <c r="BK72" s="100">
        <v>520.79999999999995</v>
      </c>
      <c r="BL72" s="100">
        <v>10</v>
      </c>
      <c r="BM72" s="100">
        <v>743.99999999999989</v>
      </c>
      <c r="BN72" s="100">
        <v>10</v>
      </c>
      <c r="BO72" s="100">
        <v>743.99999999999989</v>
      </c>
      <c r="BP72" s="100">
        <v>7</v>
      </c>
      <c r="BQ72" s="100">
        <v>520.79999999999995</v>
      </c>
      <c r="BR72" s="100">
        <v>8</v>
      </c>
      <c r="BS72" s="100">
        <v>595.19999999999993</v>
      </c>
      <c r="BT72" s="100">
        <v>9</v>
      </c>
      <c r="BU72" s="100">
        <v>669.59999999999991</v>
      </c>
      <c r="BV72" s="100">
        <v>11</v>
      </c>
      <c r="BW72" s="100">
        <v>818.39999999999986</v>
      </c>
      <c r="BX72" s="100">
        <v>9</v>
      </c>
      <c r="BY72" s="100">
        <v>669.59999999999991</v>
      </c>
      <c r="BZ72" s="100">
        <v>7</v>
      </c>
      <c r="CA72" s="100">
        <v>520.79999999999995</v>
      </c>
      <c r="CB72" s="100">
        <v>11</v>
      </c>
      <c r="CC72" s="100">
        <v>818.39999999999986</v>
      </c>
      <c r="CD72" s="100">
        <v>8</v>
      </c>
      <c r="CE72" s="100">
        <v>595.19999999999993</v>
      </c>
      <c r="CF72" s="100">
        <v>6</v>
      </c>
      <c r="CG72" s="100">
        <v>446.4</v>
      </c>
      <c r="CH72" s="100">
        <v>5</v>
      </c>
      <c r="CI72" s="100">
        <v>371.99999999999994</v>
      </c>
      <c r="CJ72" s="100">
        <v>8</v>
      </c>
      <c r="CK72" s="100">
        <v>595.19999999999993</v>
      </c>
      <c r="CL72" s="100">
        <v>9</v>
      </c>
      <c r="CM72" s="100">
        <v>669.59999999999991</v>
      </c>
      <c r="CN72" s="100">
        <v>9</v>
      </c>
      <c r="CO72" s="100">
        <v>669.59999999999991</v>
      </c>
      <c r="CP72" s="100">
        <v>8</v>
      </c>
      <c r="CQ72" s="100">
        <v>595.19999999999993</v>
      </c>
      <c r="CR72" s="100">
        <v>10</v>
      </c>
      <c r="CS72" s="100">
        <v>743.99999999999989</v>
      </c>
      <c r="CT72" s="100">
        <v>6</v>
      </c>
      <c r="CU72" s="100">
        <v>446.4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6</v>
      </c>
      <c r="G73" s="100">
        <v>3355.2</v>
      </c>
      <c r="H73" s="100">
        <v>6</v>
      </c>
      <c r="I73" s="100">
        <v>3355.2</v>
      </c>
      <c r="J73" s="100">
        <v>5</v>
      </c>
      <c r="K73" s="100">
        <v>2795.9999999999995</v>
      </c>
      <c r="L73" s="100">
        <v>5</v>
      </c>
      <c r="M73" s="100">
        <v>2795.9999999999995</v>
      </c>
      <c r="N73" s="100">
        <v>8</v>
      </c>
      <c r="O73" s="100">
        <v>4473.5999999999995</v>
      </c>
      <c r="P73" s="100">
        <v>9</v>
      </c>
      <c r="Q73" s="100">
        <v>5032.7999999999993</v>
      </c>
      <c r="R73" s="100">
        <v>6</v>
      </c>
      <c r="S73" s="100">
        <v>3355.2</v>
      </c>
      <c r="T73" s="100">
        <v>6</v>
      </c>
      <c r="U73" s="100">
        <v>3355.2</v>
      </c>
      <c r="V73" s="100">
        <v>6</v>
      </c>
      <c r="W73" s="100">
        <v>3355.2</v>
      </c>
      <c r="X73" s="100">
        <v>7</v>
      </c>
      <c r="Y73" s="100">
        <v>3914.3999999999996</v>
      </c>
      <c r="Z73" s="100">
        <v>9</v>
      </c>
      <c r="AA73" s="100">
        <v>5032.7999999999993</v>
      </c>
      <c r="AB73" s="100">
        <v>6</v>
      </c>
      <c r="AC73" s="100">
        <v>3355.2</v>
      </c>
      <c r="AD73" s="100">
        <v>7</v>
      </c>
      <c r="AE73" s="100">
        <v>3914.3999999999996</v>
      </c>
      <c r="AF73" s="100">
        <v>7</v>
      </c>
      <c r="AG73" s="100">
        <v>3914.3999999999996</v>
      </c>
      <c r="AH73" s="100">
        <v>8</v>
      </c>
      <c r="AI73" s="100">
        <v>4473.5999999999995</v>
      </c>
      <c r="AJ73" s="100">
        <v>6</v>
      </c>
      <c r="AK73" s="100">
        <v>3355.2</v>
      </c>
      <c r="AL73" s="100">
        <v>7</v>
      </c>
      <c r="AM73" s="100">
        <v>3914.3999999999996</v>
      </c>
      <c r="AN73" s="100">
        <v>6</v>
      </c>
      <c r="AO73" s="100">
        <v>3355.2</v>
      </c>
      <c r="AP73" s="100">
        <v>5</v>
      </c>
      <c r="AQ73" s="100">
        <v>2795.9999999999995</v>
      </c>
      <c r="AR73" s="100">
        <v>9</v>
      </c>
      <c r="AS73" s="100">
        <v>5032.7999999999993</v>
      </c>
      <c r="AT73" s="100">
        <v>11</v>
      </c>
      <c r="AU73" s="100">
        <v>6151.1999999999989</v>
      </c>
      <c r="AV73" s="100">
        <v>7</v>
      </c>
      <c r="AW73" s="100">
        <v>3914.3999999999996</v>
      </c>
      <c r="AX73" s="100">
        <v>10</v>
      </c>
      <c r="AY73" s="100">
        <v>5591.9999999999991</v>
      </c>
      <c r="AZ73" s="100">
        <v>6</v>
      </c>
      <c r="BA73" s="100">
        <v>3355.2</v>
      </c>
      <c r="BB73" s="100">
        <v>9</v>
      </c>
      <c r="BC73" s="100">
        <v>5032.7999999999993</v>
      </c>
      <c r="BD73" s="100">
        <v>8</v>
      </c>
      <c r="BE73" s="100">
        <v>4473.5999999999995</v>
      </c>
      <c r="BF73" s="100">
        <v>6</v>
      </c>
      <c r="BG73" s="100">
        <v>3355.2</v>
      </c>
      <c r="BH73" s="100">
        <v>10</v>
      </c>
      <c r="BI73" s="100">
        <v>5591.9999999999991</v>
      </c>
      <c r="BJ73" s="100">
        <v>7</v>
      </c>
      <c r="BK73" s="100">
        <v>3914.3999999999996</v>
      </c>
      <c r="BL73" s="100">
        <v>11</v>
      </c>
      <c r="BM73" s="100">
        <v>6151.1999999999989</v>
      </c>
      <c r="BN73" s="100">
        <v>9</v>
      </c>
      <c r="BO73" s="100">
        <v>5032.7999999999993</v>
      </c>
      <c r="BP73" s="100">
        <v>7</v>
      </c>
      <c r="BQ73" s="100">
        <v>3914.3999999999996</v>
      </c>
      <c r="BR73" s="100">
        <v>7</v>
      </c>
      <c r="BS73" s="100">
        <v>3914.3999999999996</v>
      </c>
      <c r="BT73" s="100">
        <v>9</v>
      </c>
      <c r="BU73" s="100">
        <v>5032.7999999999993</v>
      </c>
      <c r="BV73" s="100">
        <v>10</v>
      </c>
      <c r="BW73" s="100">
        <v>5591.9999999999991</v>
      </c>
      <c r="BX73" s="100">
        <v>10</v>
      </c>
      <c r="BY73" s="100">
        <v>5591.9999999999991</v>
      </c>
      <c r="BZ73" s="100">
        <v>8</v>
      </c>
      <c r="CA73" s="100">
        <v>4473.5999999999995</v>
      </c>
      <c r="CB73" s="100">
        <v>10</v>
      </c>
      <c r="CC73" s="100">
        <v>5591.9999999999991</v>
      </c>
      <c r="CD73" s="100">
        <v>8</v>
      </c>
      <c r="CE73" s="100">
        <v>4473.5999999999995</v>
      </c>
      <c r="CF73" s="100">
        <v>6</v>
      </c>
      <c r="CG73" s="100">
        <v>3355.2</v>
      </c>
      <c r="CH73" s="100">
        <v>6</v>
      </c>
      <c r="CI73" s="100">
        <v>3355.2</v>
      </c>
      <c r="CJ73" s="100">
        <v>7</v>
      </c>
      <c r="CK73" s="100">
        <v>3914.3999999999996</v>
      </c>
      <c r="CL73" s="100">
        <v>8</v>
      </c>
      <c r="CM73" s="100">
        <v>4473.5999999999995</v>
      </c>
      <c r="CN73" s="100">
        <v>9</v>
      </c>
      <c r="CO73" s="100">
        <v>5032.7999999999993</v>
      </c>
      <c r="CP73" s="100">
        <v>8</v>
      </c>
      <c r="CQ73" s="100">
        <v>4473.5999999999995</v>
      </c>
      <c r="CR73" s="100">
        <v>10</v>
      </c>
      <c r="CS73" s="100">
        <v>5591.9999999999991</v>
      </c>
      <c r="CT73" s="100">
        <v>6</v>
      </c>
      <c r="CU73" s="100">
        <v>3355.2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5</v>
      </c>
      <c r="G74" s="100">
        <v>2016</v>
      </c>
      <c r="H74" s="100">
        <v>6</v>
      </c>
      <c r="I74" s="100">
        <v>2419.1999999999998</v>
      </c>
      <c r="J74" s="100">
        <v>5</v>
      </c>
      <c r="K74" s="100">
        <v>2016</v>
      </c>
      <c r="L74" s="100">
        <v>6</v>
      </c>
      <c r="M74" s="100">
        <v>2419.1999999999998</v>
      </c>
      <c r="N74" s="100">
        <v>8</v>
      </c>
      <c r="O74" s="100">
        <v>3225.6</v>
      </c>
      <c r="P74" s="100">
        <v>9</v>
      </c>
      <c r="Q74" s="100">
        <v>3628.7999999999997</v>
      </c>
      <c r="R74" s="100">
        <v>6</v>
      </c>
      <c r="S74" s="100">
        <v>2419.1999999999998</v>
      </c>
      <c r="T74" s="100">
        <v>6</v>
      </c>
      <c r="U74" s="100">
        <v>2419.1999999999998</v>
      </c>
      <c r="V74" s="100">
        <v>6</v>
      </c>
      <c r="W74" s="100">
        <v>2419.1999999999998</v>
      </c>
      <c r="X74" s="100">
        <v>7</v>
      </c>
      <c r="Y74" s="100">
        <v>2822.4</v>
      </c>
      <c r="Z74" s="100">
        <v>8</v>
      </c>
      <c r="AA74" s="100">
        <v>3225.6</v>
      </c>
      <c r="AB74" s="100">
        <v>6</v>
      </c>
      <c r="AC74" s="100">
        <v>2419.1999999999998</v>
      </c>
      <c r="AD74" s="100">
        <v>7</v>
      </c>
      <c r="AE74" s="100">
        <v>2822.4</v>
      </c>
      <c r="AF74" s="100">
        <v>8</v>
      </c>
      <c r="AG74" s="100">
        <v>3225.6</v>
      </c>
      <c r="AH74" s="100">
        <v>9</v>
      </c>
      <c r="AI74" s="100">
        <v>3628.7999999999997</v>
      </c>
      <c r="AJ74" s="100">
        <v>6</v>
      </c>
      <c r="AK74" s="100">
        <v>2419.1999999999998</v>
      </c>
      <c r="AL74" s="100">
        <v>6</v>
      </c>
      <c r="AM74" s="100">
        <v>2419.1999999999998</v>
      </c>
      <c r="AN74" s="100">
        <v>6</v>
      </c>
      <c r="AO74" s="100">
        <v>2419.1999999999998</v>
      </c>
      <c r="AP74" s="100">
        <v>6</v>
      </c>
      <c r="AQ74" s="100">
        <v>2419.1999999999998</v>
      </c>
      <c r="AR74" s="100">
        <v>10</v>
      </c>
      <c r="AS74" s="100">
        <v>4032</v>
      </c>
      <c r="AT74" s="100">
        <v>11</v>
      </c>
      <c r="AU74" s="100">
        <v>4435.2</v>
      </c>
      <c r="AV74" s="100">
        <v>8</v>
      </c>
      <c r="AW74" s="100">
        <v>3225.6</v>
      </c>
      <c r="AX74" s="100">
        <v>11</v>
      </c>
      <c r="AY74" s="100">
        <v>4435.2</v>
      </c>
      <c r="AZ74" s="100">
        <v>6</v>
      </c>
      <c r="BA74" s="100">
        <v>2419.1999999999998</v>
      </c>
      <c r="BB74" s="100">
        <v>9</v>
      </c>
      <c r="BC74" s="100">
        <v>3628.7999999999997</v>
      </c>
      <c r="BD74" s="100">
        <v>8</v>
      </c>
      <c r="BE74" s="100">
        <v>3225.6</v>
      </c>
      <c r="BF74" s="100">
        <v>6</v>
      </c>
      <c r="BG74" s="100">
        <v>2419.1999999999998</v>
      </c>
      <c r="BH74" s="100">
        <v>11</v>
      </c>
      <c r="BI74" s="100">
        <v>4435.2</v>
      </c>
      <c r="BJ74" s="100">
        <v>8</v>
      </c>
      <c r="BK74" s="100">
        <v>3225.6</v>
      </c>
      <c r="BL74" s="100">
        <v>11</v>
      </c>
      <c r="BM74" s="100">
        <v>4435.2</v>
      </c>
      <c r="BN74" s="100">
        <v>9</v>
      </c>
      <c r="BO74" s="100">
        <v>3628.7999999999997</v>
      </c>
      <c r="BP74" s="100">
        <v>9</v>
      </c>
      <c r="BQ74" s="100">
        <v>3628.7999999999997</v>
      </c>
      <c r="BR74" s="100">
        <v>8</v>
      </c>
      <c r="BS74" s="100">
        <v>3225.6</v>
      </c>
      <c r="BT74" s="100">
        <v>8</v>
      </c>
      <c r="BU74" s="100">
        <v>3225.6</v>
      </c>
      <c r="BV74" s="100">
        <v>9</v>
      </c>
      <c r="BW74" s="100">
        <v>3628.7999999999997</v>
      </c>
      <c r="BX74" s="100">
        <v>8</v>
      </c>
      <c r="BY74" s="100">
        <v>3225.6</v>
      </c>
      <c r="BZ74" s="100">
        <v>7</v>
      </c>
      <c r="CA74" s="100">
        <v>2822.4</v>
      </c>
      <c r="CB74" s="100">
        <v>9</v>
      </c>
      <c r="CC74" s="100">
        <v>3628.7999999999997</v>
      </c>
      <c r="CD74" s="100">
        <v>8</v>
      </c>
      <c r="CE74" s="100">
        <v>3225.6</v>
      </c>
      <c r="CF74" s="100">
        <v>6</v>
      </c>
      <c r="CG74" s="100">
        <v>2419.1999999999998</v>
      </c>
      <c r="CH74" s="100">
        <v>5</v>
      </c>
      <c r="CI74" s="100">
        <v>2016</v>
      </c>
      <c r="CJ74" s="100">
        <v>8</v>
      </c>
      <c r="CK74" s="100">
        <v>3225.6</v>
      </c>
      <c r="CL74" s="100">
        <v>8</v>
      </c>
      <c r="CM74" s="100">
        <v>3225.6</v>
      </c>
      <c r="CN74" s="100">
        <v>10</v>
      </c>
      <c r="CO74" s="100">
        <v>4032</v>
      </c>
      <c r="CP74" s="100">
        <v>9</v>
      </c>
      <c r="CQ74" s="100">
        <v>3628.7999999999997</v>
      </c>
      <c r="CR74" s="100">
        <v>10</v>
      </c>
      <c r="CS74" s="100">
        <v>4032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6</v>
      </c>
      <c r="G75" s="100">
        <v>3859.2</v>
      </c>
      <c r="H75" s="100">
        <v>6</v>
      </c>
      <c r="I75" s="100">
        <v>3859.2</v>
      </c>
      <c r="J75" s="100">
        <v>6</v>
      </c>
      <c r="K75" s="100">
        <v>3859.2</v>
      </c>
      <c r="L75" s="100">
        <v>6</v>
      </c>
      <c r="M75" s="100">
        <v>3859.2</v>
      </c>
      <c r="N75" s="100">
        <v>8</v>
      </c>
      <c r="O75" s="100">
        <v>5145.5999999999995</v>
      </c>
      <c r="P75" s="100">
        <v>9</v>
      </c>
      <c r="Q75" s="100">
        <v>5788.7999999999993</v>
      </c>
      <c r="R75" s="100">
        <v>5</v>
      </c>
      <c r="S75" s="100">
        <v>3215.9999999999995</v>
      </c>
      <c r="T75" s="100">
        <v>7</v>
      </c>
      <c r="U75" s="100">
        <v>4502.3999999999996</v>
      </c>
      <c r="V75" s="100">
        <v>6</v>
      </c>
      <c r="W75" s="100">
        <v>3859.2</v>
      </c>
      <c r="X75" s="100">
        <v>6</v>
      </c>
      <c r="Y75" s="100">
        <v>3859.2</v>
      </c>
      <c r="Z75" s="100">
        <v>9</v>
      </c>
      <c r="AA75" s="100">
        <v>5788.7999999999993</v>
      </c>
      <c r="AB75" s="100">
        <v>6</v>
      </c>
      <c r="AC75" s="100">
        <v>3859.2</v>
      </c>
      <c r="AD75" s="100">
        <v>7</v>
      </c>
      <c r="AE75" s="100">
        <v>4502.3999999999996</v>
      </c>
      <c r="AF75" s="100">
        <v>7</v>
      </c>
      <c r="AG75" s="100">
        <v>4502.3999999999996</v>
      </c>
      <c r="AH75" s="100">
        <v>9</v>
      </c>
      <c r="AI75" s="100">
        <v>5788.7999999999993</v>
      </c>
      <c r="AJ75" s="100">
        <v>6</v>
      </c>
      <c r="AK75" s="100">
        <v>3859.2</v>
      </c>
      <c r="AL75" s="100">
        <v>7</v>
      </c>
      <c r="AM75" s="100">
        <v>4502.3999999999996</v>
      </c>
      <c r="AN75" s="100">
        <v>6</v>
      </c>
      <c r="AO75" s="100">
        <v>3859.2</v>
      </c>
      <c r="AP75" s="100">
        <v>6</v>
      </c>
      <c r="AQ75" s="100">
        <v>3859.2</v>
      </c>
      <c r="AR75" s="100">
        <v>9</v>
      </c>
      <c r="AS75" s="100">
        <v>5788.7999999999993</v>
      </c>
      <c r="AT75" s="100">
        <v>10</v>
      </c>
      <c r="AU75" s="100">
        <v>6431.9999999999991</v>
      </c>
      <c r="AV75" s="100">
        <v>7</v>
      </c>
      <c r="AW75" s="100">
        <v>4502.3999999999996</v>
      </c>
      <c r="AX75" s="100">
        <v>9</v>
      </c>
      <c r="AY75" s="100">
        <v>5788.7999999999993</v>
      </c>
      <c r="AZ75" s="100">
        <v>6</v>
      </c>
      <c r="BA75" s="100">
        <v>3859.2</v>
      </c>
      <c r="BB75" s="100">
        <v>9</v>
      </c>
      <c r="BC75" s="100">
        <v>5788.7999999999993</v>
      </c>
      <c r="BD75" s="100">
        <v>8</v>
      </c>
      <c r="BE75" s="100">
        <v>5145.5999999999995</v>
      </c>
      <c r="BF75" s="100">
        <v>5</v>
      </c>
      <c r="BG75" s="100">
        <v>3215.9999999999995</v>
      </c>
      <c r="BH75" s="100">
        <v>9</v>
      </c>
      <c r="BI75" s="100">
        <v>5788.7999999999993</v>
      </c>
      <c r="BJ75" s="100">
        <v>7</v>
      </c>
      <c r="BK75" s="100">
        <v>4502.3999999999996</v>
      </c>
      <c r="BL75" s="100">
        <v>10</v>
      </c>
      <c r="BM75" s="100">
        <v>6431.9999999999991</v>
      </c>
      <c r="BN75" s="100">
        <v>9</v>
      </c>
      <c r="BO75" s="100">
        <v>5788.7999999999993</v>
      </c>
      <c r="BP75" s="100">
        <v>7</v>
      </c>
      <c r="BQ75" s="100">
        <v>4502.3999999999996</v>
      </c>
      <c r="BR75" s="100">
        <v>8</v>
      </c>
      <c r="BS75" s="100">
        <v>5145.5999999999995</v>
      </c>
      <c r="BT75" s="100">
        <v>8</v>
      </c>
      <c r="BU75" s="100">
        <v>5145.5999999999995</v>
      </c>
      <c r="BV75" s="100">
        <v>10</v>
      </c>
      <c r="BW75" s="100">
        <v>6431.9999999999991</v>
      </c>
      <c r="BX75" s="100">
        <v>8</v>
      </c>
      <c r="BY75" s="100">
        <v>5145.5999999999995</v>
      </c>
      <c r="BZ75" s="100">
        <v>8</v>
      </c>
      <c r="CA75" s="100">
        <v>5145.5999999999995</v>
      </c>
      <c r="CB75" s="100">
        <v>10</v>
      </c>
      <c r="CC75" s="100">
        <v>6431.9999999999991</v>
      </c>
      <c r="CD75" s="100">
        <v>7</v>
      </c>
      <c r="CE75" s="100">
        <v>4502.3999999999996</v>
      </c>
      <c r="CF75" s="100">
        <v>6</v>
      </c>
      <c r="CG75" s="100">
        <v>3859.2</v>
      </c>
      <c r="CH75" s="100">
        <v>5</v>
      </c>
      <c r="CI75" s="100">
        <v>3215.9999999999995</v>
      </c>
      <c r="CJ75" s="100">
        <v>7</v>
      </c>
      <c r="CK75" s="100">
        <v>4502.3999999999996</v>
      </c>
      <c r="CL75" s="100">
        <v>9</v>
      </c>
      <c r="CM75" s="100">
        <v>5788.7999999999993</v>
      </c>
      <c r="CN75" s="100">
        <v>9</v>
      </c>
      <c r="CO75" s="100">
        <v>5788.7999999999993</v>
      </c>
      <c r="CP75" s="100">
        <v>9</v>
      </c>
      <c r="CQ75" s="100">
        <v>5788.7999999999993</v>
      </c>
      <c r="CR75" s="100">
        <v>10</v>
      </c>
      <c r="CS75" s="100">
        <v>6431.9999999999991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8</v>
      </c>
      <c r="E76" s="100">
        <v>6230.4</v>
      </c>
      <c r="F76" s="100">
        <v>6</v>
      </c>
      <c r="G76" s="100">
        <v>4672.7999999999993</v>
      </c>
      <c r="H76" s="100">
        <v>6</v>
      </c>
      <c r="I76" s="100">
        <v>4672.7999999999993</v>
      </c>
      <c r="J76" s="100">
        <v>5</v>
      </c>
      <c r="K76" s="100">
        <v>3894</v>
      </c>
      <c r="L76" s="100">
        <v>6</v>
      </c>
      <c r="M76" s="100">
        <v>4672.7999999999993</v>
      </c>
      <c r="N76" s="100">
        <v>8</v>
      </c>
      <c r="O76" s="100">
        <v>6230.4</v>
      </c>
      <c r="P76" s="100">
        <v>10</v>
      </c>
      <c r="Q76" s="100">
        <v>7788</v>
      </c>
      <c r="R76" s="100">
        <v>6</v>
      </c>
      <c r="S76" s="100">
        <v>4672.7999999999993</v>
      </c>
      <c r="T76" s="100">
        <v>7</v>
      </c>
      <c r="U76" s="100">
        <v>5451.5999999999995</v>
      </c>
      <c r="V76" s="100">
        <v>6</v>
      </c>
      <c r="W76" s="100">
        <v>4672.7999999999993</v>
      </c>
      <c r="X76" s="100">
        <v>6</v>
      </c>
      <c r="Y76" s="100">
        <v>4672.7999999999993</v>
      </c>
      <c r="Z76" s="100">
        <v>9</v>
      </c>
      <c r="AA76" s="100">
        <v>7009.2</v>
      </c>
      <c r="AB76" s="100">
        <v>6</v>
      </c>
      <c r="AC76" s="100">
        <v>4672.7999999999993</v>
      </c>
      <c r="AD76" s="100">
        <v>7</v>
      </c>
      <c r="AE76" s="100">
        <v>5451.5999999999995</v>
      </c>
      <c r="AF76" s="100">
        <v>8</v>
      </c>
      <c r="AG76" s="100">
        <v>6230.4</v>
      </c>
      <c r="AH76" s="100">
        <v>9</v>
      </c>
      <c r="AI76" s="100">
        <v>7009.2</v>
      </c>
      <c r="AJ76" s="100">
        <v>6</v>
      </c>
      <c r="AK76" s="100">
        <v>4672.7999999999993</v>
      </c>
      <c r="AL76" s="100">
        <v>7</v>
      </c>
      <c r="AM76" s="100">
        <v>5451.5999999999995</v>
      </c>
      <c r="AN76" s="100">
        <v>5</v>
      </c>
      <c r="AO76" s="100">
        <v>3894</v>
      </c>
      <c r="AP76" s="100">
        <v>5</v>
      </c>
      <c r="AQ76" s="100">
        <v>3894</v>
      </c>
      <c r="AR76" s="100">
        <v>9</v>
      </c>
      <c r="AS76" s="100">
        <v>7009.2</v>
      </c>
      <c r="AT76" s="100">
        <v>10</v>
      </c>
      <c r="AU76" s="100">
        <v>7788</v>
      </c>
      <c r="AV76" s="100">
        <v>8</v>
      </c>
      <c r="AW76" s="100">
        <v>6230.4</v>
      </c>
      <c r="AX76" s="100">
        <v>10</v>
      </c>
      <c r="AY76" s="100">
        <v>7788</v>
      </c>
      <c r="AZ76" s="100">
        <v>6</v>
      </c>
      <c r="BA76" s="100">
        <v>4672.7999999999993</v>
      </c>
      <c r="BB76" s="100">
        <v>10</v>
      </c>
      <c r="BC76" s="100">
        <v>7788</v>
      </c>
      <c r="BD76" s="100">
        <v>9</v>
      </c>
      <c r="BE76" s="100">
        <v>7009.2</v>
      </c>
      <c r="BF76" s="100">
        <v>5</v>
      </c>
      <c r="BG76" s="100">
        <v>3894</v>
      </c>
      <c r="BH76" s="100">
        <v>10</v>
      </c>
      <c r="BI76" s="100">
        <v>7788</v>
      </c>
      <c r="BJ76" s="100">
        <v>6</v>
      </c>
      <c r="BK76" s="100">
        <v>4672.7999999999993</v>
      </c>
      <c r="BL76" s="100">
        <v>11</v>
      </c>
      <c r="BM76" s="100">
        <v>8566.7999999999993</v>
      </c>
      <c r="BN76" s="100">
        <v>9</v>
      </c>
      <c r="BO76" s="100">
        <v>7009.2</v>
      </c>
      <c r="BP76" s="100">
        <v>8</v>
      </c>
      <c r="BQ76" s="100">
        <v>6230.4</v>
      </c>
      <c r="BR76" s="100">
        <v>7</v>
      </c>
      <c r="BS76" s="100">
        <v>5451.5999999999995</v>
      </c>
      <c r="BT76" s="100">
        <v>8</v>
      </c>
      <c r="BU76" s="100">
        <v>6230.4</v>
      </c>
      <c r="BV76" s="100">
        <v>10</v>
      </c>
      <c r="BW76" s="100">
        <v>7788</v>
      </c>
      <c r="BX76" s="100">
        <v>9</v>
      </c>
      <c r="BY76" s="100">
        <v>7009.2</v>
      </c>
      <c r="BZ76" s="100">
        <v>8</v>
      </c>
      <c r="CA76" s="100">
        <v>6230.4</v>
      </c>
      <c r="CB76" s="100">
        <v>10</v>
      </c>
      <c r="CC76" s="100">
        <v>7788</v>
      </c>
      <c r="CD76" s="100">
        <v>8</v>
      </c>
      <c r="CE76" s="100">
        <v>6230.4</v>
      </c>
      <c r="CF76" s="100">
        <v>6</v>
      </c>
      <c r="CG76" s="100">
        <v>4672.7999999999993</v>
      </c>
      <c r="CH76" s="100">
        <v>5</v>
      </c>
      <c r="CI76" s="100">
        <v>3894</v>
      </c>
      <c r="CJ76" s="100">
        <v>7</v>
      </c>
      <c r="CK76" s="100">
        <v>5451.5999999999995</v>
      </c>
      <c r="CL76" s="100">
        <v>8</v>
      </c>
      <c r="CM76" s="100">
        <v>6230.4</v>
      </c>
      <c r="CN76" s="100">
        <v>9</v>
      </c>
      <c r="CO76" s="100">
        <v>7009.2</v>
      </c>
      <c r="CP76" s="100">
        <v>7</v>
      </c>
      <c r="CQ76" s="100">
        <v>5451.5999999999995</v>
      </c>
      <c r="CR76" s="100">
        <v>9</v>
      </c>
      <c r="CS76" s="100">
        <v>7009.2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9</v>
      </c>
      <c r="E77" s="100">
        <v>2505.6</v>
      </c>
      <c r="F77" s="100">
        <v>6</v>
      </c>
      <c r="G77" s="100">
        <v>1670.3999999999999</v>
      </c>
      <c r="H77" s="100">
        <v>7</v>
      </c>
      <c r="I77" s="100">
        <v>1948.7999999999997</v>
      </c>
      <c r="J77" s="100">
        <v>5</v>
      </c>
      <c r="K77" s="100">
        <v>1392</v>
      </c>
      <c r="L77" s="100">
        <v>6</v>
      </c>
      <c r="M77" s="100">
        <v>1670.3999999999999</v>
      </c>
      <c r="N77" s="100">
        <v>8</v>
      </c>
      <c r="O77" s="100">
        <v>2227.1999999999998</v>
      </c>
      <c r="P77" s="100">
        <v>9</v>
      </c>
      <c r="Q77" s="100">
        <v>2505.6</v>
      </c>
      <c r="R77" s="100">
        <v>6</v>
      </c>
      <c r="S77" s="100">
        <v>1670.3999999999999</v>
      </c>
      <c r="T77" s="100">
        <v>6</v>
      </c>
      <c r="U77" s="100">
        <v>1670.3999999999999</v>
      </c>
      <c r="V77" s="100">
        <v>6</v>
      </c>
      <c r="W77" s="100">
        <v>1670.3999999999999</v>
      </c>
      <c r="X77" s="100">
        <v>6</v>
      </c>
      <c r="Y77" s="100">
        <v>1670.3999999999999</v>
      </c>
      <c r="Z77" s="100">
        <v>9</v>
      </c>
      <c r="AA77" s="100">
        <v>2505.6</v>
      </c>
      <c r="AB77" s="100">
        <v>6</v>
      </c>
      <c r="AC77" s="100">
        <v>1670.3999999999999</v>
      </c>
      <c r="AD77" s="100">
        <v>7</v>
      </c>
      <c r="AE77" s="100">
        <v>1948.7999999999997</v>
      </c>
      <c r="AF77" s="100">
        <v>7</v>
      </c>
      <c r="AG77" s="100">
        <v>1948.7999999999997</v>
      </c>
      <c r="AH77" s="100">
        <v>9</v>
      </c>
      <c r="AI77" s="100">
        <v>2505.6</v>
      </c>
      <c r="AJ77" s="100">
        <v>7</v>
      </c>
      <c r="AK77" s="100">
        <v>1948.7999999999997</v>
      </c>
      <c r="AL77" s="100">
        <v>6</v>
      </c>
      <c r="AM77" s="100">
        <v>1670.3999999999999</v>
      </c>
      <c r="AN77" s="100">
        <v>6</v>
      </c>
      <c r="AO77" s="100">
        <v>1670.3999999999999</v>
      </c>
      <c r="AP77" s="100">
        <v>5</v>
      </c>
      <c r="AQ77" s="100">
        <v>1392</v>
      </c>
      <c r="AR77" s="100">
        <v>10</v>
      </c>
      <c r="AS77" s="100">
        <v>2784</v>
      </c>
      <c r="AT77" s="100">
        <v>10</v>
      </c>
      <c r="AU77" s="100">
        <v>2784</v>
      </c>
      <c r="AV77" s="100">
        <v>7</v>
      </c>
      <c r="AW77" s="100">
        <v>1948.7999999999997</v>
      </c>
      <c r="AX77" s="100">
        <v>10</v>
      </c>
      <c r="AY77" s="100">
        <v>2784</v>
      </c>
      <c r="AZ77" s="100">
        <v>6</v>
      </c>
      <c r="BA77" s="100">
        <v>1670.3999999999999</v>
      </c>
      <c r="BB77" s="100">
        <v>11</v>
      </c>
      <c r="BC77" s="100">
        <v>3062.3999999999996</v>
      </c>
      <c r="BD77" s="100">
        <v>8</v>
      </c>
      <c r="BE77" s="100">
        <v>2227.1999999999998</v>
      </c>
      <c r="BF77" s="100">
        <v>6</v>
      </c>
      <c r="BG77" s="100">
        <v>1670.3999999999999</v>
      </c>
      <c r="BH77" s="100">
        <v>9</v>
      </c>
      <c r="BI77" s="100">
        <v>2505.6</v>
      </c>
      <c r="BJ77" s="100">
        <v>7</v>
      </c>
      <c r="BK77" s="100">
        <v>1948.7999999999997</v>
      </c>
      <c r="BL77" s="100">
        <v>11</v>
      </c>
      <c r="BM77" s="100">
        <v>3062.3999999999996</v>
      </c>
      <c r="BN77" s="100">
        <v>9</v>
      </c>
      <c r="BO77" s="100">
        <v>2505.6</v>
      </c>
      <c r="BP77" s="100">
        <v>8</v>
      </c>
      <c r="BQ77" s="100">
        <v>2227.1999999999998</v>
      </c>
      <c r="BR77" s="100">
        <v>8</v>
      </c>
      <c r="BS77" s="100">
        <v>2227.1999999999998</v>
      </c>
      <c r="BT77" s="100">
        <v>9</v>
      </c>
      <c r="BU77" s="100">
        <v>2505.6</v>
      </c>
      <c r="BV77" s="100">
        <v>10</v>
      </c>
      <c r="BW77" s="100">
        <v>2784</v>
      </c>
      <c r="BX77" s="100">
        <v>10</v>
      </c>
      <c r="BY77" s="100">
        <v>2784</v>
      </c>
      <c r="BZ77" s="100">
        <v>8</v>
      </c>
      <c r="CA77" s="100">
        <v>2227.1999999999998</v>
      </c>
      <c r="CB77" s="100">
        <v>10</v>
      </c>
      <c r="CC77" s="100">
        <v>2784</v>
      </c>
      <c r="CD77" s="100">
        <v>9</v>
      </c>
      <c r="CE77" s="100">
        <v>2505.6</v>
      </c>
      <c r="CF77" s="100">
        <v>6</v>
      </c>
      <c r="CG77" s="100">
        <v>1670.3999999999999</v>
      </c>
      <c r="CH77" s="100">
        <v>5</v>
      </c>
      <c r="CI77" s="100">
        <v>1392</v>
      </c>
      <c r="CJ77" s="100">
        <v>8</v>
      </c>
      <c r="CK77" s="100">
        <v>2227.1999999999998</v>
      </c>
      <c r="CL77" s="100">
        <v>10</v>
      </c>
      <c r="CM77" s="100">
        <v>2784</v>
      </c>
      <c r="CN77" s="100">
        <v>10</v>
      </c>
      <c r="CO77" s="100">
        <v>2784</v>
      </c>
      <c r="CP77" s="100">
        <v>9</v>
      </c>
      <c r="CQ77" s="100">
        <v>2505.6</v>
      </c>
      <c r="CR77" s="100">
        <v>9</v>
      </c>
      <c r="CS77" s="100">
        <v>2505.6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8</v>
      </c>
      <c r="E78" s="100">
        <v>4416</v>
      </c>
      <c r="F78" s="100">
        <v>6</v>
      </c>
      <c r="G78" s="100">
        <v>3312</v>
      </c>
      <c r="H78" s="100">
        <v>6</v>
      </c>
      <c r="I78" s="100">
        <v>3312</v>
      </c>
      <c r="J78" s="100">
        <v>5</v>
      </c>
      <c r="K78" s="100">
        <v>2760</v>
      </c>
      <c r="L78" s="100">
        <v>6</v>
      </c>
      <c r="M78" s="100">
        <v>3312</v>
      </c>
      <c r="N78" s="100">
        <v>9</v>
      </c>
      <c r="O78" s="100">
        <v>4968</v>
      </c>
      <c r="P78" s="100">
        <v>9</v>
      </c>
      <c r="Q78" s="100">
        <v>4968</v>
      </c>
      <c r="R78" s="100">
        <v>6</v>
      </c>
      <c r="S78" s="100">
        <v>3312</v>
      </c>
      <c r="T78" s="100">
        <v>7</v>
      </c>
      <c r="U78" s="100">
        <v>3864</v>
      </c>
      <c r="V78" s="100">
        <v>6</v>
      </c>
      <c r="W78" s="100">
        <v>3312</v>
      </c>
      <c r="X78" s="100">
        <v>7</v>
      </c>
      <c r="Y78" s="100">
        <v>3864</v>
      </c>
      <c r="Z78" s="100">
        <v>8</v>
      </c>
      <c r="AA78" s="100">
        <v>4416</v>
      </c>
      <c r="AB78" s="100">
        <v>6</v>
      </c>
      <c r="AC78" s="100">
        <v>3312</v>
      </c>
      <c r="AD78" s="100">
        <v>7</v>
      </c>
      <c r="AE78" s="100">
        <v>3864</v>
      </c>
      <c r="AF78" s="100">
        <v>8</v>
      </c>
      <c r="AG78" s="100">
        <v>4416</v>
      </c>
      <c r="AH78" s="100">
        <v>9</v>
      </c>
      <c r="AI78" s="100">
        <v>4968</v>
      </c>
      <c r="AJ78" s="100">
        <v>6</v>
      </c>
      <c r="AK78" s="100">
        <v>3312</v>
      </c>
      <c r="AL78" s="100">
        <v>7</v>
      </c>
      <c r="AM78" s="100">
        <v>3864</v>
      </c>
      <c r="AN78" s="100">
        <v>6</v>
      </c>
      <c r="AO78" s="100">
        <v>3312</v>
      </c>
      <c r="AP78" s="100">
        <v>6</v>
      </c>
      <c r="AQ78" s="100">
        <v>3312</v>
      </c>
      <c r="AR78" s="100">
        <v>10</v>
      </c>
      <c r="AS78" s="100">
        <v>5520</v>
      </c>
      <c r="AT78" s="100">
        <v>10</v>
      </c>
      <c r="AU78" s="100">
        <v>5520</v>
      </c>
      <c r="AV78" s="100">
        <v>7</v>
      </c>
      <c r="AW78" s="100">
        <v>3864</v>
      </c>
      <c r="AX78" s="100">
        <v>11</v>
      </c>
      <c r="AY78" s="100">
        <v>6072</v>
      </c>
      <c r="AZ78" s="100">
        <v>7</v>
      </c>
      <c r="BA78" s="100">
        <v>3864</v>
      </c>
      <c r="BB78" s="100">
        <v>10</v>
      </c>
      <c r="BC78" s="100">
        <v>5520</v>
      </c>
      <c r="BD78" s="100">
        <v>8</v>
      </c>
      <c r="BE78" s="100">
        <v>4416</v>
      </c>
      <c r="BF78" s="100">
        <v>6</v>
      </c>
      <c r="BG78" s="100">
        <v>3312</v>
      </c>
      <c r="BH78" s="100">
        <v>10</v>
      </c>
      <c r="BI78" s="100">
        <v>5520</v>
      </c>
      <c r="BJ78" s="100">
        <v>7</v>
      </c>
      <c r="BK78" s="100">
        <v>3864</v>
      </c>
      <c r="BL78" s="100">
        <v>11</v>
      </c>
      <c r="BM78" s="100">
        <v>6072</v>
      </c>
      <c r="BN78" s="100">
        <v>10</v>
      </c>
      <c r="BO78" s="100">
        <v>5520</v>
      </c>
      <c r="BP78" s="100">
        <v>8</v>
      </c>
      <c r="BQ78" s="100">
        <v>4416</v>
      </c>
      <c r="BR78" s="100">
        <v>7</v>
      </c>
      <c r="BS78" s="100">
        <v>3864</v>
      </c>
      <c r="BT78" s="100">
        <v>8</v>
      </c>
      <c r="BU78" s="100">
        <v>4416</v>
      </c>
      <c r="BV78" s="100">
        <v>9</v>
      </c>
      <c r="BW78" s="100">
        <v>4968</v>
      </c>
      <c r="BX78" s="100">
        <v>9</v>
      </c>
      <c r="BY78" s="100">
        <v>4968</v>
      </c>
      <c r="BZ78" s="100">
        <v>7</v>
      </c>
      <c r="CA78" s="100">
        <v>3864</v>
      </c>
      <c r="CB78" s="100">
        <v>9</v>
      </c>
      <c r="CC78" s="100">
        <v>4968</v>
      </c>
      <c r="CD78" s="100">
        <v>7</v>
      </c>
      <c r="CE78" s="100">
        <v>3864</v>
      </c>
      <c r="CF78" s="100">
        <v>6</v>
      </c>
      <c r="CG78" s="100">
        <v>3312</v>
      </c>
      <c r="CH78" s="100">
        <v>6</v>
      </c>
      <c r="CI78" s="100">
        <v>3312</v>
      </c>
      <c r="CJ78" s="100">
        <v>7</v>
      </c>
      <c r="CK78" s="100">
        <v>3864</v>
      </c>
      <c r="CL78" s="100">
        <v>8</v>
      </c>
      <c r="CM78" s="100">
        <v>4416</v>
      </c>
      <c r="CN78" s="100">
        <v>9</v>
      </c>
      <c r="CO78" s="100">
        <v>4968</v>
      </c>
      <c r="CP78" s="100">
        <v>8</v>
      </c>
      <c r="CQ78" s="100">
        <v>4416</v>
      </c>
      <c r="CR78" s="100">
        <v>9</v>
      </c>
      <c r="CS78" s="100">
        <v>4968</v>
      </c>
      <c r="CT78" s="100">
        <v>7</v>
      </c>
      <c r="CU78" s="100">
        <v>3864</v>
      </c>
    </row>
    <row r="79" spans="2:99">
      <c r="C79" s="99" t="s">
        <v>245</v>
      </c>
      <c r="D79" s="100">
        <v>9</v>
      </c>
      <c r="E79" s="100">
        <v>6814.7999999999993</v>
      </c>
      <c r="F79" s="100">
        <v>6</v>
      </c>
      <c r="G79" s="100">
        <v>4543.2</v>
      </c>
      <c r="H79" s="100">
        <v>6</v>
      </c>
      <c r="I79" s="100">
        <v>4543.2</v>
      </c>
      <c r="J79" s="100">
        <v>5</v>
      </c>
      <c r="K79" s="100">
        <v>3785.9999999999995</v>
      </c>
      <c r="L79" s="100">
        <v>5</v>
      </c>
      <c r="M79" s="100">
        <v>3785.9999999999995</v>
      </c>
      <c r="N79" s="100">
        <v>7</v>
      </c>
      <c r="O79" s="100">
        <v>5300.4</v>
      </c>
      <c r="P79" s="100">
        <v>9</v>
      </c>
      <c r="Q79" s="100">
        <v>6814.7999999999993</v>
      </c>
      <c r="R79" s="100">
        <v>6</v>
      </c>
      <c r="S79" s="100">
        <v>4543.2</v>
      </c>
      <c r="T79" s="100">
        <v>6</v>
      </c>
      <c r="U79" s="100">
        <v>4543.2</v>
      </c>
      <c r="V79" s="100">
        <v>6</v>
      </c>
      <c r="W79" s="100">
        <v>4543.2</v>
      </c>
      <c r="X79" s="100">
        <v>6</v>
      </c>
      <c r="Y79" s="100">
        <v>4543.2</v>
      </c>
      <c r="Z79" s="100">
        <v>8</v>
      </c>
      <c r="AA79" s="100">
        <v>6057.5999999999995</v>
      </c>
      <c r="AB79" s="100">
        <v>6</v>
      </c>
      <c r="AC79" s="100">
        <v>4543.2</v>
      </c>
      <c r="AD79" s="100">
        <v>7</v>
      </c>
      <c r="AE79" s="100">
        <v>5300.4</v>
      </c>
      <c r="AF79" s="100">
        <v>8</v>
      </c>
      <c r="AG79" s="100">
        <v>6057.5999999999995</v>
      </c>
      <c r="AH79" s="100">
        <v>8</v>
      </c>
      <c r="AI79" s="100">
        <v>6057.5999999999995</v>
      </c>
      <c r="AJ79" s="100">
        <v>6</v>
      </c>
      <c r="AK79" s="100">
        <v>4543.2</v>
      </c>
      <c r="AL79" s="100">
        <v>7</v>
      </c>
      <c r="AM79" s="100">
        <v>5300.4</v>
      </c>
      <c r="AN79" s="100">
        <v>5</v>
      </c>
      <c r="AO79" s="100">
        <v>3785.9999999999995</v>
      </c>
      <c r="AP79" s="100">
        <v>5</v>
      </c>
      <c r="AQ79" s="100">
        <v>3785.9999999999995</v>
      </c>
      <c r="AR79" s="100">
        <v>9</v>
      </c>
      <c r="AS79" s="100">
        <v>6814.7999999999993</v>
      </c>
      <c r="AT79" s="100">
        <v>10</v>
      </c>
      <c r="AU79" s="100">
        <v>7571.9999999999991</v>
      </c>
      <c r="AV79" s="100">
        <v>7</v>
      </c>
      <c r="AW79" s="100">
        <v>5300.4</v>
      </c>
      <c r="AX79" s="100">
        <v>10</v>
      </c>
      <c r="AY79" s="100">
        <v>7571.9999999999991</v>
      </c>
      <c r="AZ79" s="100">
        <v>6</v>
      </c>
      <c r="BA79" s="100">
        <v>4543.2</v>
      </c>
      <c r="BB79" s="100">
        <v>9</v>
      </c>
      <c r="BC79" s="100">
        <v>6814.7999999999993</v>
      </c>
      <c r="BD79" s="100">
        <v>8</v>
      </c>
      <c r="BE79" s="100">
        <v>6057.5999999999995</v>
      </c>
      <c r="BF79" s="100">
        <v>6</v>
      </c>
      <c r="BG79" s="100">
        <v>4543.2</v>
      </c>
      <c r="BH79" s="100">
        <v>10</v>
      </c>
      <c r="BI79" s="100">
        <v>7571.9999999999991</v>
      </c>
      <c r="BJ79" s="100">
        <v>7</v>
      </c>
      <c r="BK79" s="100">
        <v>5300.4</v>
      </c>
      <c r="BL79" s="100">
        <v>9</v>
      </c>
      <c r="BM79" s="100">
        <v>6814.7999999999993</v>
      </c>
      <c r="BN79" s="100">
        <v>8</v>
      </c>
      <c r="BO79" s="100">
        <v>6057.5999999999995</v>
      </c>
      <c r="BP79" s="100">
        <v>8</v>
      </c>
      <c r="BQ79" s="100">
        <v>6057.5999999999995</v>
      </c>
      <c r="BR79" s="100">
        <v>7</v>
      </c>
      <c r="BS79" s="100">
        <v>5300.4</v>
      </c>
      <c r="BT79" s="100">
        <v>8</v>
      </c>
      <c r="BU79" s="100">
        <v>6057.5999999999995</v>
      </c>
      <c r="BV79" s="100">
        <v>8</v>
      </c>
      <c r="BW79" s="100">
        <v>6057.5999999999995</v>
      </c>
      <c r="BX79" s="100">
        <v>8</v>
      </c>
      <c r="BY79" s="100">
        <v>6057.5999999999995</v>
      </c>
      <c r="BZ79" s="100">
        <v>7</v>
      </c>
      <c r="CA79" s="100">
        <v>5300.4</v>
      </c>
      <c r="CB79" s="100">
        <v>9</v>
      </c>
      <c r="CC79" s="100">
        <v>6814.7999999999993</v>
      </c>
      <c r="CD79" s="100">
        <v>7</v>
      </c>
      <c r="CE79" s="100">
        <v>5300.4</v>
      </c>
      <c r="CF79" s="100">
        <v>6</v>
      </c>
      <c r="CG79" s="100">
        <v>4543.2</v>
      </c>
      <c r="CH79" s="100">
        <v>5</v>
      </c>
      <c r="CI79" s="100">
        <v>3785.9999999999995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9</v>
      </c>
      <c r="CO79" s="100">
        <v>6814.7999999999993</v>
      </c>
      <c r="CP79" s="100">
        <v>9</v>
      </c>
      <c r="CQ79" s="100">
        <v>6814.7999999999993</v>
      </c>
      <c r="CR79" s="100">
        <v>8</v>
      </c>
      <c r="CS79" s="100">
        <v>6057.5999999999995</v>
      </c>
      <c r="CT79" s="100">
        <v>6</v>
      </c>
      <c r="CU79" s="100">
        <v>4543.2</v>
      </c>
    </row>
    <row r="80" spans="2:99">
      <c r="C80" s="99" t="s">
        <v>246</v>
      </c>
      <c r="D80" s="100">
        <v>9</v>
      </c>
      <c r="E80" s="100">
        <v>7246.7999999999993</v>
      </c>
      <c r="F80" s="100">
        <v>5</v>
      </c>
      <c r="G80" s="100">
        <v>4025.9999999999995</v>
      </c>
      <c r="H80" s="100">
        <v>6</v>
      </c>
      <c r="I80" s="100">
        <v>4831.2</v>
      </c>
      <c r="J80" s="100">
        <v>6</v>
      </c>
      <c r="K80" s="100">
        <v>4831.2</v>
      </c>
      <c r="L80" s="100">
        <v>5</v>
      </c>
      <c r="M80" s="100">
        <v>4025.9999999999995</v>
      </c>
      <c r="N80" s="100">
        <v>9</v>
      </c>
      <c r="O80" s="100">
        <v>7246.7999999999993</v>
      </c>
      <c r="P80" s="100">
        <v>9</v>
      </c>
      <c r="Q80" s="100">
        <v>7246.7999999999993</v>
      </c>
      <c r="R80" s="100">
        <v>6</v>
      </c>
      <c r="S80" s="100">
        <v>4831.2</v>
      </c>
      <c r="T80" s="100">
        <v>7</v>
      </c>
      <c r="U80" s="100">
        <v>5636.4</v>
      </c>
      <c r="V80" s="100">
        <v>6</v>
      </c>
      <c r="W80" s="100">
        <v>4831.2</v>
      </c>
      <c r="X80" s="100">
        <v>7</v>
      </c>
      <c r="Y80" s="100">
        <v>5636.4</v>
      </c>
      <c r="Z80" s="100">
        <v>8</v>
      </c>
      <c r="AA80" s="100">
        <v>6441.5999999999995</v>
      </c>
      <c r="AB80" s="100">
        <v>6</v>
      </c>
      <c r="AC80" s="100">
        <v>4831.2</v>
      </c>
      <c r="AD80" s="100">
        <v>7</v>
      </c>
      <c r="AE80" s="100">
        <v>5636.4</v>
      </c>
      <c r="AF80" s="100">
        <v>8</v>
      </c>
      <c r="AG80" s="100">
        <v>6441.5999999999995</v>
      </c>
      <c r="AH80" s="100">
        <v>9</v>
      </c>
      <c r="AI80" s="100">
        <v>7246.7999999999993</v>
      </c>
      <c r="AJ80" s="100">
        <v>6</v>
      </c>
      <c r="AK80" s="100">
        <v>4831.2</v>
      </c>
      <c r="AL80" s="100">
        <v>6</v>
      </c>
      <c r="AM80" s="100">
        <v>4831.2</v>
      </c>
      <c r="AN80" s="100">
        <v>5</v>
      </c>
      <c r="AO80" s="100">
        <v>4025.9999999999995</v>
      </c>
      <c r="AP80" s="100">
        <v>6</v>
      </c>
      <c r="AQ80" s="100">
        <v>4831.2</v>
      </c>
      <c r="AR80" s="100">
        <v>9</v>
      </c>
      <c r="AS80" s="100">
        <v>7246.7999999999993</v>
      </c>
      <c r="AT80" s="100">
        <v>10</v>
      </c>
      <c r="AU80" s="100">
        <v>8051.9999999999991</v>
      </c>
      <c r="AV80" s="100">
        <v>7</v>
      </c>
      <c r="AW80" s="100">
        <v>5636.4</v>
      </c>
      <c r="AX80" s="100">
        <v>9</v>
      </c>
      <c r="AY80" s="100">
        <v>7246.7999999999993</v>
      </c>
      <c r="AZ80" s="100">
        <v>7</v>
      </c>
      <c r="BA80" s="100">
        <v>5636.4</v>
      </c>
      <c r="BB80" s="100">
        <v>10</v>
      </c>
      <c r="BC80" s="100">
        <v>8051.9999999999991</v>
      </c>
      <c r="BD80" s="100">
        <v>7</v>
      </c>
      <c r="BE80" s="100">
        <v>5636.4</v>
      </c>
      <c r="BF80" s="100">
        <v>6</v>
      </c>
      <c r="BG80" s="100">
        <v>4831.2</v>
      </c>
      <c r="BH80" s="100">
        <v>10</v>
      </c>
      <c r="BI80" s="100">
        <v>8051.9999999999991</v>
      </c>
      <c r="BJ80" s="100">
        <v>7</v>
      </c>
      <c r="BK80" s="100">
        <v>5636.4</v>
      </c>
      <c r="BL80" s="100">
        <v>11</v>
      </c>
      <c r="BM80" s="100">
        <v>8857.1999999999989</v>
      </c>
      <c r="BN80" s="100">
        <v>9</v>
      </c>
      <c r="BO80" s="100">
        <v>7246.7999999999993</v>
      </c>
      <c r="BP80" s="100">
        <v>8</v>
      </c>
      <c r="BQ80" s="100">
        <v>6441.5999999999995</v>
      </c>
      <c r="BR80" s="100">
        <v>7</v>
      </c>
      <c r="BS80" s="100">
        <v>5636.4</v>
      </c>
      <c r="BT80" s="100">
        <v>9</v>
      </c>
      <c r="BU80" s="100">
        <v>7246.7999999999993</v>
      </c>
      <c r="BV80" s="100">
        <v>9</v>
      </c>
      <c r="BW80" s="100">
        <v>7246.7999999999993</v>
      </c>
      <c r="BX80" s="100">
        <v>8</v>
      </c>
      <c r="BY80" s="100">
        <v>6441.5999999999995</v>
      </c>
      <c r="BZ80" s="100">
        <v>7</v>
      </c>
      <c r="CA80" s="100">
        <v>5636.4</v>
      </c>
      <c r="CB80" s="100">
        <v>8</v>
      </c>
      <c r="CC80" s="100">
        <v>6441.5999999999995</v>
      </c>
      <c r="CD80" s="100">
        <v>8</v>
      </c>
      <c r="CE80" s="100">
        <v>6441.5999999999995</v>
      </c>
      <c r="CF80" s="100">
        <v>6</v>
      </c>
      <c r="CG80" s="100">
        <v>4831.2</v>
      </c>
      <c r="CH80" s="100">
        <v>5</v>
      </c>
      <c r="CI80" s="100">
        <v>4025.9999999999995</v>
      </c>
      <c r="CJ80" s="100">
        <v>6</v>
      </c>
      <c r="CK80" s="100">
        <v>4831.2</v>
      </c>
      <c r="CL80" s="100">
        <v>8</v>
      </c>
      <c r="CM80" s="100">
        <v>6441.5999999999995</v>
      </c>
      <c r="CN80" s="100">
        <v>9</v>
      </c>
      <c r="CO80" s="100">
        <v>7246.7999999999993</v>
      </c>
      <c r="CP80" s="100">
        <v>8</v>
      </c>
      <c r="CQ80" s="100">
        <v>6441.5999999999995</v>
      </c>
      <c r="CR80" s="100">
        <v>8</v>
      </c>
      <c r="CS80" s="100">
        <v>6441.5999999999995</v>
      </c>
      <c r="CT80" s="100">
        <v>6</v>
      </c>
      <c r="CU80" s="100">
        <v>4831.2</v>
      </c>
    </row>
    <row r="81" spans="2:99">
      <c r="C81" s="99" t="s">
        <v>247</v>
      </c>
      <c r="D81" s="100">
        <v>8</v>
      </c>
      <c r="E81" s="100">
        <v>6028.8</v>
      </c>
      <c r="F81" s="100">
        <v>5</v>
      </c>
      <c r="G81" s="100">
        <v>3768</v>
      </c>
      <c r="H81" s="100">
        <v>5</v>
      </c>
      <c r="I81" s="100">
        <v>3768</v>
      </c>
      <c r="J81" s="100">
        <v>5</v>
      </c>
      <c r="K81" s="100">
        <v>3768</v>
      </c>
      <c r="L81" s="100">
        <v>6</v>
      </c>
      <c r="M81" s="100">
        <v>4521.6000000000004</v>
      </c>
      <c r="N81" s="100">
        <v>9</v>
      </c>
      <c r="O81" s="100">
        <v>6782.4000000000005</v>
      </c>
      <c r="P81" s="100">
        <v>9</v>
      </c>
      <c r="Q81" s="100">
        <v>6782.4000000000005</v>
      </c>
      <c r="R81" s="100">
        <v>6</v>
      </c>
      <c r="S81" s="100">
        <v>4521.6000000000004</v>
      </c>
      <c r="T81" s="100">
        <v>6</v>
      </c>
      <c r="U81" s="100">
        <v>4521.6000000000004</v>
      </c>
      <c r="V81" s="100">
        <v>5</v>
      </c>
      <c r="W81" s="100">
        <v>3768</v>
      </c>
      <c r="X81" s="100">
        <v>7</v>
      </c>
      <c r="Y81" s="100">
        <v>5275.2</v>
      </c>
      <c r="Z81" s="100">
        <v>9</v>
      </c>
      <c r="AA81" s="100">
        <v>6782.4000000000005</v>
      </c>
      <c r="AB81" s="100">
        <v>6</v>
      </c>
      <c r="AC81" s="100">
        <v>4521.6000000000004</v>
      </c>
      <c r="AD81" s="100">
        <v>7</v>
      </c>
      <c r="AE81" s="100">
        <v>5275.2</v>
      </c>
      <c r="AF81" s="100">
        <v>7</v>
      </c>
      <c r="AG81" s="100">
        <v>5275.2</v>
      </c>
      <c r="AH81" s="100">
        <v>8</v>
      </c>
      <c r="AI81" s="100">
        <v>6028.8</v>
      </c>
      <c r="AJ81" s="100">
        <v>5</v>
      </c>
      <c r="AK81" s="100">
        <v>3768</v>
      </c>
      <c r="AL81" s="100">
        <v>6</v>
      </c>
      <c r="AM81" s="100">
        <v>4521.6000000000004</v>
      </c>
      <c r="AN81" s="100">
        <v>5</v>
      </c>
      <c r="AO81" s="100">
        <v>3768</v>
      </c>
      <c r="AP81" s="100">
        <v>6</v>
      </c>
      <c r="AQ81" s="100">
        <v>4521.6000000000004</v>
      </c>
      <c r="AR81" s="100">
        <v>8</v>
      </c>
      <c r="AS81" s="100">
        <v>6028.8</v>
      </c>
      <c r="AT81" s="100">
        <v>10</v>
      </c>
      <c r="AU81" s="100">
        <v>7536</v>
      </c>
      <c r="AV81" s="100">
        <v>7</v>
      </c>
      <c r="AW81" s="100">
        <v>5275.2</v>
      </c>
      <c r="AX81" s="100">
        <v>9</v>
      </c>
      <c r="AY81" s="100">
        <v>6782.4000000000005</v>
      </c>
      <c r="AZ81" s="100">
        <v>6</v>
      </c>
      <c r="BA81" s="100">
        <v>4521.6000000000004</v>
      </c>
      <c r="BB81" s="100">
        <v>9</v>
      </c>
      <c r="BC81" s="100">
        <v>6782.4000000000005</v>
      </c>
      <c r="BD81" s="100">
        <v>8</v>
      </c>
      <c r="BE81" s="100">
        <v>6028.8</v>
      </c>
      <c r="BF81" s="100">
        <v>5</v>
      </c>
      <c r="BG81" s="100">
        <v>3768</v>
      </c>
      <c r="BH81" s="100">
        <v>10</v>
      </c>
      <c r="BI81" s="100">
        <v>7536</v>
      </c>
      <c r="BJ81" s="100">
        <v>8</v>
      </c>
      <c r="BK81" s="100">
        <v>6028.8</v>
      </c>
      <c r="BL81" s="100">
        <v>10</v>
      </c>
      <c r="BM81" s="100">
        <v>7536</v>
      </c>
      <c r="BN81" s="100">
        <v>9</v>
      </c>
      <c r="BO81" s="100">
        <v>6782.4000000000005</v>
      </c>
      <c r="BP81" s="100">
        <v>7</v>
      </c>
      <c r="BQ81" s="100">
        <v>5275.2</v>
      </c>
      <c r="BR81" s="100">
        <v>8</v>
      </c>
      <c r="BS81" s="100">
        <v>6028.8</v>
      </c>
      <c r="BT81" s="100">
        <v>8</v>
      </c>
      <c r="BU81" s="100">
        <v>6028.8</v>
      </c>
      <c r="BV81" s="100">
        <v>9</v>
      </c>
      <c r="BW81" s="100">
        <v>6782.4000000000005</v>
      </c>
      <c r="BX81" s="100">
        <v>9</v>
      </c>
      <c r="BY81" s="100">
        <v>6782.4000000000005</v>
      </c>
      <c r="BZ81" s="100">
        <v>7</v>
      </c>
      <c r="CA81" s="100">
        <v>5275.2</v>
      </c>
      <c r="CB81" s="100">
        <v>8</v>
      </c>
      <c r="CC81" s="100">
        <v>6028.8</v>
      </c>
      <c r="CD81" s="100">
        <v>7</v>
      </c>
      <c r="CE81" s="100">
        <v>5275.2</v>
      </c>
      <c r="CF81" s="100">
        <v>5</v>
      </c>
      <c r="CG81" s="100">
        <v>3768</v>
      </c>
      <c r="CH81" s="100">
        <v>6</v>
      </c>
      <c r="CI81" s="100">
        <v>4521.6000000000004</v>
      </c>
      <c r="CJ81" s="100">
        <v>7</v>
      </c>
      <c r="CK81" s="100">
        <v>5275.2</v>
      </c>
      <c r="CL81" s="100">
        <v>9</v>
      </c>
      <c r="CM81" s="100">
        <v>6782.4000000000005</v>
      </c>
      <c r="CN81" s="100">
        <v>9</v>
      </c>
      <c r="CO81" s="100">
        <v>6782.4000000000005</v>
      </c>
      <c r="CP81" s="100">
        <v>8</v>
      </c>
      <c r="CQ81" s="100">
        <v>6028.8</v>
      </c>
      <c r="CR81" s="100">
        <v>9</v>
      </c>
      <c r="CS81" s="100">
        <v>6782.4000000000005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6</v>
      </c>
      <c r="G82" s="100">
        <v>3052.7999999999993</v>
      </c>
      <c r="H82" s="100">
        <v>6</v>
      </c>
      <c r="I82" s="100">
        <v>3052.7999999999993</v>
      </c>
      <c r="J82" s="100">
        <v>6</v>
      </c>
      <c r="K82" s="100">
        <v>3052.7999999999993</v>
      </c>
      <c r="L82" s="100">
        <v>5</v>
      </c>
      <c r="M82" s="100">
        <v>2543.9999999999995</v>
      </c>
      <c r="N82" s="100">
        <v>8</v>
      </c>
      <c r="O82" s="100">
        <v>4070.3999999999992</v>
      </c>
      <c r="P82" s="100">
        <v>10</v>
      </c>
      <c r="Q82" s="100">
        <v>5087.9999999999991</v>
      </c>
      <c r="R82" s="100">
        <v>6</v>
      </c>
      <c r="S82" s="100">
        <v>3052.7999999999993</v>
      </c>
      <c r="T82" s="100">
        <v>6</v>
      </c>
      <c r="U82" s="100">
        <v>3052.7999999999993</v>
      </c>
      <c r="V82" s="100">
        <v>6</v>
      </c>
      <c r="W82" s="100">
        <v>3052.7999999999993</v>
      </c>
      <c r="X82" s="100">
        <v>7</v>
      </c>
      <c r="Y82" s="100">
        <v>3561.5999999999995</v>
      </c>
      <c r="Z82" s="100">
        <v>9</v>
      </c>
      <c r="AA82" s="100">
        <v>4579.1999999999989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9</v>
      </c>
      <c r="AI82" s="100">
        <v>4579.1999999999989</v>
      </c>
      <c r="AJ82" s="100">
        <v>6</v>
      </c>
      <c r="AK82" s="100">
        <v>3052.7999999999993</v>
      </c>
      <c r="AL82" s="100">
        <v>7</v>
      </c>
      <c r="AM82" s="100">
        <v>3561.5999999999995</v>
      </c>
      <c r="AN82" s="100">
        <v>6</v>
      </c>
      <c r="AO82" s="100">
        <v>3052.7999999999993</v>
      </c>
      <c r="AP82" s="100">
        <v>5</v>
      </c>
      <c r="AQ82" s="100">
        <v>2543.9999999999995</v>
      </c>
      <c r="AR82" s="100">
        <v>10</v>
      </c>
      <c r="AS82" s="100">
        <v>5087.9999999999991</v>
      </c>
      <c r="AT82" s="100">
        <v>10</v>
      </c>
      <c r="AU82" s="100">
        <v>5087.9999999999991</v>
      </c>
      <c r="AV82" s="100">
        <v>8</v>
      </c>
      <c r="AW82" s="100">
        <v>4070.3999999999992</v>
      </c>
      <c r="AX82" s="100">
        <v>11</v>
      </c>
      <c r="AY82" s="100">
        <v>5596.7999999999993</v>
      </c>
      <c r="AZ82" s="100">
        <v>7</v>
      </c>
      <c r="BA82" s="100">
        <v>3561.5999999999995</v>
      </c>
      <c r="BB82" s="100">
        <v>10</v>
      </c>
      <c r="BC82" s="100">
        <v>5087.9999999999991</v>
      </c>
      <c r="BD82" s="100">
        <v>8</v>
      </c>
      <c r="BE82" s="100">
        <v>4070.3999999999992</v>
      </c>
      <c r="BF82" s="100">
        <v>6</v>
      </c>
      <c r="BG82" s="100">
        <v>3052.7999999999993</v>
      </c>
      <c r="BH82" s="100">
        <v>10</v>
      </c>
      <c r="BI82" s="100">
        <v>5087.9999999999991</v>
      </c>
      <c r="BJ82" s="100">
        <v>7</v>
      </c>
      <c r="BK82" s="100">
        <v>3561.5999999999995</v>
      </c>
      <c r="BL82" s="100">
        <v>11</v>
      </c>
      <c r="BM82" s="100">
        <v>5596.7999999999993</v>
      </c>
      <c r="BN82" s="100">
        <v>9</v>
      </c>
      <c r="BO82" s="100">
        <v>4579.1999999999989</v>
      </c>
      <c r="BP82" s="100">
        <v>8</v>
      </c>
      <c r="BQ82" s="100">
        <v>4070.3999999999992</v>
      </c>
      <c r="BR82" s="100">
        <v>7</v>
      </c>
      <c r="BS82" s="100">
        <v>3561.5999999999995</v>
      </c>
      <c r="BT82" s="100">
        <v>9</v>
      </c>
      <c r="BU82" s="100">
        <v>4579.1999999999989</v>
      </c>
      <c r="BV82" s="100">
        <v>9</v>
      </c>
      <c r="BW82" s="100">
        <v>4579.1999999999989</v>
      </c>
      <c r="BX82" s="100">
        <v>9</v>
      </c>
      <c r="BY82" s="100">
        <v>4579.1999999999989</v>
      </c>
      <c r="BZ82" s="100">
        <v>8</v>
      </c>
      <c r="CA82" s="100">
        <v>4070.3999999999992</v>
      </c>
      <c r="CB82" s="100">
        <v>9</v>
      </c>
      <c r="CC82" s="100">
        <v>4579.1999999999989</v>
      </c>
      <c r="CD82" s="100">
        <v>8</v>
      </c>
      <c r="CE82" s="100">
        <v>4070.3999999999992</v>
      </c>
      <c r="CF82" s="100">
        <v>6</v>
      </c>
      <c r="CG82" s="100">
        <v>3052.7999999999993</v>
      </c>
      <c r="CH82" s="100">
        <v>5</v>
      </c>
      <c r="CI82" s="100">
        <v>2543.9999999999995</v>
      </c>
      <c r="CJ82" s="100">
        <v>7</v>
      </c>
      <c r="CK82" s="100">
        <v>3561.5999999999995</v>
      </c>
      <c r="CL82" s="100">
        <v>10</v>
      </c>
      <c r="CM82" s="100">
        <v>5087.9999999999991</v>
      </c>
      <c r="CN82" s="100">
        <v>9</v>
      </c>
      <c r="CO82" s="100">
        <v>4579.1999999999989</v>
      </c>
      <c r="CP82" s="100">
        <v>9</v>
      </c>
      <c r="CQ82" s="100">
        <v>4579.1999999999989</v>
      </c>
      <c r="CR82" s="100">
        <v>9</v>
      </c>
      <c r="CS82" s="100">
        <v>4579.1999999999989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8</v>
      </c>
      <c r="E83" s="100">
        <v>6883.2</v>
      </c>
      <c r="F83" s="100">
        <v>6</v>
      </c>
      <c r="G83" s="100">
        <v>5162.3999999999996</v>
      </c>
      <c r="H83" s="100">
        <v>6</v>
      </c>
      <c r="I83" s="100">
        <v>5162.3999999999996</v>
      </c>
      <c r="J83" s="100">
        <v>5</v>
      </c>
      <c r="K83" s="100">
        <v>4302</v>
      </c>
      <c r="L83" s="100">
        <v>5</v>
      </c>
      <c r="M83" s="100">
        <v>4302</v>
      </c>
      <c r="N83" s="100">
        <v>8</v>
      </c>
      <c r="O83" s="100">
        <v>6883.2</v>
      </c>
      <c r="P83" s="100">
        <v>9</v>
      </c>
      <c r="Q83" s="100">
        <v>7743.5999999999995</v>
      </c>
      <c r="R83" s="100">
        <v>6</v>
      </c>
      <c r="S83" s="100">
        <v>5162.3999999999996</v>
      </c>
      <c r="T83" s="100">
        <v>6</v>
      </c>
      <c r="U83" s="100">
        <v>5162.3999999999996</v>
      </c>
      <c r="V83" s="100">
        <v>5</v>
      </c>
      <c r="W83" s="100">
        <v>4302</v>
      </c>
      <c r="X83" s="100">
        <v>7</v>
      </c>
      <c r="Y83" s="100">
        <v>6022.8</v>
      </c>
      <c r="Z83" s="100">
        <v>9</v>
      </c>
      <c r="AA83" s="100">
        <v>7743.5999999999995</v>
      </c>
      <c r="AB83" s="100">
        <v>5</v>
      </c>
      <c r="AC83" s="100">
        <v>4302</v>
      </c>
      <c r="AD83" s="100">
        <v>6</v>
      </c>
      <c r="AE83" s="100">
        <v>5162.3999999999996</v>
      </c>
      <c r="AF83" s="100">
        <v>7</v>
      </c>
      <c r="AG83" s="100">
        <v>6022.8</v>
      </c>
      <c r="AH83" s="100">
        <v>8</v>
      </c>
      <c r="AI83" s="100">
        <v>6883.2</v>
      </c>
      <c r="AJ83" s="100">
        <v>5</v>
      </c>
      <c r="AK83" s="100">
        <v>4302</v>
      </c>
      <c r="AL83" s="100">
        <v>7</v>
      </c>
      <c r="AM83" s="100">
        <v>6022.8</v>
      </c>
      <c r="AN83" s="100">
        <v>5</v>
      </c>
      <c r="AO83" s="100">
        <v>4302</v>
      </c>
      <c r="AP83" s="100">
        <v>5</v>
      </c>
      <c r="AQ83" s="100">
        <v>4302</v>
      </c>
      <c r="AR83" s="100">
        <v>9</v>
      </c>
      <c r="AS83" s="100">
        <v>7743.5999999999995</v>
      </c>
      <c r="AT83" s="100">
        <v>9</v>
      </c>
      <c r="AU83" s="100">
        <v>7743.5999999999995</v>
      </c>
      <c r="AV83" s="100">
        <v>6</v>
      </c>
      <c r="AW83" s="100">
        <v>5162.3999999999996</v>
      </c>
      <c r="AX83" s="100">
        <v>10</v>
      </c>
      <c r="AY83" s="100">
        <v>8604</v>
      </c>
      <c r="AZ83" s="100">
        <v>7</v>
      </c>
      <c r="BA83" s="100">
        <v>6022.8</v>
      </c>
      <c r="BB83" s="100">
        <v>10</v>
      </c>
      <c r="BC83" s="100">
        <v>8604</v>
      </c>
      <c r="BD83" s="100">
        <v>8</v>
      </c>
      <c r="BE83" s="100">
        <v>6883.2</v>
      </c>
      <c r="BF83" s="100">
        <v>5</v>
      </c>
      <c r="BG83" s="100">
        <v>4302</v>
      </c>
      <c r="BH83" s="100">
        <v>10</v>
      </c>
      <c r="BI83" s="100">
        <v>8604</v>
      </c>
      <c r="BJ83" s="100">
        <v>7</v>
      </c>
      <c r="BK83" s="100">
        <v>6022.8</v>
      </c>
      <c r="BL83" s="100">
        <v>9</v>
      </c>
      <c r="BM83" s="100">
        <v>7743.5999999999995</v>
      </c>
      <c r="BN83" s="100">
        <v>10</v>
      </c>
      <c r="BO83" s="100">
        <v>8604</v>
      </c>
      <c r="BP83" s="100">
        <v>7</v>
      </c>
      <c r="BQ83" s="100">
        <v>6022.8</v>
      </c>
      <c r="BR83" s="100">
        <v>7</v>
      </c>
      <c r="BS83" s="100">
        <v>6022.8</v>
      </c>
      <c r="BT83" s="100">
        <v>8</v>
      </c>
      <c r="BU83" s="100">
        <v>6883.2</v>
      </c>
      <c r="BV83" s="100">
        <v>9</v>
      </c>
      <c r="BW83" s="100">
        <v>7743.5999999999995</v>
      </c>
      <c r="BX83" s="100">
        <v>9</v>
      </c>
      <c r="BY83" s="100">
        <v>7743.5999999999995</v>
      </c>
      <c r="BZ83" s="100">
        <v>8</v>
      </c>
      <c r="CA83" s="100">
        <v>6883.2</v>
      </c>
      <c r="CB83" s="100">
        <v>9</v>
      </c>
      <c r="CC83" s="100">
        <v>7743.5999999999995</v>
      </c>
      <c r="CD83" s="100">
        <v>7</v>
      </c>
      <c r="CE83" s="100">
        <v>6022.8</v>
      </c>
      <c r="CF83" s="100">
        <v>6</v>
      </c>
      <c r="CG83" s="100">
        <v>5162.3999999999996</v>
      </c>
      <c r="CH83" s="100">
        <v>5</v>
      </c>
      <c r="CI83" s="100">
        <v>4302</v>
      </c>
      <c r="CJ83" s="100">
        <v>7</v>
      </c>
      <c r="CK83" s="100">
        <v>6022.8</v>
      </c>
      <c r="CL83" s="100">
        <v>9</v>
      </c>
      <c r="CM83" s="100">
        <v>7743.5999999999995</v>
      </c>
      <c r="CN83" s="100">
        <v>9</v>
      </c>
      <c r="CO83" s="100">
        <v>7743.5999999999995</v>
      </c>
      <c r="CP83" s="100">
        <v>9</v>
      </c>
      <c r="CQ83" s="100">
        <v>7743.5999999999995</v>
      </c>
      <c r="CR83" s="100">
        <v>10</v>
      </c>
      <c r="CS83" s="100">
        <v>8604</v>
      </c>
      <c r="CT83" s="100">
        <v>7</v>
      </c>
      <c r="CU83" s="100">
        <v>6022.8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6</v>
      </c>
      <c r="G84" s="100">
        <v>4687.2</v>
      </c>
      <c r="H84" s="100">
        <v>6</v>
      </c>
      <c r="I84" s="100">
        <v>4687.2</v>
      </c>
      <c r="J84" s="100">
        <v>6</v>
      </c>
      <c r="K84" s="100">
        <v>4687.2</v>
      </c>
      <c r="L84" s="100">
        <v>6</v>
      </c>
      <c r="M84" s="100">
        <v>4687.2</v>
      </c>
      <c r="N84" s="100">
        <v>8</v>
      </c>
      <c r="O84" s="100">
        <v>6249.5999999999995</v>
      </c>
      <c r="P84" s="100">
        <v>9</v>
      </c>
      <c r="Q84" s="100">
        <v>7030.7999999999993</v>
      </c>
      <c r="R84" s="100">
        <v>5</v>
      </c>
      <c r="S84" s="100">
        <v>3905.9999999999995</v>
      </c>
      <c r="T84" s="100">
        <v>6</v>
      </c>
      <c r="U84" s="100">
        <v>4687.2</v>
      </c>
      <c r="V84" s="100">
        <v>6</v>
      </c>
      <c r="W84" s="100">
        <v>4687.2</v>
      </c>
      <c r="X84" s="100">
        <v>6</v>
      </c>
      <c r="Y84" s="100">
        <v>4687.2</v>
      </c>
      <c r="Z84" s="100">
        <v>9</v>
      </c>
      <c r="AA84" s="100">
        <v>7030.7999999999993</v>
      </c>
      <c r="AB84" s="100">
        <v>6</v>
      </c>
      <c r="AC84" s="100">
        <v>4687.2</v>
      </c>
      <c r="AD84" s="100">
        <v>7</v>
      </c>
      <c r="AE84" s="100">
        <v>5468.4</v>
      </c>
      <c r="AF84" s="100">
        <v>8</v>
      </c>
      <c r="AG84" s="100">
        <v>6249.5999999999995</v>
      </c>
      <c r="AH84" s="100">
        <v>8</v>
      </c>
      <c r="AI84" s="100">
        <v>6249.5999999999995</v>
      </c>
      <c r="AJ84" s="100">
        <v>5</v>
      </c>
      <c r="AK84" s="100">
        <v>3905.9999999999995</v>
      </c>
      <c r="AL84" s="100">
        <v>7</v>
      </c>
      <c r="AM84" s="100">
        <v>5468.4</v>
      </c>
      <c r="AN84" s="100">
        <v>5</v>
      </c>
      <c r="AO84" s="100">
        <v>3905.9999999999995</v>
      </c>
      <c r="AP84" s="100">
        <v>5</v>
      </c>
      <c r="AQ84" s="100">
        <v>3905.9999999999995</v>
      </c>
      <c r="AR84" s="100">
        <v>8</v>
      </c>
      <c r="AS84" s="100">
        <v>6249.5999999999995</v>
      </c>
      <c r="AT84" s="100">
        <v>9</v>
      </c>
      <c r="AU84" s="100">
        <v>7030.7999999999993</v>
      </c>
      <c r="AV84" s="100">
        <v>7</v>
      </c>
      <c r="AW84" s="100">
        <v>5468.4</v>
      </c>
      <c r="AX84" s="100">
        <v>9</v>
      </c>
      <c r="AY84" s="100">
        <v>7030.7999999999993</v>
      </c>
      <c r="AZ84" s="100">
        <v>6</v>
      </c>
      <c r="BA84" s="100">
        <v>4687.2</v>
      </c>
      <c r="BB84" s="100">
        <v>9</v>
      </c>
      <c r="BC84" s="100">
        <v>7030.7999999999993</v>
      </c>
      <c r="BD84" s="100">
        <v>9</v>
      </c>
      <c r="BE84" s="100">
        <v>7030.7999999999993</v>
      </c>
      <c r="BF84" s="100">
        <v>6</v>
      </c>
      <c r="BG84" s="100">
        <v>4687.2</v>
      </c>
      <c r="BH84" s="100">
        <v>9</v>
      </c>
      <c r="BI84" s="100">
        <v>7030.7999999999993</v>
      </c>
      <c r="BJ84" s="100">
        <v>7</v>
      </c>
      <c r="BK84" s="100">
        <v>5468.4</v>
      </c>
      <c r="BL84" s="100">
        <v>10</v>
      </c>
      <c r="BM84" s="100">
        <v>7811.9999999999991</v>
      </c>
      <c r="BN84" s="100">
        <v>9</v>
      </c>
      <c r="BO84" s="100">
        <v>7030.7999999999993</v>
      </c>
      <c r="BP84" s="100">
        <v>7</v>
      </c>
      <c r="BQ84" s="100">
        <v>5468.4</v>
      </c>
      <c r="BR84" s="100">
        <v>8</v>
      </c>
      <c r="BS84" s="100">
        <v>6249.5999999999995</v>
      </c>
      <c r="BT84" s="100">
        <v>9</v>
      </c>
      <c r="BU84" s="100">
        <v>7030.7999999999993</v>
      </c>
      <c r="BV84" s="100">
        <v>8</v>
      </c>
      <c r="BW84" s="100">
        <v>6249.5999999999995</v>
      </c>
      <c r="BX84" s="100">
        <v>8</v>
      </c>
      <c r="BY84" s="100">
        <v>6249.5999999999995</v>
      </c>
      <c r="BZ84" s="100">
        <v>7</v>
      </c>
      <c r="CA84" s="100">
        <v>5468.4</v>
      </c>
      <c r="CB84" s="100">
        <v>10</v>
      </c>
      <c r="CC84" s="100">
        <v>7811.9999999999991</v>
      </c>
      <c r="CD84" s="100">
        <v>7</v>
      </c>
      <c r="CE84" s="100">
        <v>5468.4</v>
      </c>
      <c r="CF84" s="100">
        <v>5</v>
      </c>
      <c r="CG84" s="100">
        <v>3905.9999999999995</v>
      </c>
      <c r="CH84" s="100">
        <v>5</v>
      </c>
      <c r="CI84" s="100">
        <v>3905.9999999999995</v>
      </c>
      <c r="CJ84" s="100">
        <v>7</v>
      </c>
      <c r="CK84" s="100">
        <v>5468.4</v>
      </c>
      <c r="CL84" s="100">
        <v>8</v>
      </c>
      <c r="CM84" s="100">
        <v>6249.5999999999995</v>
      </c>
      <c r="CN84" s="100">
        <v>9</v>
      </c>
      <c r="CO84" s="100">
        <v>7030.7999999999993</v>
      </c>
      <c r="CP84" s="100">
        <v>9</v>
      </c>
      <c r="CQ84" s="100">
        <v>7030.7999999999993</v>
      </c>
      <c r="CR84" s="100">
        <v>9</v>
      </c>
      <c r="CS84" s="100">
        <v>7030.7999999999993</v>
      </c>
      <c r="CT84" s="100">
        <v>6</v>
      </c>
      <c r="CU84" s="100">
        <v>4687.2</v>
      </c>
    </row>
    <row r="85" spans="2:99">
      <c r="C85" s="99" t="s">
        <v>251</v>
      </c>
      <c r="D85" s="100">
        <v>10</v>
      </c>
      <c r="E85" s="100">
        <v>1500</v>
      </c>
      <c r="F85" s="100">
        <v>6</v>
      </c>
      <c r="G85" s="100">
        <v>900</v>
      </c>
      <c r="H85" s="100">
        <v>6</v>
      </c>
      <c r="I85" s="100">
        <v>900</v>
      </c>
      <c r="J85" s="100">
        <v>6</v>
      </c>
      <c r="K85" s="100">
        <v>900</v>
      </c>
      <c r="L85" s="100">
        <v>6</v>
      </c>
      <c r="M85" s="100">
        <v>900</v>
      </c>
      <c r="N85" s="100">
        <v>8</v>
      </c>
      <c r="O85" s="100">
        <v>1200</v>
      </c>
      <c r="P85" s="100">
        <v>11</v>
      </c>
      <c r="Q85" s="100">
        <v>1650</v>
      </c>
      <c r="R85" s="100">
        <v>6</v>
      </c>
      <c r="S85" s="100">
        <v>900</v>
      </c>
      <c r="T85" s="100">
        <v>6</v>
      </c>
      <c r="U85" s="100">
        <v>900</v>
      </c>
      <c r="V85" s="100">
        <v>6</v>
      </c>
      <c r="W85" s="100">
        <v>900</v>
      </c>
      <c r="X85" s="100">
        <v>6</v>
      </c>
      <c r="Y85" s="100">
        <v>900</v>
      </c>
      <c r="Z85" s="100">
        <v>9</v>
      </c>
      <c r="AA85" s="100">
        <v>1350</v>
      </c>
      <c r="AB85" s="100">
        <v>6</v>
      </c>
      <c r="AC85" s="100">
        <v>900</v>
      </c>
      <c r="AD85" s="100">
        <v>7</v>
      </c>
      <c r="AE85" s="100">
        <v>1050</v>
      </c>
      <c r="AF85" s="100">
        <v>8</v>
      </c>
      <c r="AG85" s="100">
        <v>1200</v>
      </c>
      <c r="AH85" s="100">
        <v>10</v>
      </c>
      <c r="AI85" s="100">
        <v>1500</v>
      </c>
      <c r="AJ85" s="100">
        <v>7</v>
      </c>
      <c r="AK85" s="100">
        <v>1050</v>
      </c>
      <c r="AL85" s="100">
        <v>8</v>
      </c>
      <c r="AM85" s="100">
        <v>1200</v>
      </c>
      <c r="AN85" s="100">
        <v>5</v>
      </c>
      <c r="AO85" s="100">
        <v>750</v>
      </c>
      <c r="AP85" s="100">
        <v>6</v>
      </c>
      <c r="AQ85" s="100">
        <v>900</v>
      </c>
      <c r="AR85" s="100">
        <v>9</v>
      </c>
      <c r="AS85" s="100">
        <v>1350</v>
      </c>
      <c r="AT85" s="100">
        <v>10</v>
      </c>
      <c r="AU85" s="100">
        <v>1500</v>
      </c>
      <c r="AV85" s="100">
        <v>8</v>
      </c>
      <c r="AW85" s="100">
        <v>1200</v>
      </c>
      <c r="AX85" s="100">
        <v>11</v>
      </c>
      <c r="AY85" s="100">
        <v>1650</v>
      </c>
      <c r="AZ85" s="100">
        <v>6</v>
      </c>
      <c r="BA85" s="100">
        <v>900</v>
      </c>
      <c r="BB85" s="100">
        <v>9</v>
      </c>
      <c r="BC85" s="100">
        <v>1350</v>
      </c>
      <c r="BD85" s="100">
        <v>9</v>
      </c>
      <c r="BE85" s="100">
        <v>1350</v>
      </c>
      <c r="BF85" s="100">
        <v>6</v>
      </c>
      <c r="BG85" s="100">
        <v>900</v>
      </c>
      <c r="BH85" s="100">
        <v>10</v>
      </c>
      <c r="BI85" s="100">
        <v>1500</v>
      </c>
      <c r="BJ85" s="100">
        <v>8</v>
      </c>
      <c r="BK85" s="100">
        <v>1200</v>
      </c>
      <c r="BL85" s="100">
        <v>11</v>
      </c>
      <c r="BM85" s="100">
        <v>1650</v>
      </c>
      <c r="BN85" s="100">
        <v>9</v>
      </c>
      <c r="BO85" s="100">
        <v>1350</v>
      </c>
      <c r="BP85" s="100">
        <v>7</v>
      </c>
      <c r="BQ85" s="100">
        <v>1050</v>
      </c>
      <c r="BR85" s="100">
        <v>7</v>
      </c>
      <c r="BS85" s="100">
        <v>1050</v>
      </c>
      <c r="BT85" s="100">
        <v>10</v>
      </c>
      <c r="BU85" s="100">
        <v>1500</v>
      </c>
      <c r="BV85" s="100">
        <v>9</v>
      </c>
      <c r="BW85" s="100">
        <v>1350</v>
      </c>
      <c r="BX85" s="100">
        <v>10</v>
      </c>
      <c r="BY85" s="100">
        <v>1500</v>
      </c>
      <c r="BZ85" s="100">
        <v>8</v>
      </c>
      <c r="CA85" s="100">
        <v>1200</v>
      </c>
      <c r="CB85" s="100">
        <v>9</v>
      </c>
      <c r="CC85" s="100">
        <v>1350</v>
      </c>
      <c r="CD85" s="100">
        <v>9</v>
      </c>
      <c r="CE85" s="100">
        <v>1350</v>
      </c>
      <c r="CF85" s="100">
        <v>6</v>
      </c>
      <c r="CG85" s="100">
        <v>900</v>
      </c>
      <c r="CH85" s="100">
        <v>6</v>
      </c>
      <c r="CI85" s="100">
        <v>900</v>
      </c>
      <c r="CJ85" s="100">
        <v>7</v>
      </c>
      <c r="CK85" s="100">
        <v>1050</v>
      </c>
      <c r="CL85" s="100">
        <v>10</v>
      </c>
      <c r="CM85" s="100">
        <v>1500</v>
      </c>
      <c r="CN85" s="100">
        <v>8</v>
      </c>
      <c r="CO85" s="100">
        <v>1200</v>
      </c>
      <c r="CP85" s="100">
        <v>9</v>
      </c>
      <c r="CQ85" s="100">
        <v>1350</v>
      </c>
      <c r="CR85" s="100">
        <v>10</v>
      </c>
      <c r="CS85" s="100">
        <v>1500</v>
      </c>
      <c r="CT85" s="100">
        <v>6</v>
      </c>
      <c r="CU85" s="100">
        <v>900</v>
      </c>
    </row>
    <row r="86" spans="2:99">
      <c r="C86" s="99" t="s">
        <v>252</v>
      </c>
      <c r="D86" s="100">
        <v>8</v>
      </c>
      <c r="E86" s="100">
        <v>4320</v>
      </c>
      <c r="F86" s="100">
        <v>5</v>
      </c>
      <c r="G86" s="100">
        <v>2700</v>
      </c>
      <c r="H86" s="100">
        <v>6</v>
      </c>
      <c r="I86" s="100">
        <v>3240</v>
      </c>
      <c r="J86" s="100">
        <v>5</v>
      </c>
      <c r="K86" s="100">
        <v>2700</v>
      </c>
      <c r="L86" s="100">
        <v>5</v>
      </c>
      <c r="M86" s="100">
        <v>2700</v>
      </c>
      <c r="N86" s="100">
        <v>9</v>
      </c>
      <c r="O86" s="100">
        <v>4860</v>
      </c>
      <c r="P86" s="100">
        <v>10</v>
      </c>
      <c r="Q86" s="100">
        <v>5400</v>
      </c>
      <c r="R86" s="100">
        <v>6</v>
      </c>
      <c r="S86" s="100">
        <v>3240</v>
      </c>
      <c r="T86" s="100">
        <v>7</v>
      </c>
      <c r="U86" s="100">
        <v>3780</v>
      </c>
      <c r="V86" s="100">
        <v>6</v>
      </c>
      <c r="W86" s="100">
        <v>3240</v>
      </c>
      <c r="X86" s="100">
        <v>7</v>
      </c>
      <c r="Y86" s="100">
        <v>3780</v>
      </c>
      <c r="Z86" s="100">
        <v>9</v>
      </c>
      <c r="AA86" s="100">
        <v>4860</v>
      </c>
      <c r="AB86" s="100">
        <v>6</v>
      </c>
      <c r="AC86" s="100">
        <v>3240</v>
      </c>
      <c r="AD86" s="100">
        <v>7</v>
      </c>
      <c r="AE86" s="100">
        <v>3780</v>
      </c>
      <c r="AF86" s="100">
        <v>7</v>
      </c>
      <c r="AG86" s="100">
        <v>3780</v>
      </c>
      <c r="AH86" s="100">
        <v>9</v>
      </c>
      <c r="AI86" s="100">
        <v>4860</v>
      </c>
      <c r="AJ86" s="100">
        <v>5</v>
      </c>
      <c r="AK86" s="100">
        <v>2700</v>
      </c>
      <c r="AL86" s="100">
        <v>7</v>
      </c>
      <c r="AM86" s="100">
        <v>3780</v>
      </c>
      <c r="AN86" s="100">
        <v>5</v>
      </c>
      <c r="AO86" s="100">
        <v>2700</v>
      </c>
      <c r="AP86" s="100">
        <v>6</v>
      </c>
      <c r="AQ86" s="100">
        <v>3240</v>
      </c>
      <c r="AR86" s="100">
        <v>9</v>
      </c>
      <c r="AS86" s="100">
        <v>4860</v>
      </c>
      <c r="AT86" s="100">
        <v>10</v>
      </c>
      <c r="AU86" s="100">
        <v>5400</v>
      </c>
      <c r="AV86" s="100">
        <v>7</v>
      </c>
      <c r="AW86" s="100">
        <v>3780</v>
      </c>
      <c r="AX86" s="100">
        <v>9</v>
      </c>
      <c r="AY86" s="100">
        <v>4860</v>
      </c>
      <c r="AZ86" s="100">
        <v>6</v>
      </c>
      <c r="BA86" s="100">
        <v>3240</v>
      </c>
      <c r="BB86" s="100">
        <v>9</v>
      </c>
      <c r="BC86" s="100">
        <v>4860</v>
      </c>
      <c r="BD86" s="100">
        <v>7</v>
      </c>
      <c r="BE86" s="100">
        <v>3780</v>
      </c>
      <c r="BF86" s="100">
        <v>6</v>
      </c>
      <c r="BG86" s="100">
        <v>3240</v>
      </c>
      <c r="BH86" s="100">
        <v>9</v>
      </c>
      <c r="BI86" s="100">
        <v>4860</v>
      </c>
      <c r="BJ86" s="100">
        <v>7</v>
      </c>
      <c r="BK86" s="100">
        <v>3780</v>
      </c>
      <c r="BL86" s="100">
        <v>10</v>
      </c>
      <c r="BM86" s="100">
        <v>5400</v>
      </c>
      <c r="BN86" s="100">
        <v>9</v>
      </c>
      <c r="BO86" s="100">
        <v>4860</v>
      </c>
      <c r="BP86" s="100">
        <v>8</v>
      </c>
      <c r="BQ86" s="100">
        <v>4320</v>
      </c>
      <c r="BR86" s="100">
        <v>7</v>
      </c>
      <c r="BS86" s="100">
        <v>3780</v>
      </c>
      <c r="BT86" s="100">
        <v>8</v>
      </c>
      <c r="BU86" s="100">
        <v>4320</v>
      </c>
      <c r="BV86" s="100">
        <v>8</v>
      </c>
      <c r="BW86" s="100">
        <v>4320</v>
      </c>
      <c r="BX86" s="100">
        <v>8</v>
      </c>
      <c r="BY86" s="100">
        <v>4320</v>
      </c>
      <c r="BZ86" s="100">
        <v>8</v>
      </c>
      <c r="CA86" s="100">
        <v>4320</v>
      </c>
      <c r="CB86" s="100">
        <v>9</v>
      </c>
      <c r="CC86" s="100">
        <v>4860</v>
      </c>
      <c r="CD86" s="100">
        <v>7</v>
      </c>
      <c r="CE86" s="100">
        <v>3780</v>
      </c>
      <c r="CF86" s="100">
        <v>6</v>
      </c>
      <c r="CG86" s="100">
        <v>3240</v>
      </c>
      <c r="CH86" s="100">
        <v>5</v>
      </c>
      <c r="CI86" s="100">
        <v>2700</v>
      </c>
      <c r="CJ86" s="100">
        <v>7</v>
      </c>
      <c r="CK86" s="100">
        <v>3780</v>
      </c>
      <c r="CL86" s="100">
        <v>9</v>
      </c>
      <c r="CM86" s="100">
        <v>4860</v>
      </c>
      <c r="CN86" s="100">
        <v>8</v>
      </c>
      <c r="CO86" s="100">
        <v>4320</v>
      </c>
      <c r="CP86" s="100">
        <v>8</v>
      </c>
      <c r="CQ86" s="100">
        <v>4320</v>
      </c>
      <c r="CR86" s="100">
        <v>9</v>
      </c>
      <c r="CS86" s="100">
        <v>4860</v>
      </c>
      <c r="CT86" s="100">
        <v>6</v>
      </c>
      <c r="CU86" s="100">
        <v>3240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7</v>
      </c>
      <c r="G87" s="100">
        <v>7518</v>
      </c>
      <c r="H87" s="100">
        <v>10</v>
      </c>
      <c r="I87" s="100">
        <v>10740</v>
      </c>
      <c r="J87" s="100">
        <v>8</v>
      </c>
      <c r="K87" s="100">
        <v>8592</v>
      </c>
      <c r="L87" s="100">
        <v>6</v>
      </c>
      <c r="M87" s="100">
        <v>6444</v>
      </c>
      <c r="N87" s="100">
        <v>6</v>
      </c>
      <c r="O87" s="100">
        <v>6444</v>
      </c>
      <c r="P87" s="100">
        <v>7</v>
      </c>
      <c r="Q87" s="100">
        <v>7518</v>
      </c>
      <c r="R87" s="100">
        <v>8</v>
      </c>
      <c r="S87" s="100">
        <v>8592</v>
      </c>
      <c r="T87" s="100">
        <v>9</v>
      </c>
      <c r="U87" s="100">
        <v>9666</v>
      </c>
      <c r="V87" s="100">
        <v>8</v>
      </c>
      <c r="W87" s="100">
        <v>8592</v>
      </c>
      <c r="X87" s="100">
        <v>9</v>
      </c>
      <c r="Y87" s="100">
        <v>9666</v>
      </c>
      <c r="Z87" s="100">
        <v>7</v>
      </c>
      <c r="AA87" s="100">
        <v>7518</v>
      </c>
      <c r="AB87" s="100">
        <v>11</v>
      </c>
      <c r="AC87" s="100">
        <v>11814</v>
      </c>
      <c r="AD87" s="100">
        <v>7</v>
      </c>
      <c r="AE87" s="100">
        <v>7518</v>
      </c>
      <c r="AF87" s="100">
        <v>7</v>
      </c>
      <c r="AG87" s="100">
        <v>7518</v>
      </c>
      <c r="AH87" s="100">
        <v>7</v>
      </c>
      <c r="AI87" s="100">
        <v>7518</v>
      </c>
      <c r="AJ87" s="100">
        <v>11</v>
      </c>
      <c r="AK87" s="100">
        <v>11814</v>
      </c>
      <c r="AL87" s="100">
        <v>11</v>
      </c>
      <c r="AM87" s="100">
        <v>11814</v>
      </c>
      <c r="AN87" s="100">
        <v>10</v>
      </c>
      <c r="AO87" s="100">
        <v>10740</v>
      </c>
      <c r="AP87" s="100">
        <v>9</v>
      </c>
      <c r="AQ87" s="100">
        <v>9666</v>
      </c>
      <c r="AR87" s="100">
        <v>11</v>
      </c>
      <c r="AS87" s="100">
        <v>11814</v>
      </c>
      <c r="AT87" s="100">
        <v>7</v>
      </c>
      <c r="AU87" s="100">
        <v>7518</v>
      </c>
      <c r="AV87" s="100">
        <v>7</v>
      </c>
      <c r="AW87" s="100">
        <v>7518</v>
      </c>
      <c r="AX87" s="100">
        <v>10</v>
      </c>
      <c r="AY87" s="100">
        <v>10740</v>
      </c>
      <c r="AZ87" s="100">
        <v>13</v>
      </c>
      <c r="BA87" s="100">
        <v>13962</v>
      </c>
      <c r="BB87" s="100">
        <v>9</v>
      </c>
      <c r="BC87" s="100">
        <v>9666</v>
      </c>
      <c r="BD87" s="100">
        <v>8</v>
      </c>
      <c r="BE87" s="100">
        <v>8592</v>
      </c>
      <c r="BF87" s="100">
        <v>7</v>
      </c>
      <c r="BG87" s="100">
        <v>7518</v>
      </c>
      <c r="BH87" s="100">
        <v>8</v>
      </c>
      <c r="BI87" s="100">
        <v>8592</v>
      </c>
      <c r="BJ87" s="100">
        <v>11</v>
      </c>
      <c r="BK87" s="100">
        <v>11814</v>
      </c>
      <c r="BL87" s="100">
        <v>8</v>
      </c>
      <c r="BM87" s="100">
        <v>8592</v>
      </c>
      <c r="BN87" s="100">
        <v>10</v>
      </c>
      <c r="BO87" s="100">
        <v>10740</v>
      </c>
      <c r="BP87" s="100">
        <v>13</v>
      </c>
      <c r="BQ87" s="100">
        <v>13962</v>
      </c>
      <c r="BR87" s="100">
        <v>10</v>
      </c>
      <c r="BS87" s="100">
        <v>10740</v>
      </c>
      <c r="BT87" s="100">
        <v>8</v>
      </c>
      <c r="BU87" s="100">
        <v>8592</v>
      </c>
      <c r="BV87" s="100">
        <v>8</v>
      </c>
      <c r="BW87" s="100">
        <v>8592</v>
      </c>
      <c r="BX87" s="100">
        <v>13</v>
      </c>
      <c r="BY87" s="100">
        <v>13962</v>
      </c>
      <c r="BZ87" s="100">
        <v>10</v>
      </c>
      <c r="CA87" s="100">
        <v>10740</v>
      </c>
      <c r="CB87" s="100">
        <v>7</v>
      </c>
      <c r="CC87" s="100">
        <v>7518</v>
      </c>
      <c r="CD87" s="100">
        <v>8</v>
      </c>
      <c r="CE87" s="100">
        <v>8592</v>
      </c>
      <c r="CF87" s="100">
        <v>8</v>
      </c>
      <c r="CG87" s="100">
        <v>8592</v>
      </c>
      <c r="CH87" s="100">
        <v>13</v>
      </c>
      <c r="CI87" s="100">
        <v>13962</v>
      </c>
      <c r="CJ87" s="100">
        <v>8</v>
      </c>
      <c r="CK87" s="100">
        <v>8592</v>
      </c>
      <c r="CL87" s="100">
        <v>10</v>
      </c>
      <c r="CM87" s="100">
        <v>10740</v>
      </c>
      <c r="CN87" s="100">
        <v>11</v>
      </c>
      <c r="CO87" s="100">
        <v>11814</v>
      </c>
      <c r="CP87" s="100">
        <v>11</v>
      </c>
      <c r="CQ87" s="100">
        <v>11814</v>
      </c>
      <c r="CR87" s="100">
        <v>8</v>
      </c>
      <c r="CS87" s="100">
        <v>8592</v>
      </c>
      <c r="CT87" s="100">
        <v>9</v>
      </c>
      <c r="CU87" s="100">
        <v>9666</v>
      </c>
    </row>
    <row r="88" spans="2:99">
      <c r="C88" s="99" t="s">
        <v>254</v>
      </c>
      <c r="D88" s="100">
        <v>7</v>
      </c>
      <c r="E88" s="100">
        <v>6946.8</v>
      </c>
      <c r="F88" s="100">
        <v>6</v>
      </c>
      <c r="G88" s="100">
        <v>5954.4</v>
      </c>
      <c r="H88" s="100">
        <v>11</v>
      </c>
      <c r="I88" s="100">
        <v>10916.4</v>
      </c>
      <c r="J88" s="100">
        <v>8</v>
      </c>
      <c r="K88" s="100">
        <v>7939.2</v>
      </c>
      <c r="L88" s="100">
        <v>7</v>
      </c>
      <c r="M88" s="100">
        <v>6946.8</v>
      </c>
      <c r="N88" s="100">
        <v>6</v>
      </c>
      <c r="O88" s="100">
        <v>5954.4</v>
      </c>
      <c r="P88" s="100">
        <v>6</v>
      </c>
      <c r="Q88" s="100">
        <v>5954.4</v>
      </c>
      <c r="R88" s="100">
        <v>9</v>
      </c>
      <c r="S88" s="100">
        <v>8931.6</v>
      </c>
      <c r="T88" s="100">
        <v>8</v>
      </c>
      <c r="U88" s="100">
        <v>7939.2</v>
      </c>
      <c r="V88" s="100">
        <v>8</v>
      </c>
      <c r="W88" s="100">
        <v>7939.2</v>
      </c>
      <c r="X88" s="100">
        <v>10</v>
      </c>
      <c r="Y88" s="100">
        <v>9924</v>
      </c>
      <c r="Z88" s="100">
        <v>6</v>
      </c>
      <c r="AA88" s="100">
        <v>5954.4</v>
      </c>
      <c r="AB88" s="100">
        <v>11</v>
      </c>
      <c r="AC88" s="100">
        <v>10916.4</v>
      </c>
      <c r="AD88" s="100">
        <v>7</v>
      </c>
      <c r="AE88" s="100">
        <v>6946.8</v>
      </c>
      <c r="AF88" s="100">
        <v>6</v>
      </c>
      <c r="AG88" s="100">
        <v>5954.4</v>
      </c>
      <c r="AH88" s="100">
        <v>6</v>
      </c>
      <c r="AI88" s="100">
        <v>5954.4</v>
      </c>
      <c r="AJ88" s="100">
        <v>12</v>
      </c>
      <c r="AK88" s="100">
        <v>11908.8</v>
      </c>
      <c r="AL88" s="100">
        <v>12</v>
      </c>
      <c r="AM88" s="100">
        <v>11908.8</v>
      </c>
      <c r="AN88" s="100">
        <v>10</v>
      </c>
      <c r="AO88" s="100">
        <v>9924</v>
      </c>
      <c r="AP88" s="100">
        <v>10</v>
      </c>
      <c r="AQ88" s="100">
        <v>9924</v>
      </c>
      <c r="AR88" s="100">
        <v>11</v>
      </c>
      <c r="AS88" s="100">
        <v>10916.4</v>
      </c>
      <c r="AT88" s="100">
        <v>7</v>
      </c>
      <c r="AU88" s="100">
        <v>6946.8</v>
      </c>
      <c r="AV88" s="100">
        <v>8</v>
      </c>
      <c r="AW88" s="100">
        <v>7939.2</v>
      </c>
      <c r="AX88" s="100">
        <v>11</v>
      </c>
      <c r="AY88" s="100">
        <v>10916.4</v>
      </c>
      <c r="AZ88" s="100">
        <v>12</v>
      </c>
      <c r="BA88" s="100">
        <v>11908.8</v>
      </c>
      <c r="BB88" s="100">
        <v>9</v>
      </c>
      <c r="BC88" s="100">
        <v>8931.6</v>
      </c>
      <c r="BD88" s="100">
        <v>10</v>
      </c>
      <c r="BE88" s="100">
        <v>9924</v>
      </c>
      <c r="BF88" s="100">
        <v>7</v>
      </c>
      <c r="BG88" s="100">
        <v>6946.8</v>
      </c>
      <c r="BH88" s="100">
        <v>9</v>
      </c>
      <c r="BI88" s="100">
        <v>8931.6</v>
      </c>
      <c r="BJ88" s="100">
        <v>12</v>
      </c>
      <c r="BK88" s="100">
        <v>11908.8</v>
      </c>
      <c r="BL88" s="100">
        <v>9</v>
      </c>
      <c r="BM88" s="100">
        <v>8931.6</v>
      </c>
      <c r="BN88" s="100">
        <v>10</v>
      </c>
      <c r="BO88" s="100">
        <v>9924</v>
      </c>
      <c r="BP88" s="100">
        <v>12</v>
      </c>
      <c r="BQ88" s="100">
        <v>11908.8</v>
      </c>
      <c r="BR88" s="100">
        <v>11</v>
      </c>
      <c r="BS88" s="100">
        <v>10916.4</v>
      </c>
      <c r="BT88" s="100">
        <v>8</v>
      </c>
      <c r="BU88" s="100">
        <v>7939.2</v>
      </c>
      <c r="BV88" s="100">
        <v>9</v>
      </c>
      <c r="BW88" s="100">
        <v>8931.6</v>
      </c>
      <c r="BX88" s="100">
        <v>12</v>
      </c>
      <c r="BY88" s="100">
        <v>11908.8</v>
      </c>
      <c r="BZ88" s="100">
        <v>10</v>
      </c>
      <c r="CA88" s="100">
        <v>9924</v>
      </c>
      <c r="CB88" s="100">
        <v>7</v>
      </c>
      <c r="CC88" s="100">
        <v>6946.8</v>
      </c>
      <c r="CD88" s="100">
        <v>7</v>
      </c>
      <c r="CE88" s="100">
        <v>6946.8</v>
      </c>
      <c r="CF88" s="100">
        <v>7</v>
      </c>
      <c r="CG88" s="100">
        <v>6946.8</v>
      </c>
      <c r="CH88" s="100">
        <v>13</v>
      </c>
      <c r="CI88" s="100">
        <v>12901.199999999999</v>
      </c>
      <c r="CJ88" s="100">
        <v>8</v>
      </c>
      <c r="CK88" s="100">
        <v>7939.2</v>
      </c>
      <c r="CL88" s="100">
        <v>10</v>
      </c>
      <c r="CM88" s="100">
        <v>9924</v>
      </c>
      <c r="CN88" s="100">
        <v>11</v>
      </c>
      <c r="CO88" s="100">
        <v>10916.4</v>
      </c>
      <c r="CP88" s="100">
        <v>11</v>
      </c>
      <c r="CQ88" s="100">
        <v>10916.4</v>
      </c>
      <c r="CR88" s="100">
        <v>7</v>
      </c>
      <c r="CS88" s="100">
        <v>6946.8</v>
      </c>
      <c r="CT88" s="100">
        <v>10</v>
      </c>
      <c r="CU88" s="100">
        <v>9924</v>
      </c>
    </row>
    <row r="89" spans="2:99">
      <c r="C89" s="99" t="s">
        <v>255</v>
      </c>
      <c r="D89" s="100">
        <v>7</v>
      </c>
      <c r="E89" s="100">
        <v>7434</v>
      </c>
      <c r="F89" s="100">
        <v>6</v>
      </c>
      <c r="G89" s="100">
        <v>6372</v>
      </c>
      <c r="H89" s="100">
        <v>9</v>
      </c>
      <c r="I89" s="100">
        <v>9558</v>
      </c>
      <c r="J89" s="100">
        <v>8</v>
      </c>
      <c r="K89" s="100">
        <v>8496</v>
      </c>
      <c r="L89" s="100">
        <v>7</v>
      </c>
      <c r="M89" s="100">
        <v>7434</v>
      </c>
      <c r="N89" s="100">
        <v>6</v>
      </c>
      <c r="O89" s="100">
        <v>6372</v>
      </c>
      <c r="P89" s="100">
        <v>6</v>
      </c>
      <c r="Q89" s="100">
        <v>6372</v>
      </c>
      <c r="R89" s="100">
        <v>8</v>
      </c>
      <c r="S89" s="100">
        <v>8496</v>
      </c>
      <c r="T89" s="100">
        <v>8</v>
      </c>
      <c r="U89" s="100">
        <v>8496</v>
      </c>
      <c r="V89" s="100">
        <v>7</v>
      </c>
      <c r="W89" s="100">
        <v>7434</v>
      </c>
      <c r="X89" s="100">
        <v>9</v>
      </c>
      <c r="Y89" s="100">
        <v>9558</v>
      </c>
      <c r="Z89" s="100">
        <v>6</v>
      </c>
      <c r="AA89" s="100">
        <v>6372</v>
      </c>
      <c r="AB89" s="100">
        <v>10</v>
      </c>
      <c r="AC89" s="100">
        <v>10620</v>
      </c>
      <c r="AD89" s="100">
        <v>6</v>
      </c>
      <c r="AE89" s="100">
        <v>6372</v>
      </c>
      <c r="AF89" s="100">
        <v>7</v>
      </c>
      <c r="AG89" s="100">
        <v>7434</v>
      </c>
      <c r="AH89" s="100">
        <v>6</v>
      </c>
      <c r="AI89" s="100">
        <v>6372</v>
      </c>
      <c r="AJ89" s="100">
        <v>12</v>
      </c>
      <c r="AK89" s="100">
        <v>12744</v>
      </c>
      <c r="AL89" s="100">
        <v>13</v>
      </c>
      <c r="AM89" s="100">
        <v>13806</v>
      </c>
      <c r="AN89" s="100">
        <v>9</v>
      </c>
      <c r="AO89" s="100">
        <v>9558</v>
      </c>
      <c r="AP89" s="100">
        <v>10</v>
      </c>
      <c r="AQ89" s="100">
        <v>10620</v>
      </c>
      <c r="AR89" s="100">
        <v>11</v>
      </c>
      <c r="AS89" s="100">
        <v>11682</v>
      </c>
      <c r="AT89" s="100">
        <v>7</v>
      </c>
      <c r="AU89" s="100">
        <v>7434</v>
      </c>
      <c r="AV89" s="100">
        <v>8</v>
      </c>
      <c r="AW89" s="100">
        <v>8496</v>
      </c>
      <c r="AX89" s="100">
        <v>11</v>
      </c>
      <c r="AY89" s="100">
        <v>11682</v>
      </c>
      <c r="AZ89" s="100">
        <v>13</v>
      </c>
      <c r="BA89" s="100">
        <v>13806</v>
      </c>
      <c r="BB89" s="100">
        <v>9</v>
      </c>
      <c r="BC89" s="100">
        <v>9558</v>
      </c>
      <c r="BD89" s="100">
        <v>10</v>
      </c>
      <c r="BE89" s="100">
        <v>10620</v>
      </c>
      <c r="BF89" s="100">
        <v>8</v>
      </c>
      <c r="BG89" s="100">
        <v>8496</v>
      </c>
      <c r="BH89" s="100">
        <v>9</v>
      </c>
      <c r="BI89" s="100">
        <v>9558</v>
      </c>
      <c r="BJ89" s="100">
        <v>11</v>
      </c>
      <c r="BK89" s="100">
        <v>11682</v>
      </c>
      <c r="BL89" s="100">
        <v>8</v>
      </c>
      <c r="BM89" s="100">
        <v>8496</v>
      </c>
      <c r="BN89" s="100">
        <v>9</v>
      </c>
      <c r="BO89" s="100">
        <v>9558</v>
      </c>
      <c r="BP89" s="100">
        <v>12</v>
      </c>
      <c r="BQ89" s="100">
        <v>12744</v>
      </c>
      <c r="BR89" s="100">
        <v>10</v>
      </c>
      <c r="BS89" s="100">
        <v>10620</v>
      </c>
      <c r="BT89" s="100">
        <v>8</v>
      </c>
      <c r="BU89" s="100">
        <v>8496</v>
      </c>
      <c r="BV89" s="100">
        <v>8</v>
      </c>
      <c r="BW89" s="100">
        <v>8496</v>
      </c>
      <c r="BX89" s="100">
        <v>13</v>
      </c>
      <c r="BY89" s="100">
        <v>13806</v>
      </c>
      <c r="BZ89" s="100">
        <v>11</v>
      </c>
      <c r="CA89" s="100">
        <v>11682</v>
      </c>
      <c r="CB89" s="100">
        <v>7</v>
      </c>
      <c r="CC89" s="100">
        <v>7434</v>
      </c>
      <c r="CD89" s="100">
        <v>8</v>
      </c>
      <c r="CE89" s="100">
        <v>8496</v>
      </c>
      <c r="CF89" s="100">
        <v>8</v>
      </c>
      <c r="CG89" s="100">
        <v>8496</v>
      </c>
      <c r="CH89" s="100">
        <v>14</v>
      </c>
      <c r="CI89" s="100">
        <v>14868</v>
      </c>
      <c r="CJ89" s="100">
        <v>9</v>
      </c>
      <c r="CK89" s="100">
        <v>9558</v>
      </c>
      <c r="CL89" s="100">
        <v>11</v>
      </c>
      <c r="CM89" s="100">
        <v>11682</v>
      </c>
      <c r="CN89" s="100">
        <v>11</v>
      </c>
      <c r="CO89" s="100">
        <v>11682</v>
      </c>
      <c r="CP89" s="100">
        <v>11</v>
      </c>
      <c r="CQ89" s="100">
        <v>11682</v>
      </c>
      <c r="CR89" s="100">
        <v>8</v>
      </c>
      <c r="CS89" s="100">
        <v>8496</v>
      </c>
      <c r="CT89" s="100">
        <v>11</v>
      </c>
      <c r="CU89" s="100">
        <v>11682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6</v>
      </c>
      <c r="G90" s="100">
        <v>6652.7999999999993</v>
      </c>
      <c r="H90" s="100">
        <v>9</v>
      </c>
      <c r="I90" s="100">
        <v>9979.1999999999989</v>
      </c>
      <c r="J90" s="100">
        <v>8</v>
      </c>
      <c r="K90" s="100">
        <v>8870.4</v>
      </c>
      <c r="L90" s="100">
        <v>6</v>
      </c>
      <c r="M90" s="100">
        <v>6652.7999999999993</v>
      </c>
      <c r="N90" s="100">
        <v>6</v>
      </c>
      <c r="O90" s="100">
        <v>6652.7999999999993</v>
      </c>
      <c r="P90" s="100">
        <v>6</v>
      </c>
      <c r="Q90" s="100">
        <v>6652.7999999999993</v>
      </c>
      <c r="R90" s="100">
        <v>8</v>
      </c>
      <c r="S90" s="100">
        <v>8870.4</v>
      </c>
      <c r="T90" s="100">
        <v>7</v>
      </c>
      <c r="U90" s="100">
        <v>7761.5999999999995</v>
      </c>
      <c r="V90" s="100">
        <v>8</v>
      </c>
      <c r="W90" s="100">
        <v>8870.4</v>
      </c>
      <c r="X90" s="100">
        <v>8</v>
      </c>
      <c r="Y90" s="100">
        <v>8870.4</v>
      </c>
      <c r="Z90" s="100">
        <v>7</v>
      </c>
      <c r="AA90" s="100">
        <v>7761.5999999999995</v>
      </c>
      <c r="AB90" s="100">
        <v>12</v>
      </c>
      <c r="AC90" s="100">
        <v>13305.599999999999</v>
      </c>
      <c r="AD90" s="100">
        <v>7</v>
      </c>
      <c r="AE90" s="100">
        <v>7761.5999999999995</v>
      </c>
      <c r="AF90" s="100">
        <v>7</v>
      </c>
      <c r="AG90" s="100">
        <v>7761.5999999999995</v>
      </c>
      <c r="AH90" s="100">
        <v>6</v>
      </c>
      <c r="AI90" s="100">
        <v>6652.7999999999993</v>
      </c>
      <c r="AJ90" s="100">
        <v>12</v>
      </c>
      <c r="AK90" s="100">
        <v>13305.599999999999</v>
      </c>
      <c r="AL90" s="100">
        <v>11</v>
      </c>
      <c r="AM90" s="100">
        <v>12196.8</v>
      </c>
      <c r="AN90" s="100">
        <v>9</v>
      </c>
      <c r="AO90" s="100">
        <v>9979.1999999999989</v>
      </c>
      <c r="AP90" s="100">
        <v>10</v>
      </c>
      <c r="AQ90" s="100">
        <v>11088</v>
      </c>
      <c r="AR90" s="100">
        <v>11</v>
      </c>
      <c r="AS90" s="100">
        <v>12196.8</v>
      </c>
      <c r="AT90" s="100">
        <v>7</v>
      </c>
      <c r="AU90" s="100">
        <v>7761.5999999999995</v>
      </c>
      <c r="AV90" s="100">
        <v>7</v>
      </c>
      <c r="AW90" s="100">
        <v>7761.5999999999995</v>
      </c>
      <c r="AX90" s="100">
        <v>11</v>
      </c>
      <c r="AY90" s="100">
        <v>12196.8</v>
      </c>
      <c r="AZ90" s="100">
        <v>13</v>
      </c>
      <c r="BA90" s="100">
        <v>14414.4</v>
      </c>
      <c r="BB90" s="100">
        <v>8</v>
      </c>
      <c r="BC90" s="100">
        <v>8870.4</v>
      </c>
      <c r="BD90" s="100">
        <v>10</v>
      </c>
      <c r="BE90" s="100">
        <v>11088</v>
      </c>
      <c r="BF90" s="100">
        <v>6</v>
      </c>
      <c r="BG90" s="100">
        <v>6652.7999999999993</v>
      </c>
      <c r="BH90" s="100">
        <v>8</v>
      </c>
      <c r="BI90" s="100">
        <v>8870.4</v>
      </c>
      <c r="BJ90" s="100">
        <v>10</v>
      </c>
      <c r="BK90" s="100">
        <v>11088</v>
      </c>
      <c r="BL90" s="100">
        <v>9</v>
      </c>
      <c r="BM90" s="100">
        <v>9979.1999999999989</v>
      </c>
      <c r="BN90" s="100">
        <v>10</v>
      </c>
      <c r="BO90" s="100">
        <v>11088</v>
      </c>
      <c r="BP90" s="100">
        <v>13</v>
      </c>
      <c r="BQ90" s="100">
        <v>14414.4</v>
      </c>
      <c r="BR90" s="100">
        <v>11</v>
      </c>
      <c r="BS90" s="100">
        <v>12196.8</v>
      </c>
      <c r="BT90" s="100">
        <v>8</v>
      </c>
      <c r="BU90" s="100">
        <v>8870.4</v>
      </c>
      <c r="BV90" s="100">
        <v>9</v>
      </c>
      <c r="BW90" s="100">
        <v>9979.1999999999989</v>
      </c>
      <c r="BX90" s="100">
        <v>11</v>
      </c>
      <c r="BY90" s="100">
        <v>12196.8</v>
      </c>
      <c r="BZ90" s="100">
        <v>10</v>
      </c>
      <c r="CA90" s="100">
        <v>11088</v>
      </c>
      <c r="CB90" s="100">
        <v>7</v>
      </c>
      <c r="CC90" s="100">
        <v>7761.5999999999995</v>
      </c>
      <c r="CD90" s="100">
        <v>7</v>
      </c>
      <c r="CE90" s="100">
        <v>7761.5999999999995</v>
      </c>
      <c r="CF90" s="100">
        <v>7</v>
      </c>
      <c r="CG90" s="100">
        <v>7761.5999999999995</v>
      </c>
      <c r="CH90" s="100">
        <v>13</v>
      </c>
      <c r="CI90" s="100">
        <v>14414.4</v>
      </c>
      <c r="CJ90" s="100">
        <v>8</v>
      </c>
      <c r="CK90" s="100">
        <v>8870.4</v>
      </c>
      <c r="CL90" s="100">
        <v>10</v>
      </c>
      <c r="CM90" s="100">
        <v>11088</v>
      </c>
      <c r="CN90" s="100">
        <v>11</v>
      </c>
      <c r="CO90" s="100">
        <v>12196.8</v>
      </c>
      <c r="CP90" s="100">
        <v>11</v>
      </c>
      <c r="CQ90" s="100">
        <v>12196.8</v>
      </c>
      <c r="CR90" s="100">
        <v>8</v>
      </c>
      <c r="CS90" s="100">
        <v>8870.4</v>
      </c>
      <c r="CT90" s="100">
        <v>10</v>
      </c>
      <c r="CU90" s="100">
        <v>11088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6</v>
      </c>
      <c r="G91" s="100">
        <v>6818.4</v>
      </c>
      <c r="H91" s="100">
        <v>9</v>
      </c>
      <c r="I91" s="100">
        <v>10227.599999999999</v>
      </c>
      <c r="J91" s="100">
        <v>9</v>
      </c>
      <c r="K91" s="100">
        <v>10227.599999999999</v>
      </c>
      <c r="L91" s="100">
        <v>6</v>
      </c>
      <c r="M91" s="100">
        <v>6818.4</v>
      </c>
      <c r="N91" s="100">
        <v>7</v>
      </c>
      <c r="O91" s="100">
        <v>7954.7999999999993</v>
      </c>
      <c r="P91" s="100">
        <v>7</v>
      </c>
      <c r="Q91" s="100">
        <v>7954.7999999999993</v>
      </c>
      <c r="R91" s="100">
        <v>8</v>
      </c>
      <c r="S91" s="100">
        <v>9091.1999999999989</v>
      </c>
      <c r="T91" s="100">
        <v>7</v>
      </c>
      <c r="U91" s="100">
        <v>7954.7999999999993</v>
      </c>
      <c r="V91" s="100">
        <v>8</v>
      </c>
      <c r="W91" s="100">
        <v>9091.1999999999989</v>
      </c>
      <c r="X91" s="100">
        <v>9</v>
      </c>
      <c r="Y91" s="100">
        <v>10227.599999999999</v>
      </c>
      <c r="Z91" s="100">
        <v>7</v>
      </c>
      <c r="AA91" s="100">
        <v>7954.7999999999993</v>
      </c>
      <c r="AB91" s="100">
        <v>10</v>
      </c>
      <c r="AC91" s="100">
        <v>11363.999999999998</v>
      </c>
      <c r="AD91" s="100">
        <v>7</v>
      </c>
      <c r="AE91" s="100">
        <v>7954.7999999999993</v>
      </c>
      <c r="AF91" s="100">
        <v>7</v>
      </c>
      <c r="AG91" s="100">
        <v>7954.7999999999993</v>
      </c>
      <c r="AH91" s="100">
        <v>7</v>
      </c>
      <c r="AI91" s="100">
        <v>7954.7999999999993</v>
      </c>
      <c r="AJ91" s="100">
        <v>11</v>
      </c>
      <c r="AK91" s="100">
        <v>12500.399999999998</v>
      </c>
      <c r="AL91" s="100">
        <v>12</v>
      </c>
      <c r="AM91" s="100">
        <v>13636.8</v>
      </c>
      <c r="AN91" s="100">
        <v>9</v>
      </c>
      <c r="AO91" s="100">
        <v>10227.599999999999</v>
      </c>
      <c r="AP91" s="100">
        <v>9</v>
      </c>
      <c r="AQ91" s="100">
        <v>10227.599999999999</v>
      </c>
      <c r="AR91" s="100">
        <v>12</v>
      </c>
      <c r="AS91" s="100">
        <v>13636.8</v>
      </c>
      <c r="AT91" s="100">
        <v>6</v>
      </c>
      <c r="AU91" s="100">
        <v>6818.4</v>
      </c>
      <c r="AV91" s="100">
        <v>7</v>
      </c>
      <c r="AW91" s="100">
        <v>7954.7999999999993</v>
      </c>
      <c r="AX91" s="100">
        <v>10</v>
      </c>
      <c r="AY91" s="100">
        <v>11363.999999999998</v>
      </c>
      <c r="AZ91" s="100">
        <v>11</v>
      </c>
      <c r="BA91" s="100">
        <v>12500.399999999998</v>
      </c>
      <c r="BB91" s="100">
        <v>9</v>
      </c>
      <c r="BC91" s="100">
        <v>10227.599999999999</v>
      </c>
      <c r="BD91" s="100">
        <v>8</v>
      </c>
      <c r="BE91" s="100">
        <v>9091.1999999999989</v>
      </c>
      <c r="BF91" s="100">
        <v>6</v>
      </c>
      <c r="BG91" s="100">
        <v>6818.4</v>
      </c>
      <c r="BH91" s="100">
        <v>8</v>
      </c>
      <c r="BI91" s="100">
        <v>9091.1999999999989</v>
      </c>
      <c r="BJ91" s="100">
        <v>11</v>
      </c>
      <c r="BK91" s="100">
        <v>12500.399999999998</v>
      </c>
      <c r="BL91" s="100">
        <v>8</v>
      </c>
      <c r="BM91" s="100">
        <v>9091.1999999999989</v>
      </c>
      <c r="BN91" s="100">
        <v>10</v>
      </c>
      <c r="BO91" s="100">
        <v>11363.999999999998</v>
      </c>
      <c r="BP91" s="100">
        <v>13</v>
      </c>
      <c r="BQ91" s="100">
        <v>14773.199999999999</v>
      </c>
      <c r="BR91" s="100">
        <v>11</v>
      </c>
      <c r="BS91" s="100">
        <v>12500.399999999998</v>
      </c>
      <c r="BT91" s="100">
        <v>8</v>
      </c>
      <c r="BU91" s="100">
        <v>9091.1999999999989</v>
      </c>
      <c r="BV91" s="100">
        <v>9</v>
      </c>
      <c r="BW91" s="100">
        <v>10227.599999999999</v>
      </c>
      <c r="BX91" s="100">
        <v>11</v>
      </c>
      <c r="BY91" s="100">
        <v>12500.399999999998</v>
      </c>
      <c r="BZ91" s="100">
        <v>11</v>
      </c>
      <c r="CA91" s="100">
        <v>12500.399999999998</v>
      </c>
      <c r="CB91" s="100">
        <v>7</v>
      </c>
      <c r="CC91" s="100">
        <v>7954.7999999999993</v>
      </c>
      <c r="CD91" s="100">
        <v>7</v>
      </c>
      <c r="CE91" s="100">
        <v>7954.7999999999993</v>
      </c>
      <c r="CF91" s="100">
        <v>7</v>
      </c>
      <c r="CG91" s="100">
        <v>7954.7999999999993</v>
      </c>
      <c r="CH91" s="100">
        <v>12</v>
      </c>
      <c r="CI91" s="100">
        <v>13636.8</v>
      </c>
      <c r="CJ91" s="100">
        <v>9</v>
      </c>
      <c r="CK91" s="100">
        <v>10227.599999999999</v>
      </c>
      <c r="CL91" s="100">
        <v>9</v>
      </c>
      <c r="CM91" s="100">
        <v>10227.599999999999</v>
      </c>
      <c r="CN91" s="100">
        <v>10</v>
      </c>
      <c r="CO91" s="100">
        <v>11363.999999999998</v>
      </c>
      <c r="CP91" s="100">
        <v>11</v>
      </c>
      <c r="CQ91" s="100">
        <v>12500.399999999998</v>
      </c>
      <c r="CR91" s="100">
        <v>7</v>
      </c>
      <c r="CS91" s="100">
        <v>7954.7999999999993</v>
      </c>
      <c r="CT91" s="100">
        <v>10</v>
      </c>
      <c r="CU91" s="100">
        <v>11363.999999999998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6</v>
      </c>
      <c r="G92" s="100">
        <v>4708.7999999999993</v>
      </c>
      <c r="H92" s="100">
        <v>10</v>
      </c>
      <c r="I92" s="100">
        <v>7848</v>
      </c>
      <c r="J92" s="100">
        <v>9</v>
      </c>
      <c r="K92" s="100">
        <v>7063.2</v>
      </c>
      <c r="L92" s="100">
        <v>6</v>
      </c>
      <c r="M92" s="100">
        <v>4708.7999999999993</v>
      </c>
      <c r="N92" s="100">
        <v>6</v>
      </c>
      <c r="O92" s="100">
        <v>4708.7999999999993</v>
      </c>
      <c r="P92" s="100">
        <v>6</v>
      </c>
      <c r="Q92" s="100">
        <v>4708.7999999999993</v>
      </c>
      <c r="R92" s="100">
        <v>9</v>
      </c>
      <c r="S92" s="100">
        <v>7063.2</v>
      </c>
      <c r="T92" s="100">
        <v>8</v>
      </c>
      <c r="U92" s="100">
        <v>6278.4</v>
      </c>
      <c r="V92" s="100">
        <v>8</v>
      </c>
      <c r="W92" s="100">
        <v>6278.4</v>
      </c>
      <c r="X92" s="100">
        <v>10</v>
      </c>
      <c r="Y92" s="100">
        <v>7848</v>
      </c>
      <c r="Z92" s="100">
        <v>7</v>
      </c>
      <c r="AA92" s="100">
        <v>5493.5999999999995</v>
      </c>
      <c r="AB92" s="100">
        <v>11</v>
      </c>
      <c r="AC92" s="100">
        <v>8632.7999999999993</v>
      </c>
      <c r="AD92" s="100">
        <v>8</v>
      </c>
      <c r="AE92" s="100">
        <v>6278.4</v>
      </c>
      <c r="AF92" s="100">
        <v>8</v>
      </c>
      <c r="AG92" s="100">
        <v>6278.4</v>
      </c>
      <c r="AH92" s="100">
        <v>7</v>
      </c>
      <c r="AI92" s="100">
        <v>5493.5999999999995</v>
      </c>
      <c r="AJ92" s="100">
        <v>13</v>
      </c>
      <c r="AK92" s="100">
        <v>10202.4</v>
      </c>
      <c r="AL92" s="100">
        <v>12</v>
      </c>
      <c r="AM92" s="100">
        <v>9417.5999999999985</v>
      </c>
      <c r="AN92" s="100">
        <v>9</v>
      </c>
      <c r="AO92" s="100">
        <v>7063.2</v>
      </c>
      <c r="AP92" s="100">
        <v>10</v>
      </c>
      <c r="AQ92" s="100">
        <v>7848</v>
      </c>
      <c r="AR92" s="100">
        <v>12</v>
      </c>
      <c r="AS92" s="100">
        <v>9417.5999999999985</v>
      </c>
      <c r="AT92" s="100">
        <v>7</v>
      </c>
      <c r="AU92" s="100">
        <v>5493.5999999999995</v>
      </c>
      <c r="AV92" s="100">
        <v>8</v>
      </c>
      <c r="AW92" s="100">
        <v>6278.4</v>
      </c>
      <c r="AX92" s="100">
        <v>10</v>
      </c>
      <c r="AY92" s="100">
        <v>7848</v>
      </c>
      <c r="AZ92" s="100">
        <v>13</v>
      </c>
      <c r="BA92" s="100">
        <v>10202.4</v>
      </c>
      <c r="BB92" s="100">
        <v>9</v>
      </c>
      <c r="BC92" s="100">
        <v>7063.2</v>
      </c>
      <c r="BD92" s="100">
        <v>8</v>
      </c>
      <c r="BE92" s="100">
        <v>6278.4</v>
      </c>
      <c r="BF92" s="100">
        <v>8</v>
      </c>
      <c r="BG92" s="100">
        <v>6278.4</v>
      </c>
      <c r="BH92" s="100">
        <v>10</v>
      </c>
      <c r="BI92" s="100">
        <v>7848</v>
      </c>
      <c r="BJ92" s="100">
        <v>12</v>
      </c>
      <c r="BK92" s="100">
        <v>9417.5999999999985</v>
      </c>
      <c r="BL92" s="100">
        <v>9</v>
      </c>
      <c r="BM92" s="100">
        <v>7063.2</v>
      </c>
      <c r="BN92" s="100">
        <v>10</v>
      </c>
      <c r="BO92" s="100">
        <v>7848</v>
      </c>
      <c r="BP92" s="100">
        <v>11</v>
      </c>
      <c r="BQ92" s="100">
        <v>8632.7999999999993</v>
      </c>
      <c r="BR92" s="100">
        <v>12</v>
      </c>
      <c r="BS92" s="100">
        <v>9417.5999999999985</v>
      </c>
      <c r="BT92" s="100">
        <v>8</v>
      </c>
      <c r="BU92" s="100">
        <v>6278.4</v>
      </c>
      <c r="BV92" s="100">
        <v>8</v>
      </c>
      <c r="BW92" s="100">
        <v>6278.4</v>
      </c>
      <c r="BX92" s="100">
        <v>12</v>
      </c>
      <c r="BY92" s="100">
        <v>9417.5999999999985</v>
      </c>
      <c r="BZ92" s="100">
        <v>12</v>
      </c>
      <c r="CA92" s="100">
        <v>9417.5999999999985</v>
      </c>
      <c r="CB92" s="100">
        <v>7</v>
      </c>
      <c r="CC92" s="100">
        <v>5493.5999999999995</v>
      </c>
      <c r="CD92" s="100">
        <v>7</v>
      </c>
      <c r="CE92" s="100">
        <v>5493.5999999999995</v>
      </c>
      <c r="CF92" s="100">
        <v>7</v>
      </c>
      <c r="CG92" s="100">
        <v>5493.5999999999995</v>
      </c>
      <c r="CH92" s="100">
        <v>13</v>
      </c>
      <c r="CI92" s="100">
        <v>10202.4</v>
      </c>
      <c r="CJ92" s="100">
        <v>8</v>
      </c>
      <c r="CK92" s="100">
        <v>6278.4</v>
      </c>
      <c r="CL92" s="100">
        <v>9</v>
      </c>
      <c r="CM92" s="100">
        <v>7063.2</v>
      </c>
      <c r="CN92" s="100">
        <v>11</v>
      </c>
      <c r="CO92" s="100">
        <v>8632.7999999999993</v>
      </c>
      <c r="CP92" s="100">
        <v>12</v>
      </c>
      <c r="CQ92" s="100">
        <v>9417.5999999999985</v>
      </c>
      <c r="CR92" s="100">
        <v>8</v>
      </c>
      <c r="CS92" s="100">
        <v>6278.4</v>
      </c>
      <c r="CT92" s="100">
        <v>10</v>
      </c>
      <c r="CU92" s="100">
        <v>7848</v>
      </c>
    </row>
    <row r="93" spans="2:99">
      <c r="C93" s="99" t="s">
        <v>259</v>
      </c>
      <c r="D93" s="100">
        <v>8</v>
      </c>
      <c r="E93" s="100">
        <v>5548.8</v>
      </c>
      <c r="F93" s="100">
        <v>7</v>
      </c>
      <c r="G93" s="100">
        <v>4855.2</v>
      </c>
      <c r="H93" s="100">
        <v>11</v>
      </c>
      <c r="I93" s="100">
        <v>7629.6</v>
      </c>
      <c r="J93" s="100">
        <v>9</v>
      </c>
      <c r="K93" s="100">
        <v>6242.4000000000005</v>
      </c>
      <c r="L93" s="100">
        <v>6</v>
      </c>
      <c r="M93" s="100">
        <v>4161.6000000000004</v>
      </c>
      <c r="N93" s="100">
        <v>6</v>
      </c>
      <c r="O93" s="100">
        <v>4161.6000000000004</v>
      </c>
      <c r="P93" s="100">
        <v>7</v>
      </c>
      <c r="Q93" s="100">
        <v>4855.2</v>
      </c>
      <c r="R93" s="100">
        <v>10</v>
      </c>
      <c r="S93" s="100">
        <v>6936</v>
      </c>
      <c r="T93" s="100">
        <v>9</v>
      </c>
      <c r="U93" s="100">
        <v>6242.4000000000005</v>
      </c>
      <c r="V93" s="100">
        <v>8</v>
      </c>
      <c r="W93" s="100">
        <v>5548.8</v>
      </c>
      <c r="X93" s="100">
        <v>10</v>
      </c>
      <c r="Y93" s="100">
        <v>6936</v>
      </c>
      <c r="Z93" s="100">
        <v>7</v>
      </c>
      <c r="AA93" s="100">
        <v>4855.2</v>
      </c>
      <c r="AB93" s="100">
        <v>11</v>
      </c>
      <c r="AC93" s="100">
        <v>7629.6</v>
      </c>
      <c r="AD93" s="100">
        <v>7</v>
      </c>
      <c r="AE93" s="100">
        <v>4855.2</v>
      </c>
      <c r="AF93" s="100">
        <v>7</v>
      </c>
      <c r="AG93" s="100">
        <v>4855.2</v>
      </c>
      <c r="AH93" s="100">
        <v>6</v>
      </c>
      <c r="AI93" s="100">
        <v>4161.6000000000004</v>
      </c>
      <c r="AJ93" s="100">
        <v>12</v>
      </c>
      <c r="AK93" s="100">
        <v>8323.2000000000007</v>
      </c>
      <c r="AL93" s="100">
        <v>12</v>
      </c>
      <c r="AM93" s="100">
        <v>8323.2000000000007</v>
      </c>
      <c r="AN93" s="100">
        <v>9</v>
      </c>
      <c r="AO93" s="100">
        <v>6242.4000000000005</v>
      </c>
      <c r="AP93" s="100">
        <v>11</v>
      </c>
      <c r="AQ93" s="100">
        <v>7629.6</v>
      </c>
      <c r="AR93" s="100">
        <v>12</v>
      </c>
      <c r="AS93" s="100">
        <v>8323.2000000000007</v>
      </c>
      <c r="AT93" s="100">
        <v>6</v>
      </c>
      <c r="AU93" s="100">
        <v>4161.6000000000004</v>
      </c>
      <c r="AV93" s="100">
        <v>8</v>
      </c>
      <c r="AW93" s="100">
        <v>5548.8</v>
      </c>
      <c r="AX93" s="100">
        <v>12</v>
      </c>
      <c r="AY93" s="100">
        <v>8323.2000000000007</v>
      </c>
      <c r="AZ93" s="100">
        <v>13</v>
      </c>
      <c r="BA93" s="100">
        <v>9016.8000000000011</v>
      </c>
      <c r="BB93" s="100">
        <v>10</v>
      </c>
      <c r="BC93" s="100">
        <v>6936</v>
      </c>
      <c r="BD93" s="100">
        <v>9</v>
      </c>
      <c r="BE93" s="100">
        <v>6242.4000000000005</v>
      </c>
      <c r="BF93" s="100">
        <v>7</v>
      </c>
      <c r="BG93" s="100">
        <v>4855.2</v>
      </c>
      <c r="BH93" s="100">
        <v>9</v>
      </c>
      <c r="BI93" s="100">
        <v>6242.4000000000005</v>
      </c>
      <c r="BJ93" s="100">
        <v>11</v>
      </c>
      <c r="BK93" s="100">
        <v>7629.6</v>
      </c>
      <c r="BL93" s="100">
        <v>9</v>
      </c>
      <c r="BM93" s="100">
        <v>6242.4000000000005</v>
      </c>
      <c r="BN93" s="100">
        <v>10</v>
      </c>
      <c r="BO93" s="100">
        <v>6936</v>
      </c>
      <c r="BP93" s="100">
        <v>11</v>
      </c>
      <c r="BQ93" s="100">
        <v>7629.6</v>
      </c>
      <c r="BR93" s="100">
        <v>11</v>
      </c>
      <c r="BS93" s="100">
        <v>7629.6</v>
      </c>
      <c r="BT93" s="100">
        <v>8</v>
      </c>
      <c r="BU93" s="100">
        <v>5548.8</v>
      </c>
      <c r="BV93" s="100">
        <v>8</v>
      </c>
      <c r="BW93" s="100">
        <v>5548.8</v>
      </c>
      <c r="BX93" s="100">
        <v>12</v>
      </c>
      <c r="BY93" s="100">
        <v>8323.2000000000007</v>
      </c>
      <c r="BZ93" s="100">
        <v>11</v>
      </c>
      <c r="CA93" s="100">
        <v>7629.6</v>
      </c>
      <c r="CB93" s="100">
        <v>7</v>
      </c>
      <c r="CC93" s="100">
        <v>4855.2</v>
      </c>
      <c r="CD93" s="100">
        <v>7</v>
      </c>
      <c r="CE93" s="100">
        <v>4855.2</v>
      </c>
      <c r="CF93" s="100">
        <v>8</v>
      </c>
      <c r="CG93" s="100">
        <v>5548.8</v>
      </c>
      <c r="CH93" s="100">
        <v>12</v>
      </c>
      <c r="CI93" s="100">
        <v>8323.2000000000007</v>
      </c>
      <c r="CJ93" s="100">
        <v>9</v>
      </c>
      <c r="CK93" s="100">
        <v>6242.4000000000005</v>
      </c>
      <c r="CL93" s="100">
        <v>9</v>
      </c>
      <c r="CM93" s="100">
        <v>6242.4000000000005</v>
      </c>
      <c r="CN93" s="100">
        <v>13</v>
      </c>
      <c r="CO93" s="100">
        <v>9016.8000000000011</v>
      </c>
      <c r="CP93" s="100">
        <v>12</v>
      </c>
      <c r="CQ93" s="100">
        <v>8323.2000000000007</v>
      </c>
      <c r="CR93" s="100">
        <v>7</v>
      </c>
      <c r="CS93" s="100">
        <v>4855.2</v>
      </c>
      <c r="CT93" s="100">
        <v>10</v>
      </c>
      <c r="CU93" s="100">
        <v>6936</v>
      </c>
    </row>
    <row r="94" spans="2:99">
      <c r="C94" s="99" t="s">
        <v>260</v>
      </c>
      <c r="D94" s="100">
        <v>7</v>
      </c>
      <c r="E94" s="100">
        <v>8349.6</v>
      </c>
      <c r="F94" s="100">
        <v>6</v>
      </c>
      <c r="G94" s="100">
        <v>7156.7999999999993</v>
      </c>
      <c r="H94" s="100">
        <v>11</v>
      </c>
      <c r="I94" s="100">
        <v>13120.8</v>
      </c>
      <c r="J94" s="100">
        <v>8</v>
      </c>
      <c r="K94" s="100">
        <v>9542.4</v>
      </c>
      <c r="L94" s="100">
        <v>6</v>
      </c>
      <c r="M94" s="100">
        <v>7156.7999999999993</v>
      </c>
      <c r="N94" s="100">
        <v>6</v>
      </c>
      <c r="O94" s="100">
        <v>7156.7999999999993</v>
      </c>
      <c r="P94" s="100">
        <v>6</v>
      </c>
      <c r="Q94" s="100">
        <v>7156.7999999999993</v>
      </c>
      <c r="R94" s="100">
        <v>8</v>
      </c>
      <c r="S94" s="100">
        <v>9542.4</v>
      </c>
      <c r="T94" s="100">
        <v>8</v>
      </c>
      <c r="U94" s="100">
        <v>9542.4</v>
      </c>
      <c r="V94" s="100">
        <v>7</v>
      </c>
      <c r="W94" s="100">
        <v>8349.6</v>
      </c>
      <c r="X94" s="100">
        <v>9</v>
      </c>
      <c r="Y94" s="100">
        <v>10735.199999999999</v>
      </c>
      <c r="Z94" s="100">
        <v>7</v>
      </c>
      <c r="AA94" s="100">
        <v>8349.6</v>
      </c>
      <c r="AB94" s="100">
        <v>10</v>
      </c>
      <c r="AC94" s="100">
        <v>11928</v>
      </c>
      <c r="AD94" s="100">
        <v>7</v>
      </c>
      <c r="AE94" s="100">
        <v>8349.6</v>
      </c>
      <c r="AF94" s="100">
        <v>7</v>
      </c>
      <c r="AG94" s="100">
        <v>8349.6</v>
      </c>
      <c r="AH94" s="100">
        <v>6</v>
      </c>
      <c r="AI94" s="100">
        <v>7156.7999999999993</v>
      </c>
      <c r="AJ94" s="100">
        <v>11</v>
      </c>
      <c r="AK94" s="100">
        <v>13120.8</v>
      </c>
      <c r="AL94" s="100">
        <v>12</v>
      </c>
      <c r="AM94" s="100">
        <v>14313.599999999999</v>
      </c>
      <c r="AN94" s="100">
        <v>9</v>
      </c>
      <c r="AO94" s="100">
        <v>10735.199999999999</v>
      </c>
      <c r="AP94" s="100">
        <v>9</v>
      </c>
      <c r="AQ94" s="100">
        <v>10735.199999999999</v>
      </c>
      <c r="AR94" s="100">
        <v>12</v>
      </c>
      <c r="AS94" s="100">
        <v>14313.599999999999</v>
      </c>
      <c r="AT94" s="100">
        <v>6</v>
      </c>
      <c r="AU94" s="100">
        <v>7156.7999999999993</v>
      </c>
      <c r="AV94" s="100">
        <v>8</v>
      </c>
      <c r="AW94" s="100">
        <v>9542.4</v>
      </c>
      <c r="AX94" s="100">
        <v>11</v>
      </c>
      <c r="AY94" s="100">
        <v>13120.8</v>
      </c>
      <c r="AZ94" s="100">
        <v>13</v>
      </c>
      <c r="BA94" s="100">
        <v>15506.4</v>
      </c>
      <c r="BB94" s="100">
        <v>8</v>
      </c>
      <c r="BC94" s="100">
        <v>9542.4</v>
      </c>
      <c r="BD94" s="100">
        <v>9</v>
      </c>
      <c r="BE94" s="100">
        <v>10735.199999999999</v>
      </c>
      <c r="BF94" s="100">
        <v>7</v>
      </c>
      <c r="BG94" s="100">
        <v>8349.6</v>
      </c>
      <c r="BH94" s="100">
        <v>9</v>
      </c>
      <c r="BI94" s="100">
        <v>10735.199999999999</v>
      </c>
      <c r="BJ94" s="100">
        <v>11</v>
      </c>
      <c r="BK94" s="100">
        <v>13120.8</v>
      </c>
      <c r="BL94" s="100">
        <v>9</v>
      </c>
      <c r="BM94" s="100">
        <v>10735.199999999999</v>
      </c>
      <c r="BN94" s="100">
        <v>11</v>
      </c>
      <c r="BO94" s="100">
        <v>13120.8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8</v>
      </c>
      <c r="BU94" s="100">
        <v>9542.4</v>
      </c>
      <c r="BV94" s="100">
        <v>7</v>
      </c>
      <c r="BW94" s="100">
        <v>8349.6</v>
      </c>
      <c r="BX94" s="100">
        <v>13</v>
      </c>
      <c r="BY94" s="100">
        <v>15506.4</v>
      </c>
      <c r="BZ94" s="100">
        <v>11</v>
      </c>
      <c r="CA94" s="100">
        <v>13120.8</v>
      </c>
      <c r="CB94" s="100">
        <v>7</v>
      </c>
      <c r="CC94" s="100">
        <v>8349.6</v>
      </c>
      <c r="CD94" s="100">
        <v>7</v>
      </c>
      <c r="CE94" s="100">
        <v>8349.6</v>
      </c>
      <c r="CF94" s="100">
        <v>6</v>
      </c>
      <c r="CG94" s="100">
        <v>7156.7999999999993</v>
      </c>
      <c r="CH94" s="100">
        <v>12</v>
      </c>
      <c r="CI94" s="100">
        <v>14313.599999999999</v>
      </c>
      <c r="CJ94" s="100">
        <v>9</v>
      </c>
      <c r="CK94" s="100">
        <v>10735.199999999999</v>
      </c>
      <c r="CL94" s="100">
        <v>11</v>
      </c>
      <c r="CM94" s="100">
        <v>13120.8</v>
      </c>
      <c r="CN94" s="100">
        <v>11</v>
      </c>
      <c r="CO94" s="100">
        <v>13120.8</v>
      </c>
      <c r="CP94" s="100">
        <v>11</v>
      </c>
      <c r="CQ94" s="100">
        <v>13120.8</v>
      </c>
      <c r="CR94" s="100">
        <v>8</v>
      </c>
      <c r="CS94" s="100">
        <v>9542.4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7</v>
      </c>
      <c r="G95" s="100">
        <v>2301.6</v>
      </c>
      <c r="H95" s="100">
        <v>11</v>
      </c>
      <c r="I95" s="100">
        <v>3616.8</v>
      </c>
      <c r="J95" s="100">
        <v>11</v>
      </c>
      <c r="K95" s="100">
        <v>3616.8</v>
      </c>
      <c r="L95" s="100">
        <v>11</v>
      </c>
      <c r="M95" s="100">
        <v>3616.8</v>
      </c>
      <c r="N95" s="100">
        <v>10</v>
      </c>
      <c r="O95" s="100">
        <v>3288</v>
      </c>
      <c r="P95" s="100">
        <v>9</v>
      </c>
      <c r="Q95" s="100">
        <v>2959.2000000000003</v>
      </c>
      <c r="R95" s="100">
        <v>8</v>
      </c>
      <c r="S95" s="100">
        <v>2630.4</v>
      </c>
      <c r="T95" s="100">
        <v>11</v>
      </c>
      <c r="U95" s="100">
        <v>3616.8</v>
      </c>
      <c r="V95" s="100">
        <v>6</v>
      </c>
      <c r="W95" s="100">
        <v>1972.8000000000002</v>
      </c>
      <c r="X95" s="100">
        <v>10</v>
      </c>
      <c r="Y95" s="100">
        <v>3288</v>
      </c>
      <c r="Z95" s="100">
        <v>11</v>
      </c>
      <c r="AA95" s="100">
        <v>3616.8</v>
      </c>
      <c r="AB95" s="100">
        <v>7</v>
      </c>
      <c r="AC95" s="100">
        <v>2301.6</v>
      </c>
      <c r="AD95" s="100">
        <v>11</v>
      </c>
      <c r="AE95" s="100">
        <v>3616.8</v>
      </c>
      <c r="AF95" s="100">
        <v>9</v>
      </c>
      <c r="AG95" s="100">
        <v>2959.2000000000003</v>
      </c>
      <c r="AH95" s="100">
        <v>8</v>
      </c>
      <c r="AI95" s="100">
        <v>2630.4</v>
      </c>
      <c r="AJ95" s="100">
        <v>12</v>
      </c>
      <c r="AK95" s="100">
        <v>3945.6000000000004</v>
      </c>
      <c r="AL95" s="100">
        <v>12</v>
      </c>
      <c r="AM95" s="100">
        <v>3945.6000000000004</v>
      </c>
      <c r="AN95" s="100">
        <v>7</v>
      </c>
      <c r="AO95" s="100">
        <v>2301.6</v>
      </c>
      <c r="AP95" s="100">
        <v>9</v>
      </c>
      <c r="AQ95" s="100">
        <v>2959.2000000000003</v>
      </c>
      <c r="AR95" s="100">
        <v>8</v>
      </c>
      <c r="AS95" s="100">
        <v>2630.4</v>
      </c>
      <c r="AT95" s="100">
        <v>10</v>
      </c>
      <c r="AU95" s="100">
        <v>3288</v>
      </c>
      <c r="AV95" s="100">
        <v>7</v>
      </c>
      <c r="AW95" s="100">
        <v>2301.6</v>
      </c>
      <c r="AX95" s="100">
        <v>7</v>
      </c>
      <c r="AY95" s="100">
        <v>2301.6</v>
      </c>
      <c r="AZ95" s="100">
        <v>11</v>
      </c>
      <c r="BA95" s="100">
        <v>3616.8</v>
      </c>
      <c r="BB95" s="100">
        <v>10</v>
      </c>
      <c r="BC95" s="100">
        <v>3288</v>
      </c>
      <c r="BD95" s="100">
        <v>9</v>
      </c>
      <c r="BE95" s="100">
        <v>2959.2000000000003</v>
      </c>
      <c r="BF95" s="100">
        <v>8</v>
      </c>
      <c r="BG95" s="100">
        <v>2630.4</v>
      </c>
      <c r="BH95" s="100">
        <v>6</v>
      </c>
      <c r="BI95" s="100">
        <v>1972.8000000000002</v>
      </c>
      <c r="BJ95" s="100">
        <v>9</v>
      </c>
      <c r="BK95" s="100">
        <v>2959.2000000000003</v>
      </c>
      <c r="BL95" s="100">
        <v>9</v>
      </c>
      <c r="BM95" s="100">
        <v>2959.2000000000003</v>
      </c>
      <c r="BN95" s="100">
        <v>11</v>
      </c>
      <c r="BO95" s="100">
        <v>3616.8</v>
      </c>
      <c r="BP95" s="100">
        <v>8</v>
      </c>
      <c r="BQ95" s="100">
        <v>2630.4</v>
      </c>
      <c r="BR95" s="100">
        <v>12</v>
      </c>
      <c r="BS95" s="100">
        <v>3945.6000000000004</v>
      </c>
      <c r="BT95" s="100">
        <v>8</v>
      </c>
      <c r="BU95" s="100">
        <v>2630.4</v>
      </c>
      <c r="BV95" s="100">
        <v>10</v>
      </c>
      <c r="BW95" s="100">
        <v>3288</v>
      </c>
      <c r="BX95" s="100">
        <v>9</v>
      </c>
      <c r="BY95" s="100">
        <v>2959.2000000000003</v>
      </c>
      <c r="BZ95" s="100">
        <v>8</v>
      </c>
      <c r="CA95" s="100">
        <v>2630.4</v>
      </c>
      <c r="CB95" s="100">
        <v>8</v>
      </c>
      <c r="CC95" s="100">
        <v>2630.4</v>
      </c>
      <c r="CD95" s="100">
        <v>10</v>
      </c>
      <c r="CE95" s="100">
        <v>3288</v>
      </c>
      <c r="CF95" s="100">
        <v>11</v>
      </c>
      <c r="CG95" s="100">
        <v>3616.8</v>
      </c>
      <c r="CH95" s="100">
        <v>11</v>
      </c>
      <c r="CI95" s="100">
        <v>3616.8</v>
      </c>
      <c r="CJ95" s="100">
        <v>11</v>
      </c>
      <c r="CK95" s="100">
        <v>3616.8</v>
      </c>
      <c r="CL95" s="100">
        <v>7</v>
      </c>
      <c r="CM95" s="100">
        <v>2301.6</v>
      </c>
      <c r="CN95" s="100">
        <v>11</v>
      </c>
      <c r="CO95" s="100">
        <v>3616.8</v>
      </c>
      <c r="CP95" s="100">
        <v>12</v>
      </c>
      <c r="CQ95" s="100">
        <v>3945.6000000000004</v>
      </c>
      <c r="CR95" s="100">
        <v>6</v>
      </c>
      <c r="CS95" s="100">
        <v>1972.8000000000002</v>
      </c>
      <c r="CT95" s="100">
        <v>7</v>
      </c>
      <c r="CU95" s="100">
        <v>2301.6</v>
      </c>
    </row>
    <row r="96" spans="2:99">
      <c r="C96" s="99" t="s">
        <v>262</v>
      </c>
      <c r="D96" s="100">
        <v>8</v>
      </c>
      <c r="E96" s="100">
        <v>5558.4</v>
      </c>
      <c r="F96" s="100">
        <v>8</v>
      </c>
      <c r="G96" s="100">
        <v>5558.4</v>
      </c>
      <c r="H96" s="100">
        <v>10</v>
      </c>
      <c r="I96" s="100">
        <v>6948</v>
      </c>
      <c r="J96" s="100">
        <v>10</v>
      </c>
      <c r="K96" s="100">
        <v>6948</v>
      </c>
      <c r="L96" s="100">
        <v>9</v>
      </c>
      <c r="M96" s="100">
        <v>6253.2</v>
      </c>
      <c r="N96" s="100">
        <v>10</v>
      </c>
      <c r="O96" s="100">
        <v>6948</v>
      </c>
      <c r="P96" s="100">
        <v>9</v>
      </c>
      <c r="Q96" s="100">
        <v>6253.2</v>
      </c>
      <c r="R96" s="100">
        <v>7</v>
      </c>
      <c r="S96" s="100">
        <v>4863.5999999999995</v>
      </c>
      <c r="T96" s="100">
        <v>10</v>
      </c>
      <c r="U96" s="100">
        <v>6948</v>
      </c>
      <c r="V96" s="100">
        <v>6</v>
      </c>
      <c r="W96" s="100">
        <v>4168.7999999999993</v>
      </c>
      <c r="X96" s="100">
        <v>10</v>
      </c>
      <c r="Y96" s="100">
        <v>6948</v>
      </c>
      <c r="Z96" s="100">
        <v>11</v>
      </c>
      <c r="AA96" s="100">
        <v>7642.7999999999993</v>
      </c>
      <c r="AB96" s="100">
        <v>6</v>
      </c>
      <c r="AC96" s="100">
        <v>4168.7999999999993</v>
      </c>
      <c r="AD96" s="100">
        <v>11</v>
      </c>
      <c r="AE96" s="100">
        <v>7642.7999999999993</v>
      </c>
      <c r="AF96" s="100">
        <v>8</v>
      </c>
      <c r="AG96" s="100">
        <v>5558.4</v>
      </c>
      <c r="AH96" s="100">
        <v>7</v>
      </c>
      <c r="AI96" s="100">
        <v>4863.5999999999995</v>
      </c>
      <c r="AJ96" s="100">
        <v>11</v>
      </c>
      <c r="AK96" s="100">
        <v>7642.7999999999993</v>
      </c>
      <c r="AL96" s="100">
        <v>11</v>
      </c>
      <c r="AM96" s="100">
        <v>7642.7999999999993</v>
      </c>
      <c r="AN96" s="100">
        <v>7</v>
      </c>
      <c r="AO96" s="100">
        <v>4863.5999999999995</v>
      </c>
      <c r="AP96" s="100">
        <v>10</v>
      </c>
      <c r="AQ96" s="100">
        <v>6948</v>
      </c>
      <c r="AR96" s="100">
        <v>7</v>
      </c>
      <c r="AS96" s="100">
        <v>4863.5999999999995</v>
      </c>
      <c r="AT96" s="100">
        <v>9</v>
      </c>
      <c r="AU96" s="100">
        <v>6253.2</v>
      </c>
      <c r="AV96" s="100">
        <v>8</v>
      </c>
      <c r="AW96" s="100">
        <v>5558.4</v>
      </c>
      <c r="AX96" s="100">
        <v>7</v>
      </c>
      <c r="AY96" s="100">
        <v>4863.5999999999995</v>
      </c>
      <c r="AZ96" s="100">
        <v>12</v>
      </c>
      <c r="BA96" s="100">
        <v>8337.5999999999985</v>
      </c>
      <c r="BB96" s="100">
        <v>9</v>
      </c>
      <c r="BC96" s="100">
        <v>6253.2</v>
      </c>
      <c r="BD96" s="100">
        <v>8</v>
      </c>
      <c r="BE96" s="100">
        <v>5558.4</v>
      </c>
      <c r="BF96" s="100">
        <v>9</v>
      </c>
      <c r="BG96" s="100">
        <v>6253.2</v>
      </c>
      <c r="BH96" s="100">
        <v>7</v>
      </c>
      <c r="BI96" s="100">
        <v>4863.5999999999995</v>
      </c>
      <c r="BJ96" s="100">
        <v>8</v>
      </c>
      <c r="BK96" s="100">
        <v>5558.4</v>
      </c>
      <c r="BL96" s="100">
        <v>9</v>
      </c>
      <c r="BM96" s="100">
        <v>6253.2</v>
      </c>
      <c r="BN96" s="100">
        <v>10</v>
      </c>
      <c r="BO96" s="100">
        <v>6948</v>
      </c>
      <c r="BP96" s="100">
        <v>9</v>
      </c>
      <c r="BQ96" s="100">
        <v>6253.2</v>
      </c>
      <c r="BR96" s="100">
        <v>10</v>
      </c>
      <c r="BS96" s="100">
        <v>6948</v>
      </c>
      <c r="BT96" s="100">
        <v>7</v>
      </c>
      <c r="BU96" s="100">
        <v>4863.5999999999995</v>
      </c>
      <c r="BV96" s="100">
        <v>11</v>
      </c>
      <c r="BW96" s="100">
        <v>7642.7999999999993</v>
      </c>
      <c r="BX96" s="100">
        <v>8</v>
      </c>
      <c r="BY96" s="100">
        <v>5558.4</v>
      </c>
      <c r="BZ96" s="100">
        <v>8</v>
      </c>
      <c r="CA96" s="100">
        <v>5558.4</v>
      </c>
      <c r="CB96" s="100">
        <v>7</v>
      </c>
      <c r="CC96" s="100">
        <v>4863.5999999999995</v>
      </c>
      <c r="CD96" s="100">
        <v>9</v>
      </c>
      <c r="CE96" s="100">
        <v>6253.2</v>
      </c>
      <c r="CF96" s="100">
        <v>10</v>
      </c>
      <c r="CG96" s="100">
        <v>6948</v>
      </c>
      <c r="CH96" s="100">
        <v>11</v>
      </c>
      <c r="CI96" s="100">
        <v>7642.7999999999993</v>
      </c>
      <c r="CJ96" s="100">
        <v>10</v>
      </c>
      <c r="CK96" s="100">
        <v>6948</v>
      </c>
      <c r="CL96" s="100">
        <v>6</v>
      </c>
      <c r="CM96" s="100">
        <v>4168.7999999999993</v>
      </c>
      <c r="CN96" s="100">
        <v>10</v>
      </c>
      <c r="CO96" s="100">
        <v>6948</v>
      </c>
      <c r="CP96" s="100">
        <v>11</v>
      </c>
      <c r="CQ96" s="100">
        <v>7642.7999999999993</v>
      </c>
      <c r="CR96" s="100">
        <v>7</v>
      </c>
      <c r="CS96" s="100">
        <v>4863.5999999999995</v>
      </c>
      <c r="CT96" s="100">
        <v>8</v>
      </c>
      <c r="CU96" s="100">
        <v>5558.4</v>
      </c>
    </row>
    <row r="97" spans="2:99">
      <c r="C97" s="99" t="s">
        <v>263</v>
      </c>
      <c r="D97" s="100">
        <v>8</v>
      </c>
      <c r="E97" s="100">
        <v>3139.2</v>
      </c>
      <c r="F97" s="100">
        <v>7</v>
      </c>
      <c r="G97" s="100">
        <v>2746.7999999999997</v>
      </c>
      <c r="H97" s="100">
        <v>9</v>
      </c>
      <c r="I97" s="100">
        <v>3531.6</v>
      </c>
      <c r="J97" s="100">
        <v>11</v>
      </c>
      <c r="K97" s="100">
        <v>4316.3999999999996</v>
      </c>
      <c r="L97" s="100">
        <v>10</v>
      </c>
      <c r="M97" s="100">
        <v>3924</v>
      </c>
      <c r="N97" s="100">
        <v>9</v>
      </c>
      <c r="O97" s="100">
        <v>3531.6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11</v>
      </c>
      <c r="U97" s="100">
        <v>4316.3999999999996</v>
      </c>
      <c r="V97" s="100">
        <v>6</v>
      </c>
      <c r="W97" s="100">
        <v>2354.3999999999996</v>
      </c>
      <c r="X97" s="100">
        <v>9</v>
      </c>
      <c r="Y97" s="100">
        <v>3531.6</v>
      </c>
      <c r="Z97" s="100">
        <v>11</v>
      </c>
      <c r="AA97" s="100">
        <v>4316.3999999999996</v>
      </c>
      <c r="AB97" s="100">
        <v>6</v>
      </c>
      <c r="AC97" s="100">
        <v>2354.3999999999996</v>
      </c>
      <c r="AD97" s="100">
        <v>13</v>
      </c>
      <c r="AE97" s="100">
        <v>5101.2</v>
      </c>
      <c r="AF97" s="100">
        <v>9</v>
      </c>
      <c r="AG97" s="100">
        <v>3531.6</v>
      </c>
      <c r="AH97" s="100">
        <v>7</v>
      </c>
      <c r="AI97" s="100">
        <v>2746.7999999999997</v>
      </c>
      <c r="AJ97" s="100">
        <v>11</v>
      </c>
      <c r="AK97" s="100">
        <v>4316.3999999999996</v>
      </c>
      <c r="AL97" s="100">
        <v>11</v>
      </c>
      <c r="AM97" s="100">
        <v>4316.3999999999996</v>
      </c>
      <c r="AN97" s="100">
        <v>7</v>
      </c>
      <c r="AO97" s="100">
        <v>2746.7999999999997</v>
      </c>
      <c r="AP97" s="100">
        <v>10</v>
      </c>
      <c r="AQ97" s="100">
        <v>3924</v>
      </c>
      <c r="AR97" s="100">
        <v>8</v>
      </c>
      <c r="AS97" s="100">
        <v>3139.2</v>
      </c>
      <c r="AT97" s="100">
        <v>10</v>
      </c>
      <c r="AU97" s="100">
        <v>3924</v>
      </c>
      <c r="AV97" s="100">
        <v>7</v>
      </c>
      <c r="AW97" s="100">
        <v>2746.7999999999997</v>
      </c>
      <c r="AX97" s="100">
        <v>7</v>
      </c>
      <c r="AY97" s="100">
        <v>2746.7999999999997</v>
      </c>
      <c r="AZ97" s="100">
        <v>11</v>
      </c>
      <c r="BA97" s="100">
        <v>4316.3999999999996</v>
      </c>
      <c r="BB97" s="100">
        <v>10</v>
      </c>
      <c r="BC97" s="100">
        <v>3924</v>
      </c>
      <c r="BD97" s="100">
        <v>9</v>
      </c>
      <c r="BE97" s="100">
        <v>3531.6</v>
      </c>
      <c r="BF97" s="100">
        <v>8</v>
      </c>
      <c r="BG97" s="100">
        <v>3139.2</v>
      </c>
      <c r="BH97" s="100">
        <v>7</v>
      </c>
      <c r="BI97" s="100">
        <v>2746.7999999999997</v>
      </c>
      <c r="BJ97" s="100">
        <v>9</v>
      </c>
      <c r="BK97" s="100">
        <v>3531.6</v>
      </c>
      <c r="BL97" s="100">
        <v>10</v>
      </c>
      <c r="BM97" s="100">
        <v>3924</v>
      </c>
      <c r="BN97" s="100">
        <v>10</v>
      </c>
      <c r="BO97" s="100">
        <v>3924</v>
      </c>
      <c r="BP97" s="100">
        <v>9</v>
      </c>
      <c r="BQ97" s="100">
        <v>3531.6</v>
      </c>
      <c r="BR97" s="100">
        <v>11</v>
      </c>
      <c r="BS97" s="100">
        <v>4316.3999999999996</v>
      </c>
      <c r="BT97" s="100">
        <v>7</v>
      </c>
      <c r="BU97" s="100">
        <v>2746.7999999999997</v>
      </c>
      <c r="BV97" s="100">
        <v>11</v>
      </c>
      <c r="BW97" s="100">
        <v>4316.3999999999996</v>
      </c>
      <c r="BX97" s="100">
        <v>9</v>
      </c>
      <c r="BY97" s="100">
        <v>3531.6</v>
      </c>
      <c r="BZ97" s="100">
        <v>8</v>
      </c>
      <c r="CA97" s="100">
        <v>3139.2</v>
      </c>
      <c r="CB97" s="100">
        <v>7</v>
      </c>
      <c r="CC97" s="100">
        <v>2746.7999999999997</v>
      </c>
      <c r="CD97" s="100">
        <v>9</v>
      </c>
      <c r="CE97" s="100">
        <v>3531.6</v>
      </c>
      <c r="CF97" s="100">
        <v>11</v>
      </c>
      <c r="CG97" s="100">
        <v>4316.3999999999996</v>
      </c>
      <c r="CH97" s="100">
        <v>12</v>
      </c>
      <c r="CI97" s="100">
        <v>4708.7999999999993</v>
      </c>
      <c r="CJ97" s="100">
        <v>12</v>
      </c>
      <c r="CK97" s="100">
        <v>4708.7999999999993</v>
      </c>
      <c r="CL97" s="100">
        <v>7</v>
      </c>
      <c r="CM97" s="100">
        <v>2746.7999999999997</v>
      </c>
      <c r="CN97" s="100">
        <v>10</v>
      </c>
      <c r="CO97" s="100">
        <v>3924</v>
      </c>
      <c r="CP97" s="100">
        <v>12</v>
      </c>
      <c r="CQ97" s="100">
        <v>4708.7999999999993</v>
      </c>
      <c r="CR97" s="100">
        <v>6</v>
      </c>
      <c r="CS97" s="100">
        <v>2354.3999999999996</v>
      </c>
      <c r="CT97" s="100">
        <v>8</v>
      </c>
      <c r="CU97" s="100">
        <v>3139.2</v>
      </c>
    </row>
    <row r="98" spans="2:99">
      <c r="C98" s="99" t="s">
        <v>264</v>
      </c>
      <c r="D98" s="100">
        <v>8</v>
      </c>
      <c r="E98" s="100">
        <v>4204.8</v>
      </c>
      <c r="F98" s="100">
        <v>8</v>
      </c>
      <c r="G98" s="100">
        <v>4204.8</v>
      </c>
      <c r="H98" s="100">
        <v>10</v>
      </c>
      <c r="I98" s="100">
        <v>5256</v>
      </c>
      <c r="J98" s="100">
        <v>10</v>
      </c>
      <c r="K98" s="100">
        <v>5256</v>
      </c>
      <c r="L98" s="100">
        <v>12</v>
      </c>
      <c r="M98" s="100">
        <v>6307.2000000000007</v>
      </c>
      <c r="N98" s="100">
        <v>11</v>
      </c>
      <c r="O98" s="100">
        <v>5781.6</v>
      </c>
      <c r="P98" s="100">
        <v>10</v>
      </c>
      <c r="Q98" s="100">
        <v>5256</v>
      </c>
      <c r="R98" s="100">
        <v>7</v>
      </c>
      <c r="S98" s="100">
        <v>3679.2000000000003</v>
      </c>
      <c r="T98" s="100">
        <v>12</v>
      </c>
      <c r="U98" s="100">
        <v>6307.2000000000007</v>
      </c>
      <c r="V98" s="100">
        <v>6</v>
      </c>
      <c r="W98" s="100">
        <v>3153.6000000000004</v>
      </c>
      <c r="X98" s="100">
        <v>9</v>
      </c>
      <c r="Y98" s="100">
        <v>4730.4000000000005</v>
      </c>
      <c r="Z98" s="100">
        <v>12</v>
      </c>
      <c r="AA98" s="100">
        <v>6307.2000000000007</v>
      </c>
      <c r="AB98" s="100">
        <v>6</v>
      </c>
      <c r="AC98" s="100">
        <v>3153.6000000000004</v>
      </c>
      <c r="AD98" s="100">
        <v>11</v>
      </c>
      <c r="AE98" s="100">
        <v>5781.6</v>
      </c>
      <c r="AF98" s="100">
        <v>8</v>
      </c>
      <c r="AG98" s="100">
        <v>4204.8</v>
      </c>
      <c r="AH98" s="100">
        <v>7</v>
      </c>
      <c r="AI98" s="100">
        <v>3679.2000000000003</v>
      </c>
      <c r="AJ98" s="100">
        <v>10</v>
      </c>
      <c r="AK98" s="100">
        <v>5256</v>
      </c>
      <c r="AL98" s="100">
        <v>12</v>
      </c>
      <c r="AM98" s="100">
        <v>6307.2000000000007</v>
      </c>
      <c r="AN98" s="100">
        <v>7</v>
      </c>
      <c r="AO98" s="100">
        <v>3679.2000000000003</v>
      </c>
      <c r="AP98" s="100">
        <v>9</v>
      </c>
      <c r="AQ98" s="100">
        <v>4730.4000000000005</v>
      </c>
      <c r="AR98" s="100">
        <v>7</v>
      </c>
      <c r="AS98" s="100">
        <v>3679.2000000000003</v>
      </c>
      <c r="AT98" s="100">
        <v>9</v>
      </c>
      <c r="AU98" s="100">
        <v>4730.4000000000005</v>
      </c>
      <c r="AV98" s="100">
        <v>8</v>
      </c>
      <c r="AW98" s="100">
        <v>4204.8</v>
      </c>
      <c r="AX98" s="100">
        <v>7</v>
      </c>
      <c r="AY98" s="100">
        <v>3679.2000000000003</v>
      </c>
      <c r="AZ98" s="100">
        <v>10</v>
      </c>
      <c r="BA98" s="100">
        <v>5256</v>
      </c>
      <c r="BB98" s="100">
        <v>10</v>
      </c>
      <c r="BC98" s="100">
        <v>5256</v>
      </c>
      <c r="BD98" s="100">
        <v>8</v>
      </c>
      <c r="BE98" s="100">
        <v>4204.8</v>
      </c>
      <c r="BF98" s="100">
        <v>8</v>
      </c>
      <c r="BG98" s="100">
        <v>4204.8</v>
      </c>
      <c r="BH98" s="100">
        <v>6</v>
      </c>
      <c r="BI98" s="100">
        <v>3153.6000000000004</v>
      </c>
      <c r="BJ98" s="100">
        <v>9</v>
      </c>
      <c r="BK98" s="100">
        <v>4730.4000000000005</v>
      </c>
      <c r="BL98" s="100">
        <v>10</v>
      </c>
      <c r="BM98" s="100">
        <v>5256</v>
      </c>
      <c r="BN98" s="100">
        <v>11</v>
      </c>
      <c r="BO98" s="100">
        <v>5781.6</v>
      </c>
      <c r="BP98" s="100">
        <v>9</v>
      </c>
      <c r="BQ98" s="100">
        <v>4730.4000000000005</v>
      </c>
      <c r="BR98" s="100">
        <v>10</v>
      </c>
      <c r="BS98" s="100">
        <v>5256</v>
      </c>
      <c r="BT98" s="100">
        <v>8</v>
      </c>
      <c r="BU98" s="100">
        <v>4204.8</v>
      </c>
      <c r="BV98" s="100">
        <v>11</v>
      </c>
      <c r="BW98" s="100">
        <v>5781.6</v>
      </c>
      <c r="BX98" s="100">
        <v>8</v>
      </c>
      <c r="BY98" s="100">
        <v>4204.8</v>
      </c>
      <c r="BZ98" s="100">
        <v>8</v>
      </c>
      <c r="CA98" s="100">
        <v>4204.8</v>
      </c>
      <c r="CB98" s="100">
        <v>7</v>
      </c>
      <c r="CC98" s="100">
        <v>3679.2000000000003</v>
      </c>
      <c r="CD98" s="100">
        <v>8</v>
      </c>
      <c r="CE98" s="100">
        <v>4204.8</v>
      </c>
      <c r="CF98" s="100">
        <v>10</v>
      </c>
      <c r="CG98" s="100">
        <v>5256</v>
      </c>
      <c r="CH98" s="100">
        <v>10</v>
      </c>
      <c r="CI98" s="100">
        <v>5256</v>
      </c>
      <c r="CJ98" s="100">
        <v>10</v>
      </c>
      <c r="CK98" s="100">
        <v>5256</v>
      </c>
      <c r="CL98" s="100">
        <v>7</v>
      </c>
      <c r="CM98" s="100">
        <v>3679.2000000000003</v>
      </c>
      <c r="CN98" s="100">
        <v>10</v>
      </c>
      <c r="CO98" s="100">
        <v>5256</v>
      </c>
      <c r="CP98" s="100">
        <v>11</v>
      </c>
      <c r="CQ98" s="100">
        <v>5781.6</v>
      </c>
      <c r="CR98" s="100">
        <v>6</v>
      </c>
      <c r="CS98" s="100">
        <v>3153.6000000000004</v>
      </c>
      <c r="CT98" s="100">
        <v>7</v>
      </c>
      <c r="CU98" s="100">
        <v>3679.2000000000003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6</v>
      </c>
      <c r="G99" s="100">
        <v>25250.399999999998</v>
      </c>
      <c r="H99" s="100">
        <v>8</v>
      </c>
      <c r="I99" s="100">
        <v>33667.199999999997</v>
      </c>
      <c r="J99" s="100">
        <v>7</v>
      </c>
      <c r="K99" s="100">
        <v>29458.799999999996</v>
      </c>
      <c r="L99" s="100">
        <v>8</v>
      </c>
      <c r="M99" s="100">
        <v>33667.199999999997</v>
      </c>
      <c r="N99" s="100">
        <v>7</v>
      </c>
      <c r="O99" s="100">
        <v>29458.799999999996</v>
      </c>
      <c r="P99" s="100">
        <v>7</v>
      </c>
      <c r="Q99" s="100">
        <v>29458.799999999996</v>
      </c>
      <c r="R99" s="100">
        <v>5</v>
      </c>
      <c r="S99" s="100">
        <v>21042</v>
      </c>
      <c r="T99" s="100">
        <v>8</v>
      </c>
      <c r="U99" s="100">
        <v>33667.199999999997</v>
      </c>
      <c r="V99" s="100">
        <v>4</v>
      </c>
      <c r="W99" s="100">
        <v>16833.599999999999</v>
      </c>
      <c r="X99" s="100">
        <v>8</v>
      </c>
      <c r="Y99" s="100">
        <v>33667.199999999997</v>
      </c>
      <c r="Z99" s="100">
        <v>9</v>
      </c>
      <c r="AA99" s="100">
        <v>37875.599999999999</v>
      </c>
      <c r="AB99" s="100">
        <v>5</v>
      </c>
      <c r="AC99" s="100">
        <v>21042</v>
      </c>
      <c r="AD99" s="100">
        <v>8</v>
      </c>
      <c r="AE99" s="100">
        <v>33667.199999999997</v>
      </c>
      <c r="AF99" s="100">
        <v>7</v>
      </c>
      <c r="AG99" s="100">
        <v>29458.799999999996</v>
      </c>
      <c r="AH99" s="100">
        <v>5</v>
      </c>
      <c r="AI99" s="100">
        <v>21042</v>
      </c>
      <c r="AJ99" s="100">
        <v>8</v>
      </c>
      <c r="AK99" s="100">
        <v>33667.199999999997</v>
      </c>
      <c r="AL99" s="100">
        <v>9</v>
      </c>
      <c r="AM99" s="100">
        <v>37875.599999999999</v>
      </c>
      <c r="AN99" s="100">
        <v>6</v>
      </c>
      <c r="AO99" s="100">
        <v>25250.399999999998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6</v>
      </c>
      <c r="AU99" s="100">
        <v>25250.399999999998</v>
      </c>
      <c r="AV99" s="100">
        <v>5</v>
      </c>
      <c r="AW99" s="100">
        <v>21042</v>
      </c>
      <c r="AX99" s="100">
        <v>5</v>
      </c>
      <c r="AY99" s="100">
        <v>21042</v>
      </c>
      <c r="AZ99" s="100">
        <v>8</v>
      </c>
      <c r="BA99" s="100">
        <v>33667.199999999997</v>
      </c>
      <c r="BB99" s="100">
        <v>8</v>
      </c>
      <c r="BC99" s="100">
        <v>33667.199999999997</v>
      </c>
      <c r="BD99" s="100">
        <v>6</v>
      </c>
      <c r="BE99" s="100">
        <v>25250.399999999998</v>
      </c>
      <c r="BF99" s="100">
        <v>5</v>
      </c>
      <c r="BG99" s="100">
        <v>21042</v>
      </c>
      <c r="BH99" s="100">
        <v>4</v>
      </c>
      <c r="BI99" s="100">
        <v>16833.599999999999</v>
      </c>
      <c r="BJ99" s="100">
        <v>6</v>
      </c>
      <c r="BK99" s="100">
        <v>25250.399999999998</v>
      </c>
      <c r="BL99" s="100">
        <v>8</v>
      </c>
      <c r="BM99" s="100">
        <v>33667.199999999997</v>
      </c>
      <c r="BN99" s="100">
        <v>8</v>
      </c>
      <c r="BO99" s="100">
        <v>33667.199999999997</v>
      </c>
      <c r="BP99" s="100">
        <v>7</v>
      </c>
      <c r="BQ99" s="100">
        <v>29458.799999999996</v>
      </c>
      <c r="BR99" s="100">
        <v>9</v>
      </c>
      <c r="BS99" s="100">
        <v>37875.599999999999</v>
      </c>
      <c r="BT99" s="100">
        <v>5</v>
      </c>
      <c r="BU99" s="100">
        <v>21042</v>
      </c>
      <c r="BV99" s="100">
        <v>7</v>
      </c>
      <c r="BW99" s="100">
        <v>29458.799999999996</v>
      </c>
      <c r="BX99" s="100">
        <v>7</v>
      </c>
      <c r="BY99" s="100">
        <v>29458.799999999996</v>
      </c>
      <c r="BZ99" s="100">
        <v>6</v>
      </c>
      <c r="CA99" s="100">
        <v>25250.399999999998</v>
      </c>
      <c r="CB99" s="100">
        <v>6</v>
      </c>
      <c r="CC99" s="100">
        <v>25250.399999999998</v>
      </c>
      <c r="CD99" s="100">
        <v>7</v>
      </c>
      <c r="CE99" s="100">
        <v>29458.799999999996</v>
      </c>
      <c r="CF99" s="100">
        <v>8</v>
      </c>
      <c r="CG99" s="100">
        <v>33667.199999999997</v>
      </c>
      <c r="CH99" s="100">
        <v>9</v>
      </c>
      <c r="CI99" s="100">
        <v>37875.599999999999</v>
      </c>
      <c r="CJ99" s="100">
        <v>9</v>
      </c>
      <c r="CK99" s="100">
        <v>37875.599999999999</v>
      </c>
      <c r="CL99" s="100">
        <v>5</v>
      </c>
      <c r="CM99" s="100">
        <v>21042</v>
      </c>
      <c r="CN99" s="100">
        <v>7</v>
      </c>
      <c r="CO99" s="100">
        <v>29458.799999999996</v>
      </c>
      <c r="CP99" s="100">
        <v>9</v>
      </c>
      <c r="CQ99" s="100">
        <v>37875.599999999999</v>
      </c>
      <c r="CR99" s="100">
        <v>5</v>
      </c>
      <c r="CS99" s="100">
        <v>21042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11</v>
      </c>
      <c r="I100" s="100">
        <v>3564</v>
      </c>
      <c r="J100" s="100">
        <v>10</v>
      </c>
      <c r="K100" s="100">
        <v>3240</v>
      </c>
      <c r="L100" s="100">
        <v>11</v>
      </c>
      <c r="M100" s="100">
        <v>3564</v>
      </c>
      <c r="N100" s="100">
        <v>10</v>
      </c>
      <c r="O100" s="100">
        <v>3240</v>
      </c>
      <c r="P100" s="100">
        <v>11</v>
      </c>
      <c r="Q100" s="100">
        <v>3564</v>
      </c>
      <c r="R100" s="100">
        <v>7</v>
      </c>
      <c r="S100" s="100">
        <v>2268</v>
      </c>
      <c r="T100" s="100">
        <v>12</v>
      </c>
      <c r="U100" s="100">
        <v>3888</v>
      </c>
      <c r="V100" s="100">
        <v>6</v>
      </c>
      <c r="W100" s="100">
        <v>1944</v>
      </c>
      <c r="X100" s="100">
        <v>10</v>
      </c>
      <c r="Y100" s="100">
        <v>3240</v>
      </c>
      <c r="Z100" s="100">
        <v>12</v>
      </c>
      <c r="AA100" s="100">
        <v>3888</v>
      </c>
      <c r="AB100" s="100">
        <v>6</v>
      </c>
      <c r="AC100" s="100">
        <v>1944</v>
      </c>
      <c r="AD100" s="100">
        <v>12</v>
      </c>
      <c r="AE100" s="100">
        <v>3888</v>
      </c>
      <c r="AF100" s="100">
        <v>9</v>
      </c>
      <c r="AG100" s="100">
        <v>2916</v>
      </c>
      <c r="AH100" s="100">
        <v>7</v>
      </c>
      <c r="AI100" s="100">
        <v>2268</v>
      </c>
      <c r="AJ100" s="100">
        <v>10</v>
      </c>
      <c r="AK100" s="100">
        <v>3240</v>
      </c>
      <c r="AL100" s="100">
        <v>10</v>
      </c>
      <c r="AM100" s="100">
        <v>3240</v>
      </c>
      <c r="AN100" s="100">
        <v>7</v>
      </c>
      <c r="AO100" s="100">
        <v>2268</v>
      </c>
      <c r="AP100" s="100">
        <v>10</v>
      </c>
      <c r="AQ100" s="100">
        <v>3240</v>
      </c>
      <c r="AR100" s="100">
        <v>7</v>
      </c>
      <c r="AS100" s="100">
        <v>2268</v>
      </c>
      <c r="AT100" s="100">
        <v>9</v>
      </c>
      <c r="AU100" s="100">
        <v>2916</v>
      </c>
      <c r="AV100" s="100">
        <v>7</v>
      </c>
      <c r="AW100" s="100">
        <v>2268</v>
      </c>
      <c r="AX100" s="100">
        <v>7</v>
      </c>
      <c r="AY100" s="100">
        <v>2268</v>
      </c>
      <c r="AZ100" s="100">
        <v>11</v>
      </c>
      <c r="BA100" s="100">
        <v>3564</v>
      </c>
      <c r="BB100" s="100">
        <v>9</v>
      </c>
      <c r="BC100" s="100">
        <v>2916</v>
      </c>
      <c r="BD100" s="100">
        <v>9</v>
      </c>
      <c r="BE100" s="100">
        <v>2916</v>
      </c>
      <c r="BF100" s="100">
        <v>8</v>
      </c>
      <c r="BG100" s="100">
        <v>2592</v>
      </c>
      <c r="BH100" s="100">
        <v>6</v>
      </c>
      <c r="BI100" s="100">
        <v>1944</v>
      </c>
      <c r="BJ100" s="100">
        <v>8</v>
      </c>
      <c r="BK100" s="100">
        <v>2592</v>
      </c>
      <c r="BL100" s="100">
        <v>9</v>
      </c>
      <c r="BM100" s="100">
        <v>2916</v>
      </c>
      <c r="BN100" s="100">
        <v>10</v>
      </c>
      <c r="BO100" s="100">
        <v>3240</v>
      </c>
      <c r="BP100" s="100">
        <v>9</v>
      </c>
      <c r="BQ100" s="100">
        <v>2916</v>
      </c>
      <c r="BR100" s="100">
        <v>12</v>
      </c>
      <c r="BS100" s="100">
        <v>3888</v>
      </c>
      <c r="BT100" s="100">
        <v>7</v>
      </c>
      <c r="BU100" s="100">
        <v>2268</v>
      </c>
      <c r="BV100" s="100">
        <v>11</v>
      </c>
      <c r="BW100" s="100">
        <v>3564</v>
      </c>
      <c r="BX100" s="100">
        <v>8</v>
      </c>
      <c r="BY100" s="100">
        <v>2592</v>
      </c>
      <c r="BZ100" s="100">
        <v>9</v>
      </c>
      <c r="CA100" s="100">
        <v>2916</v>
      </c>
      <c r="CB100" s="100">
        <v>7</v>
      </c>
      <c r="CC100" s="100">
        <v>2268</v>
      </c>
      <c r="CD100" s="100">
        <v>9</v>
      </c>
      <c r="CE100" s="100">
        <v>2916</v>
      </c>
      <c r="CF100" s="100">
        <v>12</v>
      </c>
      <c r="CG100" s="100">
        <v>3888</v>
      </c>
      <c r="CH100" s="100">
        <v>11</v>
      </c>
      <c r="CI100" s="100">
        <v>3564</v>
      </c>
      <c r="CJ100" s="100">
        <v>11</v>
      </c>
      <c r="CK100" s="100">
        <v>3564</v>
      </c>
      <c r="CL100" s="100">
        <v>6</v>
      </c>
      <c r="CM100" s="100">
        <v>1944</v>
      </c>
      <c r="CN100" s="100">
        <v>11</v>
      </c>
      <c r="CO100" s="100">
        <v>3564</v>
      </c>
      <c r="CP100" s="100">
        <v>13</v>
      </c>
      <c r="CQ100" s="100">
        <v>4212</v>
      </c>
      <c r="CR100" s="100">
        <v>7</v>
      </c>
      <c r="CS100" s="100">
        <v>2268</v>
      </c>
      <c r="CT100" s="100">
        <v>8</v>
      </c>
      <c r="CU100" s="100">
        <v>2592</v>
      </c>
    </row>
    <row r="101" spans="2:99">
      <c r="C101" s="99" t="s">
        <v>267</v>
      </c>
      <c r="D101" s="100">
        <v>7</v>
      </c>
      <c r="E101" s="100">
        <v>5065.2</v>
      </c>
      <c r="F101" s="100">
        <v>8</v>
      </c>
      <c r="G101" s="100">
        <v>5788.8</v>
      </c>
      <c r="H101" s="100">
        <v>11</v>
      </c>
      <c r="I101" s="100">
        <v>7959.6</v>
      </c>
      <c r="J101" s="100">
        <v>10</v>
      </c>
      <c r="K101" s="100">
        <v>7236</v>
      </c>
      <c r="L101" s="100">
        <v>9</v>
      </c>
      <c r="M101" s="100">
        <v>6512.4000000000005</v>
      </c>
      <c r="N101" s="100">
        <v>11</v>
      </c>
      <c r="O101" s="100">
        <v>7959.6</v>
      </c>
      <c r="P101" s="100">
        <v>9</v>
      </c>
      <c r="Q101" s="100">
        <v>6512.4000000000005</v>
      </c>
      <c r="R101" s="100">
        <v>7</v>
      </c>
      <c r="S101" s="100">
        <v>5065.2</v>
      </c>
      <c r="T101" s="100">
        <v>10</v>
      </c>
      <c r="U101" s="100">
        <v>7236</v>
      </c>
      <c r="V101" s="100">
        <v>6</v>
      </c>
      <c r="W101" s="100">
        <v>4341.6000000000004</v>
      </c>
      <c r="X101" s="100">
        <v>9</v>
      </c>
      <c r="Y101" s="100">
        <v>6512.4000000000005</v>
      </c>
      <c r="Z101" s="100">
        <v>11</v>
      </c>
      <c r="AA101" s="100">
        <v>7959.6</v>
      </c>
      <c r="AB101" s="100">
        <v>6</v>
      </c>
      <c r="AC101" s="100">
        <v>4341.6000000000004</v>
      </c>
      <c r="AD101" s="100">
        <v>12</v>
      </c>
      <c r="AE101" s="100">
        <v>8683.2000000000007</v>
      </c>
      <c r="AF101" s="100">
        <v>8</v>
      </c>
      <c r="AG101" s="100">
        <v>5788.8</v>
      </c>
      <c r="AH101" s="100">
        <v>6</v>
      </c>
      <c r="AI101" s="100">
        <v>4341.6000000000004</v>
      </c>
      <c r="AJ101" s="100">
        <v>10</v>
      </c>
      <c r="AK101" s="100">
        <v>7236</v>
      </c>
      <c r="AL101" s="100">
        <v>11</v>
      </c>
      <c r="AM101" s="100">
        <v>7959.6</v>
      </c>
      <c r="AN101" s="100">
        <v>7</v>
      </c>
      <c r="AO101" s="100">
        <v>5065.2</v>
      </c>
      <c r="AP101" s="100">
        <v>9</v>
      </c>
      <c r="AQ101" s="100">
        <v>6512.4000000000005</v>
      </c>
      <c r="AR101" s="100">
        <v>7</v>
      </c>
      <c r="AS101" s="100">
        <v>5065.2</v>
      </c>
      <c r="AT101" s="100">
        <v>9</v>
      </c>
      <c r="AU101" s="100">
        <v>6512.4000000000005</v>
      </c>
      <c r="AV101" s="100">
        <v>8</v>
      </c>
      <c r="AW101" s="100">
        <v>5788.8</v>
      </c>
      <c r="AX101" s="100">
        <v>7</v>
      </c>
      <c r="AY101" s="100">
        <v>5065.2</v>
      </c>
      <c r="AZ101" s="100">
        <v>11</v>
      </c>
      <c r="BA101" s="100">
        <v>7959.6</v>
      </c>
      <c r="BB101" s="100">
        <v>10</v>
      </c>
      <c r="BC101" s="100">
        <v>7236</v>
      </c>
      <c r="BD101" s="100">
        <v>8</v>
      </c>
      <c r="BE101" s="100">
        <v>5788.8</v>
      </c>
      <c r="BF101" s="100">
        <v>7</v>
      </c>
      <c r="BG101" s="100">
        <v>5065.2</v>
      </c>
      <c r="BH101" s="100">
        <v>7</v>
      </c>
      <c r="BI101" s="100">
        <v>5065.2</v>
      </c>
      <c r="BJ101" s="100">
        <v>9</v>
      </c>
      <c r="BK101" s="100">
        <v>6512.4000000000005</v>
      </c>
      <c r="BL101" s="100">
        <v>10</v>
      </c>
      <c r="BM101" s="100">
        <v>7236</v>
      </c>
      <c r="BN101" s="100">
        <v>11</v>
      </c>
      <c r="BO101" s="100">
        <v>7959.6</v>
      </c>
      <c r="BP101" s="100">
        <v>9</v>
      </c>
      <c r="BQ101" s="100">
        <v>6512.4000000000005</v>
      </c>
      <c r="BR101" s="100">
        <v>10</v>
      </c>
      <c r="BS101" s="100">
        <v>7236</v>
      </c>
      <c r="BT101" s="100">
        <v>8</v>
      </c>
      <c r="BU101" s="100">
        <v>5788.8</v>
      </c>
      <c r="BV101" s="100">
        <v>11</v>
      </c>
      <c r="BW101" s="100">
        <v>7959.6</v>
      </c>
      <c r="BX101" s="100">
        <v>9</v>
      </c>
      <c r="BY101" s="100">
        <v>6512.4000000000005</v>
      </c>
      <c r="BZ101" s="100">
        <v>7</v>
      </c>
      <c r="CA101" s="100">
        <v>5065.2</v>
      </c>
      <c r="CB101" s="100">
        <v>8</v>
      </c>
      <c r="CC101" s="100">
        <v>5788.8</v>
      </c>
      <c r="CD101" s="100">
        <v>8</v>
      </c>
      <c r="CE101" s="100">
        <v>5788.8</v>
      </c>
      <c r="CF101" s="100">
        <v>10</v>
      </c>
      <c r="CG101" s="100">
        <v>7236</v>
      </c>
      <c r="CH101" s="100">
        <v>11</v>
      </c>
      <c r="CI101" s="100">
        <v>7959.6</v>
      </c>
      <c r="CJ101" s="100">
        <v>11</v>
      </c>
      <c r="CK101" s="100">
        <v>7959.6</v>
      </c>
      <c r="CL101" s="100">
        <v>6</v>
      </c>
      <c r="CM101" s="100">
        <v>4341.6000000000004</v>
      </c>
      <c r="CN101" s="100">
        <v>10</v>
      </c>
      <c r="CO101" s="100">
        <v>7236</v>
      </c>
      <c r="CP101" s="100">
        <v>12</v>
      </c>
      <c r="CQ101" s="100">
        <v>8683.2000000000007</v>
      </c>
      <c r="CR101" s="100">
        <v>6</v>
      </c>
      <c r="CS101" s="100">
        <v>4341.6000000000004</v>
      </c>
      <c r="CT101" s="100">
        <v>8</v>
      </c>
      <c r="CU101" s="100">
        <v>5788.8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9</v>
      </c>
      <c r="I102" s="100">
        <v>4784.4000000000005</v>
      </c>
      <c r="J102" s="100">
        <v>10</v>
      </c>
      <c r="K102" s="100">
        <v>5316</v>
      </c>
      <c r="L102" s="100">
        <v>10</v>
      </c>
      <c r="M102" s="100">
        <v>5316</v>
      </c>
      <c r="N102" s="100">
        <v>11</v>
      </c>
      <c r="O102" s="100">
        <v>5847.6</v>
      </c>
      <c r="P102" s="100">
        <v>9</v>
      </c>
      <c r="Q102" s="100">
        <v>4784.4000000000005</v>
      </c>
      <c r="R102" s="100">
        <v>7</v>
      </c>
      <c r="S102" s="100">
        <v>3721.2000000000003</v>
      </c>
      <c r="T102" s="100">
        <v>11</v>
      </c>
      <c r="U102" s="100">
        <v>5847.6</v>
      </c>
      <c r="V102" s="100">
        <v>6</v>
      </c>
      <c r="W102" s="100">
        <v>3189.6000000000004</v>
      </c>
      <c r="X102" s="100">
        <v>9</v>
      </c>
      <c r="Y102" s="100">
        <v>4784.4000000000005</v>
      </c>
      <c r="Z102" s="100">
        <v>11</v>
      </c>
      <c r="AA102" s="100">
        <v>5847.6</v>
      </c>
      <c r="AB102" s="100">
        <v>6</v>
      </c>
      <c r="AC102" s="100">
        <v>3189.6000000000004</v>
      </c>
      <c r="AD102" s="100">
        <v>11</v>
      </c>
      <c r="AE102" s="100">
        <v>5847.6</v>
      </c>
      <c r="AF102" s="100">
        <v>9</v>
      </c>
      <c r="AG102" s="100">
        <v>4784.4000000000005</v>
      </c>
      <c r="AH102" s="100">
        <v>7</v>
      </c>
      <c r="AI102" s="100">
        <v>3721.2000000000003</v>
      </c>
      <c r="AJ102" s="100">
        <v>11</v>
      </c>
      <c r="AK102" s="100">
        <v>5847.6</v>
      </c>
      <c r="AL102" s="100">
        <v>11</v>
      </c>
      <c r="AM102" s="100">
        <v>5847.6</v>
      </c>
      <c r="AN102" s="100">
        <v>8</v>
      </c>
      <c r="AO102" s="100">
        <v>4252.8</v>
      </c>
      <c r="AP102" s="100">
        <v>10</v>
      </c>
      <c r="AQ102" s="100">
        <v>5316</v>
      </c>
      <c r="AR102" s="100">
        <v>7</v>
      </c>
      <c r="AS102" s="100">
        <v>3721.2000000000003</v>
      </c>
      <c r="AT102" s="100">
        <v>9</v>
      </c>
      <c r="AU102" s="100">
        <v>4784.4000000000005</v>
      </c>
      <c r="AV102" s="100">
        <v>7</v>
      </c>
      <c r="AW102" s="100">
        <v>3721.2000000000003</v>
      </c>
      <c r="AX102" s="100">
        <v>7</v>
      </c>
      <c r="AY102" s="100">
        <v>3721.2000000000003</v>
      </c>
      <c r="AZ102" s="100">
        <v>11</v>
      </c>
      <c r="BA102" s="100">
        <v>5847.6</v>
      </c>
      <c r="BB102" s="100">
        <v>9</v>
      </c>
      <c r="BC102" s="100">
        <v>4784.4000000000005</v>
      </c>
      <c r="BD102" s="100">
        <v>8</v>
      </c>
      <c r="BE102" s="100">
        <v>4252.8</v>
      </c>
      <c r="BF102" s="100">
        <v>7</v>
      </c>
      <c r="BG102" s="100">
        <v>3721.2000000000003</v>
      </c>
      <c r="BH102" s="100">
        <v>7</v>
      </c>
      <c r="BI102" s="100">
        <v>3721.2000000000003</v>
      </c>
      <c r="BJ102" s="100">
        <v>9</v>
      </c>
      <c r="BK102" s="100">
        <v>4784.4000000000005</v>
      </c>
      <c r="BL102" s="100">
        <v>10</v>
      </c>
      <c r="BM102" s="100">
        <v>5316</v>
      </c>
      <c r="BN102" s="100">
        <v>10</v>
      </c>
      <c r="BO102" s="100">
        <v>5316</v>
      </c>
      <c r="BP102" s="100">
        <v>9</v>
      </c>
      <c r="BQ102" s="100">
        <v>4784.4000000000005</v>
      </c>
      <c r="BR102" s="100">
        <v>12</v>
      </c>
      <c r="BS102" s="100">
        <v>6379.2000000000007</v>
      </c>
      <c r="BT102" s="100">
        <v>8</v>
      </c>
      <c r="BU102" s="100">
        <v>4252.8</v>
      </c>
      <c r="BV102" s="100">
        <v>10</v>
      </c>
      <c r="BW102" s="100">
        <v>5316</v>
      </c>
      <c r="BX102" s="100">
        <v>7</v>
      </c>
      <c r="BY102" s="100">
        <v>3721.2000000000003</v>
      </c>
      <c r="BZ102" s="100">
        <v>9</v>
      </c>
      <c r="CA102" s="100">
        <v>4784.4000000000005</v>
      </c>
      <c r="CB102" s="100">
        <v>8</v>
      </c>
      <c r="CC102" s="100">
        <v>4252.8</v>
      </c>
      <c r="CD102" s="100">
        <v>9</v>
      </c>
      <c r="CE102" s="100">
        <v>4784.4000000000005</v>
      </c>
      <c r="CF102" s="100">
        <v>10</v>
      </c>
      <c r="CG102" s="100">
        <v>5316</v>
      </c>
      <c r="CH102" s="100">
        <v>11</v>
      </c>
      <c r="CI102" s="100">
        <v>5847.6</v>
      </c>
      <c r="CJ102" s="100">
        <v>12</v>
      </c>
      <c r="CK102" s="100">
        <v>6379.2000000000007</v>
      </c>
      <c r="CL102" s="100">
        <v>6</v>
      </c>
      <c r="CM102" s="100">
        <v>3189.6000000000004</v>
      </c>
      <c r="CN102" s="100">
        <v>11</v>
      </c>
      <c r="CO102" s="100">
        <v>5847.6</v>
      </c>
      <c r="CP102" s="100">
        <v>11</v>
      </c>
      <c r="CQ102" s="100">
        <v>5847.6</v>
      </c>
      <c r="CR102" s="100">
        <v>6</v>
      </c>
      <c r="CS102" s="100">
        <v>3189.6000000000004</v>
      </c>
      <c r="CT102" s="100">
        <v>8</v>
      </c>
      <c r="CU102" s="100">
        <v>4252.8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7</v>
      </c>
      <c r="G103" s="100">
        <v>4124.3999999999996</v>
      </c>
      <c r="H103" s="100">
        <v>11</v>
      </c>
      <c r="I103" s="100">
        <v>6481.1999999999989</v>
      </c>
      <c r="J103" s="100">
        <v>10</v>
      </c>
      <c r="K103" s="100">
        <v>5891.9999999999991</v>
      </c>
      <c r="L103" s="100">
        <v>10</v>
      </c>
      <c r="M103" s="100">
        <v>5891.9999999999991</v>
      </c>
      <c r="N103" s="100">
        <v>11</v>
      </c>
      <c r="O103" s="100">
        <v>6481.1999999999989</v>
      </c>
      <c r="P103" s="100">
        <v>10</v>
      </c>
      <c r="Q103" s="100">
        <v>5891.9999999999991</v>
      </c>
      <c r="R103" s="100">
        <v>7</v>
      </c>
      <c r="S103" s="100">
        <v>4124.3999999999996</v>
      </c>
      <c r="T103" s="100">
        <v>11</v>
      </c>
      <c r="U103" s="100">
        <v>6481.1999999999989</v>
      </c>
      <c r="V103" s="100">
        <v>6</v>
      </c>
      <c r="W103" s="100">
        <v>3535.2</v>
      </c>
      <c r="X103" s="100">
        <v>10</v>
      </c>
      <c r="Y103" s="100">
        <v>5891.9999999999991</v>
      </c>
      <c r="Z103" s="100">
        <v>11</v>
      </c>
      <c r="AA103" s="100">
        <v>6481.1999999999989</v>
      </c>
      <c r="AB103" s="100">
        <v>7</v>
      </c>
      <c r="AC103" s="100">
        <v>4124.3999999999996</v>
      </c>
      <c r="AD103" s="100">
        <v>12</v>
      </c>
      <c r="AE103" s="100">
        <v>7070.4</v>
      </c>
      <c r="AF103" s="100">
        <v>9</v>
      </c>
      <c r="AG103" s="100">
        <v>5302.7999999999993</v>
      </c>
      <c r="AH103" s="100">
        <v>8</v>
      </c>
      <c r="AI103" s="100">
        <v>4713.5999999999995</v>
      </c>
      <c r="AJ103" s="100">
        <v>10</v>
      </c>
      <c r="AK103" s="100">
        <v>5891.9999999999991</v>
      </c>
      <c r="AL103" s="100">
        <v>12</v>
      </c>
      <c r="AM103" s="100">
        <v>7070.4</v>
      </c>
      <c r="AN103" s="100">
        <v>8</v>
      </c>
      <c r="AO103" s="100">
        <v>4713.5999999999995</v>
      </c>
      <c r="AP103" s="100">
        <v>9</v>
      </c>
      <c r="AQ103" s="100">
        <v>5302.7999999999993</v>
      </c>
      <c r="AR103" s="100">
        <v>7</v>
      </c>
      <c r="AS103" s="100">
        <v>4124.3999999999996</v>
      </c>
      <c r="AT103" s="100">
        <v>9</v>
      </c>
      <c r="AU103" s="100">
        <v>5302.7999999999993</v>
      </c>
      <c r="AV103" s="100">
        <v>7</v>
      </c>
      <c r="AW103" s="100">
        <v>4124.3999999999996</v>
      </c>
      <c r="AX103" s="100">
        <v>7</v>
      </c>
      <c r="AY103" s="100">
        <v>4124.3999999999996</v>
      </c>
      <c r="AZ103" s="100">
        <v>10</v>
      </c>
      <c r="BA103" s="100">
        <v>5891.9999999999991</v>
      </c>
      <c r="BB103" s="100">
        <v>11</v>
      </c>
      <c r="BC103" s="100">
        <v>6481.1999999999989</v>
      </c>
      <c r="BD103" s="100">
        <v>8</v>
      </c>
      <c r="BE103" s="100">
        <v>4713.5999999999995</v>
      </c>
      <c r="BF103" s="100">
        <v>8</v>
      </c>
      <c r="BG103" s="100">
        <v>4713.5999999999995</v>
      </c>
      <c r="BH103" s="100">
        <v>7</v>
      </c>
      <c r="BI103" s="100">
        <v>4124.3999999999996</v>
      </c>
      <c r="BJ103" s="100">
        <v>8</v>
      </c>
      <c r="BK103" s="100">
        <v>4713.5999999999995</v>
      </c>
      <c r="BL103" s="100">
        <v>9</v>
      </c>
      <c r="BM103" s="100">
        <v>5302.7999999999993</v>
      </c>
      <c r="BN103" s="100">
        <v>10</v>
      </c>
      <c r="BO103" s="100">
        <v>5891.9999999999991</v>
      </c>
      <c r="BP103" s="100">
        <v>8</v>
      </c>
      <c r="BQ103" s="100">
        <v>4713.5999999999995</v>
      </c>
      <c r="BR103" s="100">
        <v>11</v>
      </c>
      <c r="BS103" s="100">
        <v>6481.1999999999989</v>
      </c>
      <c r="BT103" s="100">
        <v>8</v>
      </c>
      <c r="BU103" s="100">
        <v>4713.5999999999995</v>
      </c>
      <c r="BV103" s="100">
        <v>11</v>
      </c>
      <c r="BW103" s="100">
        <v>6481.1999999999989</v>
      </c>
      <c r="BX103" s="100">
        <v>9</v>
      </c>
      <c r="BY103" s="100">
        <v>5302.7999999999993</v>
      </c>
      <c r="BZ103" s="100">
        <v>8</v>
      </c>
      <c r="CA103" s="100">
        <v>4713.5999999999995</v>
      </c>
      <c r="CB103" s="100">
        <v>7</v>
      </c>
      <c r="CC103" s="100">
        <v>4124.3999999999996</v>
      </c>
      <c r="CD103" s="100">
        <v>9</v>
      </c>
      <c r="CE103" s="100">
        <v>5302.7999999999993</v>
      </c>
      <c r="CF103" s="100">
        <v>11</v>
      </c>
      <c r="CG103" s="100">
        <v>6481.1999999999989</v>
      </c>
      <c r="CH103" s="100">
        <v>11</v>
      </c>
      <c r="CI103" s="100">
        <v>6481.1999999999989</v>
      </c>
      <c r="CJ103" s="100">
        <v>11</v>
      </c>
      <c r="CK103" s="100">
        <v>6481.1999999999989</v>
      </c>
      <c r="CL103" s="100">
        <v>7</v>
      </c>
      <c r="CM103" s="100">
        <v>4124.3999999999996</v>
      </c>
      <c r="CN103" s="100">
        <v>11</v>
      </c>
      <c r="CO103" s="100">
        <v>6481.1999999999989</v>
      </c>
      <c r="CP103" s="100">
        <v>11</v>
      </c>
      <c r="CQ103" s="100">
        <v>6481.1999999999989</v>
      </c>
      <c r="CR103" s="100">
        <v>7</v>
      </c>
      <c r="CS103" s="100">
        <v>4124.3999999999996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7</v>
      </c>
      <c r="E104" s="100">
        <v>4426.8</v>
      </c>
      <c r="F104" s="100">
        <v>8</v>
      </c>
      <c r="G104" s="100">
        <v>5059.2</v>
      </c>
      <c r="H104" s="100">
        <v>11</v>
      </c>
      <c r="I104" s="100">
        <v>6956.4</v>
      </c>
      <c r="J104" s="100">
        <v>10</v>
      </c>
      <c r="K104" s="100">
        <v>6324</v>
      </c>
      <c r="L104" s="100">
        <v>10</v>
      </c>
      <c r="M104" s="100">
        <v>6324</v>
      </c>
      <c r="N104" s="100">
        <v>10</v>
      </c>
      <c r="O104" s="100">
        <v>6324</v>
      </c>
      <c r="P104" s="100">
        <v>10</v>
      </c>
      <c r="Q104" s="100">
        <v>6324</v>
      </c>
      <c r="R104" s="100">
        <v>7</v>
      </c>
      <c r="S104" s="100">
        <v>4426.8</v>
      </c>
      <c r="T104" s="100">
        <v>11</v>
      </c>
      <c r="U104" s="100">
        <v>6956.4</v>
      </c>
      <c r="V104" s="100">
        <v>6</v>
      </c>
      <c r="W104" s="100">
        <v>3794.3999999999996</v>
      </c>
      <c r="X104" s="100">
        <v>11</v>
      </c>
      <c r="Y104" s="100">
        <v>6956.4</v>
      </c>
      <c r="Z104" s="100">
        <v>10</v>
      </c>
      <c r="AA104" s="100">
        <v>6324</v>
      </c>
      <c r="AB104" s="100">
        <v>7</v>
      </c>
      <c r="AC104" s="100">
        <v>4426.8</v>
      </c>
      <c r="AD104" s="100">
        <v>12</v>
      </c>
      <c r="AE104" s="100">
        <v>7588.7999999999993</v>
      </c>
      <c r="AF104" s="100">
        <v>8</v>
      </c>
      <c r="AG104" s="100">
        <v>5059.2</v>
      </c>
      <c r="AH104" s="100">
        <v>7</v>
      </c>
      <c r="AI104" s="100">
        <v>4426.8</v>
      </c>
      <c r="AJ104" s="100">
        <v>11</v>
      </c>
      <c r="AK104" s="100">
        <v>6956.4</v>
      </c>
      <c r="AL104" s="100">
        <v>12</v>
      </c>
      <c r="AM104" s="100">
        <v>7588.7999999999993</v>
      </c>
      <c r="AN104" s="100">
        <v>7</v>
      </c>
      <c r="AO104" s="100">
        <v>4426.8</v>
      </c>
      <c r="AP104" s="100">
        <v>8</v>
      </c>
      <c r="AQ104" s="100">
        <v>5059.2</v>
      </c>
      <c r="AR104" s="100">
        <v>7</v>
      </c>
      <c r="AS104" s="100">
        <v>4426.8</v>
      </c>
      <c r="AT104" s="100">
        <v>8</v>
      </c>
      <c r="AU104" s="100">
        <v>5059.2</v>
      </c>
      <c r="AV104" s="100">
        <v>8</v>
      </c>
      <c r="AW104" s="100">
        <v>5059.2</v>
      </c>
      <c r="AX104" s="100">
        <v>7</v>
      </c>
      <c r="AY104" s="100">
        <v>4426.8</v>
      </c>
      <c r="AZ104" s="100">
        <v>11</v>
      </c>
      <c r="BA104" s="100">
        <v>6956.4</v>
      </c>
      <c r="BB104" s="100">
        <v>10</v>
      </c>
      <c r="BC104" s="100">
        <v>6324</v>
      </c>
      <c r="BD104" s="100">
        <v>8</v>
      </c>
      <c r="BE104" s="100">
        <v>5059.2</v>
      </c>
      <c r="BF104" s="100">
        <v>7</v>
      </c>
      <c r="BG104" s="100">
        <v>4426.8</v>
      </c>
      <c r="BH104" s="100">
        <v>6</v>
      </c>
      <c r="BI104" s="100">
        <v>3794.3999999999996</v>
      </c>
      <c r="BJ104" s="100">
        <v>8</v>
      </c>
      <c r="BK104" s="100">
        <v>5059.2</v>
      </c>
      <c r="BL104" s="100">
        <v>10</v>
      </c>
      <c r="BM104" s="100">
        <v>6324</v>
      </c>
      <c r="BN104" s="100">
        <v>10</v>
      </c>
      <c r="BO104" s="100">
        <v>6324</v>
      </c>
      <c r="BP104" s="100">
        <v>9</v>
      </c>
      <c r="BQ104" s="100">
        <v>5691.5999999999995</v>
      </c>
      <c r="BR104" s="100">
        <v>11</v>
      </c>
      <c r="BS104" s="100">
        <v>6956.4</v>
      </c>
      <c r="BT104" s="100">
        <v>7</v>
      </c>
      <c r="BU104" s="100">
        <v>4426.8</v>
      </c>
      <c r="BV104" s="100">
        <v>10</v>
      </c>
      <c r="BW104" s="100">
        <v>6324</v>
      </c>
      <c r="BX104" s="100">
        <v>8</v>
      </c>
      <c r="BY104" s="100">
        <v>5059.2</v>
      </c>
      <c r="BZ104" s="100">
        <v>8</v>
      </c>
      <c r="CA104" s="100">
        <v>5059.2</v>
      </c>
      <c r="CB104" s="100">
        <v>7</v>
      </c>
      <c r="CC104" s="100">
        <v>4426.8</v>
      </c>
      <c r="CD104" s="100">
        <v>10</v>
      </c>
      <c r="CE104" s="100">
        <v>6324</v>
      </c>
      <c r="CF104" s="100">
        <v>10</v>
      </c>
      <c r="CG104" s="100">
        <v>6324</v>
      </c>
      <c r="CH104" s="100">
        <v>12</v>
      </c>
      <c r="CI104" s="100">
        <v>7588.7999999999993</v>
      </c>
      <c r="CJ104" s="100">
        <v>11</v>
      </c>
      <c r="CK104" s="100">
        <v>6956.4</v>
      </c>
      <c r="CL104" s="100">
        <v>7</v>
      </c>
      <c r="CM104" s="100">
        <v>4426.8</v>
      </c>
      <c r="CN104" s="100">
        <v>10</v>
      </c>
      <c r="CO104" s="100">
        <v>6324</v>
      </c>
      <c r="CP104" s="100">
        <v>11</v>
      </c>
      <c r="CQ104" s="100">
        <v>6956.4</v>
      </c>
      <c r="CR104" s="100">
        <v>7</v>
      </c>
      <c r="CS104" s="100">
        <v>4426.8</v>
      </c>
      <c r="CT104" s="100">
        <v>7</v>
      </c>
      <c r="CU104" s="100">
        <v>4426.8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11</v>
      </c>
      <c r="I105" s="100">
        <v>6124.7999999999993</v>
      </c>
      <c r="J105" s="100">
        <v>10</v>
      </c>
      <c r="K105" s="100">
        <v>5568</v>
      </c>
      <c r="L105" s="100">
        <v>10</v>
      </c>
      <c r="M105" s="100">
        <v>5568</v>
      </c>
      <c r="N105" s="100">
        <v>9</v>
      </c>
      <c r="O105" s="100">
        <v>5011.2</v>
      </c>
      <c r="P105" s="100">
        <v>10</v>
      </c>
      <c r="Q105" s="100">
        <v>5568</v>
      </c>
      <c r="R105" s="100">
        <v>7</v>
      </c>
      <c r="S105" s="100">
        <v>3897.5999999999995</v>
      </c>
      <c r="T105" s="100">
        <v>10</v>
      </c>
      <c r="U105" s="100">
        <v>5568</v>
      </c>
      <c r="V105" s="100">
        <v>6</v>
      </c>
      <c r="W105" s="100">
        <v>3340.7999999999997</v>
      </c>
      <c r="X105" s="100">
        <v>10</v>
      </c>
      <c r="Y105" s="100">
        <v>5568</v>
      </c>
      <c r="Z105" s="100">
        <v>10</v>
      </c>
      <c r="AA105" s="100">
        <v>5568</v>
      </c>
      <c r="AB105" s="100">
        <v>7</v>
      </c>
      <c r="AC105" s="100">
        <v>3897.5999999999995</v>
      </c>
      <c r="AD105" s="100">
        <v>11</v>
      </c>
      <c r="AE105" s="100">
        <v>6124.7999999999993</v>
      </c>
      <c r="AF105" s="100">
        <v>8</v>
      </c>
      <c r="AG105" s="100">
        <v>4454.3999999999996</v>
      </c>
      <c r="AH105" s="100">
        <v>7</v>
      </c>
      <c r="AI105" s="100">
        <v>3897.5999999999995</v>
      </c>
      <c r="AJ105" s="100">
        <v>11</v>
      </c>
      <c r="AK105" s="100">
        <v>6124.7999999999993</v>
      </c>
      <c r="AL105" s="100">
        <v>12</v>
      </c>
      <c r="AM105" s="100">
        <v>6681.5999999999995</v>
      </c>
      <c r="AN105" s="100">
        <v>7</v>
      </c>
      <c r="AO105" s="100">
        <v>3897.5999999999995</v>
      </c>
      <c r="AP105" s="100">
        <v>9</v>
      </c>
      <c r="AQ105" s="100">
        <v>5011.2</v>
      </c>
      <c r="AR105" s="100">
        <v>7</v>
      </c>
      <c r="AS105" s="100">
        <v>3897.5999999999995</v>
      </c>
      <c r="AT105" s="100">
        <v>9</v>
      </c>
      <c r="AU105" s="100">
        <v>5011.2</v>
      </c>
      <c r="AV105" s="100">
        <v>7</v>
      </c>
      <c r="AW105" s="100">
        <v>3897.5999999999995</v>
      </c>
      <c r="AX105" s="100">
        <v>7</v>
      </c>
      <c r="AY105" s="100">
        <v>3897.5999999999995</v>
      </c>
      <c r="AZ105" s="100">
        <v>10</v>
      </c>
      <c r="BA105" s="100">
        <v>5568</v>
      </c>
      <c r="BB105" s="100">
        <v>11</v>
      </c>
      <c r="BC105" s="100">
        <v>6124.7999999999993</v>
      </c>
      <c r="BD105" s="100">
        <v>8</v>
      </c>
      <c r="BE105" s="100">
        <v>4454.3999999999996</v>
      </c>
      <c r="BF105" s="100">
        <v>8</v>
      </c>
      <c r="BG105" s="100">
        <v>4454.3999999999996</v>
      </c>
      <c r="BH105" s="100">
        <v>7</v>
      </c>
      <c r="BI105" s="100">
        <v>3897.5999999999995</v>
      </c>
      <c r="BJ105" s="100">
        <v>8</v>
      </c>
      <c r="BK105" s="100">
        <v>4454.3999999999996</v>
      </c>
      <c r="BL105" s="100">
        <v>9</v>
      </c>
      <c r="BM105" s="100">
        <v>5011.2</v>
      </c>
      <c r="BN105" s="100">
        <v>11</v>
      </c>
      <c r="BO105" s="100">
        <v>6124.7999999999993</v>
      </c>
      <c r="BP105" s="100">
        <v>8</v>
      </c>
      <c r="BQ105" s="100">
        <v>4454.3999999999996</v>
      </c>
      <c r="BR105" s="100">
        <v>10</v>
      </c>
      <c r="BS105" s="100">
        <v>5568</v>
      </c>
      <c r="BT105" s="100">
        <v>8</v>
      </c>
      <c r="BU105" s="100">
        <v>4454.3999999999996</v>
      </c>
      <c r="BV105" s="100">
        <v>11</v>
      </c>
      <c r="BW105" s="100">
        <v>6124.7999999999993</v>
      </c>
      <c r="BX105" s="100">
        <v>8</v>
      </c>
      <c r="BY105" s="100">
        <v>4454.3999999999996</v>
      </c>
      <c r="BZ105" s="100">
        <v>8</v>
      </c>
      <c r="CA105" s="100">
        <v>4454.3999999999996</v>
      </c>
      <c r="CB105" s="100">
        <v>7</v>
      </c>
      <c r="CC105" s="100">
        <v>3897.5999999999995</v>
      </c>
      <c r="CD105" s="100">
        <v>10</v>
      </c>
      <c r="CE105" s="100">
        <v>5568</v>
      </c>
      <c r="CF105" s="100">
        <v>10</v>
      </c>
      <c r="CG105" s="100">
        <v>5568</v>
      </c>
      <c r="CH105" s="100">
        <v>12</v>
      </c>
      <c r="CI105" s="100">
        <v>6681.5999999999995</v>
      </c>
      <c r="CJ105" s="100">
        <v>11</v>
      </c>
      <c r="CK105" s="100">
        <v>6124.7999999999993</v>
      </c>
      <c r="CL105" s="100">
        <v>6</v>
      </c>
      <c r="CM105" s="100">
        <v>3340.7999999999997</v>
      </c>
      <c r="CN105" s="100">
        <v>11</v>
      </c>
      <c r="CO105" s="100">
        <v>6124.7999999999993</v>
      </c>
      <c r="CP105" s="100">
        <v>13</v>
      </c>
      <c r="CQ105" s="100">
        <v>7238.4</v>
      </c>
      <c r="CR105" s="100">
        <v>7</v>
      </c>
      <c r="CS105" s="100">
        <v>3897.5999999999995</v>
      </c>
      <c r="CT105" s="100">
        <v>7</v>
      </c>
      <c r="CU105" s="100">
        <v>3897.5999999999995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997.85199316701301</v>
      </c>
      <c r="E109" s="100">
        <f>SUM(L$6:L$19)+SUM(N$6:N$19)+SUM(P$6:P$19)+SUM(R$6:R$19)</f>
        <v>1110.8348594328736</v>
      </c>
      <c r="F109" s="100">
        <f>SUM(T$6:T$19)+SUM(V$6:V$19)+SUM(X$6:X$19)+SUM(Z$6:Z$19)</f>
        <v>1155</v>
      </c>
      <c r="G109" s="100">
        <f>SUM(AB$6:AB$19)+SUM(AD$6:AD$19)+SUM(AF$6:AF$19)+SUM(AH$6:AH$19)</f>
        <v>1312</v>
      </c>
      <c r="H109" s="100">
        <f>SUM(AJ$6:AJ$19)+SUM(AL$6:AL$19)+SUM(AN$6:AN$19)+SUM(AP$6:AP$19)</f>
        <v>162.94034804170036</v>
      </c>
      <c r="I109" s="100">
        <f>SUM(AR$6:AR$19)+SUM(AT$6:AT$19)+SUM(AV$6:AV$19)+SUM(AX$6:AX$19)</f>
        <v>1155</v>
      </c>
      <c r="J109" s="100">
        <f>SUM(AZ$6:AZ$19)+SUM(BB$6:BB$19)+SUM(BD$6:BD$19)+SUM(BF$6:BF$19)</f>
        <v>1369</v>
      </c>
      <c r="K109" s="100">
        <f>SUM(BH$6:BH$19)+SUM(BJ$6:BJ$19)+SUM(BL$6:BL$19)+SUM(BN$6:BN$19)</f>
        <v>1195</v>
      </c>
      <c r="L109" s="100">
        <f>SUM(BP$6:BP$19)+SUM(BR$6:BR$19)+SUM(BT$6:BT$19)+SUM(BV$6:BV$19)</f>
        <v>1395</v>
      </c>
      <c r="M109" s="100">
        <f>SUM(BX$6:BX$19)+SUM(BZ$6:BZ$19)+SUM(CB$6:CB$19)+SUM(CD$6:CD$19)</f>
        <v>786.9493973979404</v>
      </c>
      <c r="N109" s="100">
        <f>SUM(CF$6:CF$19)+SUM(CH$6:CH$19)+SUM(CJ$6:CJ$19)+SUM(CL$6:CL$19)</f>
        <v>1027.7109729792185</v>
      </c>
      <c r="O109" s="100">
        <f>SUM(CN$6:CN$19)+SUM(CP$6:CP$19)+SUM(CR$6:CR$19)+SUM(CT$6:CT$19)</f>
        <v>1237.6251271401754</v>
      </c>
    </row>
    <row r="110" spans="2:99">
      <c r="C110" s="99" t="s">
        <v>127</v>
      </c>
      <c r="D110" s="100">
        <f>SUM(D$20:D$36)+SUM(F$20:F$36)+SUM(H$20:H$36)+SUM(J$20:J$36)</f>
        <v>1404.0394418677224</v>
      </c>
      <c r="E110" s="100">
        <f>SUM(L$20:L$36)+SUM(N$20:N$36)+SUM(P$20:P$36)+SUM(R$20:R$36)</f>
        <v>1539.5243195949893</v>
      </c>
      <c r="F110" s="100">
        <f>SUM(T$20:T$36)+SUM(V$20:V$36)+SUM(X$20:X$36)+SUM(Z$20:Z$36)</f>
        <v>1457</v>
      </c>
      <c r="G110" s="100">
        <f>SUM(AB$20:AB$36)+SUM(AD$20:AD$36)+SUM(AF$20:AF$36)+SUM(AH$20:AH$36)</f>
        <v>1617</v>
      </c>
      <c r="H110" s="100">
        <f>SUM(AJ$20:AJ$36)+SUM(AL$20:AL$36)+SUM(AN$20:AN$36)+SUM(AP$20:AP$36)</f>
        <v>135.57660256631269</v>
      </c>
      <c r="I110" s="100">
        <f>SUM(AR$20:AR$36)+SUM(AT$20:AT$36)+SUM(AV$20:AV$36)+SUM(AX$20:AX$36)</f>
        <v>1415</v>
      </c>
      <c r="J110" s="100">
        <f>SUM(AZ$20:AZ$36)+SUM(BB$20:BB$36)+SUM(BD$20:BD$36)+SUM(BF$20:BF$36)</f>
        <v>1448</v>
      </c>
      <c r="K110" s="100">
        <f>SUM(BH$20:BH$36)+SUM(BJ$20:BJ$36)+SUM(BL$20:BL$36)+SUM(BN$20:BN$36)</f>
        <v>1656</v>
      </c>
      <c r="L110" s="100">
        <f>SUM(BP$20:BP$36)+SUM(BR$20:BR$36)+SUM(BT$20:BT$36)+SUM(BV$20:BV$36)</f>
        <v>1801</v>
      </c>
      <c r="M110" s="100">
        <f>SUM(BX$20:BX$36)+SUM(BZ$20:BZ$36)+SUM(CB$20:CB$36)+SUM(CD$20:CD$36)</f>
        <v>1198.8185739637038</v>
      </c>
      <c r="N110" s="100">
        <f>SUM(CF$20:CF$36)+SUM(CH$20:CH$36)+SUM(CJ$20:CJ$36)+SUM(CL$20:CL$36)</f>
        <v>1561.3497067082915</v>
      </c>
      <c r="O110" s="100">
        <f>SUM(CN$20:CN$36)+SUM(CP$20:CP$36)+SUM(CR$20:CR$36)+SUM(CT$20:CT$36)</f>
        <v>1577.7925751457146</v>
      </c>
    </row>
    <row r="111" spans="2:99">
      <c r="C111" s="99" t="s">
        <v>128</v>
      </c>
      <c r="D111" s="100">
        <f>SUM(D$37:D$48)+SUM(F$37:F$48)+SUM(H$37:H$48)+SUM(J$37:J$48)</f>
        <v>678.45708644788454</v>
      </c>
      <c r="E111" s="100">
        <f>SUM(L$37:L$48)+SUM(N$37:N$48)+SUM(P$37:P$48)+SUM(R$37:R$48)</f>
        <v>640.79754686836748</v>
      </c>
      <c r="F111" s="100">
        <f>SUM(T$37:T$48)+SUM(V$37:V$48)+SUM(X$37:X$48)+SUM(Z$37:Z$48)</f>
        <v>579</v>
      </c>
      <c r="G111" s="100">
        <f>SUM(AB$37:AB$48)+SUM(AD$37:AD$48)+SUM(AF$37:AF$48)+SUM(AH$37:AH$48)</f>
        <v>704</v>
      </c>
      <c r="H111" s="100">
        <f>SUM(AJ$37:AJ$48)+SUM(AL$37:AL$48)+SUM(AN$37:AN$48)+SUM(AP$37:AP$48)</f>
        <v>95.824733536562931</v>
      </c>
      <c r="I111" s="100">
        <f>SUM(AR$37:AR$48)+SUM(AT$37:AT$48)+SUM(AV$37:AV$48)+SUM(AX$37:AX$48)</f>
        <v>714</v>
      </c>
      <c r="J111" s="100">
        <f>SUM(AZ$37:AZ$48)+SUM(BB$37:BB$48)+SUM(BD$37:BD$48)+SUM(BF$37:BF$48)</f>
        <v>608</v>
      </c>
      <c r="K111" s="100">
        <f>SUM(BH$37:BH$48)+SUM(BJ$37:BJ$48)+SUM(BL$37:BL$48)+SUM(BN$37:BN$48)</f>
        <v>675</v>
      </c>
      <c r="L111" s="100">
        <f>SUM(BP$37:BP$48)+SUM(BR$37:BR$48)+SUM(BT$37:BT$48)+SUM(BV$37:BV$48)</f>
        <v>740</v>
      </c>
      <c r="M111" s="100">
        <f>SUM(BX$37:BX$48)+SUM(BZ$37:BZ$48)+SUM(CB$37:CB$48)+SUM(CD$37:CD$48)</f>
        <v>457.4773664453142</v>
      </c>
      <c r="N111" s="100">
        <f>SUM(CF$37:CF$48)+SUM(CH$37:CH$48)+SUM(CJ$37:CJ$48)+SUM(CL$37:CL$48)</f>
        <v>766.62724392705945</v>
      </c>
      <c r="O111" s="100">
        <f>SUM(CN$37:CN$48)+SUM(CP$37:CP$48)+SUM(CR$37:CR$48)+SUM(CT$37:CT$48)</f>
        <v>668.36165614459458</v>
      </c>
    </row>
    <row r="112" spans="2:99">
      <c r="C112" s="99" t="s">
        <v>129</v>
      </c>
      <c r="D112" s="100">
        <f>SUM(D$49:D$70)+SUM(F$49:F$70)+SUM(H$49:H$70)+SUM(J$49:J$70)</f>
        <v>1200.8501741381303</v>
      </c>
      <c r="E112" s="100">
        <f>SUM(L$49:L$70)+SUM(N$49:N$70)+SUM(P$49:P$70)+SUM(R$49:R$70)</f>
        <v>1109.0128961971413</v>
      </c>
      <c r="F112" s="100">
        <f>SUM(T$49:T$70)+SUM(V$49:V$70)+SUM(X$49:X$70)+SUM(Z$49:Z$70)</f>
        <v>1095</v>
      </c>
      <c r="G112" s="100">
        <f>SUM(AB$49:AB$70)+SUM(AD$49:AD$70)+SUM(AF$49:AF$70)+SUM(AH$49:AH$70)</f>
        <v>1182</v>
      </c>
      <c r="H112" s="100">
        <f>SUM(AJ$49:AJ$70)+SUM(AL$49:AL$70)+SUM(AN$49:AN$70)+SUM(AP$49:AP$70)</f>
        <v>327.73445525535374</v>
      </c>
      <c r="I112" s="100">
        <f>SUM(AR$49:AR$70)+SUM(AT$49:AT$70)+SUM(AV$49:AV$70)+SUM(AX$49:AX$70)</f>
        <v>1101</v>
      </c>
      <c r="J112" s="100">
        <f>SUM(AZ$49:AZ$70)+SUM(BB$49:BB$70)+SUM(BD$49:BD$70)+SUM(BF$49:BF$70)</f>
        <v>1346</v>
      </c>
      <c r="K112" s="100">
        <f>SUM(BH$49:BH$70)+SUM(BJ$49:BJ$70)+SUM(BL$49:BL$70)+SUM(BN$49:BN$70)</f>
        <v>952</v>
      </c>
      <c r="L112" s="100">
        <f>SUM(BP$49:BP$70)+SUM(BR$49:BR$70)+SUM(BT$49:BT$70)+SUM(BV$49:BV$70)</f>
        <v>978</v>
      </c>
      <c r="M112" s="100">
        <f>SUM(BX$49:BX$70)+SUM(BZ$49:BZ$70)+SUM(CB$49:CB$70)+SUM(CD$49:CD$70)</f>
        <v>836.78409865202639</v>
      </c>
      <c r="N112" s="100">
        <f>SUM(CF$49:CF$70)+SUM(CH$49:CH$70)+SUM(CJ$49:CJ$70)+SUM(CL$49:CL$70)</f>
        <v>1037.4816984788024</v>
      </c>
      <c r="O112" s="100">
        <f>SUM(CN$49:CN$70)+SUM(CP$49:CP$70)+SUM(CR$49:CR$70)+SUM(CT$49:CT$70)</f>
        <v>876.39026366288704</v>
      </c>
    </row>
    <row r="113" spans="2:15">
      <c r="C113" s="99" t="s">
        <v>130</v>
      </c>
      <c r="D113" s="100">
        <f>SUM(D$71:D$86)+SUM(F$71:F$86)+SUM(H$71:H$86)+SUM(J$71:J$86)</f>
        <v>410</v>
      </c>
      <c r="E113" s="100">
        <f>SUM(L$71:L$86)+SUM(N$71:N$86)+SUM(P$71:P$86)+SUM(R$71:R$86)</f>
        <v>465</v>
      </c>
      <c r="F113" s="100">
        <f>SUM(T$71:T$86)+SUM(V$71:V$86)+SUM(X$71:X$86)+SUM(Z$71:Z$86)</f>
        <v>442</v>
      </c>
      <c r="G113" s="100">
        <f>SUM(AB$71:AB$86)+SUM(AD$71:AD$86)+SUM(AF$71:AF$86)+SUM(AH$71:AH$86)</f>
        <v>468</v>
      </c>
      <c r="H113" s="100">
        <f>SUM(AJ$71:AJ$86)+SUM(AL$71:AL$86)+SUM(AN$71:AN$86)+SUM(AP$71:AP$86)</f>
        <v>374</v>
      </c>
      <c r="I113" s="100">
        <f>SUM(AR$71:AR$86)+SUM(AT$71:AT$86)+SUM(AV$71:AV$86)+SUM(AX$71:AX$86)</f>
        <v>584</v>
      </c>
      <c r="J113" s="100">
        <f>SUM(AZ$71:AZ$86)+SUM(BB$71:BB$86)+SUM(BD$71:BD$86)+SUM(BF$71:BF$86)</f>
        <v>478</v>
      </c>
      <c r="K113" s="100">
        <f>SUM(BH$71:BH$86)+SUM(BJ$71:BJ$86)+SUM(BL$71:BL$86)+SUM(BN$71:BN$86)</f>
        <v>581</v>
      </c>
      <c r="L113" s="100">
        <f>SUM(BP$71:BP$86)+SUM(BR$71:BR$86)+SUM(BT$71:BT$86)+SUM(BV$71:BV$86)</f>
        <v>524</v>
      </c>
      <c r="M113" s="100">
        <f>SUM(BX$71:BX$86)+SUM(BZ$71:BZ$86)+SUM(CB$71:CB$86)+SUM(CD$71:CD$86)</f>
        <v>533</v>
      </c>
      <c r="N113" s="100">
        <f>SUM(CF$71:CF$86)+SUM(CH$71:CH$86)+SUM(CJ$71:CJ$86)+SUM(CL$71:CL$86)</f>
        <v>431</v>
      </c>
      <c r="O113" s="100">
        <f>SUM(CN$71:CN$86)+SUM(CP$71:CP$86)+SUM(CR$71:CR$86)+SUM(CT$71:CT$86)</f>
        <v>526</v>
      </c>
    </row>
    <row r="114" spans="2:15">
      <c r="C114" s="99" t="s">
        <v>131</v>
      </c>
      <c r="D114" s="100">
        <f>SUM(D$87:D$94)+SUM(F$87:F$94)+SUM(H$87:H$94)+SUM(J$87:J$94)</f>
        <v>254</v>
      </c>
      <c r="E114" s="100">
        <f>SUM(L$87:L$94)+SUM(N$87:N$94)+SUM(P$87:P$94)+SUM(R$87:R$94)</f>
        <v>218</v>
      </c>
      <c r="F114" s="100">
        <f>SUM(T$87:T$94)+SUM(V$87:V$94)+SUM(X$87:X$94)+SUM(Z$87:Z$94)</f>
        <v>254</v>
      </c>
      <c r="G114" s="100">
        <f>SUM(AB$87:AB$94)+SUM(AD$87:AD$94)+SUM(AF$87:AF$94)+SUM(AH$87:AH$94)</f>
        <v>249</v>
      </c>
      <c r="H114" s="100">
        <f>SUM(AJ$87:AJ$94)+SUM(AL$87:AL$94)+SUM(AN$87:AN$94)+SUM(AP$87:AP$94)</f>
        <v>341</v>
      </c>
      <c r="I114" s="100">
        <f>SUM(AR$87:AR$94)+SUM(AT$87:AT$94)+SUM(AV$87:AV$94)+SUM(AX$87:AX$94)</f>
        <v>292</v>
      </c>
      <c r="J114" s="100">
        <f>SUM(AZ$87:AZ$94)+SUM(BB$87:BB$94)+SUM(BD$87:BD$94)+SUM(BF$87:BF$94)</f>
        <v>300</v>
      </c>
      <c r="K114" s="100">
        <f>SUM(BH$87:BH$94)+SUM(BJ$87:BJ$94)+SUM(BL$87:BL$94)+SUM(BN$87:BN$94)</f>
        <v>308</v>
      </c>
      <c r="L114" s="100">
        <f>SUM(BP$87:BP$94)+SUM(BR$87:BR$94)+SUM(BT$87:BT$94)+SUM(BV$87:BV$94)</f>
        <v>314</v>
      </c>
      <c r="M114" s="100">
        <f>SUM(BX$87:BX$94)+SUM(BZ$87:BZ$94)+SUM(CB$87:CB$94)+SUM(CD$87:CD$94)</f>
        <v>297</v>
      </c>
      <c r="N114" s="100">
        <f>SUM(CF$87:CF$94)+SUM(CH$87:CH$94)+SUM(CJ$87:CJ$94)+SUM(CL$87:CL$94)</f>
        <v>307</v>
      </c>
      <c r="O114" s="100">
        <f>SUM(CN$87:CN$94)+SUM(CP$87:CP$94)+SUM(CR$87:CR$94)+SUM(CT$87:CT$94)</f>
        <v>320</v>
      </c>
    </row>
    <row r="115" spans="2:15">
      <c r="C115" s="99" t="s">
        <v>132</v>
      </c>
      <c r="D115" s="100">
        <f>SUM(D$95:D$105)+SUM(F$95:F$105)+SUM(H$95:H$105)+SUM(J$95:J$105)</f>
        <v>383</v>
      </c>
      <c r="E115" s="100">
        <f>SUM(L$95:L$105)+SUM(N$95:N$105)+SUM(P$95:P$105)+SUM(R$95:R$105)</f>
        <v>399</v>
      </c>
      <c r="F115" s="100">
        <f>SUM(T$95:T$105)+SUM(V$95:V$105)+SUM(X$95:X$105)+SUM(Z$95:Z$105)</f>
        <v>405</v>
      </c>
      <c r="G115" s="100">
        <f>SUM(AB$95:AB$105)+SUM(AD$95:AD$105)+SUM(AF$95:AF$105)+SUM(AH$95:AH$105)</f>
        <v>361</v>
      </c>
      <c r="H115" s="100">
        <f>SUM(AJ$95:AJ$105)+SUM(AL$95:AL$105)+SUM(AN$95:AN$105)+SUM(AP$95:AP$105)</f>
        <v>416</v>
      </c>
      <c r="I115" s="100">
        <f>SUM(AR$95:AR$105)+SUM(AT$95:AT$105)+SUM(AV$95:AV$105)+SUM(AX$95:AX$105)</f>
        <v>328</v>
      </c>
      <c r="J115" s="100">
        <f>SUM(AZ$95:AZ$105)+SUM(BB$95:BB$105)+SUM(BD$95:BD$105)+SUM(BF$95:BF$105)</f>
        <v>395</v>
      </c>
      <c r="K115" s="100">
        <f>SUM(BH$95:BH$105)+SUM(BJ$95:BJ$105)+SUM(BL$95:BL$105)+SUM(BN$95:BN$105)</f>
        <v>376</v>
      </c>
      <c r="L115" s="100">
        <f>SUM(BP$95:BP$105)+SUM(BR$95:BR$105)+SUM(BT$95:BT$105)+SUM(BV$95:BV$105)</f>
        <v>407</v>
      </c>
      <c r="M115" s="100">
        <f>SUM(BX$95:BX$105)+SUM(BZ$95:BZ$105)+SUM(CB$95:CB$105)+SUM(CD$95:CD$105)</f>
        <v>354</v>
      </c>
      <c r="N115" s="100">
        <f>SUM(CF$95:CF$105)+SUM(CH$95:CH$105)+SUM(CJ$95:CJ$105)+SUM(CL$95:CL$105)</f>
        <v>423</v>
      </c>
      <c r="O115" s="100">
        <f>SUM(CN$95:CN$105)+SUM(CP$95:CP$105)+SUM(CR$95:CR$105)+SUM(CT$95:CT$105)</f>
        <v>390</v>
      </c>
    </row>
    <row r="116" spans="2:15">
      <c r="C116" s="99" t="s">
        <v>278</v>
      </c>
      <c r="D116" s="100">
        <f t="shared" ref="D116:O116" si="0">SUM(D$109:D$115)</f>
        <v>5328.1986956207502</v>
      </c>
      <c r="E116" s="100">
        <f t="shared" si="0"/>
        <v>5482.1696220933718</v>
      </c>
      <c r="F116" s="100">
        <f t="shared" si="0"/>
        <v>5387</v>
      </c>
      <c r="G116" s="100">
        <f t="shared" si="0"/>
        <v>5893</v>
      </c>
      <c r="H116" s="100">
        <f t="shared" si="0"/>
        <v>1853.0761393999296</v>
      </c>
      <c r="I116" s="100">
        <f t="shared" si="0"/>
        <v>5589</v>
      </c>
      <c r="J116" s="100">
        <f t="shared" si="0"/>
        <v>5944</v>
      </c>
      <c r="K116" s="100">
        <f t="shared" si="0"/>
        <v>5743</v>
      </c>
      <c r="L116" s="100">
        <f t="shared" si="0"/>
        <v>6159</v>
      </c>
      <c r="M116" s="100">
        <f t="shared" si="0"/>
        <v>4464.0294364589845</v>
      </c>
      <c r="N116" s="100">
        <f t="shared" si="0"/>
        <v>5554.1696220933718</v>
      </c>
      <c r="O116" s="100">
        <f t="shared" si="0"/>
        <v>5596.1696220933718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3392696.7767678443</v>
      </c>
      <c r="E120" s="100">
        <f>E109*pricing!E6*2000</f>
        <v>3776838.5220717699</v>
      </c>
      <c r="F120" s="100">
        <f>F109*pricing!F6*2000</f>
        <v>3927000</v>
      </c>
      <c r="G120" s="100">
        <f>G109*pricing!G6*2000</f>
        <v>4460800</v>
      </c>
      <c r="H120" s="100">
        <f>H109*pricing!H6*2000</f>
        <v>553997.18334178126</v>
      </c>
      <c r="I120" s="100">
        <f>I109*pricing!I6*2000</f>
        <v>3927000</v>
      </c>
      <c r="J120" s="100">
        <f>J109*pricing!J6*2000</f>
        <v>4654599.9999999991</v>
      </c>
      <c r="K120" s="100">
        <f>K109*pricing!K6*2000</f>
        <v>4063000</v>
      </c>
      <c r="L120" s="100">
        <f>L109*pricing!L6*2000</f>
        <v>4743000</v>
      </c>
      <c r="M120" s="100">
        <f>M109*pricing!M6*2000</f>
        <v>2675627.9511529976</v>
      </c>
      <c r="N120" s="100">
        <f>N109*pricing!N6*2000</f>
        <v>3494217.3081293427</v>
      </c>
      <c r="O120" s="100">
        <f>O109*pricing!O6*2000</f>
        <v>4207925.4322765963</v>
      </c>
    </row>
    <row r="121" spans="2:15">
      <c r="C121" s="99" t="s">
        <v>127</v>
      </c>
      <c r="D121" s="100">
        <f>D110*pricing!D7*2000</f>
        <v>5616157.7674708897</v>
      </c>
      <c r="E121" s="100">
        <f>E110*pricing!E7*2000</f>
        <v>6158097.2783799572</v>
      </c>
      <c r="F121" s="100">
        <f>F110*pricing!F7*2000</f>
        <v>5828000</v>
      </c>
      <c r="G121" s="100">
        <f>G110*pricing!G7*2000</f>
        <v>6468000</v>
      </c>
      <c r="H121" s="100">
        <f>H110*pricing!H7*2000</f>
        <v>542306.41026525071</v>
      </c>
      <c r="I121" s="100">
        <f>I110*pricing!I7*2000</f>
        <v>5660000</v>
      </c>
      <c r="J121" s="100">
        <f>J110*pricing!J7*2000</f>
        <v>5792000</v>
      </c>
      <c r="K121" s="100">
        <f>K110*pricing!K7*2000</f>
        <v>6624000</v>
      </c>
      <c r="L121" s="100">
        <f>L110*pricing!L7*2000</f>
        <v>7204000</v>
      </c>
      <c r="M121" s="100">
        <f>M110*pricing!M7*2000</f>
        <v>4795274.2958548153</v>
      </c>
      <c r="N121" s="100">
        <f>N110*pricing!N7*2000</f>
        <v>6245398.8268331662</v>
      </c>
      <c r="O121" s="100">
        <f>O110*pricing!O7*2000</f>
        <v>6311170.3005828587</v>
      </c>
    </row>
    <row r="122" spans="2:15">
      <c r="C122" s="99" t="s">
        <v>128</v>
      </c>
      <c r="D122" s="100">
        <f>D111*pricing!D8*2000</f>
        <v>3053056.8890154804</v>
      </c>
      <c r="E122" s="100">
        <f>E111*pricing!E8*2000</f>
        <v>2883588.9609076534</v>
      </c>
      <c r="F122" s="100">
        <f>F111*pricing!F8*2000</f>
        <v>2605500</v>
      </c>
      <c r="G122" s="100">
        <f>G111*pricing!G8*2000</f>
        <v>3168000</v>
      </c>
      <c r="H122" s="100">
        <f>H111*pricing!H8*2000</f>
        <v>431211.3009145332</v>
      </c>
      <c r="I122" s="100">
        <f>I111*pricing!I8*2000</f>
        <v>3213000</v>
      </c>
      <c r="J122" s="100">
        <f>J111*pricing!J8*2000</f>
        <v>2736000</v>
      </c>
      <c r="K122" s="100">
        <f>K111*pricing!K8*2000</f>
        <v>3037500</v>
      </c>
      <c r="L122" s="100">
        <f>L111*pricing!L8*2000</f>
        <v>3330000</v>
      </c>
      <c r="M122" s="100">
        <f>M111*pricing!M8*2000</f>
        <v>2058648.1490039141</v>
      </c>
      <c r="N122" s="100">
        <f>N111*pricing!N8*2000</f>
        <v>3449822.5976717677</v>
      </c>
      <c r="O122" s="100">
        <f>O111*pricing!O8*2000</f>
        <v>3007627.4526506756</v>
      </c>
    </row>
    <row r="123" spans="2:15">
      <c r="C123" s="99" t="s">
        <v>129</v>
      </c>
      <c r="D123" s="100">
        <f>D112*pricing!D9*2000</f>
        <v>5403825.7836215859</v>
      </c>
      <c r="E123" s="100">
        <f>E112*pricing!E9*2000</f>
        <v>4990558.0328871366</v>
      </c>
      <c r="F123" s="100">
        <f>F112*pricing!F9*2000</f>
        <v>4927500</v>
      </c>
      <c r="G123" s="100">
        <f>G112*pricing!G9*2000</f>
        <v>5319000</v>
      </c>
      <c r="H123" s="100">
        <f>H112*pricing!H9*2000</f>
        <v>1474805.0486490917</v>
      </c>
      <c r="I123" s="100">
        <f>I112*pricing!I9*2000</f>
        <v>4954500</v>
      </c>
      <c r="J123" s="100">
        <f>J112*pricing!J9*2000</f>
        <v>6057000</v>
      </c>
      <c r="K123" s="100">
        <f>K112*pricing!K9*2000</f>
        <v>4284000</v>
      </c>
      <c r="L123" s="100">
        <f>L112*pricing!L9*2000</f>
        <v>4401000</v>
      </c>
      <c r="M123" s="100">
        <f>M112*pricing!M9*2000</f>
        <v>3765528.4439341184</v>
      </c>
      <c r="N123" s="100">
        <f>N112*pricing!N9*2000</f>
        <v>4668667.6431546109</v>
      </c>
      <c r="O123" s="100">
        <f>O112*pricing!O9*2000</f>
        <v>3943756.1864829916</v>
      </c>
    </row>
    <row r="124" spans="2:15">
      <c r="C124" s="99" t="s">
        <v>130</v>
      </c>
      <c r="D124" s="100">
        <f>D113*pricing!D10*2000</f>
        <v>2050000</v>
      </c>
      <c r="E124" s="100">
        <f>E113*pricing!E10*2000</f>
        <v>2325000</v>
      </c>
      <c r="F124" s="100">
        <f>F113*pricing!F10*2000</f>
        <v>2210000</v>
      </c>
      <c r="G124" s="100">
        <f>G113*pricing!G10*2000</f>
        <v>2340000</v>
      </c>
      <c r="H124" s="100">
        <f>H113*pricing!H10*2000</f>
        <v>1870000</v>
      </c>
      <c r="I124" s="100">
        <f>I113*pricing!I10*2000</f>
        <v>2920000</v>
      </c>
      <c r="J124" s="100">
        <f>J113*pricing!J10*2000</f>
        <v>2390000</v>
      </c>
      <c r="K124" s="100">
        <f>K113*pricing!K10*2000</f>
        <v>2905000</v>
      </c>
      <c r="L124" s="100">
        <f>L113*pricing!L10*2000</f>
        <v>2620000</v>
      </c>
      <c r="M124" s="100">
        <f>M113*pricing!M10*2000</f>
        <v>2665000</v>
      </c>
      <c r="N124" s="100">
        <f>N113*pricing!N10*2000</f>
        <v>2155000</v>
      </c>
      <c r="O124" s="100">
        <f>O113*pricing!O10*2000</f>
        <v>2630000</v>
      </c>
    </row>
    <row r="125" spans="2:15">
      <c r="C125" s="99" t="s">
        <v>131</v>
      </c>
      <c r="D125" s="100">
        <f>D114*pricing!D11*2000</f>
        <v>1320800</v>
      </c>
      <c r="E125" s="100">
        <f>E114*pricing!E11*2000</f>
        <v>1133600.0000000002</v>
      </c>
      <c r="F125" s="100">
        <f>F114*pricing!F11*2000</f>
        <v>1320800</v>
      </c>
      <c r="G125" s="100">
        <f>G114*pricing!G11*2000</f>
        <v>1294800</v>
      </c>
      <c r="H125" s="100">
        <f>H114*pricing!H11*2000</f>
        <v>1773200</v>
      </c>
      <c r="I125" s="100">
        <f>I114*pricing!I11*2000</f>
        <v>1518400</v>
      </c>
      <c r="J125" s="100">
        <f>J114*pricing!J11*2000</f>
        <v>1560000</v>
      </c>
      <c r="K125" s="100">
        <f>K114*pricing!K11*2000</f>
        <v>1601600.0000000002</v>
      </c>
      <c r="L125" s="100">
        <f>L114*pricing!L11*2000</f>
        <v>1632800</v>
      </c>
      <c r="M125" s="100">
        <f>M114*pricing!M11*2000</f>
        <v>1544400</v>
      </c>
      <c r="N125" s="100">
        <f>N114*pricing!N11*2000</f>
        <v>1596400</v>
      </c>
      <c r="O125" s="100">
        <f>O114*pricing!O11*2000</f>
        <v>1664000</v>
      </c>
    </row>
    <row r="126" spans="2:15">
      <c r="C126" s="99" t="s">
        <v>132</v>
      </c>
      <c r="D126" s="100">
        <f>D115*pricing!D12*2000</f>
        <v>2068200.0000000002</v>
      </c>
      <c r="E126" s="100">
        <f>E115*pricing!E12*2000</f>
        <v>2154600.0000000005</v>
      </c>
      <c r="F126" s="100">
        <f>F115*pricing!F12*2000</f>
        <v>2187000</v>
      </c>
      <c r="G126" s="100">
        <f>G115*pricing!G12*2000</f>
        <v>1949400</v>
      </c>
      <c r="H126" s="100">
        <f>H115*pricing!H12*2000</f>
        <v>2246400</v>
      </c>
      <c r="I126" s="100">
        <f>I115*pricing!I12*2000</f>
        <v>1771200</v>
      </c>
      <c r="J126" s="100">
        <f>J115*pricing!J12*2000</f>
        <v>2133000</v>
      </c>
      <c r="K126" s="100">
        <f>K115*pricing!K12*2000</f>
        <v>2030400</v>
      </c>
      <c r="L126" s="100">
        <f>L115*pricing!L12*2000</f>
        <v>2197800</v>
      </c>
      <c r="M126" s="100">
        <f>M115*pricing!M12*2000</f>
        <v>1911600.0000000002</v>
      </c>
      <c r="N126" s="100">
        <f>N115*pricing!N12*2000</f>
        <v>2284200.0000000005</v>
      </c>
      <c r="O126" s="100">
        <f>O115*pricing!O12*2000</f>
        <v>2106000</v>
      </c>
    </row>
    <row r="127" spans="2:15">
      <c r="C127" s="99" t="s">
        <v>278</v>
      </c>
      <c r="D127" s="100">
        <f t="shared" ref="D127:O127" si="1">SUM(D$120:D$126)</f>
        <v>22904737.216875803</v>
      </c>
      <c r="E127" s="100">
        <f t="shared" si="1"/>
        <v>23422282.794246517</v>
      </c>
      <c r="F127" s="100">
        <f t="shared" si="1"/>
        <v>23005800</v>
      </c>
      <c r="G127" s="100">
        <f t="shared" si="1"/>
        <v>25000000</v>
      </c>
      <c r="H127" s="100">
        <f t="shared" si="1"/>
        <v>8891919.9431706574</v>
      </c>
      <c r="I127" s="100">
        <f t="shared" si="1"/>
        <v>23964100</v>
      </c>
      <c r="J127" s="100">
        <f t="shared" si="1"/>
        <v>25322600</v>
      </c>
      <c r="K127" s="100">
        <f t="shared" si="1"/>
        <v>24545500</v>
      </c>
      <c r="L127" s="100">
        <f t="shared" si="1"/>
        <v>26128600</v>
      </c>
      <c r="M127" s="100">
        <f t="shared" si="1"/>
        <v>19416078.839945845</v>
      </c>
      <c r="N127" s="100">
        <f t="shared" si="1"/>
        <v>23893706.375788886</v>
      </c>
      <c r="O127" s="100">
        <f t="shared" si="1"/>
        <v>23870479.371993121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501406.79853563395</v>
      </c>
      <c r="E131" s="106">
        <f>SUM(M$6:M$19)+SUM(O$6:O$19)+SUM(Q$6:Q$19)+SUM(S$6:S$19)</f>
        <v>557781.0238099948</v>
      </c>
      <c r="F131" s="106">
        <f>SUM(U$6:U$19)+SUM(W$6:W$19)+SUM(Y$6:Y$19)+SUM(AA$6:AA$19)</f>
        <v>579989.99999999988</v>
      </c>
      <c r="G131" s="106">
        <f>SUM(AC$6:AC$19)+SUM(AE$6:AE$19)+SUM(AG$6:AG$19)+SUM(AI$6:AI$19)</f>
        <v>659634</v>
      </c>
      <c r="H131" s="106">
        <f>SUM(AK$6:AK$19)+SUM(AM$6:AM$19)+SUM(AO$6:AO$19)+SUM(AQ$6:AQ$19)</f>
        <v>82349.73689595396</v>
      </c>
      <c r="I131" s="106">
        <f>SUM(AS$6:AS$19)+SUM(AU$6:AU$19)+SUM(AW$6:AW$19)+SUM(AY$6:AY$19)</f>
        <v>578301.6</v>
      </c>
      <c r="J131" s="106">
        <f>SUM(BA$6:BA$19)+SUM(BC$6:BC$19)+SUM(BE$6:BE$19)+SUM(BG$6:BG$19)</f>
        <v>688393.2</v>
      </c>
      <c r="K131" s="106">
        <f>SUM(BI$6:BI$19)+SUM(BK$6:BK$19)+SUM(BM$6:BM$19)+SUM(BO$6:BO$19)</f>
        <v>597330</v>
      </c>
      <c r="L131" s="106">
        <f>SUM(BQ$6:BQ$19)+SUM(BS$6:BS$19)+SUM(BU$6:BU$19)+SUM(BW$6:BW$19)</f>
        <v>705678.00000000012</v>
      </c>
      <c r="M131" s="106">
        <f>SUM(BY$6:BY$19)+SUM(CA$6:CA$19)+SUM(CC$6:CC$19)+SUM(CE$6:CE$19)</f>
        <v>393908.68733134202</v>
      </c>
      <c r="N131" s="106">
        <f>SUM(CG$6:CG$19)+SUM(CI$6:CI$19)+SUM(CK$6:CK$19)+SUM(CM$6:CM$19)</f>
        <v>515796.59074629913</v>
      </c>
      <c r="O131" s="106">
        <f>SUM(CO$6:CO$19)+SUM(CQ$6:CQ$19)+SUM(CS$6:CS$19)+SUM(CU$6:CU$19)</f>
        <v>623490.23837655655</v>
      </c>
    </row>
    <row r="132" spans="2:15">
      <c r="C132" s="105" t="s">
        <v>127</v>
      </c>
      <c r="D132" s="106">
        <f>SUM(E$20:E$36)+SUM(G$20:G$36)+SUM(I$20:I$36)+SUM(K$20:K$36)</f>
        <v>591714.07714414934</v>
      </c>
      <c r="E132" s="106">
        <f>SUM(M$20:M$36)+SUM(O$20:O$36)+SUM(Q$20:Q$36)+SUM(S$20:S$36)</f>
        <v>656688.36646182649</v>
      </c>
      <c r="F132" s="106">
        <f>SUM(U$20:U$36)+SUM(W$20:W$36)+SUM(Y$20:Y$36)+SUM(AA$20:AA$36)</f>
        <v>621130.80000000005</v>
      </c>
      <c r="G132" s="106">
        <f>SUM(AC$20:AC$36)+SUM(AE$20:AE$36)+SUM(AG$20:AG$36)+SUM(AI$20:AI$36)</f>
        <v>691956</v>
      </c>
      <c r="H132" s="106">
        <f>SUM(AK$20:AK$36)+SUM(AM$20:AM$36)+SUM(AO$20:AO$36)+SUM(AQ$20:AQ$36)</f>
        <v>58051.31650304448</v>
      </c>
      <c r="I132" s="106">
        <f>SUM(AS$20:AS$36)+SUM(AU$20:AU$36)+SUM(AW$20:AW$36)+SUM(AY$20:AY$36)</f>
        <v>602396.4</v>
      </c>
      <c r="J132" s="106">
        <f>SUM(BA$20:BA$36)+SUM(BC$20:BC$36)+SUM(BE$20:BE$36)+SUM(BG$20:BG$36)</f>
        <v>615258</v>
      </c>
      <c r="K132" s="106">
        <f>SUM(BI$20:BI$36)+SUM(BK$20:BK$36)+SUM(BM$20:BM$36)+SUM(BO$20:BO$36)</f>
        <v>705271.2</v>
      </c>
      <c r="L132" s="106">
        <f>SUM(BQ$20:BQ$36)+SUM(BS$20:BS$36)+SUM(BU$20:BU$36)+SUM(BW$20:BW$36)</f>
        <v>768990.00000000012</v>
      </c>
      <c r="M132" s="106">
        <f>SUM(BY$20:BY$36)+SUM(CA$20:CA$36)+SUM(CC$20:CC$36)+SUM(CE$20:CE$36)</f>
        <v>511341.34607762552</v>
      </c>
      <c r="N132" s="106">
        <f>SUM(CG$20:CG$36)+SUM(CI$20:CI$36)+SUM(CK$20:CK$36)+SUM(CM$20:CM$36)</f>
        <v>667048.99103628239</v>
      </c>
      <c r="O132" s="106">
        <f>SUM(CO$20:CO$36)+SUM(CQ$20:CQ$36)+SUM(CS$20:CS$36)+SUM(CU$20:CU$36)</f>
        <v>669133.99203355552</v>
      </c>
    </row>
    <row r="133" spans="2:15">
      <c r="C133" s="105" t="s">
        <v>128</v>
      </c>
      <c r="D133" s="106">
        <f>SUM(E$37:E$48)+SUM(G$37:G$48)+SUM(I$37:I$48)+SUM(K$37:K$48)</f>
        <v>709233.11272174364</v>
      </c>
      <c r="E133" s="106">
        <f>SUM(M$37:M$48)+SUM(O$37:O$48)+SUM(Q$37:Q$48)+SUM(S$37:S$48)</f>
        <v>669798.00381049793</v>
      </c>
      <c r="F133" s="106">
        <f>SUM(U$37:U$48)+SUM(W$37:W$48)+SUM(Y$37:Y$48)+SUM(AA$37:AA$48)</f>
        <v>605398.80000000005</v>
      </c>
      <c r="G133" s="106">
        <f>SUM(AC$37:AC$48)+SUM(AE$37:AE$48)+SUM(AG$37:AG$48)+SUM(AI$37:AI$48)</f>
        <v>737943.6</v>
      </c>
      <c r="H133" s="106">
        <f>SUM(AK$37:AK$48)+SUM(AM$37:AM$48)+SUM(AO$37:AO$48)+SUM(AQ$37:AQ$48)</f>
        <v>99924.030481706664</v>
      </c>
      <c r="I133" s="106">
        <f>SUM(AS$37:AS$48)+SUM(AU$37:AU$48)+SUM(AW$37:AW$48)+SUM(AY$37:AY$48)</f>
        <v>746433.6</v>
      </c>
      <c r="J133" s="106">
        <f>SUM(BA$37:BA$48)+SUM(BC$37:BC$48)+SUM(BE$37:BE$48)+SUM(BG$37:BG$48)</f>
        <v>636892.80000000005</v>
      </c>
      <c r="K133" s="106">
        <f>SUM(BI$37:BI$48)+SUM(BK$37:BK$48)+SUM(BM$37:BM$48)+SUM(BO$37:BO$48)</f>
        <v>707935.2</v>
      </c>
      <c r="L133" s="106">
        <f>SUM(BQ$37:BQ$48)+SUM(BS$37:BS$48)+SUM(BU$37:BU$48)+SUM(BW$37:BW$48)</f>
        <v>775808.4</v>
      </c>
      <c r="M133" s="106">
        <f>SUM(BY$37:BY$48)+SUM(CA$37:CA$48)+SUM(CC$37:CC$48)+SUM(CE$37:CE$48)</f>
        <v>479908.27965946804</v>
      </c>
      <c r="N133" s="106">
        <f>SUM(CG$37:CG$48)+SUM(CI$37:CI$48)+SUM(CK$37:CK$48)+SUM(CM$37:CM$48)</f>
        <v>805467.00540714944</v>
      </c>
      <c r="O133" s="106">
        <f>SUM(CO$37:CO$48)+SUM(CQ$37:CQ$48)+SUM(CS$37:CS$48)+SUM(CU$37:CU$48)</f>
        <v>703417.86295507022</v>
      </c>
    </row>
    <row r="134" spans="2:15">
      <c r="C134" s="105" t="s">
        <v>129</v>
      </c>
      <c r="D134" s="106">
        <f>SUM(E$49:E$70)+SUM(G$49:G$70)+SUM(I$49:I$70)+SUM(K$49:K$70)</f>
        <v>1006272.2981428045</v>
      </c>
      <c r="E134" s="106">
        <f>SUM(M$49:M$70)+SUM(O$49:O$70)+SUM(Q$49:Q$70)+SUM(S$49:S$70)</f>
        <v>933709.23508435139</v>
      </c>
      <c r="F134" s="106">
        <f>SUM(U$49:U$70)+SUM(W$49:W$70)+SUM(Y$49:Y$70)+SUM(AA$49:AA$70)</f>
        <v>918164.4</v>
      </c>
      <c r="G134" s="106">
        <f>SUM(AC$49:AC$70)+SUM(AE$49:AE$70)+SUM(AG$49:AG$70)+SUM(AI$49:AI$70)</f>
        <v>987531.6</v>
      </c>
      <c r="H134" s="106">
        <f>SUM(AK$49:AK$70)+SUM(AM$49:AM$70)+SUM(AO$49:AO$70)+SUM(AQ$49:AQ$70)</f>
        <v>336456.60585306276</v>
      </c>
      <c r="I134" s="106">
        <f>SUM(AS$49:AS$70)+SUM(AU$49:AU$70)+SUM(AW$49:AW$70)+SUM(AY$49:AY$70)</f>
        <v>922283.99999999988</v>
      </c>
      <c r="J134" s="106">
        <f>SUM(BA$49:BA$70)+SUM(BC$49:BC$70)+SUM(BE$49:BE$70)+SUM(BG$49:BG$70)</f>
        <v>1122086.4000000001</v>
      </c>
      <c r="K134" s="106">
        <f>SUM(BI$49:BI$70)+SUM(BK$49:BK$70)+SUM(BM$49:BM$70)+SUM(BO$49:BO$70)</f>
        <v>794452.79999999993</v>
      </c>
      <c r="L134" s="106">
        <f>SUM(BQ$49:BQ$70)+SUM(BS$49:BS$70)+SUM(BU$49:BU$70)+SUM(BW$49:BW$70)</f>
        <v>818066.4</v>
      </c>
      <c r="M134" s="106">
        <f>SUM(BY$49:BY$70)+SUM(CA$49:CA$70)+SUM(CC$49:CC$70)+SUM(CE$49:CE$70)</f>
        <v>720753.82974671526</v>
      </c>
      <c r="N134" s="106">
        <f>SUM(CG$49:CG$70)+SUM(CI$49:CI$70)+SUM(CK$49:CK$70)+SUM(CM$49:CM$70)</f>
        <v>874181.17445696204</v>
      </c>
      <c r="O134" s="106">
        <f>SUM(CO$49:CO$70)+SUM(CQ$49:CQ$70)+SUM(CS$49:CS$70)+SUM(CU$49:CU$70)</f>
        <v>740593.94266102184</v>
      </c>
    </row>
    <row r="135" spans="2:15">
      <c r="C135" s="105" t="s">
        <v>130</v>
      </c>
      <c r="D135" s="106">
        <f>SUM(E$71:E$86)+SUM(G$71:G$86)+SUM(I$71:I$86)+SUM(K$71:K$86)</f>
        <v>229599.59999999998</v>
      </c>
      <c r="E135" s="106">
        <f>SUM(M$71:M$86)+SUM(O$71:O$86)+SUM(Q$71:Q$86)+SUM(S$71:S$86)</f>
        <v>259918.80000000002</v>
      </c>
      <c r="F135" s="106">
        <f>SUM(U$71:U$86)+SUM(W$71:W$86)+SUM(Y$71:Y$86)+SUM(AA$71:AA$86)</f>
        <v>247652.4</v>
      </c>
      <c r="G135" s="106">
        <f>SUM(AC$71:AC$86)+SUM(AE$71:AE$86)+SUM(AG$71:AG$86)+SUM(AI$71:AI$86)</f>
        <v>260446.8</v>
      </c>
      <c r="H135" s="106">
        <f>SUM(AK$71:AK$86)+SUM(AM$71:AM$86)+SUM(AO$71:AO$86)+SUM(AQ$71:AQ$86)</f>
        <v>208777.2</v>
      </c>
      <c r="I135" s="106">
        <f>SUM(AS$71:AS$86)+SUM(AU$71:AU$86)+SUM(AW$71:AW$86)+SUM(AY$71:AY$86)</f>
        <v>323732.40000000002</v>
      </c>
      <c r="J135" s="106">
        <f>SUM(BA$71:BA$86)+SUM(BC$71:BC$86)+SUM(BE$71:BE$86)+SUM(BG$71:BG$86)</f>
        <v>266821.2</v>
      </c>
      <c r="K135" s="106">
        <f>SUM(BI$71:BI$86)+SUM(BK$71:BK$86)+SUM(BM$71:BM$86)+SUM(BO$71:BO$86)</f>
        <v>324564</v>
      </c>
      <c r="L135" s="106">
        <f>SUM(BQ$71:BQ$86)+SUM(BS$71:BS$86)+SUM(BU$71:BU$86)+SUM(BW$71:BW$86)</f>
        <v>292023.59999999998</v>
      </c>
      <c r="M135" s="106">
        <f>SUM(BY$71:BY$86)+SUM(CA$71:CA$86)+SUM(CC$71:CC$86)+SUM(CE$71:CE$86)</f>
        <v>295864.80000000005</v>
      </c>
      <c r="N135" s="106">
        <f>SUM(CG$71:CG$86)+SUM(CI$71:CI$86)+SUM(CK$71:CK$86)+SUM(CM$71:CM$86)</f>
        <v>239426.40000000002</v>
      </c>
      <c r="O135" s="106">
        <f>SUM(CO$71:CO$86)+SUM(CQ$71:CQ$86)+SUM(CS$71:CS$86)+SUM(CU$71:CU$86)</f>
        <v>294800.39999999997</v>
      </c>
    </row>
    <row r="136" spans="2:15">
      <c r="C136" s="105" t="s">
        <v>131</v>
      </c>
      <c r="D136" s="106">
        <f>SUM(E$87:E$94)+SUM(G$87:G$94)+SUM(I$87:I$94)+SUM(K$87:K$94)</f>
        <v>254036.40000000002</v>
      </c>
      <c r="E136" s="106">
        <f>SUM(M$87:M$94)+SUM(O$87:O$94)+SUM(Q$87:Q$94)+SUM(S$87:S$94)</f>
        <v>218424</v>
      </c>
      <c r="F136" s="106">
        <f>SUM(U$87:U$94)+SUM(W$87:W$94)+SUM(Y$87:Y$94)+SUM(AA$87:AA$94)</f>
        <v>254008.8</v>
      </c>
      <c r="G136" s="106">
        <f>SUM(AC$87:AC$94)+SUM(AE$87:AE$94)+SUM(AG$87:AG$94)+SUM(AI$87:AI$94)</f>
        <v>249616.8</v>
      </c>
      <c r="H136" s="106">
        <f>SUM(AK$87:AK$94)+SUM(AM$87:AM$94)+SUM(AO$87:AO$94)+SUM(AQ$87:AQ$94)</f>
        <v>341544</v>
      </c>
      <c r="I136" s="106">
        <f>SUM(AS$87:AS$94)+SUM(AU$87:AU$94)+SUM(AW$87:AW$94)+SUM(AY$87:AY$94)</f>
        <v>292821.59999999998</v>
      </c>
      <c r="J136" s="106">
        <f>SUM(BA$87:BA$94)+SUM(BC$87:BC$94)+SUM(BE$87:BE$94)+SUM(BG$87:BG$94)</f>
        <v>300598.8</v>
      </c>
      <c r="K136" s="106">
        <f>SUM(BI$87:BI$94)+SUM(BK$87:BK$94)+SUM(BM$87:BM$94)+SUM(BO$87:BO$94)</f>
        <v>308739.59999999998</v>
      </c>
      <c r="L136" s="106">
        <f>SUM(BQ$87:BQ$94)+SUM(BS$87:BS$94)+SUM(BU$87:BU$94)+SUM(BW$87:BW$94)</f>
        <v>316281.59999999998</v>
      </c>
      <c r="M136" s="106">
        <f>SUM(BY$87:BY$94)+SUM(CA$87:CA$94)+SUM(CC$87:CC$94)+SUM(CE$87:CE$94)</f>
        <v>298486.79999999993</v>
      </c>
      <c r="N136" s="106">
        <f>SUM(CG$87:CG$94)+SUM(CI$87:CI$94)+SUM(CK$87:CK$94)+SUM(CM$87:CM$94)</f>
        <v>309103.19999999995</v>
      </c>
      <c r="O136" s="106">
        <f>SUM(CO$87:CO$94)+SUM(CQ$87:CQ$94)+SUM(CS$87:CS$94)+SUM(CU$87:CU$94)</f>
        <v>320686.8</v>
      </c>
    </row>
    <row r="137" spans="2:15">
      <c r="C137" s="105" t="s">
        <v>132</v>
      </c>
      <c r="D137" s="106">
        <f>SUM(E$95:E$105)+SUM(G$95:G$105)+SUM(I$95:I$105)+SUM(K$95:K$105)</f>
        <v>302145.59999999998</v>
      </c>
      <c r="E137" s="106">
        <f>SUM(M$95:M$105)+SUM(O$95:O$105)+SUM(Q$95:Q$105)+SUM(S$95:S$105)</f>
        <v>309777.59999999998</v>
      </c>
      <c r="F137" s="106">
        <f>SUM(U$95:U$105)+SUM(W$95:W$105)+SUM(Y$95:Y$105)+SUM(AA$95:AA$105)</f>
        <v>320407.2</v>
      </c>
      <c r="G137" s="106">
        <f>SUM(AC$95:AC$105)+SUM(AE$95:AE$105)+SUM(AG$95:AG$105)+SUM(AI$95:AI$105)</f>
        <v>282306</v>
      </c>
      <c r="H137" s="106">
        <f>SUM(AK$95:AK$105)+SUM(AM$95:AM$105)+SUM(AO$95:AO$105)+SUM(AQ$95:AQ$105)</f>
        <v>330528</v>
      </c>
      <c r="I137" s="106">
        <f>SUM(AS$95:AS$105)+SUM(AU$95:AU$105)+SUM(AW$95:AW$105)+SUM(AY$95:AY$105)</f>
        <v>250738.8</v>
      </c>
      <c r="J137" s="106">
        <f>SUM(BA$95:BA$105)+SUM(BC$95:BC$105)+SUM(BE$95:BE$105)+SUM(BG$95:BG$105)</f>
        <v>308168.39999999997</v>
      </c>
      <c r="K137" s="106">
        <f>SUM(BI$95:BI$105)+SUM(BK$95:BK$105)+SUM(BM$95:BM$105)+SUM(BO$95:BO$105)</f>
        <v>295222.8</v>
      </c>
      <c r="L137" s="106">
        <f>SUM(BQ$95:BQ$105)+SUM(BS$95:BS$105)+SUM(BU$95:BU$105)+SUM(BW$95:BW$105)</f>
        <v>318176.39999999997</v>
      </c>
      <c r="M137" s="106">
        <f>SUM(BY$95:BY$105)+SUM(CA$95:CA$105)+SUM(CC$95:CC$105)+SUM(CE$95:CE$105)</f>
        <v>282480</v>
      </c>
      <c r="N137" s="106">
        <f>SUM(CG$95:CG$105)+SUM(CI$95:CI$105)+SUM(CK$95:CK$105)+SUM(CM$95:CM$105)</f>
        <v>337016.4</v>
      </c>
      <c r="O137" s="106">
        <f>SUM(CO$95:CO$105)+SUM(CQ$95:CQ$105)+SUM(CS$95:CS$105)+SUM(CU$95:CU$105)</f>
        <v>305389.19999999995</v>
      </c>
    </row>
    <row r="138" spans="2:15">
      <c r="C138" s="105" t="s">
        <v>278</v>
      </c>
      <c r="D138" s="100">
        <f t="shared" ref="D138:O138" si="2">SUM(D$131:D$137)</f>
        <v>3594407.8865443314</v>
      </c>
      <c r="E138" s="100">
        <f t="shared" si="2"/>
        <v>3606097.0291666705</v>
      </c>
      <c r="F138" s="100">
        <f t="shared" si="2"/>
        <v>3546752.4</v>
      </c>
      <c r="G138" s="100">
        <f t="shared" si="2"/>
        <v>3869434.8</v>
      </c>
      <c r="H138" s="100">
        <f t="shared" si="2"/>
        <v>1457630.8897337678</v>
      </c>
      <c r="I138" s="100">
        <f t="shared" si="2"/>
        <v>3716708.4</v>
      </c>
      <c r="J138" s="100">
        <f t="shared" si="2"/>
        <v>3938218.8000000003</v>
      </c>
      <c r="K138" s="100">
        <f t="shared" si="2"/>
        <v>3733515.5999999996</v>
      </c>
      <c r="L138" s="100">
        <f t="shared" si="2"/>
        <v>3995024.4000000004</v>
      </c>
      <c r="M138" s="100">
        <f t="shared" si="2"/>
        <v>2982743.7428151509</v>
      </c>
      <c r="N138" s="100">
        <f t="shared" si="2"/>
        <v>3748039.7616466931</v>
      </c>
      <c r="O138" s="100">
        <f t="shared" si="2"/>
        <v>3657512.4360262034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8</v>
      </c>
      <c r="G6" s="100">
        <v>4627.2</v>
      </c>
      <c r="H6" s="100">
        <v>10</v>
      </c>
      <c r="I6" s="100">
        <v>5784</v>
      </c>
      <c r="J6" s="100">
        <v>7</v>
      </c>
      <c r="K6" s="100">
        <v>4048.7999999999997</v>
      </c>
      <c r="L6" s="100">
        <v>10</v>
      </c>
      <c r="M6" s="100">
        <v>5784</v>
      </c>
      <c r="N6" s="100">
        <v>11</v>
      </c>
      <c r="O6" s="100">
        <v>6362.4</v>
      </c>
      <c r="P6" s="100">
        <v>7</v>
      </c>
      <c r="Q6" s="100">
        <v>4048.7999999999997</v>
      </c>
      <c r="R6" s="100">
        <v>10</v>
      </c>
      <c r="S6" s="100">
        <v>5784</v>
      </c>
      <c r="T6" s="100">
        <v>7</v>
      </c>
      <c r="U6" s="100">
        <v>4048.7999999999997</v>
      </c>
      <c r="V6" s="100">
        <v>10</v>
      </c>
      <c r="W6" s="100">
        <v>5784</v>
      </c>
      <c r="X6" s="100">
        <v>7</v>
      </c>
      <c r="Y6" s="100">
        <v>4048.7999999999997</v>
      </c>
      <c r="Z6" s="100">
        <v>7</v>
      </c>
      <c r="AA6" s="100">
        <v>4048.7999999999997</v>
      </c>
      <c r="AB6" s="100">
        <v>9</v>
      </c>
      <c r="AC6" s="100">
        <v>5205.5999999999995</v>
      </c>
      <c r="AD6" s="100">
        <v>5</v>
      </c>
      <c r="AE6" s="100">
        <v>2892</v>
      </c>
      <c r="AF6" s="100">
        <v>7.9796761935828773</v>
      </c>
      <c r="AG6" s="100">
        <v>4615.444710368336</v>
      </c>
      <c r="AH6" s="100">
        <v>9</v>
      </c>
      <c r="AI6" s="100">
        <v>5205.5999999999995</v>
      </c>
      <c r="AJ6" s="100">
        <v>5.3546760186021558</v>
      </c>
      <c r="AK6" s="100">
        <v>3097.1446091594867</v>
      </c>
      <c r="AL6" s="100">
        <v>10</v>
      </c>
      <c r="AM6" s="100">
        <v>5784</v>
      </c>
      <c r="AN6" s="100">
        <v>5</v>
      </c>
      <c r="AO6" s="100">
        <v>2892</v>
      </c>
      <c r="AP6" s="100">
        <v>0.31183677220347866</v>
      </c>
      <c r="AQ6" s="100">
        <v>180.36638904249205</v>
      </c>
      <c r="AR6" s="100">
        <v>2.3216723380714674E-4</v>
      </c>
      <c r="AS6" s="100">
        <v>0.13428552803405366</v>
      </c>
      <c r="AT6" s="100">
        <v>1.9912056390355488E-4</v>
      </c>
      <c r="AU6" s="100">
        <v>0.11517133416181613</v>
      </c>
      <c r="AV6" s="100">
        <v>7</v>
      </c>
      <c r="AW6" s="100">
        <v>4048.7999999999997</v>
      </c>
      <c r="AX6" s="100">
        <v>1.6688110876586391</v>
      </c>
      <c r="AY6" s="100">
        <v>965.24033310175685</v>
      </c>
      <c r="AZ6" s="100">
        <v>11</v>
      </c>
      <c r="BA6" s="100">
        <v>6362.4</v>
      </c>
      <c r="BB6" s="100">
        <v>9</v>
      </c>
      <c r="BC6" s="100">
        <v>5205.5999999999995</v>
      </c>
      <c r="BD6" s="100">
        <v>8</v>
      </c>
      <c r="BE6" s="100">
        <v>4627.2</v>
      </c>
      <c r="BF6" s="100">
        <v>11</v>
      </c>
      <c r="BG6" s="100">
        <v>6362.4</v>
      </c>
      <c r="BH6" s="100">
        <v>10</v>
      </c>
      <c r="BI6" s="100">
        <v>5784</v>
      </c>
      <c r="BJ6" s="100">
        <v>8</v>
      </c>
      <c r="BK6" s="100">
        <v>4627.2</v>
      </c>
      <c r="BL6" s="100">
        <v>8</v>
      </c>
      <c r="BM6" s="100">
        <v>4627.2</v>
      </c>
      <c r="BN6" s="100">
        <v>5.3458571028665656</v>
      </c>
      <c r="BO6" s="100">
        <v>3092.0437482980215</v>
      </c>
      <c r="BP6" s="100">
        <v>8</v>
      </c>
      <c r="BQ6" s="100">
        <v>4627.2</v>
      </c>
      <c r="BR6" s="100">
        <v>7</v>
      </c>
      <c r="BS6" s="100">
        <v>4048.7999999999997</v>
      </c>
      <c r="BT6" s="100">
        <v>10.752544297004869</v>
      </c>
      <c r="BU6" s="100">
        <v>6219.2716213876156</v>
      </c>
      <c r="BV6" s="100">
        <v>0</v>
      </c>
      <c r="BW6" s="100">
        <v>0</v>
      </c>
      <c r="BX6" s="100">
        <v>9</v>
      </c>
      <c r="BY6" s="100">
        <v>5205.5999999999995</v>
      </c>
      <c r="BZ6" s="100">
        <v>9</v>
      </c>
      <c r="CA6" s="100">
        <v>5205.5999999999995</v>
      </c>
      <c r="CB6" s="100">
        <v>10</v>
      </c>
      <c r="CC6" s="100">
        <v>5784</v>
      </c>
      <c r="CD6" s="100">
        <v>13</v>
      </c>
      <c r="CE6" s="100">
        <v>7519.2</v>
      </c>
      <c r="CF6" s="100">
        <v>9</v>
      </c>
      <c r="CG6" s="100">
        <v>5205.5999999999995</v>
      </c>
      <c r="CH6" s="100">
        <v>9</v>
      </c>
      <c r="CI6" s="100">
        <v>5205.5999999999995</v>
      </c>
      <c r="CJ6" s="100">
        <v>5.8570823320642518</v>
      </c>
      <c r="CK6" s="100">
        <v>3387.7364208659633</v>
      </c>
      <c r="CL6" s="100">
        <v>12</v>
      </c>
      <c r="CM6" s="100">
        <v>6940.7999999999993</v>
      </c>
      <c r="CN6" s="100">
        <v>7</v>
      </c>
      <c r="CO6" s="100">
        <v>4048.7999999999997</v>
      </c>
      <c r="CP6" s="100">
        <v>8.7925438561147349</v>
      </c>
      <c r="CQ6" s="100">
        <v>5085.607366376762</v>
      </c>
      <c r="CR6" s="100">
        <v>8.4219459463242963</v>
      </c>
      <c r="CS6" s="100">
        <v>4871.2535353539724</v>
      </c>
      <c r="CT6" s="100">
        <v>8</v>
      </c>
      <c r="CU6" s="100">
        <v>4627.2</v>
      </c>
    </row>
    <row r="7" spans="1:99">
      <c r="C7" s="99" t="s">
        <v>173</v>
      </c>
      <c r="D7" s="100">
        <v>6</v>
      </c>
      <c r="E7" s="100">
        <v>4730.3999999999996</v>
      </c>
      <c r="F7" s="100">
        <v>7</v>
      </c>
      <c r="G7" s="100">
        <v>5518.8</v>
      </c>
      <c r="H7" s="100">
        <v>9</v>
      </c>
      <c r="I7" s="100">
        <v>7095.5999999999995</v>
      </c>
      <c r="J7" s="100">
        <v>7</v>
      </c>
      <c r="K7" s="100">
        <v>5518.8</v>
      </c>
      <c r="L7" s="100">
        <v>11</v>
      </c>
      <c r="M7" s="100">
        <v>8672.4</v>
      </c>
      <c r="N7" s="100">
        <v>12</v>
      </c>
      <c r="O7" s="100">
        <v>9460.7999999999993</v>
      </c>
      <c r="P7" s="100">
        <v>7</v>
      </c>
      <c r="Q7" s="100">
        <v>5518.8</v>
      </c>
      <c r="R7" s="100">
        <v>11</v>
      </c>
      <c r="S7" s="100">
        <v>8672.4</v>
      </c>
      <c r="T7" s="100">
        <v>6</v>
      </c>
      <c r="U7" s="100">
        <v>4730.3999999999996</v>
      </c>
      <c r="V7" s="100">
        <v>9</v>
      </c>
      <c r="W7" s="100">
        <v>7095.5999999999995</v>
      </c>
      <c r="X7" s="100">
        <v>7</v>
      </c>
      <c r="Y7" s="100">
        <v>5518.8</v>
      </c>
      <c r="Z7" s="100">
        <v>8</v>
      </c>
      <c r="AA7" s="100">
        <v>6307.2</v>
      </c>
      <c r="AB7" s="100">
        <v>9</v>
      </c>
      <c r="AC7" s="100">
        <v>7095.5999999999995</v>
      </c>
      <c r="AD7" s="100">
        <v>6</v>
      </c>
      <c r="AE7" s="100">
        <v>4730.3999999999996</v>
      </c>
      <c r="AF7" s="100">
        <v>7.9796761935828773</v>
      </c>
      <c r="AG7" s="100">
        <v>6291.1767110207402</v>
      </c>
      <c r="AH7" s="100">
        <v>8</v>
      </c>
      <c r="AI7" s="100">
        <v>6307.2</v>
      </c>
      <c r="AJ7" s="100">
        <v>5.3546760186021558</v>
      </c>
      <c r="AK7" s="100">
        <v>4221.6265730659397</v>
      </c>
      <c r="AL7" s="100">
        <v>11</v>
      </c>
      <c r="AM7" s="100">
        <v>8672.4</v>
      </c>
      <c r="AN7" s="100">
        <v>5</v>
      </c>
      <c r="AO7" s="100">
        <v>3942</v>
      </c>
      <c r="AP7" s="100">
        <v>0.36380956757072513</v>
      </c>
      <c r="AQ7" s="100">
        <v>286.82746307275971</v>
      </c>
      <c r="AR7" s="100">
        <v>2.3216723380714674E-4</v>
      </c>
      <c r="AS7" s="100">
        <v>0.18304064713355447</v>
      </c>
      <c r="AT7" s="100">
        <v>1.7067476906018988E-4</v>
      </c>
      <c r="AU7" s="100">
        <v>0.1345599879270537</v>
      </c>
      <c r="AV7" s="100">
        <v>7</v>
      </c>
      <c r="AW7" s="100">
        <v>5518.8</v>
      </c>
      <c r="AX7" s="100">
        <v>1.4304095037074049</v>
      </c>
      <c r="AY7" s="100">
        <v>1127.734852722918</v>
      </c>
      <c r="AZ7" s="100">
        <v>11</v>
      </c>
      <c r="BA7" s="100">
        <v>8672.4</v>
      </c>
      <c r="BB7" s="100">
        <v>8</v>
      </c>
      <c r="BC7" s="100">
        <v>6307.2</v>
      </c>
      <c r="BD7" s="100">
        <v>7</v>
      </c>
      <c r="BE7" s="100">
        <v>5518.8</v>
      </c>
      <c r="BF7" s="100">
        <v>12</v>
      </c>
      <c r="BG7" s="100">
        <v>9460.7999999999993</v>
      </c>
      <c r="BH7" s="100">
        <v>10</v>
      </c>
      <c r="BI7" s="100">
        <v>7884</v>
      </c>
      <c r="BJ7" s="100">
        <v>8</v>
      </c>
      <c r="BK7" s="100">
        <v>6307.2</v>
      </c>
      <c r="BL7" s="100">
        <v>9</v>
      </c>
      <c r="BM7" s="100">
        <v>7095.5999999999995</v>
      </c>
      <c r="BN7" s="100">
        <v>5.8804428131532225</v>
      </c>
      <c r="BO7" s="100">
        <v>4636.1411138900003</v>
      </c>
      <c r="BP7" s="100">
        <v>7</v>
      </c>
      <c r="BQ7" s="100">
        <v>5518.8</v>
      </c>
      <c r="BR7" s="100">
        <v>7</v>
      </c>
      <c r="BS7" s="100">
        <v>5518.8</v>
      </c>
      <c r="BT7" s="100">
        <v>10.752544297004869</v>
      </c>
      <c r="BU7" s="100">
        <v>8477.3059237586385</v>
      </c>
      <c r="BV7" s="100">
        <v>0</v>
      </c>
      <c r="BW7" s="100">
        <v>0</v>
      </c>
      <c r="BX7" s="100">
        <v>10</v>
      </c>
      <c r="BY7" s="100">
        <v>7884</v>
      </c>
      <c r="BZ7" s="100">
        <v>9</v>
      </c>
      <c r="CA7" s="100">
        <v>7095.5999999999995</v>
      </c>
      <c r="CB7" s="100">
        <v>9</v>
      </c>
      <c r="CC7" s="100">
        <v>7095.5999999999995</v>
      </c>
      <c r="CD7" s="100">
        <v>11</v>
      </c>
      <c r="CE7" s="100">
        <v>8672.4</v>
      </c>
      <c r="CF7" s="100">
        <v>9</v>
      </c>
      <c r="CG7" s="100">
        <v>7095.5999999999995</v>
      </c>
      <c r="CH7" s="100">
        <v>8</v>
      </c>
      <c r="CI7" s="100">
        <v>6307.2</v>
      </c>
      <c r="CJ7" s="100">
        <v>5.8570823320642518</v>
      </c>
      <c r="CK7" s="100">
        <v>4617.7237105994564</v>
      </c>
      <c r="CL7" s="100">
        <v>11</v>
      </c>
      <c r="CM7" s="100">
        <v>8672.4</v>
      </c>
      <c r="CN7" s="100">
        <v>8</v>
      </c>
      <c r="CO7" s="100">
        <v>6307.2</v>
      </c>
      <c r="CP7" s="100">
        <v>8.7925438561147349</v>
      </c>
      <c r="CQ7" s="100">
        <v>6932.0415761608565</v>
      </c>
      <c r="CR7" s="100">
        <v>7.6563144966584513</v>
      </c>
      <c r="CS7" s="100">
        <v>6036.2383491655228</v>
      </c>
      <c r="CT7" s="100">
        <v>8</v>
      </c>
      <c r="CU7" s="100">
        <v>6307.2</v>
      </c>
    </row>
    <row r="8" spans="1:99">
      <c r="C8" s="99" t="s">
        <v>174</v>
      </c>
      <c r="D8" s="100">
        <v>6</v>
      </c>
      <c r="E8" s="100">
        <v>1857.6</v>
      </c>
      <c r="F8" s="100">
        <v>9</v>
      </c>
      <c r="G8" s="100">
        <v>2786.3999999999996</v>
      </c>
      <c r="H8" s="100">
        <v>10</v>
      </c>
      <c r="I8" s="100">
        <v>3095.9999999999995</v>
      </c>
      <c r="J8" s="100">
        <v>8</v>
      </c>
      <c r="K8" s="100">
        <v>2476.7999999999997</v>
      </c>
      <c r="L8" s="100">
        <v>11</v>
      </c>
      <c r="M8" s="100">
        <v>3405.5999999999995</v>
      </c>
      <c r="N8" s="100">
        <v>11</v>
      </c>
      <c r="O8" s="100">
        <v>3405.5999999999995</v>
      </c>
      <c r="P8" s="100">
        <v>7</v>
      </c>
      <c r="Q8" s="100">
        <v>2167.1999999999998</v>
      </c>
      <c r="R8" s="100">
        <v>10</v>
      </c>
      <c r="S8" s="100">
        <v>3095.9999999999995</v>
      </c>
      <c r="T8" s="100">
        <v>7</v>
      </c>
      <c r="U8" s="100">
        <v>2167.1999999999998</v>
      </c>
      <c r="V8" s="100">
        <v>10</v>
      </c>
      <c r="W8" s="100">
        <v>3095.9999999999995</v>
      </c>
      <c r="X8" s="100">
        <v>7</v>
      </c>
      <c r="Y8" s="100">
        <v>2167.1999999999998</v>
      </c>
      <c r="Z8" s="100">
        <v>8</v>
      </c>
      <c r="AA8" s="100">
        <v>2476.7999999999997</v>
      </c>
      <c r="AB8" s="100">
        <v>8</v>
      </c>
      <c r="AC8" s="100">
        <v>2476.7999999999997</v>
      </c>
      <c r="AD8" s="100">
        <v>6</v>
      </c>
      <c r="AE8" s="100">
        <v>1857.6</v>
      </c>
      <c r="AF8" s="100">
        <v>8.9771357177807367</v>
      </c>
      <c r="AG8" s="100">
        <v>2779.3212182249158</v>
      </c>
      <c r="AH8" s="100">
        <v>9</v>
      </c>
      <c r="AI8" s="100">
        <v>2786.3999999999996</v>
      </c>
      <c r="AJ8" s="100">
        <v>5.3546760186021558</v>
      </c>
      <c r="AK8" s="100">
        <v>1657.8076953592272</v>
      </c>
      <c r="AL8" s="100">
        <v>10</v>
      </c>
      <c r="AM8" s="100">
        <v>3095.9999999999995</v>
      </c>
      <c r="AN8" s="100">
        <v>6</v>
      </c>
      <c r="AO8" s="100">
        <v>1857.6</v>
      </c>
      <c r="AP8" s="100">
        <v>0.36380956757072513</v>
      </c>
      <c r="AQ8" s="100">
        <v>112.6354421198965</v>
      </c>
      <c r="AR8" s="100">
        <v>2.3216723380714674E-4</v>
      </c>
      <c r="AS8" s="100">
        <v>7.1878975586692623E-2</v>
      </c>
      <c r="AT8" s="100">
        <v>1.9912056390355488E-4</v>
      </c>
      <c r="AU8" s="100">
        <v>6.1647726584540583E-2</v>
      </c>
      <c r="AV8" s="100">
        <v>6</v>
      </c>
      <c r="AW8" s="100">
        <v>1857.6</v>
      </c>
      <c r="AX8" s="100">
        <v>1.4304095037074049</v>
      </c>
      <c r="AY8" s="100">
        <v>442.85478234781255</v>
      </c>
      <c r="AZ8" s="100">
        <v>12</v>
      </c>
      <c r="BA8" s="100">
        <v>3715.2</v>
      </c>
      <c r="BB8" s="100">
        <v>8</v>
      </c>
      <c r="BC8" s="100">
        <v>2476.7999999999997</v>
      </c>
      <c r="BD8" s="100">
        <v>8</v>
      </c>
      <c r="BE8" s="100">
        <v>2476.7999999999997</v>
      </c>
      <c r="BF8" s="100">
        <v>10</v>
      </c>
      <c r="BG8" s="100">
        <v>3095.9999999999995</v>
      </c>
      <c r="BH8" s="100">
        <v>13</v>
      </c>
      <c r="BI8" s="100">
        <v>4024.7999999999997</v>
      </c>
      <c r="BJ8" s="100">
        <v>8</v>
      </c>
      <c r="BK8" s="100">
        <v>2476.7999999999997</v>
      </c>
      <c r="BL8" s="100">
        <v>8</v>
      </c>
      <c r="BM8" s="100">
        <v>2476.7999999999997</v>
      </c>
      <c r="BN8" s="100">
        <v>5.3458571028665656</v>
      </c>
      <c r="BO8" s="100">
        <v>1655.0773590474885</v>
      </c>
      <c r="BP8" s="100">
        <v>7</v>
      </c>
      <c r="BQ8" s="100">
        <v>2167.1999999999998</v>
      </c>
      <c r="BR8" s="100">
        <v>7</v>
      </c>
      <c r="BS8" s="100">
        <v>2167.1999999999998</v>
      </c>
      <c r="BT8" s="100">
        <v>10.752544297004869</v>
      </c>
      <c r="BU8" s="100">
        <v>3328.9877143527069</v>
      </c>
      <c r="BV8" s="100">
        <v>0</v>
      </c>
      <c r="BW8" s="100">
        <v>0</v>
      </c>
      <c r="BX8" s="100">
        <v>11</v>
      </c>
      <c r="BY8" s="100">
        <v>3405.5999999999995</v>
      </c>
      <c r="BZ8" s="100">
        <v>8</v>
      </c>
      <c r="CA8" s="100">
        <v>2476.7999999999997</v>
      </c>
      <c r="CB8" s="100">
        <v>10</v>
      </c>
      <c r="CC8" s="100">
        <v>3095.9999999999995</v>
      </c>
      <c r="CD8" s="100">
        <v>12</v>
      </c>
      <c r="CE8" s="100">
        <v>3715.2</v>
      </c>
      <c r="CF8" s="100">
        <v>8</v>
      </c>
      <c r="CG8" s="100">
        <v>2476.7999999999997</v>
      </c>
      <c r="CH8" s="100">
        <v>8</v>
      </c>
      <c r="CI8" s="100">
        <v>2476.7999999999997</v>
      </c>
      <c r="CJ8" s="100">
        <v>5.8570823320642518</v>
      </c>
      <c r="CK8" s="100">
        <v>1813.3526900070922</v>
      </c>
      <c r="CL8" s="100">
        <v>10</v>
      </c>
      <c r="CM8" s="100">
        <v>3095.9999999999995</v>
      </c>
      <c r="CN8" s="100">
        <v>7</v>
      </c>
      <c r="CO8" s="100">
        <v>2167.1999999999998</v>
      </c>
      <c r="CP8" s="100">
        <v>8.7925438561147349</v>
      </c>
      <c r="CQ8" s="100">
        <v>2722.1715778531216</v>
      </c>
      <c r="CR8" s="100">
        <v>8.4219459463242963</v>
      </c>
      <c r="CS8" s="100">
        <v>2607.4344649820018</v>
      </c>
      <c r="CT8" s="100">
        <v>8</v>
      </c>
      <c r="CU8" s="100">
        <v>2476.7999999999997</v>
      </c>
    </row>
    <row r="9" spans="1:99">
      <c r="C9" s="99" t="s">
        <v>175</v>
      </c>
      <c r="D9" s="100">
        <v>6</v>
      </c>
      <c r="E9" s="100">
        <v>4212</v>
      </c>
      <c r="F9" s="100">
        <v>7</v>
      </c>
      <c r="G9" s="100">
        <v>4914</v>
      </c>
      <c r="H9" s="100">
        <v>8</v>
      </c>
      <c r="I9" s="100">
        <v>5616</v>
      </c>
      <c r="J9" s="100">
        <v>8</v>
      </c>
      <c r="K9" s="100">
        <v>5616</v>
      </c>
      <c r="L9" s="100">
        <v>10</v>
      </c>
      <c r="M9" s="100">
        <v>7020</v>
      </c>
      <c r="N9" s="100">
        <v>11</v>
      </c>
      <c r="O9" s="100">
        <v>7722</v>
      </c>
      <c r="P9" s="100">
        <v>7</v>
      </c>
      <c r="Q9" s="100">
        <v>4914</v>
      </c>
      <c r="R9" s="100">
        <v>11</v>
      </c>
      <c r="S9" s="100">
        <v>7722</v>
      </c>
      <c r="T9" s="100">
        <v>6</v>
      </c>
      <c r="U9" s="100">
        <v>4212</v>
      </c>
      <c r="V9" s="100">
        <v>10</v>
      </c>
      <c r="W9" s="100">
        <v>7020</v>
      </c>
      <c r="X9" s="100">
        <v>7</v>
      </c>
      <c r="Y9" s="100">
        <v>4914</v>
      </c>
      <c r="Z9" s="100">
        <v>7</v>
      </c>
      <c r="AA9" s="100">
        <v>4914</v>
      </c>
      <c r="AB9" s="100">
        <v>8</v>
      </c>
      <c r="AC9" s="100">
        <v>5616</v>
      </c>
      <c r="AD9" s="100">
        <v>6</v>
      </c>
      <c r="AE9" s="100">
        <v>4212</v>
      </c>
      <c r="AF9" s="100">
        <v>7.9796761935828773</v>
      </c>
      <c r="AG9" s="100">
        <v>5601.7326878951799</v>
      </c>
      <c r="AH9" s="100">
        <v>9</v>
      </c>
      <c r="AI9" s="100">
        <v>6318</v>
      </c>
      <c r="AJ9" s="100">
        <v>5.3546760186021558</v>
      </c>
      <c r="AK9" s="100">
        <v>3758.9825650587136</v>
      </c>
      <c r="AL9" s="100">
        <v>9</v>
      </c>
      <c r="AM9" s="100">
        <v>6318</v>
      </c>
      <c r="AN9" s="100">
        <v>6</v>
      </c>
      <c r="AO9" s="100">
        <v>4212</v>
      </c>
      <c r="AP9" s="100">
        <v>0.31183677220347866</v>
      </c>
      <c r="AQ9" s="100">
        <v>218.90941408684202</v>
      </c>
      <c r="AR9" s="100">
        <v>2.3216723380714674E-4</v>
      </c>
      <c r="AS9" s="100">
        <v>0.162981398132617</v>
      </c>
      <c r="AT9" s="100">
        <v>1.7067476906018988E-4</v>
      </c>
      <c r="AU9" s="100">
        <v>0.11981368788025329</v>
      </c>
      <c r="AV9" s="100">
        <v>7</v>
      </c>
      <c r="AW9" s="100">
        <v>4914</v>
      </c>
      <c r="AX9" s="100">
        <v>1.4304095037074049</v>
      </c>
      <c r="AY9" s="100">
        <v>1004.1474716025982</v>
      </c>
      <c r="AZ9" s="100">
        <v>10</v>
      </c>
      <c r="BA9" s="100">
        <v>7020</v>
      </c>
      <c r="BB9" s="100">
        <v>8</v>
      </c>
      <c r="BC9" s="100">
        <v>5616</v>
      </c>
      <c r="BD9" s="100">
        <v>8</v>
      </c>
      <c r="BE9" s="100">
        <v>5616</v>
      </c>
      <c r="BF9" s="100">
        <v>11</v>
      </c>
      <c r="BG9" s="100">
        <v>7722</v>
      </c>
      <c r="BH9" s="100">
        <v>11</v>
      </c>
      <c r="BI9" s="100">
        <v>7722</v>
      </c>
      <c r="BJ9" s="100">
        <v>8</v>
      </c>
      <c r="BK9" s="100">
        <v>5616</v>
      </c>
      <c r="BL9" s="100">
        <v>9</v>
      </c>
      <c r="BM9" s="100">
        <v>6318</v>
      </c>
      <c r="BN9" s="100">
        <v>5.3458571028665656</v>
      </c>
      <c r="BO9" s="100">
        <v>3752.7916862123288</v>
      </c>
      <c r="BP9" s="100">
        <v>8</v>
      </c>
      <c r="BQ9" s="100">
        <v>5616</v>
      </c>
      <c r="BR9" s="100">
        <v>7</v>
      </c>
      <c r="BS9" s="100">
        <v>4914</v>
      </c>
      <c r="BT9" s="100">
        <v>10.752544297004869</v>
      </c>
      <c r="BU9" s="100">
        <v>7548.2860964974179</v>
      </c>
      <c r="BV9" s="100">
        <v>0</v>
      </c>
      <c r="BW9" s="100">
        <v>0</v>
      </c>
      <c r="BX9" s="100">
        <v>10</v>
      </c>
      <c r="BY9" s="100">
        <v>7020</v>
      </c>
      <c r="BZ9" s="100">
        <v>9</v>
      </c>
      <c r="CA9" s="100">
        <v>6318</v>
      </c>
      <c r="CB9" s="100">
        <v>10</v>
      </c>
      <c r="CC9" s="100">
        <v>7020</v>
      </c>
      <c r="CD9" s="100">
        <v>12</v>
      </c>
      <c r="CE9" s="100">
        <v>8424</v>
      </c>
      <c r="CF9" s="100">
        <v>8</v>
      </c>
      <c r="CG9" s="100">
        <v>5616</v>
      </c>
      <c r="CH9" s="100">
        <v>8</v>
      </c>
      <c r="CI9" s="100">
        <v>5616</v>
      </c>
      <c r="CJ9" s="100">
        <v>5.2062954062793345</v>
      </c>
      <c r="CK9" s="100">
        <v>3654.8193752080929</v>
      </c>
      <c r="CL9" s="100">
        <v>10</v>
      </c>
      <c r="CM9" s="100">
        <v>7020</v>
      </c>
      <c r="CN9" s="100">
        <v>7</v>
      </c>
      <c r="CO9" s="100">
        <v>4914</v>
      </c>
      <c r="CP9" s="100">
        <v>9.6717982417262078</v>
      </c>
      <c r="CQ9" s="100">
        <v>6789.6023656917978</v>
      </c>
      <c r="CR9" s="100">
        <v>8.4219459463242963</v>
      </c>
      <c r="CS9" s="100">
        <v>5912.2060543196558</v>
      </c>
      <c r="CT9" s="100">
        <v>8</v>
      </c>
      <c r="CU9" s="100">
        <v>5616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8</v>
      </c>
      <c r="G10" s="100">
        <v>4358.3999999999996</v>
      </c>
      <c r="H10" s="100">
        <v>10</v>
      </c>
      <c r="I10" s="100">
        <v>5448</v>
      </c>
      <c r="J10" s="100">
        <v>8</v>
      </c>
      <c r="K10" s="100">
        <v>4358.3999999999996</v>
      </c>
      <c r="L10" s="100">
        <v>10</v>
      </c>
      <c r="M10" s="100">
        <v>5448</v>
      </c>
      <c r="N10" s="100">
        <v>10</v>
      </c>
      <c r="O10" s="100">
        <v>5448</v>
      </c>
      <c r="P10" s="100">
        <v>8</v>
      </c>
      <c r="Q10" s="100">
        <v>4358.3999999999996</v>
      </c>
      <c r="R10" s="100">
        <v>10</v>
      </c>
      <c r="S10" s="100">
        <v>5448</v>
      </c>
      <c r="T10" s="100">
        <v>7</v>
      </c>
      <c r="U10" s="100">
        <v>3813.5999999999995</v>
      </c>
      <c r="V10" s="100">
        <v>9</v>
      </c>
      <c r="W10" s="100">
        <v>4903.2</v>
      </c>
      <c r="X10" s="100">
        <v>7</v>
      </c>
      <c r="Y10" s="100">
        <v>3813.5999999999995</v>
      </c>
      <c r="Z10" s="100">
        <v>7</v>
      </c>
      <c r="AA10" s="100">
        <v>3813.5999999999995</v>
      </c>
      <c r="AB10" s="100">
        <v>8</v>
      </c>
      <c r="AC10" s="100">
        <v>4358.3999999999996</v>
      </c>
      <c r="AD10" s="100">
        <v>6</v>
      </c>
      <c r="AE10" s="100">
        <v>3268.7999999999997</v>
      </c>
      <c r="AF10" s="100">
        <v>7.9796761935828773</v>
      </c>
      <c r="AG10" s="100">
        <v>4347.3275902639516</v>
      </c>
      <c r="AH10" s="100">
        <v>8</v>
      </c>
      <c r="AI10" s="100">
        <v>4358.3999999999996</v>
      </c>
      <c r="AJ10" s="100">
        <v>5.3546760186021558</v>
      </c>
      <c r="AK10" s="100">
        <v>2917.2274949344542</v>
      </c>
      <c r="AL10" s="100">
        <v>10</v>
      </c>
      <c r="AM10" s="100">
        <v>5448</v>
      </c>
      <c r="AN10" s="100">
        <v>6</v>
      </c>
      <c r="AO10" s="100">
        <v>3268.7999999999997</v>
      </c>
      <c r="AP10" s="100">
        <v>0.31183677220347866</v>
      </c>
      <c r="AQ10" s="100">
        <v>169.88867349645517</v>
      </c>
      <c r="AR10" s="100">
        <v>2.3216723380714674E-4</v>
      </c>
      <c r="AS10" s="100">
        <v>0.12648470897813355</v>
      </c>
      <c r="AT10" s="100">
        <v>1.9912056390355488E-4</v>
      </c>
      <c r="AU10" s="100">
        <v>0.10848088321465668</v>
      </c>
      <c r="AV10" s="100">
        <v>6</v>
      </c>
      <c r="AW10" s="100">
        <v>3268.7999999999997</v>
      </c>
      <c r="AX10" s="100">
        <v>1.6688110876586391</v>
      </c>
      <c r="AY10" s="100">
        <v>909.16828055642645</v>
      </c>
      <c r="AZ10" s="100">
        <v>11</v>
      </c>
      <c r="BA10" s="100">
        <v>5992.7999999999993</v>
      </c>
      <c r="BB10" s="100">
        <v>8</v>
      </c>
      <c r="BC10" s="100">
        <v>4358.3999999999996</v>
      </c>
      <c r="BD10" s="100">
        <v>8</v>
      </c>
      <c r="BE10" s="100">
        <v>4358.3999999999996</v>
      </c>
      <c r="BF10" s="100">
        <v>10</v>
      </c>
      <c r="BG10" s="100">
        <v>5448</v>
      </c>
      <c r="BH10" s="100">
        <v>12</v>
      </c>
      <c r="BI10" s="100">
        <v>6537.5999999999995</v>
      </c>
      <c r="BJ10" s="100">
        <v>8</v>
      </c>
      <c r="BK10" s="100">
        <v>4358.3999999999996</v>
      </c>
      <c r="BL10" s="100">
        <v>9</v>
      </c>
      <c r="BM10" s="100">
        <v>4903.2</v>
      </c>
      <c r="BN10" s="100">
        <v>5.3458571028665656</v>
      </c>
      <c r="BO10" s="100">
        <v>2912.4229496417047</v>
      </c>
      <c r="BP10" s="100">
        <v>7</v>
      </c>
      <c r="BQ10" s="100">
        <v>3813.5999999999995</v>
      </c>
      <c r="BR10" s="100">
        <v>8</v>
      </c>
      <c r="BS10" s="100">
        <v>4358.3999999999996</v>
      </c>
      <c r="BT10" s="100">
        <v>9.8564989389211313</v>
      </c>
      <c r="BU10" s="100">
        <v>5369.820621924232</v>
      </c>
      <c r="BV10" s="100">
        <v>0</v>
      </c>
      <c r="BW10" s="100">
        <v>0</v>
      </c>
      <c r="BX10" s="100">
        <v>9</v>
      </c>
      <c r="BY10" s="100">
        <v>4903.2</v>
      </c>
      <c r="BZ10" s="100">
        <v>9</v>
      </c>
      <c r="CA10" s="100">
        <v>4903.2</v>
      </c>
      <c r="CB10" s="100">
        <v>9</v>
      </c>
      <c r="CC10" s="100">
        <v>4903.2</v>
      </c>
      <c r="CD10" s="100">
        <v>13</v>
      </c>
      <c r="CE10" s="100">
        <v>7082.4</v>
      </c>
      <c r="CF10" s="100">
        <v>8</v>
      </c>
      <c r="CG10" s="100">
        <v>4358.3999999999996</v>
      </c>
      <c r="CH10" s="100">
        <v>8</v>
      </c>
      <c r="CI10" s="100">
        <v>4358.3999999999996</v>
      </c>
      <c r="CJ10" s="100">
        <v>5.8570823320642518</v>
      </c>
      <c r="CK10" s="100">
        <v>3190.9384545086041</v>
      </c>
      <c r="CL10" s="100">
        <v>11</v>
      </c>
      <c r="CM10" s="100">
        <v>5992.7999999999993</v>
      </c>
      <c r="CN10" s="100">
        <v>8</v>
      </c>
      <c r="CO10" s="100">
        <v>4358.3999999999996</v>
      </c>
      <c r="CP10" s="100">
        <v>8.7925438561147349</v>
      </c>
      <c r="CQ10" s="100">
        <v>4790.1778928113072</v>
      </c>
      <c r="CR10" s="100">
        <v>9.1875773959901412</v>
      </c>
      <c r="CS10" s="100">
        <v>5005.3921653354282</v>
      </c>
      <c r="CT10" s="100">
        <v>8</v>
      </c>
      <c r="CU10" s="100">
        <v>4358.3999999999996</v>
      </c>
    </row>
    <row r="11" spans="1:99">
      <c r="C11" s="99" t="s">
        <v>177</v>
      </c>
      <c r="D11" s="100">
        <v>6</v>
      </c>
      <c r="E11" s="100">
        <v>3196.7999999999997</v>
      </c>
      <c r="F11" s="100">
        <v>7</v>
      </c>
      <c r="G11" s="100">
        <v>3729.5999999999995</v>
      </c>
      <c r="H11" s="100">
        <v>9</v>
      </c>
      <c r="I11" s="100">
        <v>4795.2</v>
      </c>
      <c r="J11" s="100">
        <v>7</v>
      </c>
      <c r="K11" s="100">
        <v>3729.5999999999995</v>
      </c>
      <c r="L11" s="100">
        <v>10</v>
      </c>
      <c r="M11" s="100">
        <v>5328</v>
      </c>
      <c r="N11" s="100">
        <v>11</v>
      </c>
      <c r="O11" s="100">
        <v>5860.7999999999993</v>
      </c>
      <c r="P11" s="100">
        <v>8</v>
      </c>
      <c r="Q11" s="100">
        <v>4262.3999999999996</v>
      </c>
      <c r="R11" s="100">
        <v>10</v>
      </c>
      <c r="S11" s="100">
        <v>5328</v>
      </c>
      <c r="T11" s="100">
        <v>6</v>
      </c>
      <c r="U11" s="100">
        <v>3196.7999999999997</v>
      </c>
      <c r="V11" s="100">
        <v>10</v>
      </c>
      <c r="W11" s="100">
        <v>5328</v>
      </c>
      <c r="X11" s="100">
        <v>7</v>
      </c>
      <c r="Y11" s="100">
        <v>3729.5999999999995</v>
      </c>
      <c r="Z11" s="100">
        <v>8</v>
      </c>
      <c r="AA11" s="100">
        <v>4262.3999999999996</v>
      </c>
      <c r="AB11" s="100">
        <v>10</v>
      </c>
      <c r="AC11" s="100">
        <v>5328</v>
      </c>
      <c r="AD11" s="100">
        <v>5</v>
      </c>
      <c r="AE11" s="100">
        <v>2664</v>
      </c>
      <c r="AF11" s="100">
        <v>8.9771357177807367</v>
      </c>
      <c r="AG11" s="100">
        <v>4783.0179104335757</v>
      </c>
      <c r="AH11" s="100">
        <v>9</v>
      </c>
      <c r="AI11" s="100">
        <v>4795.2</v>
      </c>
      <c r="AJ11" s="100">
        <v>5.3546760186021558</v>
      </c>
      <c r="AK11" s="100">
        <v>2852.9713827112282</v>
      </c>
      <c r="AL11" s="100">
        <v>9</v>
      </c>
      <c r="AM11" s="100">
        <v>4795.2</v>
      </c>
      <c r="AN11" s="100">
        <v>6</v>
      </c>
      <c r="AO11" s="100">
        <v>3196.7999999999997</v>
      </c>
      <c r="AP11" s="100">
        <v>0.31183677220347866</v>
      </c>
      <c r="AQ11" s="100">
        <v>166.14663223001341</v>
      </c>
      <c r="AR11" s="100">
        <v>2.6118813803304006E-4</v>
      </c>
      <c r="AS11" s="100">
        <v>0.13916103994400372</v>
      </c>
      <c r="AT11" s="100">
        <v>1.7067476906018988E-4</v>
      </c>
      <c r="AU11" s="100">
        <v>9.0935516955269163E-2</v>
      </c>
      <c r="AV11" s="100">
        <v>7</v>
      </c>
      <c r="AW11" s="100">
        <v>3729.5999999999995</v>
      </c>
      <c r="AX11" s="100">
        <v>1.6688110876586391</v>
      </c>
      <c r="AY11" s="100">
        <v>889.14254750452278</v>
      </c>
      <c r="AZ11" s="100">
        <v>10</v>
      </c>
      <c r="BA11" s="100">
        <v>5328</v>
      </c>
      <c r="BB11" s="100">
        <v>8</v>
      </c>
      <c r="BC11" s="100">
        <v>4262.3999999999996</v>
      </c>
      <c r="BD11" s="100">
        <v>8</v>
      </c>
      <c r="BE11" s="100">
        <v>4262.3999999999996</v>
      </c>
      <c r="BF11" s="100">
        <v>11</v>
      </c>
      <c r="BG11" s="100">
        <v>5860.7999999999993</v>
      </c>
      <c r="BH11" s="100">
        <v>12</v>
      </c>
      <c r="BI11" s="100">
        <v>6393.5999999999995</v>
      </c>
      <c r="BJ11" s="100">
        <v>8</v>
      </c>
      <c r="BK11" s="100">
        <v>4262.3999999999996</v>
      </c>
      <c r="BL11" s="100">
        <v>8</v>
      </c>
      <c r="BM11" s="100">
        <v>4262.3999999999996</v>
      </c>
      <c r="BN11" s="100">
        <v>5.3458571028665656</v>
      </c>
      <c r="BO11" s="100">
        <v>2848.2726644073059</v>
      </c>
      <c r="BP11" s="100">
        <v>8</v>
      </c>
      <c r="BQ11" s="100">
        <v>4262.3999999999996</v>
      </c>
      <c r="BR11" s="100">
        <v>8</v>
      </c>
      <c r="BS11" s="100">
        <v>4262.3999999999996</v>
      </c>
      <c r="BT11" s="100">
        <v>10.752544297004869</v>
      </c>
      <c r="BU11" s="100">
        <v>5728.9556014441941</v>
      </c>
      <c r="BV11" s="100">
        <v>0</v>
      </c>
      <c r="BW11" s="100">
        <v>0</v>
      </c>
      <c r="BX11" s="100">
        <v>9</v>
      </c>
      <c r="BY11" s="100">
        <v>4795.2</v>
      </c>
      <c r="BZ11" s="100">
        <v>9</v>
      </c>
      <c r="CA11" s="100">
        <v>4795.2</v>
      </c>
      <c r="CB11" s="100">
        <v>10</v>
      </c>
      <c r="CC11" s="100">
        <v>5328</v>
      </c>
      <c r="CD11" s="100">
        <v>12</v>
      </c>
      <c r="CE11" s="100">
        <v>6393.5999999999995</v>
      </c>
      <c r="CF11" s="100">
        <v>8</v>
      </c>
      <c r="CG11" s="100">
        <v>4262.3999999999996</v>
      </c>
      <c r="CH11" s="100">
        <v>8</v>
      </c>
      <c r="CI11" s="100">
        <v>4262.3999999999996</v>
      </c>
      <c r="CJ11" s="100">
        <v>5.8570823320642518</v>
      </c>
      <c r="CK11" s="100">
        <v>3120.6534665238332</v>
      </c>
      <c r="CL11" s="100">
        <v>11</v>
      </c>
      <c r="CM11" s="100">
        <v>5860.7999999999993</v>
      </c>
      <c r="CN11" s="100">
        <v>8</v>
      </c>
      <c r="CO11" s="100">
        <v>4262.3999999999996</v>
      </c>
      <c r="CP11" s="100">
        <v>7.9132894705032601</v>
      </c>
      <c r="CQ11" s="100">
        <v>4216.200629884137</v>
      </c>
      <c r="CR11" s="100">
        <v>8.4219459463242963</v>
      </c>
      <c r="CS11" s="100">
        <v>4487.2128002015843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8</v>
      </c>
      <c r="G12" s="100">
        <v>4502.3999999999996</v>
      </c>
      <c r="H12" s="100">
        <v>9</v>
      </c>
      <c r="I12" s="100">
        <v>5065.2</v>
      </c>
      <c r="J12" s="100">
        <v>7</v>
      </c>
      <c r="K12" s="100">
        <v>3939.5999999999995</v>
      </c>
      <c r="L12" s="100">
        <v>10</v>
      </c>
      <c r="M12" s="100">
        <v>5628</v>
      </c>
      <c r="N12" s="100">
        <v>11</v>
      </c>
      <c r="O12" s="100">
        <v>6190.7999999999993</v>
      </c>
      <c r="P12" s="100">
        <v>8</v>
      </c>
      <c r="Q12" s="100">
        <v>4502.3999999999996</v>
      </c>
      <c r="R12" s="100">
        <v>10</v>
      </c>
      <c r="S12" s="100">
        <v>5628</v>
      </c>
      <c r="T12" s="100">
        <v>6</v>
      </c>
      <c r="U12" s="100">
        <v>3376.7999999999997</v>
      </c>
      <c r="V12" s="100">
        <v>11</v>
      </c>
      <c r="W12" s="100">
        <v>6190.7999999999993</v>
      </c>
      <c r="X12" s="100">
        <v>8</v>
      </c>
      <c r="Y12" s="100">
        <v>4502.3999999999996</v>
      </c>
      <c r="Z12" s="100">
        <v>7</v>
      </c>
      <c r="AA12" s="100">
        <v>3939.5999999999995</v>
      </c>
      <c r="AB12" s="100">
        <v>8</v>
      </c>
      <c r="AC12" s="100">
        <v>4502.3999999999996</v>
      </c>
      <c r="AD12" s="100">
        <v>6</v>
      </c>
      <c r="AE12" s="100">
        <v>3376.7999999999997</v>
      </c>
      <c r="AF12" s="100">
        <v>8.9771357177807367</v>
      </c>
      <c r="AG12" s="100">
        <v>5052.3319819669978</v>
      </c>
      <c r="AH12" s="100">
        <v>9</v>
      </c>
      <c r="AI12" s="100">
        <v>5065.2</v>
      </c>
      <c r="AJ12" s="100">
        <v>5.3546760186021558</v>
      </c>
      <c r="AK12" s="100">
        <v>3013.6116632692929</v>
      </c>
      <c r="AL12" s="100">
        <v>10</v>
      </c>
      <c r="AM12" s="100">
        <v>5628</v>
      </c>
      <c r="AN12" s="100">
        <v>6</v>
      </c>
      <c r="AO12" s="100">
        <v>3376.7999999999997</v>
      </c>
      <c r="AP12" s="100">
        <v>0.36380956757072513</v>
      </c>
      <c r="AQ12" s="100">
        <v>204.75202462880409</v>
      </c>
      <c r="AR12" s="100">
        <v>2.6118813803304006E-4</v>
      </c>
      <c r="AS12" s="100">
        <v>0.14699668408499494</v>
      </c>
      <c r="AT12" s="100">
        <v>1.9912056390355488E-4</v>
      </c>
      <c r="AU12" s="100">
        <v>0.11206505336492067</v>
      </c>
      <c r="AV12" s="100">
        <v>6</v>
      </c>
      <c r="AW12" s="100">
        <v>3376.7999999999997</v>
      </c>
      <c r="AX12" s="100">
        <v>1.4304095037074049</v>
      </c>
      <c r="AY12" s="100">
        <v>805.03446868652748</v>
      </c>
      <c r="AZ12" s="100">
        <v>11</v>
      </c>
      <c r="BA12" s="100">
        <v>6190.7999999999993</v>
      </c>
      <c r="BB12" s="100">
        <v>8</v>
      </c>
      <c r="BC12" s="100">
        <v>4502.3999999999996</v>
      </c>
      <c r="BD12" s="100">
        <v>8</v>
      </c>
      <c r="BE12" s="100">
        <v>4502.3999999999996</v>
      </c>
      <c r="BF12" s="100">
        <v>12</v>
      </c>
      <c r="BG12" s="100">
        <v>6753.5999999999995</v>
      </c>
      <c r="BH12" s="100">
        <v>12</v>
      </c>
      <c r="BI12" s="100">
        <v>6753.5999999999995</v>
      </c>
      <c r="BJ12" s="100">
        <v>9</v>
      </c>
      <c r="BK12" s="100">
        <v>5065.2</v>
      </c>
      <c r="BL12" s="100">
        <v>8</v>
      </c>
      <c r="BM12" s="100">
        <v>4502.3999999999996</v>
      </c>
      <c r="BN12" s="100">
        <v>5.3458571028665656</v>
      </c>
      <c r="BO12" s="100">
        <v>3008.6483774933026</v>
      </c>
      <c r="BP12" s="100">
        <v>7</v>
      </c>
      <c r="BQ12" s="100">
        <v>3939.5999999999995</v>
      </c>
      <c r="BR12" s="100">
        <v>8</v>
      </c>
      <c r="BS12" s="100">
        <v>4502.3999999999996</v>
      </c>
      <c r="BT12" s="100">
        <v>9.8564989389211313</v>
      </c>
      <c r="BU12" s="100">
        <v>5547.2376028248118</v>
      </c>
      <c r="BV12" s="100">
        <v>0</v>
      </c>
      <c r="BW12" s="100">
        <v>0</v>
      </c>
      <c r="BX12" s="100">
        <v>10</v>
      </c>
      <c r="BY12" s="100">
        <v>5628</v>
      </c>
      <c r="BZ12" s="100">
        <v>8</v>
      </c>
      <c r="CA12" s="100">
        <v>4502.3999999999996</v>
      </c>
      <c r="CB12" s="100">
        <v>9</v>
      </c>
      <c r="CC12" s="100">
        <v>5065.2</v>
      </c>
      <c r="CD12" s="100">
        <v>12</v>
      </c>
      <c r="CE12" s="100">
        <v>6753.5999999999995</v>
      </c>
      <c r="CF12" s="100">
        <v>8</v>
      </c>
      <c r="CG12" s="100">
        <v>4502.3999999999996</v>
      </c>
      <c r="CH12" s="100">
        <v>8</v>
      </c>
      <c r="CI12" s="100">
        <v>4502.3999999999996</v>
      </c>
      <c r="CJ12" s="100">
        <v>5.2062954062793345</v>
      </c>
      <c r="CK12" s="100">
        <v>2930.1030546540092</v>
      </c>
      <c r="CL12" s="100">
        <v>12</v>
      </c>
      <c r="CM12" s="100">
        <v>6753.5999999999995</v>
      </c>
      <c r="CN12" s="100">
        <v>8</v>
      </c>
      <c r="CO12" s="100">
        <v>4502.3999999999996</v>
      </c>
      <c r="CP12" s="100">
        <v>9.6717982417262078</v>
      </c>
      <c r="CQ12" s="100">
        <v>5443.2880504435097</v>
      </c>
      <c r="CR12" s="100">
        <v>8.4219459463242963</v>
      </c>
      <c r="CS12" s="100">
        <v>4739.8711785913138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6</v>
      </c>
      <c r="E13" s="100">
        <v>511.20000000000005</v>
      </c>
      <c r="F13" s="100">
        <v>8</v>
      </c>
      <c r="G13" s="100">
        <v>681.6</v>
      </c>
      <c r="H13" s="100">
        <v>9</v>
      </c>
      <c r="I13" s="100">
        <v>766.80000000000007</v>
      </c>
      <c r="J13" s="100">
        <v>8</v>
      </c>
      <c r="K13" s="100">
        <v>681.6</v>
      </c>
      <c r="L13" s="100">
        <v>10</v>
      </c>
      <c r="M13" s="100">
        <v>852</v>
      </c>
      <c r="N13" s="100">
        <v>11</v>
      </c>
      <c r="O13" s="100">
        <v>937.2</v>
      </c>
      <c r="P13" s="100">
        <v>7</v>
      </c>
      <c r="Q13" s="100">
        <v>596.4</v>
      </c>
      <c r="R13" s="100">
        <v>10</v>
      </c>
      <c r="S13" s="100">
        <v>852</v>
      </c>
      <c r="T13" s="100">
        <v>7</v>
      </c>
      <c r="U13" s="100">
        <v>596.4</v>
      </c>
      <c r="V13" s="100">
        <v>11</v>
      </c>
      <c r="W13" s="100">
        <v>937.2</v>
      </c>
      <c r="X13" s="100">
        <v>8</v>
      </c>
      <c r="Y13" s="100">
        <v>681.6</v>
      </c>
      <c r="Z13" s="100">
        <v>8</v>
      </c>
      <c r="AA13" s="100">
        <v>681.6</v>
      </c>
      <c r="AB13" s="100">
        <v>8</v>
      </c>
      <c r="AC13" s="100">
        <v>681.6</v>
      </c>
      <c r="AD13" s="100">
        <v>5</v>
      </c>
      <c r="AE13" s="100">
        <v>426</v>
      </c>
      <c r="AF13" s="100">
        <v>7.9796761935828773</v>
      </c>
      <c r="AG13" s="100">
        <v>679.86841169326112</v>
      </c>
      <c r="AH13" s="100">
        <v>8</v>
      </c>
      <c r="AI13" s="100">
        <v>681.6</v>
      </c>
      <c r="AJ13" s="100">
        <v>6.2471220217025154</v>
      </c>
      <c r="AK13" s="100">
        <v>532.25479624905438</v>
      </c>
      <c r="AL13" s="100">
        <v>11</v>
      </c>
      <c r="AM13" s="100">
        <v>937.2</v>
      </c>
      <c r="AN13" s="100">
        <v>6</v>
      </c>
      <c r="AO13" s="100">
        <v>511.20000000000005</v>
      </c>
      <c r="AP13" s="100">
        <v>0.36380956757072513</v>
      </c>
      <c r="AQ13" s="100">
        <v>30.996575157025781</v>
      </c>
      <c r="AR13" s="100">
        <v>2.6118813803304006E-4</v>
      </c>
      <c r="AS13" s="100">
        <v>2.2253229360415013E-2</v>
      </c>
      <c r="AT13" s="100">
        <v>1.9912056390355488E-4</v>
      </c>
      <c r="AU13" s="100">
        <v>1.6965072044582877E-2</v>
      </c>
      <c r="AV13" s="100">
        <v>7</v>
      </c>
      <c r="AW13" s="100">
        <v>596.4</v>
      </c>
      <c r="AX13" s="100">
        <v>1.6688110876586391</v>
      </c>
      <c r="AY13" s="100">
        <v>142.18270466851607</v>
      </c>
      <c r="AZ13" s="100">
        <v>12</v>
      </c>
      <c r="BA13" s="100">
        <v>1022.4000000000001</v>
      </c>
      <c r="BB13" s="100">
        <v>8</v>
      </c>
      <c r="BC13" s="100">
        <v>681.6</v>
      </c>
      <c r="BD13" s="100">
        <v>8</v>
      </c>
      <c r="BE13" s="100">
        <v>681.6</v>
      </c>
      <c r="BF13" s="100">
        <v>11</v>
      </c>
      <c r="BG13" s="100">
        <v>937.2</v>
      </c>
      <c r="BH13" s="100">
        <v>12</v>
      </c>
      <c r="BI13" s="100">
        <v>1022.4000000000001</v>
      </c>
      <c r="BJ13" s="100">
        <v>9</v>
      </c>
      <c r="BK13" s="100">
        <v>766.80000000000007</v>
      </c>
      <c r="BL13" s="100">
        <v>9</v>
      </c>
      <c r="BM13" s="100">
        <v>766.80000000000007</v>
      </c>
      <c r="BN13" s="100">
        <v>6.4150285234398785</v>
      </c>
      <c r="BO13" s="100">
        <v>546.56043019707772</v>
      </c>
      <c r="BP13" s="100">
        <v>7</v>
      </c>
      <c r="BQ13" s="100">
        <v>596.4</v>
      </c>
      <c r="BR13" s="100">
        <v>8</v>
      </c>
      <c r="BS13" s="100">
        <v>681.6</v>
      </c>
      <c r="BT13" s="100">
        <v>9.8564989389211313</v>
      </c>
      <c r="BU13" s="100">
        <v>839.77370959608038</v>
      </c>
      <c r="BV13" s="100">
        <v>0</v>
      </c>
      <c r="BW13" s="100">
        <v>0</v>
      </c>
      <c r="BX13" s="100">
        <v>9</v>
      </c>
      <c r="BY13" s="100">
        <v>766.80000000000007</v>
      </c>
      <c r="BZ13" s="100">
        <v>9</v>
      </c>
      <c r="CA13" s="100">
        <v>766.80000000000007</v>
      </c>
      <c r="CB13" s="100">
        <v>10</v>
      </c>
      <c r="CC13" s="100">
        <v>852</v>
      </c>
      <c r="CD13" s="100">
        <v>12</v>
      </c>
      <c r="CE13" s="100">
        <v>1022.4000000000001</v>
      </c>
      <c r="CF13" s="100">
        <v>8</v>
      </c>
      <c r="CG13" s="100">
        <v>681.6</v>
      </c>
      <c r="CH13" s="100">
        <v>8</v>
      </c>
      <c r="CI13" s="100">
        <v>681.6</v>
      </c>
      <c r="CJ13" s="100">
        <v>5.8570823320642518</v>
      </c>
      <c r="CK13" s="100">
        <v>499.02341469187428</v>
      </c>
      <c r="CL13" s="100">
        <v>12</v>
      </c>
      <c r="CM13" s="100">
        <v>1022.4000000000001</v>
      </c>
      <c r="CN13" s="100">
        <v>7</v>
      </c>
      <c r="CO13" s="100">
        <v>596.4</v>
      </c>
      <c r="CP13" s="100">
        <v>8.7925438561147349</v>
      </c>
      <c r="CQ13" s="100">
        <v>749.12473654097539</v>
      </c>
      <c r="CR13" s="100">
        <v>7.6563144966584513</v>
      </c>
      <c r="CS13" s="100">
        <v>652.31799511530005</v>
      </c>
      <c r="CT13" s="100">
        <v>7</v>
      </c>
      <c r="CU13" s="100">
        <v>596.4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8</v>
      </c>
      <c r="G14" s="100">
        <v>3907.2</v>
      </c>
      <c r="H14" s="100">
        <v>8</v>
      </c>
      <c r="I14" s="100">
        <v>3907.2</v>
      </c>
      <c r="J14" s="100">
        <v>8</v>
      </c>
      <c r="K14" s="100">
        <v>3907.2</v>
      </c>
      <c r="L14" s="100">
        <v>11</v>
      </c>
      <c r="M14" s="100">
        <v>5372.4</v>
      </c>
      <c r="N14" s="100">
        <v>11</v>
      </c>
      <c r="O14" s="100">
        <v>5372.4</v>
      </c>
      <c r="P14" s="100">
        <v>8</v>
      </c>
      <c r="Q14" s="100">
        <v>3907.2</v>
      </c>
      <c r="R14" s="100">
        <v>9</v>
      </c>
      <c r="S14" s="100">
        <v>4395.5999999999995</v>
      </c>
      <c r="T14" s="100">
        <v>7</v>
      </c>
      <c r="U14" s="100">
        <v>3418.7999999999997</v>
      </c>
      <c r="V14" s="100">
        <v>10</v>
      </c>
      <c r="W14" s="100">
        <v>4884</v>
      </c>
      <c r="X14" s="100">
        <v>7</v>
      </c>
      <c r="Y14" s="100">
        <v>3418.7999999999997</v>
      </c>
      <c r="Z14" s="100">
        <v>7</v>
      </c>
      <c r="AA14" s="100">
        <v>3418.7999999999997</v>
      </c>
      <c r="AB14" s="100">
        <v>10</v>
      </c>
      <c r="AC14" s="100">
        <v>4884</v>
      </c>
      <c r="AD14" s="100">
        <v>6</v>
      </c>
      <c r="AE14" s="100">
        <v>2930.3999999999996</v>
      </c>
      <c r="AF14" s="100">
        <v>8.9771357177807367</v>
      </c>
      <c r="AG14" s="100">
        <v>4384.4330845641116</v>
      </c>
      <c r="AH14" s="100">
        <v>8</v>
      </c>
      <c r="AI14" s="100">
        <v>3907.2</v>
      </c>
      <c r="AJ14" s="100">
        <v>6.2471220217025154</v>
      </c>
      <c r="AK14" s="100">
        <v>3051.0943953995084</v>
      </c>
      <c r="AL14" s="100">
        <v>9</v>
      </c>
      <c r="AM14" s="100">
        <v>4395.5999999999995</v>
      </c>
      <c r="AN14" s="100">
        <v>6</v>
      </c>
      <c r="AO14" s="100">
        <v>2930.3999999999996</v>
      </c>
      <c r="AP14" s="100">
        <v>0.31183677220347866</v>
      </c>
      <c r="AQ14" s="100">
        <v>152.30107954417898</v>
      </c>
      <c r="AR14" s="100">
        <v>2.3216723380714674E-4</v>
      </c>
      <c r="AS14" s="100">
        <v>0.11339047699141046</v>
      </c>
      <c r="AT14" s="100">
        <v>1.9912056390355488E-4</v>
      </c>
      <c r="AU14" s="100">
        <v>9.7250483410496191E-2</v>
      </c>
      <c r="AV14" s="100">
        <v>6</v>
      </c>
      <c r="AW14" s="100">
        <v>2930.3999999999996</v>
      </c>
      <c r="AX14" s="100">
        <v>1.4304095037074049</v>
      </c>
      <c r="AY14" s="100">
        <v>698.61200161069655</v>
      </c>
      <c r="AZ14" s="100">
        <v>11</v>
      </c>
      <c r="BA14" s="100">
        <v>5372.4</v>
      </c>
      <c r="BB14" s="100">
        <v>8</v>
      </c>
      <c r="BC14" s="100">
        <v>3907.2</v>
      </c>
      <c r="BD14" s="100">
        <v>8</v>
      </c>
      <c r="BE14" s="100">
        <v>3907.2</v>
      </c>
      <c r="BF14" s="100">
        <v>11</v>
      </c>
      <c r="BG14" s="100">
        <v>5372.4</v>
      </c>
      <c r="BH14" s="100">
        <v>12</v>
      </c>
      <c r="BI14" s="100">
        <v>5860.7999999999993</v>
      </c>
      <c r="BJ14" s="100">
        <v>9</v>
      </c>
      <c r="BK14" s="100">
        <v>4395.5999999999995</v>
      </c>
      <c r="BL14" s="100">
        <v>8</v>
      </c>
      <c r="BM14" s="100">
        <v>3907.2</v>
      </c>
      <c r="BN14" s="100">
        <v>5.8804428131532225</v>
      </c>
      <c r="BO14" s="100">
        <v>2872.0082699440336</v>
      </c>
      <c r="BP14" s="100">
        <v>7</v>
      </c>
      <c r="BQ14" s="100">
        <v>3418.7999999999997</v>
      </c>
      <c r="BR14" s="100">
        <v>8</v>
      </c>
      <c r="BS14" s="100">
        <v>3907.2</v>
      </c>
      <c r="BT14" s="100">
        <v>9.8564989389211313</v>
      </c>
      <c r="BU14" s="100">
        <v>4813.9140817690804</v>
      </c>
      <c r="BV14" s="100">
        <v>0</v>
      </c>
      <c r="BW14" s="100">
        <v>0</v>
      </c>
      <c r="BX14" s="100">
        <v>10</v>
      </c>
      <c r="BY14" s="100">
        <v>4884</v>
      </c>
      <c r="BZ14" s="100">
        <v>9</v>
      </c>
      <c r="CA14" s="100">
        <v>4395.5999999999995</v>
      </c>
      <c r="CB14" s="100">
        <v>9</v>
      </c>
      <c r="CC14" s="100">
        <v>4395.5999999999995</v>
      </c>
      <c r="CD14" s="100">
        <v>14</v>
      </c>
      <c r="CE14" s="100">
        <v>6837.5999999999995</v>
      </c>
      <c r="CF14" s="100">
        <v>9</v>
      </c>
      <c r="CG14" s="100">
        <v>4395.5999999999995</v>
      </c>
      <c r="CH14" s="100">
        <v>8</v>
      </c>
      <c r="CI14" s="100">
        <v>3907.2</v>
      </c>
      <c r="CJ14" s="100">
        <v>5.8570823320642518</v>
      </c>
      <c r="CK14" s="100">
        <v>2860.5990109801805</v>
      </c>
      <c r="CL14" s="100">
        <v>10</v>
      </c>
      <c r="CM14" s="100">
        <v>4884</v>
      </c>
      <c r="CN14" s="100">
        <v>7</v>
      </c>
      <c r="CO14" s="100">
        <v>3418.7999999999997</v>
      </c>
      <c r="CP14" s="100">
        <v>8.7925438561147349</v>
      </c>
      <c r="CQ14" s="100">
        <v>4294.2784193264361</v>
      </c>
      <c r="CR14" s="100">
        <v>7.6563144966584513</v>
      </c>
      <c r="CS14" s="100">
        <v>3739.3440001679874</v>
      </c>
      <c r="CT14" s="100">
        <v>8</v>
      </c>
      <c r="CU14" s="100">
        <v>3907.2</v>
      </c>
    </row>
    <row r="15" spans="1:99">
      <c r="C15" s="99" t="s">
        <v>181</v>
      </c>
      <c r="D15" s="100">
        <v>6</v>
      </c>
      <c r="E15" s="100">
        <v>4579.2</v>
      </c>
      <c r="F15" s="100">
        <v>8</v>
      </c>
      <c r="G15" s="100">
        <v>6105.5999999999995</v>
      </c>
      <c r="H15" s="100">
        <v>9</v>
      </c>
      <c r="I15" s="100">
        <v>6868.7999999999993</v>
      </c>
      <c r="J15" s="100">
        <v>8</v>
      </c>
      <c r="K15" s="100">
        <v>6105.5999999999995</v>
      </c>
      <c r="L15" s="100">
        <v>10</v>
      </c>
      <c r="M15" s="100">
        <v>7631.9999999999991</v>
      </c>
      <c r="N15" s="100">
        <v>11</v>
      </c>
      <c r="O15" s="100">
        <v>8395.1999999999989</v>
      </c>
      <c r="P15" s="100">
        <v>8</v>
      </c>
      <c r="Q15" s="100">
        <v>6105.5999999999995</v>
      </c>
      <c r="R15" s="100">
        <v>10</v>
      </c>
      <c r="S15" s="100">
        <v>7631.9999999999991</v>
      </c>
      <c r="T15" s="100">
        <v>7</v>
      </c>
      <c r="U15" s="100">
        <v>5342.4</v>
      </c>
      <c r="V15" s="100">
        <v>9</v>
      </c>
      <c r="W15" s="100">
        <v>6868.7999999999993</v>
      </c>
      <c r="X15" s="100">
        <v>7</v>
      </c>
      <c r="Y15" s="100">
        <v>5342.4</v>
      </c>
      <c r="Z15" s="100">
        <v>8</v>
      </c>
      <c r="AA15" s="100">
        <v>6105.5999999999995</v>
      </c>
      <c r="AB15" s="100">
        <v>9</v>
      </c>
      <c r="AC15" s="100">
        <v>6868.7999999999993</v>
      </c>
      <c r="AD15" s="100">
        <v>6</v>
      </c>
      <c r="AE15" s="100">
        <v>4579.2</v>
      </c>
      <c r="AF15" s="100">
        <v>8.9771357177807367</v>
      </c>
      <c r="AG15" s="100">
        <v>6851.3499798102575</v>
      </c>
      <c r="AH15" s="100">
        <v>8</v>
      </c>
      <c r="AI15" s="100">
        <v>6105.5999999999995</v>
      </c>
      <c r="AJ15" s="100">
        <v>6.2471220217025154</v>
      </c>
      <c r="AK15" s="100">
        <v>4767.8035269633592</v>
      </c>
      <c r="AL15" s="100">
        <v>9</v>
      </c>
      <c r="AM15" s="100">
        <v>6868.7999999999993</v>
      </c>
      <c r="AN15" s="100">
        <v>6</v>
      </c>
      <c r="AO15" s="100">
        <v>4579.2</v>
      </c>
      <c r="AP15" s="100">
        <v>0.36380956757072513</v>
      </c>
      <c r="AQ15" s="100">
        <v>277.65946196997737</v>
      </c>
      <c r="AR15" s="100">
        <v>2.6118813803304006E-4</v>
      </c>
      <c r="AS15" s="100">
        <v>0.19933878694681614</v>
      </c>
      <c r="AT15" s="100">
        <v>1.9912056390355488E-4</v>
      </c>
      <c r="AU15" s="100">
        <v>0.15196881437119306</v>
      </c>
      <c r="AV15" s="100">
        <v>7</v>
      </c>
      <c r="AW15" s="100">
        <v>5342.4</v>
      </c>
      <c r="AX15" s="100">
        <v>1.4304095037074049</v>
      </c>
      <c r="AY15" s="100">
        <v>1091.6885332294914</v>
      </c>
      <c r="AZ15" s="100">
        <v>9</v>
      </c>
      <c r="BA15" s="100">
        <v>6868.7999999999993</v>
      </c>
      <c r="BB15" s="100">
        <v>8</v>
      </c>
      <c r="BC15" s="100">
        <v>6105.5999999999995</v>
      </c>
      <c r="BD15" s="100">
        <v>9</v>
      </c>
      <c r="BE15" s="100">
        <v>6868.7999999999993</v>
      </c>
      <c r="BF15" s="100">
        <v>11</v>
      </c>
      <c r="BG15" s="100">
        <v>8395.1999999999989</v>
      </c>
      <c r="BH15" s="100">
        <v>11</v>
      </c>
      <c r="BI15" s="100">
        <v>8395.1999999999989</v>
      </c>
      <c r="BJ15" s="100">
        <v>8</v>
      </c>
      <c r="BK15" s="100">
        <v>6105.5999999999995</v>
      </c>
      <c r="BL15" s="100">
        <v>9</v>
      </c>
      <c r="BM15" s="100">
        <v>6868.7999999999993</v>
      </c>
      <c r="BN15" s="100">
        <v>5.3458571028665656</v>
      </c>
      <c r="BO15" s="100">
        <v>4079.9581409077623</v>
      </c>
      <c r="BP15" s="100">
        <v>8</v>
      </c>
      <c r="BQ15" s="100">
        <v>6105.5999999999995</v>
      </c>
      <c r="BR15" s="100">
        <v>8</v>
      </c>
      <c r="BS15" s="100">
        <v>6105.5999999999995</v>
      </c>
      <c r="BT15" s="100">
        <v>10.752544297004869</v>
      </c>
      <c r="BU15" s="100">
        <v>8206.3418074741148</v>
      </c>
      <c r="BV15" s="100">
        <v>0</v>
      </c>
      <c r="BW15" s="100">
        <v>0</v>
      </c>
      <c r="BX15" s="100">
        <v>10</v>
      </c>
      <c r="BY15" s="100">
        <v>7631.9999999999991</v>
      </c>
      <c r="BZ15" s="100">
        <v>8</v>
      </c>
      <c r="CA15" s="100">
        <v>6105.5999999999995</v>
      </c>
      <c r="CB15" s="100">
        <v>9</v>
      </c>
      <c r="CC15" s="100">
        <v>6868.7999999999993</v>
      </c>
      <c r="CD15" s="100">
        <v>13</v>
      </c>
      <c r="CE15" s="100">
        <v>9921.5999999999985</v>
      </c>
      <c r="CF15" s="100">
        <v>8</v>
      </c>
      <c r="CG15" s="100">
        <v>6105.5999999999995</v>
      </c>
      <c r="CH15" s="100">
        <v>8</v>
      </c>
      <c r="CI15" s="100">
        <v>6105.5999999999995</v>
      </c>
      <c r="CJ15" s="100">
        <v>5.2062954062793345</v>
      </c>
      <c r="CK15" s="100">
        <v>3973.4446540723879</v>
      </c>
      <c r="CL15" s="100">
        <v>11</v>
      </c>
      <c r="CM15" s="100">
        <v>8395.1999999999989</v>
      </c>
      <c r="CN15" s="100">
        <v>7</v>
      </c>
      <c r="CO15" s="100">
        <v>5342.4</v>
      </c>
      <c r="CP15" s="100">
        <v>7.9132894705032601</v>
      </c>
      <c r="CQ15" s="100">
        <v>6039.4225238880872</v>
      </c>
      <c r="CR15" s="100">
        <v>7.6563144966584513</v>
      </c>
      <c r="CS15" s="100">
        <v>5843.29922384973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6</v>
      </c>
      <c r="E16" s="100">
        <v>2044.8000000000002</v>
      </c>
      <c r="F16" s="100">
        <v>8</v>
      </c>
      <c r="G16" s="100">
        <v>2726.4</v>
      </c>
      <c r="H16" s="100">
        <v>8</v>
      </c>
      <c r="I16" s="100">
        <v>2726.4</v>
      </c>
      <c r="J16" s="100">
        <v>7</v>
      </c>
      <c r="K16" s="100">
        <v>2385.6</v>
      </c>
      <c r="L16" s="100">
        <v>11</v>
      </c>
      <c r="M16" s="100">
        <v>3748.8</v>
      </c>
      <c r="N16" s="100">
        <v>11</v>
      </c>
      <c r="O16" s="100">
        <v>3748.8</v>
      </c>
      <c r="P16" s="100">
        <v>8</v>
      </c>
      <c r="Q16" s="100">
        <v>2726.4</v>
      </c>
      <c r="R16" s="100">
        <v>9</v>
      </c>
      <c r="S16" s="100">
        <v>3067.2000000000003</v>
      </c>
      <c r="T16" s="100">
        <v>7</v>
      </c>
      <c r="U16" s="100">
        <v>2385.6</v>
      </c>
      <c r="V16" s="100">
        <v>9</v>
      </c>
      <c r="W16" s="100">
        <v>3067.2000000000003</v>
      </c>
      <c r="X16" s="100">
        <v>6</v>
      </c>
      <c r="Y16" s="100">
        <v>2044.8000000000002</v>
      </c>
      <c r="Z16" s="100">
        <v>8</v>
      </c>
      <c r="AA16" s="100">
        <v>2726.4</v>
      </c>
      <c r="AB16" s="100">
        <v>8</v>
      </c>
      <c r="AC16" s="100">
        <v>2726.4</v>
      </c>
      <c r="AD16" s="100">
        <v>6</v>
      </c>
      <c r="AE16" s="100">
        <v>2044.8000000000002</v>
      </c>
      <c r="AF16" s="100">
        <v>8.9771357177807367</v>
      </c>
      <c r="AG16" s="100">
        <v>3059.4078526196754</v>
      </c>
      <c r="AH16" s="100">
        <v>8</v>
      </c>
      <c r="AI16" s="100">
        <v>2726.4</v>
      </c>
      <c r="AJ16" s="100">
        <v>6.2471220217025154</v>
      </c>
      <c r="AK16" s="100">
        <v>2129.0191849962175</v>
      </c>
      <c r="AL16" s="100">
        <v>10</v>
      </c>
      <c r="AM16" s="100">
        <v>3408</v>
      </c>
      <c r="AN16" s="100">
        <v>6</v>
      </c>
      <c r="AO16" s="100">
        <v>2044.8000000000002</v>
      </c>
      <c r="AP16" s="100">
        <v>0.31183677220347866</v>
      </c>
      <c r="AQ16" s="100">
        <v>106.27397196694554</v>
      </c>
      <c r="AR16" s="100">
        <v>2.6118813803304006E-4</v>
      </c>
      <c r="AS16" s="100">
        <v>8.9012917441660053E-2</v>
      </c>
      <c r="AT16" s="100">
        <v>1.9912056390355488E-4</v>
      </c>
      <c r="AU16" s="100">
        <v>6.7860288178331507E-2</v>
      </c>
      <c r="AV16" s="100">
        <v>7</v>
      </c>
      <c r="AW16" s="100">
        <v>2385.6</v>
      </c>
      <c r="AX16" s="100">
        <v>1.4304095037074049</v>
      </c>
      <c r="AY16" s="100">
        <v>487.48355886348361</v>
      </c>
      <c r="AZ16" s="100">
        <v>11</v>
      </c>
      <c r="BA16" s="100">
        <v>3748.8</v>
      </c>
      <c r="BB16" s="100">
        <v>8</v>
      </c>
      <c r="BC16" s="100">
        <v>2726.4</v>
      </c>
      <c r="BD16" s="100">
        <v>9</v>
      </c>
      <c r="BE16" s="100">
        <v>3067.2000000000003</v>
      </c>
      <c r="BF16" s="100">
        <v>10</v>
      </c>
      <c r="BG16" s="100">
        <v>3408</v>
      </c>
      <c r="BH16" s="100">
        <v>13</v>
      </c>
      <c r="BI16" s="100">
        <v>4430.4000000000005</v>
      </c>
      <c r="BJ16" s="100">
        <v>9</v>
      </c>
      <c r="BK16" s="100">
        <v>3067.2000000000003</v>
      </c>
      <c r="BL16" s="100">
        <v>8</v>
      </c>
      <c r="BM16" s="100">
        <v>2726.4</v>
      </c>
      <c r="BN16" s="100">
        <v>5.3458571028665656</v>
      </c>
      <c r="BO16" s="100">
        <v>1821.8681006569257</v>
      </c>
      <c r="BP16" s="100">
        <v>8</v>
      </c>
      <c r="BQ16" s="100">
        <v>2726.4</v>
      </c>
      <c r="BR16" s="100">
        <v>7</v>
      </c>
      <c r="BS16" s="100">
        <v>2385.6</v>
      </c>
      <c r="BT16" s="100">
        <v>11.648589655088609</v>
      </c>
      <c r="BU16" s="100">
        <v>3969.8393544541977</v>
      </c>
      <c r="BV16" s="100">
        <v>0</v>
      </c>
      <c r="BW16" s="100">
        <v>0</v>
      </c>
      <c r="BX16" s="100">
        <v>9</v>
      </c>
      <c r="BY16" s="100">
        <v>3067.2000000000003</v>
      </c>
      <c r="BZ16" s="100">
        <v>9</v>
      </c>
      <c r="CA16" s="100">
        <v>3067.2000000000003</v>
      </c>
      <c r="CB16" s="100">
        <v>9</v>
      </c>
      <c r="CC16" s="100">
        <v>3067.2000000000003</v>
      </c>
      <c r="CD16" s="100">
        <v>12</v>
      </c>
      <c r="CE16" s="100">
        <v>4089.6000000000004</v>
      </c>
      <c r="CF16" s="100">
        <v>9</v>
      </c>
      <c r="CG16" s="100">
        <v>3067.2000000000003</v>
      </c>
      <c r="CH16" s="100">
        <v>8</v>
      </c>
      <c r="CI16" s="100">
        <v>2726.4</v>
      </c>
      <c r="CJ16" s="100">
        <v>5.2062954062793345</v>
      </c>
      <c r="CK16" s="100">
        <v>1774.3054744599972</v>
      </c>
      <c r="CL16" s="100">
        <v>11</v>
      </c>
      <c r="CM16" s="100">
        <v>3748.8</v>
      </c>
      <c r="CN16" s="100">
        <v>8</v>
      </c>
      <c r="CO16" s="100">
        <v>2726.4</v>
      </c>
      <c r="CP16" s="100">
        <v>8.7925438561147349</v>
      </c>
      <c r="CQ16" s="100">
        <v>2996.4989461639016</v>
      </c>
      <c r="CR16" s="100">
        <v>9.1875773959901412</v>
      </c>
      <c r="CS16" s="100">
        <v>3131.1263765534404</v>
      </c>
      <c r="CT16" s="100">
        <v>9</v>
      </c>
      <c r="CU16" s="100">
        <v>3067.2000000000003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8</v>
      </c>
      <c r="G17" s="100">
        <v>3379.2</v>
      </c>
      <c r="H17" s="100">
        <v>10</v>
      </c>
      <c r="I17" s="100">
        <v>4224</v>
      </c>
      <c r="J17" s="100">
        <v>8</v>
      </c>
      <c r="K17" s="100">
        <v>3379.2</v>
      </c>
      <c r="L17" s="100">
        <v>10</v>
      </c>
      <c r="M17" s="100">
        <v>4224</v>
      </c>
      <c r="N17" s="100">
        <v>12</v>
      </c>
      <c r="O17" s="100">
        <v>5068.7999999999993</v>
      </c>
      <c r="P17" s="100">
        <v>8</v>
      </c>
      <c r="Q17" s="100">
        <v>3379.2</v>
      </c>
      <c r="R17" s="100">
        <v>11</v>
      </c>
      <c r="S17" s="100">
        <v>4646.3999999999996</v>
      </c>
      <c r="T17" s="100">
        <v>7</v>
      </c>
      <c r="U17" s="100">
        <v>2956.7999999999997</v>
      </c>
      <c r="V17" s="100">
        <v>9</v>
      </c>
      <c r="W17" s="100">
        <v>3801.6</v>
      </c>
      <c r="X17" s="100">
        <v>6</v>
      </c>
      <c r="Y17" s="100">
        <v>2534.3999999999996</v>
      </c>
      <c r="Z17" s="100">
        <v>7</v>
      </c>
      <c r="AA17" s="100">
        <v>2956.7999999999997</v>
      </c>
      <c r="AB17" s="100">
        <v>8</v>
      </c>
      <c r="AC17" s="100">
        <v>3379.2</v>
      </c>
      <c r="AD17" s="100">
        <v>5</v>
      </c>
      <c r="AE17" s="100">
        <v>2112</v>
      </c>
      <c r="AF17" s="100">
        <v>8.9771357177807367</v>
      </c>
      <c r="AG17" s="100">
        <v>3791.9421271905831</v>
      </c>
      <c r="AH17" s="100">
        <v>9</v>
      </c>
      <c r="AI17" s="100">
        <v>3801.6</v>
      </c>
      <c r="AJ17" s="100">
        <v>5.3546760186021558</v>
      </c>
      <c r="AK17" s="100">
        <v>2261.8151502575506</v>
      </c>
      <c r="AL17" s="100">
        <v>9</v>
      </c>
      <c r="AM17" s="100">
        <v>3801.6</v>
      </c>
      <c r="AN17" s="100">
        <v>6</v>
      </c>
      <c r="AO17" s="100">
        <v>2534.3999999999996</v>
      </c>
      <c r="AP17" s="100">
        <v>0.36380956757072513</v>
      </c>
      <c r="AQ17" s="100">
        <v>153.67316134187428</v>
      </c>
      <c r="AR17" s="100">
        <v>2.6118813803304006E-4</v>
      </c>
      <c r="AS17" s="100">
        <v>0.11032586950515612</v>
      </c>
      <c r="AT17" s="100">
        <v>1.9912056390355488E-4</v>
      </c>
      <c r="AU17" s="100">
        <v>8.4108526192861577E-2</v>
      </c>
      <c r="AV17" s="100">
        <v>7</v>
      </c>
      <c r="AW17" s="100">
        <v>2956.7999999999997</v>
      </c>
      <c r="AX17" s="100">
        <v>1.4304095037074049</v>
      </c>
      <c r="AY17" s="100">
        <v>604.20497436600783</v>
      </c>
      <c r="AZ17" s="100">
        <v>11</v>
      </c>
      <c r="BA17" s="100">
        <v>4646.3999999999996</v>
      </c>
      <c r="BB17" s="100">
        <v>8</v>
      </c>
      <c r="BC17" s="100">
        <v>3379.2</v>
      </c>
      <c r="BD17" s="100">
        <v>8</v>
      </c>
      <c r="BE17" s="100">
        <v>3379.2</v>
      </c>
      <c r="BF17" s="100">
        <v>10</v>
      </c>
      <c r="BG17" s="100">
        <v>4224</v>
      </c>
      <c r="BH17" s="100">
        <v>11</v>
      </c>
      <c r="BI17" s="100">
        <v>4646.3999999999996</v>
      </c>
      <c r="BJ17" s="100">
        <v>9</v>
      </c>
      <c r="BK17" s="100">
        <v>3801.6</v>
      </c>
      <c r="BL17" s="100">
        <v>8</v>
      </c>
      <c r="BM17" s="100">
        <v>3379.2</v>
      </c>
      <c r="BN17" s="100">
        <v>5.3458571028665656</v>
      </c>
      <c r="BO17" s="100">
        <v>2258.0900402508373</v>
      </c>
      <c r="BP17" s="100">
        <v>8</v>
      </c>
      <c r="BQ17" s="100">
        <v>3379.2</v>
      </c>
      <c r="BR17" s="100">
        <v>9</v>
      </c>
      <c r="BS17" s="100">
        <v>3801.6</v>
      </c>
      <c r="BT17" s="100">
        <v>9.8564989389211313</v>
      </c>
      <c r="BU17" s="100">
        <v>4163.3851518002857</v>
      </c>
      <c r="BV17" s="100">
        <v>0</v>
      </c>
      <c r="BW17" s="100">
        <v>0</v>
      </c>
      <c r="BX17" s="100">
        <v>10</v>
      </c>
      <c r="BY17" s="100">
        <v>4224</v>
      </c>
      <c r="BZ17" s="100">
        <v>8</v>
      </c>
      <c r="CA17" s="100">
        <v>3379.2</v>
      </c>
      <c r="CB17" s="100">
        <v>10</v>
      </c>
      <c r="CC17" s="100">
        <v>4224</v>
      </c>
      <c r="CD17" s="100">
        <v>13</v>
      </c>
      <c r="CE17" s="100">
        <v>5491.2</v>
      </c>
      <c r="CF17" s="100">
        <v>9</v>
      </c>
      <c r="CG17" s="100">
        <v>3801.6</v>
      </c>
      <c r="CH17" s="100">
        <v>9</v>
      </c>
      <c r="CI17" s="100">
        <v>3801.6</v>
      </c>
      <c r="CJ17" s="100">
        <v>5.8570823320642518</v>
      </c>
      <c r="CK17" s="100">
        <v>2474.0315770639399</v>
      </c>
      <c r="CL17" s="100">
        <v>12</v>
      </c>
      <c r="CM17" s="100">
        <v>5068.7999999999993</v>
      </c>
      <c r="CN17" s="100">
        <v>8</v>
      </c>
      <c r="CO17" s="100">
        <v>3379.2</v>
      </c>
      <c r="CP17" s="100">
        <v>9.6717982417262078</v>
      </c>
      <c r="CQ17" s="100">
        <v>4085.36757730515</v>
      </c>
      <c r="CR17" s="100">
        <v>8.4219459463242963</v>
      </c>
      <c r="CS17" s="100">
        <v>3557.4299677273825</v>
      </c>
      <c r="CT17" s="100">
        <v>8</v>
      </c>
      <c r="CU17" s="100">
        <v>3379.2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7</v>
      </c>
      <c r="G18" s="100">
        <v>4569.5999999999995</v>
      </c>
      <c r="H18" s="100">
        <v>9</v>
      </c>
      <c r="I18" s="100">
        <v>5875.2</v>
      </c>
      <c r="J18" s="100">
        <v>8</v>
      </c>
      <c r="K18" s="100">
        <v>5222.3999999999996</v>
      </c>
      <c r="L18" s="100">
        <v>11</v>
      </c>
      <c r="M18" s="100">
        <v>7180.7999999999993</v>
      </c>
      <c r="N18" s="100">
        <v>10</v>
      </c>
      <c r="O18" s="100">
        <v>6528</v>
      </c>
      <c r="P18" s="100">
        <v>7</v>
      </c>
      <c r="Q18" s="100">
        <v>4569.5999999999995</v>
      </c>
      <c r="R18" s="100">
        <v>9</v>
      </c>
      <c r="S18" s="100">
        <v>5875.2</v>
      </c>
      <c r="T18" s="100">
        <v>7</v>
      </c>
      <c r="U18" s="100">
        <v>4569.5999999999995</v>
      </c>
      <c r="V18" s="100">
        <v>10</v>
      </c>
      <c r="W18" s="100">
        <v>6528</v>
      </c>
      <c r="X18" s="100">
        <v>8</v>
      </c>
      <c r="Y18" s="100">
        <v>5222.3999999999996</v>
      </c>
      <c r="Z18" s="100">
        <v>7</v>
      </c>
      <c r="AA18" s="100">
        <v>4569.5999999999995</v>
      </c>
      <c r="AB18" s="100">
        <v>9</v>
      </c>
      <c r="AC18" s="100">
        <v>5875.2</v>
      </c>
      <c r="AD18" s="100">
        <v>5</v>
      </c>
      <c r="AE18" s="100">
        <v>3264</v>
      </c>
      <c r="AF18" s="100">
        <v>7.9796761935828773</v>
      </c>
      <c r="AG18" s="100">
        <v>5209.1326191709022</v>
      </c>
      <c r="AH18" s="100">
        <v>8</v>
      </c>
      <c r="AI18" s="100">
        <v>5222.3999999999996</v>
      </c>
      <c r="AJ18" s="100">
        <v>6.2471220217025154</v>
      </c>
      <c r="AK18" s="100">
        <v>4078.1212557674016</v>
      </c>
      <c r="AL18" s="100">
        <v>10</v>
      </c>
      <c r="AM18" s="100">
        <v>6528</v>
      </c>
      <c r="AN18" s="100">
        <v>6</v>
      </c>
      <c r="AO18" s="100">
        <v>3916.7999999999997</v>
      </c>
      <c r="AP18" s="100">
        <v>0.31183677220347866</v>
      </c>
      <c r="AQ18" s="100">
        <v>203.56704489443086</v>
      </c>
      <c r="AR18" s="100">
        <v>2.6118813803304006E-4</v>
      </c>
      <c r="AS18" s="100">
        <v>0.17050361650796853</v>
      </c>
      <c r="AT18" s="100">
        <v>1.9912056390355488E-4</v>
      </c>
      <c r="AU18" s="100">
        <v>0.12998590411624061</v>
      </c>
      <c r="AV18" s="100">
        <v>6</v>
      </c>
      <c r="AW18" s="100">
        <v>3916.7999999999997</v>
      </c>
      <c r="AX18" s="100">
        <v>1.4304095037074049</v>
      </c>
      <c r="AY18" s="100">
        <v>933.7713240201939</v>
      </c>
      <c r="AZ18" s="100">
        <v>11</v>
      </c>
      <c r="BA18" s="100">
        <v>7180.7999999999993</v>
      </c>
      <c r="BB18" s="100">
        <v>8</v>
      </c>
      <c r="BC18" s="100">
        <v>5222.3999999999996</v>
      </c>
      <c r="BD18" s="100">
        <v>8</v>
      </c>
      <c r="BE18" s="100">
        <v>5222.3999999999996</v>
      </c>
      <c r="BF18" s="100">
        <v>10</v>
      </c>
      <c r="BG18" s="100">
        <v>6528</v>
      </c>
      <c r="BH18" s="100">
        <v>11</v>
      </c>
      <c r="BI18" s="100">
        <v>7180.7999999999993</v>
      </c>
      <c r="BJ18" s="100">
        <v>8</v>
      </c>
      <c r="BK18" s="100">
        <v>5222.3999999999996</v>
      </c>
      <c r="BL18" s="100">
        <v>9</v>
      </c>
      <c r="BM18" s="100">
        <v>5875.2</v>
      </c>
      <c r="BN18" s="100">
        <v>5.3458571028665656</v>
      </c>
      <c r="BO18" s="100">
        <v>3489.7755167512937</v>
      </c>
      <c r="BP18" s="100">
        <v>8</v>
      </c>
      <c r="BQ18" s="100">
        <v>5222.3999999999996</v>
      </c>
      <c r="BR18" s="100">
        <v>7</v>
      </c>
      <c r="BS18" s="100">
        <v>4569.5999999999995</v>
      </c>
      <c r="BT18" s="100">
        <v>9.8564989389211313</v>
      </c>
      <c r="BU18" s="100">
        <v>6434.3225073277144</v>
      </c>
      <c r="BV18" s="100">
        <v>0</v>
      </c>
      <c r="BW18" s="100">
        <v>0</v>
      </c>
      <c r="BX18" s="100">
        <v>10</v>
      </c>
      <c r="BY18" s="100">
        <v>6528</v>
      </c>
      <c r="BZ18" s="100">
        <v>9</v>
      </c>
      <c r="CA18" s="100">
        <v>5875.2</v>
      </c>
      <c r="CB18" s="100">
        <v>9</v>
      </c>
      <c r="CC18" s="100">
        <v>5875.2</v>
      </c>
      <c r="CD18" s="100">
        <v>12</v>
      </c>
      <c r="CE18" s="100">
        <v>7833.5999999999995</v>
      </c>
      <c r="CF18" s="100">
        <v>8</v>
      </c>
      <c r="CG18" s="100">
        <v>5222.3999999999996</v>
      </c>
      <c r="CH18" s="100">
        <v>8</v>
      </c>
      <c r="CI18" s="100">
        <v>5222.3999999999996</v>
      </c>
      <c r="CJ18" s="100">
        <v>5.8570823320642518</v>
      </c>
      <c r="CK18" s="100">
        <v>3823.5033463715431</v>
      </c>
      <c r="CL18" s="100">
        <v>11</v>
      </c>
      <c r="CM18" s="100">
        <v>7180.7999999999993</v>
      </c>
      <c r="CN18" s="100">
        <v>7</v>
      </c>
      <c r="CO18" s="100">
        <v>4569.5999999999995</v>
      </c>
      <c r="CP18" s="100">
        <v>8.7925438561147349</v>
      </c>
      <c r="CQ18" s="100">
        <v>5739.7726292716989</v>
      </c>
      <c r="CR18" s="100">
        <v>7.6563144966584513</v>
      </c>
      <c r="CS18" s="100">
        <v>4998.0421034186365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6</v>
      </c>
      <c r="E19" s="100">
        <v>1980</v>
      </c>
      <c r="F19" s="100">
        <v>8</v>
      </c>
      <c r="G19" s="100">
        <v>2640</v>
      </c>
      <c r="H19" s="100">
        <v>10</v>
      </c>
      <c r="I19" s="100">
        <v>3300</v>
      </c>
      <c r="J19" s="100">
        <v>8</v>
      </c>
      <c r="K19" s="100">
        <v>2640</v>
      </c>
      <c r="L19" s="100">
        <v>10</v>
      </c>
      <c r="M19" s="100">
        <v>3300</v>
      </c>
      <c r="N19" s="100">
        <v>11</v>
      </c>
      <c r="O19" s="100">
        <v>3630</v>
      </c>
      <c r="P19" s="100">
        <v>8</v>
      </c>
      <c r="Q19" s="100">
        <v>2640</v>
      </c>
      <c r="R19" s="100">
        <v>11</v>
      </c>
      <c r="S19" s="100">
        <v>3630</v>
      </c>
      <c r="T19" s="100">
        <v>7</v>
      </c>
      <c r="U19" s="100">
        <v>2310</v>
      </c>
      <c r="V19" s="100">
        <v>10</v>
      </c>
      <c r="W19" s="100">
        <v>3300</v>
      </c>
      <c r="X19" s="100">
        <v>6</v>
      </c>
      <c r="Y19" s="100">
        <v>1980</v>
      </c>
      <c r="Z19" s="100">
        <v>7</v>
      </c>
      <c r="AA19" s="100">
        <v>2310</v>
      </c>
      <c r="AB19" s="100">
        <v>10</v>
      </c>
      <c r="AC19" s="100">
        <v>3300</v>
      </c>
      <c r="AD19" s="100">
        <v>6</v>
      </c>
      <c r="AE19" s="100">
        <v>1980</v>
      </c>
      <c r="AF19" s="100">
        <v>7.9796761935828773</v>
      </c>
      <c r="AG19" s="100">
        <v>2633.2931438823493</v>
      </c>
      <c r="AH19" s="100">
        <v>8</v>
      </c>
      <c r="AI19" s="100">
        <v>2640</v>
      </c>
      <c r="AJ19" s="100">
        <v>6.2471220217025154</v>
      </c>
      <c r="AK19" s="100">
        <v>2061.5502671618301</v>
      </c>
      <c r="AL19" s="100">
        <v>11</v>
      </c>
      <c r="AM19" s="100">
        <v>3630</v>
      </c>
      <c r="AN19" s="100">
        <v>7</v>
      </c>
      <c r="AO19" s="100">
        <v>2310</v>
      </c>
      <c r="AP19" s="100">
        <v>0.31183677220347866</v>
      </c>
      <c r="AQ19" s="100">
        <v>102.90613482714795</v>
      </c>
      <c r="AR19" s="100">
        <v>2.6118813803304006E-4</v>
      </c>
      <c r="AS19" s="100">
        <v>8.6192085550903214E-2</v>
      </c>
      <c r="AT19" s="100">
        <v>1.7067476906018988E-4</v>
      </c>
      <c r="AU19" s="100">
        <v>5.6322673789862658E-2</v>
      </c>
      <c r="AV19" s="100">
        <v>6</v>
      </c>
      <c r="AW19" s="100">
        <v>1980</v>
      </c>
      <c r="AX19" s="100">
        <v>1.6688110876586391</v>
      </c>
      <c r="AY19" s="100">
        <v>550.70765892735085</v>
      </c>
      <c r="AZ19" s="100">
        <v>11</v>
      </c>
      <c r="BA19" s="100">
        <v>3630</v>
      </c>
      <c r="BB19" s="100">
        <v>8</v>
      </c>
      <c r="BC19" s="100">
        <v>2640</v>
      </c>
      <c r="BD19" s="100">
        <v>9</v>
      </c>
      <c r="BE19" s="100">
        <v>2970</v>
      </c>
      <c r="BF19" s="100">
        <v>10</v>
      </c>
      <c r="BG19" s="100">
        <v>3300</v>
      </c>
      <c r="BH19" s="100">
        <v>12</v>
      </c>
      <c r="BI19" s="100">
        <v>3960</v>
      </c>
      <c r="BJ19" s="100">
        <v>9</v>
      </c>
      <c r="BK19" s="100">
        <v>2970</v>
      </c>
      <c r="BL19" s="100">
        <v>9</v>
      </c>
      <c r="BM19" s="100">
        <v>2970</v>
      </c>
      <c r="BN19" s="100">
        <v>6.4150285234398785</v>
      </c>
      <c r="BO19" s="100">
        <v>2116.9594127351597</v>
      </c>
      <c r="BP19" s="100">
        <v>8</v>
      </c>
      <c r="BQ19" s="100">
        <v>2640</v>
      </c>
      <c r="BR19" s="100">
        <v>8</v>
      </c>
      <c r="BS19" s="100">
        <v>2640</v>
      </c>
      <c r="BT19" s="100">
        <v>10.752544297004869</v>
      </c>
      <c r="BU19" s="100">
        <v>3548.3396180116069</v>
      </c>
      <c r="BV19" s="100">
        <v>0</v>
      </c>
      <c r="BW19" s="100">
        <v>0</v>
      </c>
      <c r="BX19" s="100">
        <v>10</v>
      </c>
      <c r="BY19" s="100">
        <v>3300</v>
      </c>
      <c r="BZ19" s="100">
        <v>8</v>
      </c>
      <c r="CA19" s="100">
        <v>2640</v>
      </c>
      <c r="CB19" s="100">
        <v>9</v>
      </c>
      <c r="CC19" s="100">
        <v>2970</v>
      </c>
      <c r="CD19" s="100">
        <v>13</v>
      </c>
      <c r="CE19" s="100">
        <v>4290</v>
      </c>
      <c r="CF19" s="100">
        <v>9</v>
      </c>
      <c r="CG19" s="100">
        <v>2970</v>
      </c>
      <c r="CH19" s="100">
        <v>8</v>
      </c>
      <c r="CI19" s="100">
        <v>2640</v>
      </c>
      <c r="CJ19" s="100">
        <v>5.8570823320642518</v>
      </c>
      <c r="CK19" s="100">
        <v>1932.8371695812032</v>
      </c>
      <c r="CL19" s="100">
        <v>10</v>
      </c>
      <c r="CM19" s="100">
        <v>3300</v>
      </c>
      <c r="CN19" s="100">
        <v>8</v>
      </c>
      <c r="CO19" s="100">
        <v>2640</v>
      </c>
      <c r="CP19" s="100">
        <v>8.7925438561147349</v>
      </c>
      <c r="CQ19" s="100">
        <v>2901.5394725178626</v>
      </c>
      <c r="CR19" s="100">
        <v>8.4219459463242963</v>
      </c>
      <c r="CS19" s="100">
        <v>2779.2421622870179</v>
      </c>
      <c r="CT19" s="100">
        <v>9</v>
      </c>
      <c r="CU19" s="100">
        <v>2970</v>
      </c>
    </row>
    <row r="20" spans="2:99">
      <c r="B20" s="99" t="s">
        <v>127</v>
      </c>
      <c r="C20" s="99" t="s">
        <v>186</v>
      </c>
      <c r="D20" s="100">
        <v>21</v>
      </c>
      <c r="E20" s="100">
        <v>6022.8</v>
      </c>
      <c r="F20" s="100">
        <v>15</v>
      </c>
      <c r="G20" s="100">
        <v>4302</v>
      </c>
      <c r="H20" s="100">
        <v>15</v>
      </c>
      <c r="I20" s="100">
        <v>4302</v>
      </c>
      <c r="J20" s="100">
        <v>22</v>
      </c>
      <c r="K20" s="100">
        <v>6309.6</v>
      </c>
      <c r="L20" s="100">
        <v>18</v>
      </c>
      <c r="M20" s="100">
        <v>5162.4000000000005</v>
      </c>
      <c r="N20" s="100">
        <v>14</v>
      </c>
      <c r="O20" s="100">
        <v>4015.2000000000003</v>
      </c>
      <c r="P20" s="100">
        <v>14</v>
      </c>
      <c r="Q20" s="100">
        <v>4015.2000000000003</v>
      </c>
      <c r="R20" s="100">
        <v>15</v>
      </c>
      <c r="S20" s="100">
        <v>4302</v>
      </c>
      <c r="T20" s="100">
        <v>13</v>
      </c>
      <c r="U20" s="100">
        <v>3728.4</v>
      </c>
      <c r="V20" s="100">
        <v>20</v>
      </c>
      <c r="W20" s="100">
        <v>5736</v>
      </c>
      <c r="X20" s="100">
        <v>16</v>
      </c>
      <c r="Y20" s="100">
        <v>4588.8</v>
      </c>
      <c r="Z20" s="100">
        <v>17</v>
      </c>
      <c r="AA20" s="100">
        <v>4875.6000000000004</v>
      </c>
      <c r="AB20" s="100">
        <v>10</v>
      </c>
      <c r="AC20" s="100">
        <v>2868</v>
      </c>
      <c r="AD20" s="100">
        <v>16</v>
      </c>
      <c r="AE20" s="100">
        <v>4588.8</v>
      </c>
      <c r="AF20" s="100">
        <v>12.966973814572174</v>
      </c>
      <c r="AG20" s="100">
        <v>3718.9280900192998</v>
      </c>
      <c r="AH20" s="100">
        <v>21</v>
      </c>
      <c r="AI20" s="100">
        <v>6022.8</v>
      </c>
      <c r="AJ20" s="100">
        <v>17.848920062007185</v>
      </c>
      <c r="AK20" s="100">
        <v>5119.0702737836609</v>
      </c>
      <c r="AL20" s="100">
        <v>19</v>
      </c>
      <c r="AM20" s="100">
        <v>5449.2</v>
      </c>
      <c r="AN20" s="100">
        <v>16</v>
      </c>
      <c r="AO20" s="100">
        <v>4588.8</v>
      </c>
      <c r="AP20" s="100">
        <v>0.8315647258759431</v>
      </c>
      <c r="AQ20" s="100">
        <v>238.4927633812205</v>
      </c>
      <c r="AR20" s="100">
        <v>4.062926591625068E-4</v>
      </c>
      <c r="AS20" s="100">
        <v>0.11652473464780695</v>
      </c>
      <c r="AT20" s="100">
        <v>4.266869226504747E-4</v>
      </c>
      <c r="AU20" s="100">
        <v>0.12237380941615615</v>
      </c>
      <c r="AV20" s="100">
        <v>15</v>
      </c>
      <c r="AW20" s="100">
        <v>4302</v>
      </c>
      <c r="AX20" s="100">
        <v>4.5296300950734487</v>
      </c>
      <c r="AY20" s="100">
        <v>1299.0979112670652</v>
      </c>
      <c r="AZ20" s="100">
        <v>13</v>
      </c>
      <c r="BA20" s="100">
        <v>3728.4</v>
      </c>
      <c r="BB20" s="100">
        <v>14</v>
      </c>
      <c r="BC20" s="100">
        <v>4015.2000000000003</v>
      </c>
      <c r="BD20" s="100">
        <v>17</v>
      </c>
      <c r="BE20" s="100">
        <v>4875.6000000000004</v>
      </c>
      <c r="BF20" s="100">
        <v>16</v>
      </c>
      <c r="BG20" s="100">
        <v>4588.8</v>
      </c>
      <c r="BH20" s="100">
        <v>18</v>
      </c>
      <c r="BI20" s="100">
        <v>5162.4000000000005</v>
      </c>
      <c r="BJ20" s="100">
        <v>21</v>
      </c>
      <c r="BK20" s="100">
        <v>6022.8</v>
      </c>
      <c r="BL20" s="100">
        <v>19</v>
      </c>
      <c r="BM20" s="100">
        <v>5449.2</v>
      </c>
      <c r="BN20" s="100">
        <v>7.4841999440131923</v>
      </c>
      <c r="BO20" s="100">
        <v>2146.4685439429836</v>
      </c>
      <c r="BP20" s="100">
        <v>15</v>
      </c>
      <c r="BQ20" s="100">
        <v>4302</v>
      </c>
      <c r="BR20" s="100">
        <v>19</v>
      </c>
      <c r="BS20" s="100">
        <v>5449.2</v>
      </c>
      <c r="BT20" s="100">
        <v>20.609043235926002</v>
      </c>
      <c r="BU20" s="100">
        <v>5910.6736000635774</v>
      </c>
      <c r="BV20" s="100">
        <v>0</v>
      </c>
      <c r="BW20" s="100">
        <v>0</v>
      </c>
      <c r="BX20" s="100">
        <v>20</v>
      </c>
      <c r="BY20" s="100">
        <v>5736</v>
      </c>
      <c r="BZ20" s="100">
        <v>16</v>
      </c>
      <c r="CA20" s="100">
        <v>4588.8</v>
      </c>
      <c r="CB20" s="100">
        <v>21</v>
      </c>
      <c r="CC20" s="100">
        <v>6022.8</v>
      </c>
      <c r="CD20" s="100">
        <v>15</v>
      </c>
      <c r="CE20" s="100">
        <v>4302</v>
      </c>
      <c r="CF20" s="100">
        <v>22</v>
      </c>
      <c r="CG20" s="100">
        <v>6309.6</v>
      </c>
      <c r="CH20" s="100">
        <v>16</v>
      </c>
      <c r="CI20" s="100">
        <v>4588.8</v>
      </c>
      <c r="CJ20" s="100">
        <v>11.714164664128504</v>
      </c>
      <c r="CK20" s="100">
        <v>3359.6224256720548</v>
      </c>
      <c r="CL20" s="100">
        <v>21</v>
      </c>
      <c r="CM20" s="100">
        <v>6022.8</v>
      </c>
      <c r="CN20" s="100">
        <v>22</v>
      </c>
      <c r="CO20" s="100">
        <v>6309.6</v>
      </c>
      <c r="CP20" s="100">
        <v>20.22285086906389</v>
      </c>
      <c r="CQ20" s="100">
        <v>5799.9136292475241</v>
      </c>
      <c r="CR20" s="100">
        <v>17.609523342314439</v>
      </c>
      <c r="CS20" s="100">
        <v>5050.4112945757815</v>
      </c>
      <c r="CT20" s="100">
        <v>24</v>
      </c>
      <c r="CU20" s="100">
        <v>6883.2000000000007</v>
      </c>
    </row>
    <row r="21" spans="2:99">
      <c r="C21" s="99" t="s">
        <v>187</v>
      </c>
      <c r="D21" s="100">
        <v>18</v>
      </c>
      <c r="E21" s="100">
        <v>1123.2</v>
      </c>
      <c r="F21" s="100">
        <v>15</v>
      </c>
      <c r="G21" s="100">
        <v>936</v>
      </c>
      <c r="H21" s="100">
        <v>16</v>
      </c>
      <c r="I21" s="100">
        <v>998.4</v>
      </c>
      <c r="J21" s="100">
        <v>20</v>
      </c>
      <c r="K21" s="100">
        <v>1248</v>
      </c>
      <c r="L21" s="100">
        <v>21</v>
      </c>
      <c r="M21" s="100">
        <v>1310.3999999999999</v>
      </c>
      <c r="N21" s="100">
        <v>14</v>
      </c>
      <c r="O21" s="100">
        <v>873.6</v>
      </c>
      <c r="P21" s="100">
        <v>14</v>
      </c>
      <c r="Q21" s="100">
        <v>873.6</v>
      </c>
      <c r="R21" s="100">
        <v>17</v>
      </c>
      <c r="S21" s="100">
        <v>1060.8</v>
      </c>
      <c r="T21" s="100">
        <v>12</v>
      </c>
      <c r="U21" s="100">
        <v>748.8</v>
      </c>
      <c r="V21" s="100">
        <v>19</v>
      </c>
      <c r="W21" s="100">
        <v>1185.5999999999999</v>
      </c>
      <c r="X21" s="100">
        <v>15</v>
      </c>
      <c r="Y21" s="100">
        <v>936</v>
      </c>
      <c r="Z21" s="100">
        <v>18</v>
      </c>
      <c r="AA21" s="100">
        <v>1123.2</v>
      </c>
      <c r="AB21" s="100">
        <v>12</v>
      </c>
      <c r="AC21" s="100">
        <v>748.8</v>
      </c>
      <c r="AD21" s="100">
        <v>17</v>
      </c>
      <c r="AE21" s="100">
        <v>1060.8</v>
      </c>
      <c r="AF21" s="100">
        <v>11.969514290374315</v>
      </c>
      <c r="AG21" s="100">
        <v>746.89769171935723</v>
      </c>
      <c r="AH21" s="100">
        <v>23</v>
      </c>
      <c r="AI21" s="100">
        <v>1435.2</v>
      </c>
      <c r="AJ21" s="100">
        <v>21.418704074408623</v>
      </c>
      <c r="AK21" s="100">
        <v>1336.5271342430981</v>
      </c>
      <c r="AL21" s="100">
        <v>20</v>
      </c>
      <c r="AM21" s="100">
        <v>1248</v>
      </c>
      <c r="AN21" s="100">
        <v>18</v>
      </c>
      <c r="AO21" s="100">
        <v>1123.2</v>
      </c>
      <c r="AP21" s="100">
        <v>0.88353752124318952</v>
      </c>
      <c r="AQ21" s="100">
        <v>55.132741325575026</v>
      </c>
      <c r="AR21" s="100">
        <v>4.3531356338840011E-4</v>
      </c>
      <c r="AS21" s="100">
        <v>2.7163566355436167E-2</v>
      </c>
      <c r="AT21" s="100">
        <v>4.551327174938397E-4</v>
      </c>
      <c r="AU21" s="100">
        <v>2.8400281571615598E-2</v>
      </c>
      <c r="AV21" s="100">
        <v>16</v>
      </c>
      <c r="AW21" s="100">
        <v>998.4</v>
      </c>
      <c r="AX21" s="100">
        <v>5.0064332629759178</v>
      </c>
      <c r="AY21" s="100">
        <v>312.40143560969727</v>
      </c>
      <c r="AZ21" s="100">
        <v>13</v>
      </c>
      <c r="BA21" s="100">
        <v>811.19999999999993</v>
      </c>
      <c r="BB21" s="100">
        <v>16</v>
      </c>
      <c r="BC21" s="100">
        <v>998.4</v>
      </c>
      <c r="BD21" s="100">
        <v>17</v>
      </c>
      <c r="BE21" s="100">
        <v>1060.8</v>
      </c>
      <c r="BF21" s="100">
        <v>16</v>
      </c>
      <c r="BG21" s="100">
        <v>998.4</v>
      </c>
      <c r="BH21" s="100">
        <v>19</v>
      </c>
      <c r="BI21" s="100">
        <v>1185.5999999999999</v>
      </c>
      <c r="BJ21" s="100">
        <v>20</v>
      </c>
      <c r="BK21" s="100">
        <v>1248</v>
      </c>
      <c r="BL21" s="100">
        <v>18</v>
      </c>
      <c r="BM21" s="100">
        <v>1123.2</v>
      </c>
      <c r="BN21" s="100">
        <v>8.0187856542998475</v>
      </c>
      <c r="BO21" s="100">
        <v>500.37222482831049</v>
      </c>
      <c r="BP21" s="100">
        <v>16</v>
      </c>
      <c r="BQ21" s="100">
        <v>998.4</v>
      </c>
      <c r="BR21" s="100">
        <v>22</v>
      </c>
      <c r="BS21" s="100">
        <v>1372.8</v>
      </c>
      <c r="BT21" s="100">
        <v>18.816952519758523</v>
      </c>
      <c r="BU21" s="100">
        <v>1174.1778372329318</v>
      </c>
      <c r="BV21" s="100">
        <v>0</v>
      </c>
      <c r="BW21" s="100">
        <v>0</v>
      </c>
      <c r="BX21" s="100">
        <v>20</v>
      </c>
      <c r="BY21" s="100">
        <v>1248</v>
      </c>
      <c r="BZ21" s="100">
        <v>16</v>
      </c>
      <c r="CA21" s="100">
        <v>998.4</v>
      </c>
      <c r="CB21" s="100">
        <v>21</v>
      </c>
      <c r="CC21" s="100">
        <v>1310.3999999999999</v>
      </c>
      <c r="CD21" s="100">
        <v>15</v>
      </c>
      <c r="CE21" s="100">
        <v>936</v>
      </c>
      <c r="CF21" s="100">
        <v>19</v>
      </c>
      <c r="CG21" s="100">
        <v>1185.5999999999999</v>
      </c>
      <c r="CH21" s="100">
        <v>14</v>
      </c>
      <c r="CI21" s="100">
        <v>873.6</v>
      </c>
      <c r="CJ21" s="100">
        <v>10.412590812558669</v>
      </c>
      <c r="CK21" s="100">
        <v>649.74566670366096</v>
      </c>
      <c r="CL21" s="100">
        <v>20</v>
      </c>
      <c r="CM21" s="100">
        <v>1248</v>
      </c>
      <c r="CN21" s="100">
        <v>24</v>
      </c>
      <c r="CO21" s="100">
        <v>1497.6</v>
      </c>
      <c r="CP21" s="100">
        <v>18.464342097840941</v>
      </c>
      <c r="CQ21" s="100">
        <v>1152.1749469052747</v>
      </c>
      <c r="CR21" s="100">
        <v>16.843891892648593</v>
      </c>
      <c r="CS21" s="100">
        <v>1051.0588541012721</v>
      </c>
      <c r="CT21" s="100">
        <v>22</v>
      </c>
      <c r="CU21" s="100">
        <v>1372.8</v>
      </c>
    </row>
    <row r="22" spans="2:99">
      <c r="C22" s="99" t="s">
        <v>188</v>
      </c>
      <c r="D22" s="100">
        <v>19</v>
      </c>
      <c r="E22" s="100">
        <v>3556.7999999999997</v>
      </c>
      <c r="F22" s="100">
        <v>16</v>
      </c>
      <c r="G22" s="100">
        <v>2995.2</v>
      </c>
      <c r="H22" s="100">
        <v>17</v>
      </c>
      <c r="I22" s="100">
        <v>3182.3999999999996</v>
      </c>
      <c r="J22" s="100">
        <v>18</v>
      </c>
      <c r="K22" s="100">
        <v>3369.6</v>
      </c>
      <c r="L22" s="100">
        <v>19</v>
      </c>
      <c r="M22" s="100">
        <v>3556.7999999999997</v>
      </c>
      <c r="N22" s="100">
        <v>14</v>
      </c>
      <c r="O22" s="100">
        <v>2620.7999999999997</v>
      </c>
      <c r="P22" s="100">
        <v>15</v>
      </c>
      <c r="Q22" s="100">
        <v>2808</v>
      </c>
      <c r="R22" s="100">
        <v>16</v>
      </c>
      <c r="S22" s="100">
        <v>2995.2</v>
      </c>
      <c r="T22" s="100">
        <v>12</v>
      </c>
      <c r="U22" s="100">
        <v>2246.3999999999996</v>
      </c>
      <c r="V22" s="100">
        <v>22</v>
      </c>
      <c r="W22" s="100">
        <v>4118.3999999999996</v>
      </c>
      <c r="X22" s="100">
        <v>14</v>
      </c>
      <c r="Y22" s="100">
        <v>2620.7999999999997</v>
      </c>
      <c r="Z22" s="100">
        <v>16</v>
      </c>
      <c r="AA22" s="100">
        <v>2995.2</v>
      </c>
      <c r="AB22" s="100">
        <v>11</v>
      </c>
      <c r="AC22" s="100">
        <v>2059.1999999999998</v>
      </c>
      <c r="AD22" s="100">
        <v>15</v>
      </c>
      <c r="AE22" s="100">
        <v>2808</v>
      </c>
      <c r="AF22" s="100">
        <v>13.964433338770034</v>
      </c>
      <c r="AG22" s="100">
        <v>2614.1419210177501</v>
      </c>
      <c r="AH22" s="100">
        <v>22</v>
      </c>
      <c r="AI22" s="100">
        <v>4118.3999999999996</v>
      </c>
      <c r="AJ22" s="100">
        <v>18.741366065107545</v>
      </c>
      <c r="AK22" s="100">
        <v>3508.3837273881322</v>
      </c>
      <c r="AL22" s="100">
        <v>19</v>
      </c>
      <c r="AM22" s="100">
        <v>3556.7999999999997</v>
      </c>
      <c r="AN22" s="100">
        <v>19</v>
      </c>
      <c r="AO22" s="100">
        <v>3556.7999999999997</v>
      </c>
      <c r="AP22" s="100">
        <v>0.77959193050869657</v>
      </c>
      <c r="AQ22" s="100">
        <v>145.939609391228</v>
      </c>
      <c r="AR22" s="100">
        <v>4.062926591625068E-4</v>
      </c>
      <c r="AS22" s="100">
        <v>7.6057985795221272E-2</v>
      </c>
      <c r="AT22" s="100">
        <v>4.8357851233720464E-4</v>
      </c>
      <c r="AU22" s="100">
        <v>9.0525897509524708E-2</v>
      </c>
      <c r="AV22" s="100">
        <v>14</v>
      </c>
      <c r="AW22" s="100">
        <v>2620.7999999999997</v>
      </c>
      <c r="AX22" s="100">
        <v>5.0064332629759178</v>
      </c>
      <c r="AY22" s="100">
        <v>937.20430682909171</v>
      </c>
      <c r="AZ22" s="100">
        <v>14</v>
      </c>
      <c r="BA22" s="100">
        <v>2620.7999999999997</v>
      </c>
      <c r="BB22" s="100">
        <v>16</v>
      </c>
      <c r="BC22" s="100">
        <v>2995.2</v>
      </c>
      <c r="BD22" s="100">
        <v>15</v>
      </c>
      <c r="BE22" s="100">
        <v>2808</v>
      </c>
      <c r="BF22" s="100">
        <v>17</v>
      </c>
      <c r="BG22" s="100">
        <v>3182.3999999999996</v>
      </c>
      <c r="BH22" s="100">
        <v>19</v>
      </c>
      <c r="BI22" s="100">
        <v>3556.7999999999997</v>
      </c>
      <c r="BJ22" s="100">
        <v>21</v>
      </c>
      <c r="BK22" s="100">
        <v>3931.2</v>
      </c>
      <c r="BL22" s="100">
        <v>18</v>
      </c>
      <c r="BM22" s="100">
        <v>3369.6</v>
      </c>
      <c r="BN22" s="100">
        <v>6.9496142337265354</v>
      </c>
      <c r="BO22" s="100">
        <v>1300.9677845536073</v>
      </c>
      <c r="BP22" s="100">
        <v>17</v>
      </c>
      <c r="BQ22" s="100">
        <v>3182.3999999999996</v>
      </c>
      <c r="BR22" s="100">
        <v>20</v>
      </c>
      <c r="BS22" s="100">
        <v>3744</v>
      </c>
      <c r="BT22" s="100">
        <v>21.505088594009738</v>
      </c>
      <c r="BU22" s="100">
        <v>4025.7525847986226</v>
      </c>
      <c r="BV22" s="100">
        <v>0</v>
      </c>
      <c r="BW22" s="100">
        <v>0</v>
      </c>
      <c r="BX22" s="100">
        <v>21</v>
      </c>
      <c r="BY22" s="100">
        <v>3931.2</v>
      </c>
      <c r="BZ22" s="100">
        <v>14</v>
      </c>
      <c r="CA22" s="100">
        <v>2620.7999999999997</v>
      </c>
      <c r="CB22" s="100">
        <v>19</v>
      </c>
      <c r="CC22" s="100">
        <v>3556.7999999999997</v>
      </c>
      <c r="CD22" s="100">
        <v>15</v>
      </c>
      <c r="CE22" s="100">
        <v>2808</v>
      </c>
      <c r="CF22" s="100">
        <v>20</v>
      </c>
      <c r="CG22" s="100">
        <v>3744</v>
      </c>
      <c r="CH22" s="100">
        <v>17</v>
      </c>
      <c r="CI22" s="100">
        <v>3182.3999999999996</v>
      </c>
      <c r="CJ22" s="100">
        <v>10.412590812558669</v>
      </c>
      <c r="CK22" s="100">
        <v>1949.2370001109828</v>
      </c>
      <c r="CL22" s="100">
        <v>18</v>
      </c>
      <c r="CM22" s="100">
        <v>3369.6</v>
      </c>
      <c r="CN22" s="100">
        <v>21</v>
      </c>
      <c r="CO22" s="100">
        <v>3931.2</v>
      </c>
      <c r="CP22" s="100">
        <v>17.58508771222947</v>
      </c>
      <c r="CQ22" s="100">
        <v>3291.9284197293564</v>
      </c>
      <c r="CR22" s="100">
        <v>16.078260442982746</v>
      </c>
      <c r="CS22" s="100">
        <v>3009.8503549263696</v>
      </c>
      <c r="CT22" s="100">
        <v>20</v>
      </c>
      <c r="CU22" s="100">
        <v>3744</v>
      </c>
    </row>
    <row r="23" spans="2:99">
      <c r="C23" s="99" t="s">
        <v>189</v>
      </c>
      <c r="D23" s="100">
        <v>18</v>
      </c>
      <c r="E23" s="100">
        <v>5292</v>
      </c>
      <c r="F23" s="100">
        <v>17</v>
      </c>
      <c r="G23" s="100">
        <v>4998</v>
      </c>
      <c r="H23" s="100">
        <v>18</v>
      </c>
      <c r="I23" s="100">
        <v>5292</v>
      </c>
      <c r="J23" s="100">
        <v>20</v>
      </c>
      <c r="K23" s="100">
        <v>5880</v>
      </c>
      <c r="L23" s="100">
        <v>19</v>
      </c>
      <c r="M23" s="100">
        <v>5586</v>
      </c>
      <c r="N23" s="100">
        <v>14</v>
      </c>
      <c r="O23" s="100">
        <v>4116</v>
      </c>
      <c r="P23" s="100">
        <v>14</v>
      </c>
      <c r="Q23" s="100">
        <v>4116</v>
      </c>
      <c r="R23" s="100">
        <v>15</v>
      </c>
      <c r="S23" s="100">
        <v>4410</v>
      </c>
      <c r="T23" s="100">
        <v>12</v>
      </c>
      <c r="U23" s="100">
        <v>3528</v>
      </c>
      <c r="V23" s="100">
        <v>21</v>
      </c>
      <c r="W23" s="100">
        <v>6174</v>
      </c>
      <c r="X23" s="100">
        <v>13</v>
      </c>
      <c r="Y23" s="100">
        <v>3822</v>
      </c>
      <c r="Z23" s="100">
        <v>17</v>
      </c>
      <c r="AA23" s="100">
        <v>4998</v>
      </c>
      <c r="AB23" s="100">
        <v>10</v>
      </c>
      <c r="AC23" s="100">
        <v>2940</v>
      </c>
      <c r="AD23" s="100">
        <v>14</v>
      </c>
      <c r="AE23" s="100">
        <v>4116</v>
      </c>
      <c r="AF23" s="100">
        <v>12.966973814572174</v>
      </c>
      <c r="AG23" s="100">
        <v>3812.2903014842191</v>
      </c>
      <c r="AH23" s="100">
        <v>23</v>
      </c>
      <c r="AI23" s="100">
        <v>6762</v>
      </c>
      <c r="AJ23" s="100">
        <v>17.848920062007185</v>
      </c>
      <c r="AK23" s="100">
        <v>5247.5824982301119</v>
      </c>
      <c r="AL23" s="100">
        <v>21</v>
      </c>
      <c r="AM23" s="100">
        <v>6174</v>
      </c>
      <c r="AN23" s="100">
        <v>18</v>
      </c>
      <c r="AO23" s="100">
        <v>5292</v>
      </c>
      <c r="AP23" s="100">
        <v>0.72761913514145027</v>
      </c>
      <c r="AQ23" s="100">
        <v>213.92002573158638</v>
      </c>
      <c r="AR23" s="100">
        <v>4.062926591625068E-4</v>
      </c>
      <c r="AS23" s="100">
        <v>0.119450041793777</v>
      </c>
      <c r="AT23" s="100">
        <v>4.551327174938397E-4</v>
      </c>
      <c r="AU23" s="100">
        <v>0.13380901894318886</v>
      </c>
      <c r="AV23" s="100">
        <v>15</v>
      </c>
      <c r="AW23" s="100">
        <v>4410</v>
      </c>
      <c r="AX23" s="100">
        <v>4.5296300950734487</v>
      </c>
      <c r="AY23" s="100">
        <v>1331.711247951594</v>
      </c>
      <c r="AZ23" s="100">
        <v>14</v>
      </c>
      <c r="BA23" s="100">
        <v>4116</v>
      </c>
      <c r="BB23" s="100">
        <v>14</v>
      </c>
      <c r="BC23" s="100">
        <v>4116</v>
      </c>
      <c r="BD23" s="100">
        <v>16</v>
      </c>
      <c r="BE23" s="100">
        <v>4704</v>
      </c>
      <c r="BF23" s="100">
        <v>15</v>
      </c>
      <c r="BG23" s="100">
        <v>4410</v>
      </c>
      <c r="BH23" s="100">
        <v>18</v>
      </c>
      <c r="BI23" s="100">
        <v>5292</v>
      </c>
      <c r="BJ23" s="100">
        <v>24</v>
      </c>
      <c r="BK23" s="100">
        <v>7056</v>
      </c>
      <c r="BL23" s="100">
        <v>18</v>
      </c>
      <c r="BM23" s="100">
        <v>5292</v>
      </c>
      <c r="BN23" s="100">
        <v>6.9496142337265354</v>
      </c>
      <c r="BO23" s="100">
        <v>2043.1865847156014</v>
      </c>
      <c r="BP23" s="100">
        <v>17</v>
      </c>
      <c r="BQ23" s="100">
        <v>4998</v>
      </c>
      <c r="BR23" s="100">
        <v>19</v>
      </c>
      <c r="BS23" s="100">
        <v>5586</v>
      </c>
      <c r="BT23" s="100">
        <v>21.505088594009738</v>
      </c>
      <c r="BU23" s="100">
        <v>6322.4960466388629</v>
      </c>
      <c r="BV23" s="100">
        <v>0</v>
      </c>
      <c r="BW23" s="100">
        <v>0</v>
      </c>
      <c r="BX23" s="100">
        <v>20</v>
      </c>
      <c r="BY23" s="100">
        <v>5880</v>
      </c>
      <c r="BZ23" s="100">
        <v>15</v>
      </c>
      <c r="CA23" s="100">
        <v>4410</v>
      </c>
      <c r="CB23" s="100">
        <v>21</v>
      </c>
      <c r="CC23" s="100">
        <v>6174</v>
      </c>
      <c r="CD23" s="100">
        <v>16</v>
      </c>
      <c r="CE23" s="100">
        <v>4704</v>
      </c>
      <c r="CF23" s="100">
        <v>20</v>
      </c>
      <c r="CG23" s="100">
        <v>5880</v>
      </c>
      <c r="CH23" s="100">
        <v>15</v>
      </c>
      <c r="CI23" s="100">
        <v>4410</v>
      </c>
      <c r="CJ23" s="100">
        <v>10.412590812558669</v>
      </c>
      <c r="CK23" s="100">
        <v>3061.3016988922486</v>
      </c>
      <c r="CL23" s="100">
        <v>21</v>
      </c>
      <c r="CM23" s="100">
        <v>6174</v>
      </c>
      <c r="CN23" s="100">
        <v>20</v>
      </c>
      <c r="CO23" s="100">
        <v>5880</v>
      </c>
      <c r="CP23" s="100">
        <v>19.343596483452416</v>
      </c>
      <c r="CQ23" s="100">
        <v>5687.01736613501</v>
      </c>
      <c r="CR23" s="100">
        <v>16.078260442982746</v>
      </c>
      <c r="CS23" s="100">
        <v>4727.008570236927</v>
      </c>
      <c r="CT23" s="100">
        <v>24</v>
      </c>
      <c r="CU23" s="100">
        <v>7056</v>
      </c>
    </row>
    <row r="24" spans="2:99">
      <c r="C24" s="99" t="s">
        <v>190</v>
      </c>
      <c r="D24" s="100">
        <v>20</v>
      </c>
      <c r="E24" s="100">
        <v>7344</v>
      </c>
      <c r="F24" s="100">
        <v>15</v>
      </c>
      <c r="G24" s="100">
        <v>5508</v>
      </c>
      <c r="H24" s="100">
        <v>15</v>
      </c>
      <c r="I24" s="100">
        <v>5508</v>
      </c>
      <c r="J24" s="100">
        <v>21</v>
      </c>
      <c r="K24" s="100">
        <v>7711.2</v>
      </c>
      <c r="L24" s="100">
        <v>19</v>
      </c>
      <c r="M24" s="100">
        <v>6976.8</v>
      </c>
      <c r="N24" s="100">
        <v>14</v>
      </c>
      <c r="O24" s="100">
        <v>5140.8</v>
      </c>
      <c r="P24" s="100">
        <v>16</v>
      </c>
      <c r="Q24" s="100">
        <v>5875.2</v>
      </c>
      <c r="R24" s="100">
        <v>15</v>
      </c>
      <c r="S24" s="100">
        <v>5508</v>
      </c>
      <c r="T24" s="100">
        <v>12</v>
      </c>
      <c r="U24" s="100">
        <v>4406.3999999999996</v>
      </c>
      <c r="V24" s="100">
        <v>21</v>
      </c>
      <c r="W24" s="100">
        <v>7711.2</v>
      </c>
      <c r="X24" s="100">
        <v>16</v>
      </c>
      <c r="Y24" s="100">
        <v>5875.2</v>
      </c>
      <c r="Z24" s="100">
        <v>17</v>
      </c>
      <c r="AA24" s="100">
        <v>6242.4</v>
      </c>
      <c r="AB24" s="100">
        <v>10</v>
      </c>
      <c r="AC24" s="100">
        <v>3672</v>
      </c>
      <c r="AD24" s="100">
        <v>17</v>
      </c>
      <c r="AE24" s="100">
        <v>6242.4</v>
      </c>
      <c r="AF24" s="100">
        <v>10.972054766176456</v>
      </c>
      <c r="AG24" s="100">
        <v>4028.9385101399944</v>
      </c>
      <c r="AH24" s="100">
        <v>20</v>
      </c>
      <c r="AI24" s="100">
        <v>7344</v>
      </c>
      <c r="AJ24" s="100">
        <v>20.526258071308263</v>
      </c>
      <c r="AK24" s="100">
        <v>7537.2419637843941</v>
      </c>
      <c r="AL24" s="100">
        <v>18</v>
      </c>
      <c r="AM24" s="100">
        <v>6609.5999999999995</v>
      </c>
      <c r="AN24" s="100">
        <v>18</v>
      </c>
      <c r="AO24" s="100">
        <v>6609.5999999999995</v>
      </c>
      <c r="AP24" s="100">
        <v>0.77959193050869657</v>
      </c>
      <c r="AQ24" s="100">
        <v>286.26615688279338</v>
      </c>
      <c r="AR24" s="100">
        <v>3.7727175493661348E-4</v>
      </c>
      <c r="AS24" s="100">
        <v>0.13853418841272447</v>
      </c>
      <c r="AT24" s="100">
        <v>4.551327174938397E-4</v>
      </c>
      <c r="AU24" s="100">
        <v>0.16712473386373794</v>
      </c>
      <c r="AV24" s="100">
        <v>17</v>
      </c>
      <c r="AW24" s="100">
        <v>6242.4</v>
      </c>
      <c r="AX24" s="100">
        <v>5.0064332629759178</v>
      </c>
      <c r="AY24" s="100">
        <v>1838.362294164757</v>
      </c>
      <c r="AZ24" s="100">
        <v>13</v>
      </c>
      <c r="BA24" s="100">
        <v>4773.5999999999995</v>
      </c>
      <c r="BB24" s="100">
        <v>15</v>
      </c>
      <c r="BC24" s="100">
        <v>5508</v>
      </c>
      <c r="BD24" s="100">
        <v>15</v>
      </c>
      <c r="BE24" s="100">
        <v>5508</v>
      </c>
      <c r="BF24" s="100">
        <v>14</v>
      </c>
      <c r="BG24" s="100">
        <v>5140.8</v>
      </c>
      <c r="BH24" s="100">
        <v>20</v>
      </c>
      <c r="BI24" s="100">
        <v>7344</v>
      </c>
      <c r="BJ24" s="100">
        <v>23</v>
      </c>
      <c r="BK24" s="100">
        <v>8445.6</v>
      </c>
      <c r="BL24" s="100">
        <v>19</v>
      </c>
      <c r="BM24" s="100">
        <v>6976.8</v>
      </c>
      <c r="BN24" s="100">
        <v>6.9496142337265354</v>
      </c>
      <c r="BO24" s="100">
        <v>2551.8983466243835</v>
      </c>
      <c r="BP24" s="100">
        <v>16</v>
      </c>
      <c r="BQ24" s="100">
        <v>5875.2</v>
      </c>
      <c r="BR24" s="100">
        <v>19</v>
      </c>
      <c r="BS24" s="100">
        <v>6976.8</v>
      </c>
      <c r="BT24" s="100">
        <v>18.816952519758523</v>
      </c>
      <c r="BU24" s="100">
        <v>6909.5849652553297</v>
      </c>
      <c r="BV24" s="100">
        <v>0</v>
      </c>
      <c r="BW24" s="100">
        <v>0</v>
      </c>
      <c r="BX24" s="100">
        <v>23</v>
      </c>
      <c r="BY24" s="100">
        <v>8445.6</v>
      </c>
      <c r="BZ24" s="100">
        <v>16</v>
      </c>
      <c r="CA24" s="100">
        <v>5875.2</v>
      </c>
      <c r="CB24" s="100">
        <v>20</v>
      </c>
      <c r="CC24" s="100">
        <v>7344</v>
      </c>
      <c r="CD24" s="100">
        <v>15</v>
      </c>
      <c r="CE24" s="100">
        <v>5508</v>
      </c>
      <c r="CF24" s="100">
        <v>21</v>
      </c>
      <c r="CG24" s="100">
        <v>7711.2</v>
      </c>
      <c r="CH24" s="100">
        <v>17</v>
      </c>
      <c r="CI24" s="100">
        <v>6242.4</v>
      </c>
      <c r="CJ24" s="100">
        <v>9.7618038867737535</v>
      </c>
      <c r="CK24" s="100">
        <v>3584.534387223322</v>
      </c>
      <c r="CL24" s="100">
        <v>19</v>
      </c>
      <c r="CM24" s="100">
        <v>6976.8</v>
      </c>
      <c r="CN24" s="100">
        <v>23</v>
      </c>
      <c r="CO24" s="100">
        <v>8445.6</v>
      </c>
      <c r="CP24" s="100">
        <v>18.464342097840941</v>
      </c>
      <c r="CQ24" s="100">
        <v>6780.1064183271938</v>
      </c>
      <c r="CR24" s="100">
        <v>18.375154791980282</v>
      </c>
      <c r="CS24" s="100">
        <v>6747.3568396151595</v>
      </c>
      <c r="CT24" s="100">
        <v>23</v>
      </c>
      <c r="CU24" s="100">
        <v>8445.6</v>
      </c>
    </row>
    <row r="25" spans="2:99">
      <c r="C25" s="99" t="s">
        <v>191</v>
      </c>
      <c r="D25" s="100">
        <v>18</v>
      </c>
      <c r="E25" s="100">
        <v>9547.1999999999989</v>
      </c>
      <c r="F25" s="100">
        <v>17</v>
      </c>
      <c r="G25" s="100">
        <v>9016.7999999999993</v>
      </c>
      <c r="H25" s="100">
        <v>17</v>
      </c>
      <c r="I25" s="100">
        <v>9016.7999999999993</v>
      </c>
      <c r="J25" s="100">
        <v>21</v>
      </c>
      <c r="K25" s="100">
        <v>11138.4</v>
      </c>
      <c r="L25" s="100">
        <v>19</v>
      </c>
      <c r="M25" s="100">
        <v>10077.6</v>
      </c>
      <c r="N25" s="100">
        <v>14</v>
      </c>
      <c r="O25" s="100">
        <v>7425.5999999999995</v>
      </c>
      <c r="P25" s="100">
        <v>14</v>
      </c>
      <c r="Q25" s="100">
        <v>7425.5999999999995</v>
      </c>
      <c r="R25" s="100">
        <v>16</v>
      </c>
      <c r="S25" s="100">
        <v>8486.4</v>
      </c>
      <c r="T25" s="100">
        <v>11</v>
      </c>
      <c r="U25" s="100">
        <v>5834.4</v>
      </c>
      <c r="V25" s="100">
        <v>22</v>
      </c>
      <c r="W25" s="100">
        <v>11668.8</v>
      </c>
      <c r="X25" s="100">
        <v>14</v>
      </c>
      <c r="Y25" s="100">
        <v>7425.5999999999995</v>
      </c>
      <c r="Z25" s="100">
        <v>16</v>
      </c>
      <c r="AA25" s="100">
        <v>8486.4</v>
      </c>
      <c r="AB25" s="100">
        <v>10</v>
      </c>
      <c r="AC25" s="100">
        <v>5304</v>
      </c>
      <c r="AD25" s="100">
        <v>16</v>
      </c>
      <c r="AE25" s="100">
        <v>8486.4</v>
      </c>
      <c r="AF25" s="100">
        <v>11.969514290374315</v>
      </c>
      <c r="AG25" s="100">
        <v>6348.6303796145367</v>
      </c>
      <c r="AH25" s="100">
        <v>20</v>
      </c>
      <c r="AI25" s="100">
        <v>10608</v>
      </c>
      <c r="AJ25" s="100">
        <v>17.848920062007185</v>
      </c>
      <c r="AK25" s="100">
        <v>9467.0672008886104</v>
      </c>
      <c r="AL25" s="100">
        <v>18</v>
      </c>
      <c r="AM25" s="100">
        <v>9547.1999999999989</v>
      </c>
      <c r="AN25" s="100">
        <v>17</v>
      </c>
      <c r="AO25" s="100">
        <v>9016.7999999999993</v>
      </c>
      <c r="AP25" s="100">
        <v>0.77959193050869657</v>
      </c>
      <c r="AQ25" s="100">
        <v>413.49555994181264</v>
      </c>
      <c r="AR25" s="100">
        <v>4.3531356338840011E-4</v>
      </c>
      <c r="AS25" s="100">
        <v>0.23089031402120741</v>
      </c>
      <c r="AT25" s="100">
        <v>4.551327174938397E-4</v>
      </c>
      <c r="AU25" s="100">
        <v>0.24140239335873256</v>
      </c>
      <c r="AV25" s="100">
        <v>14</v>
      </c>
      <c r="AW25" s="100">
        <v>7425.5999999999995</v>
      </c>
      <c r="AX25" s="100">
        <v>5.2448348469271515</v>
      </c>
      <c r="AY25" s="100">
        <v>2781.8604028101608</v>
      </c>
      <c r="AZ25" s="100">
        <v>12</v>
      </c>
      <c r="BA25" s="100">
        <v>6364.7999999999993</v>
      </c>
      <c r="BB25" s="100">
        <v>16</v>
      </c>
      <c r="BC25" s="100">
        <v>8486.4</v>
      </c>
      <c r="BD25" s="100">
        <v>16</v>
      </c>
      <c r="BE25" s="100">
        <v>8486.4</v>
      </c>
      <c r="BF25" s="100">
        <v>14</v>
      </c>
      <c r="BG25" s="100">
        <v>7425.5999999999995</v>
      </c>
      <c r="BH25" s="100">
        <v>18</v>
      </c>
      <c r="BI25" s="100">
        <v>9547.1999999999989</v>
      </c>
      <c r="BJ25" s="100">
        <v>21</v>
      </c>
      <c r="BK25" s="100">
        <v>11138.4</v>
      </c>
      <c r="BL25" s="100">
        <v>17</v>
      </c>
      <c r="BM25" s="100">
        <v>9016.7999999999993</v>
      </c>
      <c r="BN25" s="100">
        <v>6.4150285234398785</v>
      </c>
      <c r="BO25" s="100">
        <v>3402.5311288325115</v>
      </c>
      <c r="BP25" s="100">
        <v>15</v>
      </c>
      <c r="BQ25" s="100">
        <v>7956</v>
      </c>
      <c r="BR25" s="100">
        <v>19</v>
      </c>
      <c r="BS25" s="100">
        <v>10077.6</v>
      </c>
      <c r="BT25" s="100">
        <v>21.505088594009738</v>
      </c>
      <c r="BU25" s="100">
        <v>11406.298990262765</v>
      </c>
      <c r="BV25" s="100">
        <v>0</v>
      </c>
      <c r="BW25" s="100">
        <v>0</v>
      </c>
      <c r="BX25" s="100">
        <v>22</v>
      </c>
      <c r="BY25" s="100">
        <v>11668.8</v>
      </c>
      <c r="BZ25" s="100">
        <v>15</v>
      </c>
      <c r="CA25" s="100">
        <v>7956</v>
      </c>
      <c r="CB25" s="100">
        <v>19</v>
      </c>
      <c r="CC25" s="100">
        <v>10077.6</v>
      </c>
      <c r="CD25" s="100">
        <v>15</v>
      </c>
      <c r="CE25" s="100">
        <v>7956</v>
      </c>
      <c r="CF25" s="100">
        <v>22</v>
      </c>
      <c r="CG25" s="100">
        <v>11668.8</v>
      </c>
      <c r="CH25" s="100">
        <v>13</v>
      </c>
      <c r="CI25" s="100">
        <v>6895.2</v>
      </c>
      <c r="CJ25" s="100">
        <v>11.063377738343588</v>
      </c>
      <c r="CK25" s="100">
        <v>5868.0155524174388</v>
      </c>
      <c r="CL25" s="100">
        <v>19</v>
      </c>
      <c r="CM25" s="100">
        <v>10077.6</v>
      </c>
      <c r="CN25" s="100">
        <v>22</v>
      </c>
      <c r="CO25" s="100">
        <v>11668.8</v>
      </c>
      <c r="CP25" s="100">
        <v>18.464342097840941</v>
      </c>
      <c r="CQ25" s="100">
        <v>9793.4870486948348</v>
      </c>
      <c r="CR25" s="100">
        <v>16.078260442982746</v>
      </c>
      <c r="CS25" s="100">
        <v>8527.9093389580485</v>
      </c>
      <c r="CT25" s="100">
        <v>23</v>
      </c>
      <c r="CU25" s="100">
        <v>12199.199999999999</v>
      </c>
    </row>
    <row r="26" spans="2:99">
      <c r="C26" s="99" t="s">
        <v>192</v>
      </c>
      <c r="D26" s="100">
        <v>19</v>
      </c>
      <c r="E26" s="100">
        <v>9234</v>
      </c>
      <c r="F26" s="100">
        <v>17</v>
      </c>
      <c r="G26" s="100">
        <v>8262</v>
      </c>
      <c r="H26" s="100">
        <v>16</v>
      </c>
      <c r="I26" s="100">
        <v>7776</v>
      </c>
      <c r="J26" s="100">
        <v>21</v>
      </c>
      <c r="K26" s="100">
        <v>10206</v>
      </c>
      <c r="L26" s="100">
        <v>20</v>
      </c>
      <c r="M26" s="100">
        <v>9720</v>
      </c>
      <c r="N26" s="100">
        <v>14</v>
      </c>
      <c r="O26" s="100">
        <v>6804</v>
      </c>
      <c r="P26" s="100">
        <v>15</v>
      </c>
      <c r="Q26" s="100">
        <v>7290</v>
      </c>
      <c r="R26" s="100">
        <v>15</v>
      </c>
      <c r="S26" s="100">
        <v>7290</v>
      </c>
      <c r="T26" s="100">
        <v>12</v>
      </c>
      <c r="U26" s="100">
        <v>5832</v>
      </c>
      <c r="V26" s="100">
        <v>19</v>
      </c>
      <c r="W26" s="100">
        <v>9234</v>
      </c>
      <c r="X26" s="100">
        <v>14</v>
      </c>
      <c r="Y26" s="100">
        <v>6804</v>
      </c>
      <c r="Z26" s="100">
        <v>16</v>
      </c>
      <c r="AA26" s="100">
        <v>7776</v>
      </c>
      <c r="AB26" s="100">
        <v>10</v>
      </c>
      <c r="AC26" s="100">
        <v>4860</v>
      </c>
      <c r="AD26" s="100">
        <v>17</v>
      </c>
      <c r="AE26" s="100">
        <v>8262</v>
      </c>
      <c r="AF26" s="100">
        <v>12.966973814572174</v>
      </c>
      <c r="AG26" s="100">
        <v>6301.9492738820763</v>
      </c>
      <c r="AH26" s="100">
        <v>22</v>
      </c>
      <c r="AI26" s="100">
        <v>10692</v>
      </c>
      <c r="AJ26" s="100">
        <v>17.848920062007185</v>
      </c>
      <c r="AK26" s="100">
        <v>8674.5751501354916</v>
      </c>
      <c r="AL26" s="100">
        <v>18</v>
      </c>
      <c r="AM26" s="100">
        <v>8748</v>
      </c>
      <c r="AN26" s="100">
        <v>18</v>
      </c>
      <c r="AO26" s="100">
        <v>8748</v>
      </c>
      <c r="AP26" s="100">
        <v>0.77959193050869657</v>
      </c>
      <c r="AQ26" s="100">
        <v>378.88167822722653</v>
      </c>
      <c r="AR26" s="100">
        <v>4.062926591625068E-4</v>
      </c>
      <c r="AS26" s="100">
        <v>0.1974582323529783</v>
      </c>
      <c r="AT26" s="100">
        <v>4.266869226504747E-4</v>
      </c>
      <c r="AU26" s="100">
        <v>0.20736984440813069</v>
      </c>
      <c r="AV26" s="100">
        <v>15</v>
      </c>
      <c r="AW26" s="100">
        <v>7290</v>
      </c>
      <c r="AX26" s="100">
        <v>5.0064332629759178</v>
      </c>
      <c r="AY26" s="100">
        <v>2433.1265658062962</v>
      </c>
      <c r="AZ26" s="100">
        <v>13</v>
      </c>
      <c r="BA26" s="100">
        <v>6318</v>
      </c>
      <c r="BB26" s="100">
        <v>15</v>
      </c>
      <c r="BC26" s="100">
        <v>7290</v>
      </c>
      <c r="BD26" s="100">
        <v>16</v>
      </c>
      <c r="BE26" s="100">
        <v>7776</v>
      </c>
      <c r="BF26" s="100">
        <v>16</v>
      </c>
      <c r="BG26" s="100">
        <v>7776</v>
      </c>
      <c r="BH26" s="100">
        <v>18</v>
      </c>
      <c r="BI26" s="100">
        <v>8748</v>
      </c>
      <c r="BJ26" s="100">
        <v>22</v>
      </c>
      <c r="BK26" s="100">
        <v>10692</v>
      </c>
      <c r="BL26" s="100">
        <v>18</v>
      </c>
      <c r="BM26" s="100">
        <v>8748</v>
      </c>
      <c r="BN26" s="100">
        <v>6.4150285234398785</v>
      </c>
      <c r="BO26" s="100">
        <v>3117.7038623917811</v>
      </c>
      <c r="BP26" s="100">
        <v>17</v>
      </c>
      <c r="BQ26" s="100">
        <v>8262</v>
      </c>
      <c r="BR26" s="100">
        <v>19</v>
      </c>
      <c r="BS26" s="100">
        <v>9234</v>
      </c>
      <c r="BT26" s="100">
        <v>18.816952519758523</v>
      </c>
      <c r="BU26" s="100">
        <v>9145.0389246026425</v>
      </c>
      <c r="BV26" s="100">
        <v>0</v>
      </c>
      <c r="BW26" s="100">
        <v>0</v>
      </c>
      <c r="BX26" s="100">
        <v>19</v>
      </c>
      <c r="BY26" s="100">
        <v>9234</v>
      </c>
      <c r="BZ26" s="100">
        <v>16</v>
      </c>
      <c r="CA26" s="100">
        <v>7776</v>
      </c>
      <c r="CB26" s="100">
        <v>18</v>
      </c>
      <c r="CC26" s="100">
        <v>8748</v>
      </c>
      <c r="CD26" s="100">
        <v>16</v>
      </c>
      <c r="CE26" s="100">
        <v>7776</v>
      </c>
      <c r="CF26" s="100">
        <v>20</v>
      </c>
      <c r="CG26" s="100">
        <v>9720</v>
      </c>
      <c r="CH26" s="100">
        <v>14</v>
      </c>
      <c r="CI26" s="100">
        <v>6804</v>
      </c>
      <c r="CJ26" s="100">
        <v>9.7618038867737535</v>
      </c>
      <c r="CK26" s="100">
        <v>4744.2366889720442</v>
      </c>
      <c r="CL26" s="100">
        <v>19</v>
      </c>
      <c r="CM26" s="100">
        <v>9234</v>
      </c>
      <c r="CN26" s="100">
        <v>22</v>
      </c>
      <c r="CO26" s="100">
        <v>10692</v>
      </c>
      <c r="CP26" s="100">
        <v>20.22285086906389</v>
      </c>
      <c r="CQ26" s="100">
        <v>9828.3055223650499</v>
      </c>
      <c r="CR26" s="100">
        <v>16.843891892648593</v>
      </c>
      <c r="CS26" s="100">
        <v>8186.1314598272156</v>
      </c>
      <c r="CT26" s="100">
        <v>20</v>
      </c>
      <c r="CU26" s="100">
        <v>9720</v>
      </c>
    </row>
    <row r="27" spans="2:99">
      <c r="C27" s="99" t="s">
        <v>193</v>
      </c>
      <c r="D27" s="100">
        <v>21</v>
      </c>
      <c r="E27" s="100">
        <v>8971.1999999999989</v>
      </c>
      <c r="F27" s="100">
        <v>16</v>
      </c>
      <c r="G27" s="100">
        <v>6835.2</v>
      </c>
      <c r="H27" s="100">
        <v>16</v>
      </c>
      <c r="I27" s="100">
        <v>6835.2</v>
      </c>
      <c r="J27" s="100">
        <v>18</v>
      </c>
      <c r="K27" s="100">
        <v>7689.5999999999995</v>
      </c>
      <c r="L27" s="100">
        <v>18</v>
      </c>
      <c r="M27" s="100">
        <v>7689.5999999999995</v>
      </c>
      <c r="N27" s="100">
        <v>15</v>
      </c>
      <c r="O27" s="100">
        <v>6408</v>
      </c>
      <c r="P27" s="100">
        <v>14</v>
      </c>
      <c r="Q27" s="100">
        <v>5980.8</v>
      </c>
      <c r="R27" s="100">
        <v>17</v>
      </c>
      <c r="S27" s="100">
        <v>7262.4</v>
      </c>
      <c r="T27" s="100">
        <v>13</v>
      </c>
      <c r="U27" s="100">
        <v>5553.5999999999995</v>
      </c>
      <c r="V27" s="100">
        <v>22</v>
      </c>
      <c r="W27" s="100">
        <v>9398.4</v>
      </c>
      <c r="X27" s="100">
        <v>16</v>
      </c>
      <c r="Y27" s="100">
        <v>6835.2</v>
      </c>
      <c r="Z27" s="100">
        <v>17</v>
      </c>
      <c r="AA27" s="100">
        <v>7262.4</v>
      </c>
      <c r="AB27" s="100">
        <v>12</v>
      </c>
      <c r="AC27" s="100">
        <v>5126.3999999999996</v>
      </c>
      <c r="AD27" s="100">
        <v>15</v>
      </c>
      <c r="AE27" s="100">
        <v>6408</v>
      </c>
      <c r="AF27" s="100">
        <v>11.969514290374315</v>
      </c>
      <c r="AG27" s="100">
        <v>5113.3765048479072</v>
      </c>
      <c r="AH27" s="100">
        <v>23</v>
      </c>
      <c r="AI27" s="100">
        <v>9825.6</v>
      </c>
      <c r="AJ27" s="100">
        <v>20.526258071308263</v>
      </c>
      <c r="AK27" s="100">
        <v>8768.8174480628895</v>
      </c>
      <c r="AL27" s="100">
        <v>18</v>
      </c>
      <c r="AM27" s="100">
        <v>7689.5999999999995</v>
      </c>
      <c r="AN27" s="100">
        <v>17</v>
      </c>
      <c r="AO27" s="100">
        <v>7262.4</v>
      </c>
      <c r="AP27" s="100">
        <v>0.72761913514145027</v>
      </c>
      <c r="AQ27" s="100">
        <v>310.83889453242756</v>
      </c>
      <c r="AR27" s="100">
        <v>4.062926591625068E-4</v>
      </c>
      <c r="AS27" s="100">
        <v>0.17356822399422289</v>
      </c>
      <c r="AT27" s="100">
        <v>4.266869226504747E-4</v>
      </c>
      <c r="AU27" s="100">
        <v>0.1822806533562828</v>
      </c>
      <c r="AV27" s="100">
        <v>16</v>
      </c>
      <c r="AW27" s="100">
        <v>6835.2</v>
      </c>
      <c r="AX27" s="100">
        <v>5.0064332629759178</v>
      </c>
      <c r="AY27" s="100">
        <v>2138.7482899433121</v>
      </c>
      <c r="AZ27" s="100">
        <v>13</v>
      </c>
      <c r="BA27" s="100">
        <v>5553.5999999999995</v>
      </c>
      <c r="BB27" s="100">
        <v>16</v>
      </c>
      <c r="BC27" s="100">
        <v>6835.2</v>
      </c>
      <c r="BD27" s="100">
        <v>17</v>
      </c>
      <c r="BE27" s="100">
        <v>7262.4</v>
      </c>
      <c r="BF27" s="100">
        <v>16</v>
      </c>
      <c r="BG27" s="100">
        <v>6835.2</v>
      </c>
      <c r="BH27" s="100">
        <v>19</v>
      </c>
      <c r="BI27" s="100">
        <v>8116.8</v>
      </c>
      <c r="BJ27" s="100">
        <v>24</v>
      </c>
      <c r="BK27" s="100">
        <v>10252.799999999999</v>
      </c>
      <c r="BL27" s="100">
        <v>20</v>
      </c>
      <c r="BM27" s="100">
        <v>8544</v>
      </c>
      <c r="BN27" s="100">
        <v>6.9496142337265354</v>
      </c>
      <c r="BO27" s="100">
        <v>2968.8752006479758</v>
      </c>
      <c r="BP27" s="100">
        <v>16</v>
      </c>
      <c r="BQ27" s="100">
        <v>6835.2</v>
      </c>
      <c r="BR27" s="100">
        <v>22</v>
      </c>
      <c r="BS27" s="100">
        <v>9398.4</v>
      </c>
      <c r="BT27" s="100">
        <v>19.712997877842263</v>
      </c>
      <c r="BU27" s="100">
        <v>8421.3926934142146</v>
      </c>
      <c r="BV27" s="100">
        <v>0</v>
      </c>
      <c r="BW27" s="100">
        <v>0</v>
      </c>
      <c r="BX27" s="100">
        <v>23</v>
      </c>
      <c r="BY27" s="100">
        <v>9825.6</v>
      </c>
      <c r="BZ27" s="100">
        <v>15</v>
      </c>
      <c r="CA27" s="100">
        <v>6408</v>
      </c>
      <c r="CB27" s="100">
        <v>19</v>
      </c>
      <c r="CC27" s="100">
        <v>8116.8</v>
      </c>
      <c r="CD27" s="100">
        <v>14</v>
      </c>
      <c r="CE27" s="100">
        <v>5980.8</v>
      </c>
      <c r="CF27" s="100">
        <v>21</v>
      </c>
      <c r="CG27" s="100">
        <v>8971.1999999999989</v>
      </c>
      <c r="CH27" s="100">
        <v>15</v>
      </c>
      <c r="CI27" s="100">
        <v>6408</v>
      </c>
      <c r="CJ27" s="100">
        <v>10.412590812558669</v>
      </c>
      <c r="CK27" s="100">
        <v>4448.2587951250634</v>
      </c>
      <c r="CL27" s="100">
        <v>20</v>
      </c>
      <c r="CM27" s="100">
        <v>8544</v>
      </c>
      <c r="CN27" s="100">
        <v>20</v>
      </c>
      <c r="CO27" s="100">
        <v>8544</v>
      </c>
      <c r="CP27" s="100">
        <v>19.343596483452416</v>
      </c>
      <c r="CQ27" s="100">
        <v>8263.5844177308718</v>
      </c>
      <c r="CR27" s="100">
        <v>17.609523342314439</v>
      </c>
      <c r="CS27" s="100">
        <v>7522.7883718367284</v>
      </c>
      <c r="CT27" s="100">
        <v>23</v>
      </c>
      <c r="CU27" s="100">
        <v>9825.6</v>
      </c>
    </row>
    <row r="28" spans="2:99">
      <c r="C28" s="99" t="s">
        <v>194</v>
      </c>
      <c r="D28" s="100">
        <v>18</v>
      </c>
      <c r="E28" s="100">
        <v>13284</v>
      </c>
      <c r="F28" s="100">
        <v>15</v>
      </c>
      <c r="G28" s="100">
        <v>11070</v>
      </c>
      <c r="H28" s="100">
        <v>17</v>
      </c>
      <c r="I28" s="100">
        <v>12546</v>
      </c>
      <c r="J28" s="100">
        <v>18</v>
      </c>
      <c r="K28" s="100">
        <v>13284</v>
      </c>
      <c r="L28" s="100">
        <v>20</v>
      </c>
      <c r="M28" s="100">
        <v>14760</v>
      </c>
      <c r="N28" s="100">
        <v>15</v>
      </c>
      <c r="O28" s="100">
        <v>11070</v>
      </c>
      <c r="P28" s="100">
        <v>14</v>
      </c>
      <c r="Q28" s="100">
        <v>10332</v>
      </c>
      <c r="R28" s="100">
        <v>16</v>
      </c>
      <c r="S28" s="100">
        <v>11808</v>
      </c>
      <c r="T28" s="100">
        <v>12</v>
      </c>
      <c r="U28" s="100">
        <v>8856</v>
      </c>
      <c r="V28" s="100">
        <v>20</v>
      </c>
      <c r="W28" s="100">
        <v>14760</v>
      </c>
      <c r="X28" s="100">
        <v>13</v>
      </c>
      <c r="Y28" s="100">
        <v>9594</v>
      </c>
      <c r="Z28" s="100">
        <v>16</v>
      </c>
      <c r="AA28" s="100">
        <v>11808</v>
      </c>
      <c r="AB28" s="100">
        <v>10</v>
      </c>
      <c r="AC28" s="100">
        <v>7380</v>
      </c>
      <c r="AD28" s="100">
        <v>15</v>
      </c>
      <c r="AE28" s="100">
        <v>11070</v>
      </c>
      <c r="AF28" s="100">
        <v>10.972054766176456</v>
      </c>
      <c r="AG28" s="100">
        <v>8097.3764174382241</v>
      </c>
      <c r="AH28" s="100">
        <v>23</v>
      </c>
      <c r="AI28" s="100">
        <v>16974</v>
      </c>
      <c r="AJ28" s="100">
        <v>20.526258071308263</v>
      </c>
      <c r="AK28" s="100">
        <v>15148.378456625498</v>
      </c>
      <c r="AL28" s="100">
        <v>18</v>
      </c>
      <c r="AM28" s="100">
        <v>13284</v>
      </c>
      <c r="AN28" s="100">
        <v>18</v>
      </c>
      <c r="AO28" s="100">
        <v>13284</v>
      </c>
      <c r="AP28" s="100">
        <v>0.8315647258759431</v>
      </c>
      <c r="AQ28" s="100">
        <v>613.69476769644598</v>
      </c>
      <c r="AR28" s="100">
        <v>3.7727175493661348E-4</v>
      </c>
      <c r="AS28" s="100">
        <v>0.27842655514322073</v>
      </c>
      <c r="AT28" s="100">
        <v>3.9824112780710976E-4</v>
      </c>
      <c r="AU28" s="100">
        <v>0.29390195232164701</v>
      </c>
      <c r="AV28" s="100">
        <v>15</v>
      </c>
      <c r="AW28" s="100">
        <v>11070</v>
      </c>
      <c r="AX28" s="100">
        <v>4.291228511122215</v>
      </c>
      <c r="AY28" s="100">
        <v>3166.9266412081947</v>
      </c>
      <c r="AZ28" s="100">
        <v>12</v>
      </c>
      <c r="BA28" s="100">
        <v>8856</v>
      </c>
      <c r="BB28" s="100">
        <v>14</v>
      </c>
      <c r="BC28" s="100">
        <v>10332</v>
      </c>
      <c r="BD28" s="100">
        <v>17</v>
      </c>
      <c r="BE28" s="100">
        <v>12546</v>
      </c>
      <c r="BF28" s="100">
        <v>14</v>
      </c>
      <c r="BG28" s="100">
        <v>10332</v>
      </c>
      <c r="BH28" s="100">
        <v>20</v>
      </c>
      <c r="BI28" s="100">
        <v>14760</v>
      </c>
      <c r="BJ28" s="100">
        <v>20</v>
      </c>
      <c r="BK28" s="100">
        <v>14760</v>
      </c>
      <c r="BL28" s="100">
        <v>19</v>
      </c>
      <c r="BM28" s="100">
        <v>14022</v>
      </c>
      <c r="BN28" s="100">
        <v>7.4841999440131923</v>
      </c>
      <c r="BO28" s="100">
        <v>5523.339558681736</v>
      </c>
      <c r="BP28" s="100">
        <v>16</v>
      </c>
      <c r="BQ28" s="100">
        <v>11808</v>
      </c>
      <c r="BR28" s="100">
        <v>20</v>
      </c>
      <c r="BS28" s="100">
        <v>14760</v>
      </c>
      <c r="BT28" s="100">
        <v>17.920907161674783</v>
      </c>
      <c r="BU28" s="100">
        <v>13225.629485315991</v>
      </c>
      <c r="BV28" s="100">
        <v>0</v>
      </c>
      <c r="BW28" s="100">
        <v>0</v>
      </c>
      <c r="BX28" s="100">
        <v>21</v>
      </c>
      <c r="BY28" s="100">
        <v>15498</v>
      </c>
      <c r="BZ28" s="100">
        <v>16</v>
      </c>
      <c r="CA28" s="100">
        <v>11808</v>
      </c>
      <c r="CB28" s="100">
        <v>20</v>
      </c>
      <c r="CC28" s="100">
        <v>14760</v>
      </c>
      <c r="CD28" s="100">
        <v>14</v>
      </c>
      <c r="CE28" s="100">
        <v>10332</v>
      </c>
      <c r="CF28" s="100">
        <v>22</v>
      </c>
      <c r="CG28" s="100">
        <v>16236</v>
      </c>
      <c r="CH28" s="100">
        <v>15</v>
      </c>
      <c r="CI28" s="100">
        <v>11070</v>
      </c>
      <c r="CJ28" s="100">
        <v>10.412590812558669</v>
      </c>
      <c r="CK28" s="100">
        <v>7684.4920196682979</v>
      </c>
      <c r="CL28" s="100">
        <v>20</v>
      </c>
      <c r="CM28" s="100">
        <v>14760</v>
      </c>
      <c r="CN28" s="100">
        <v>23</v>
      </c>
      <c r="CO28" s="100">
        <v>16974</v>
      </c>
      <c r="CP28" s="100">
        <v>16.705833326617995</v>
      </c>
      <c r="CQ28" s="100">
        <v>12328.90499504408</v>
      </c>
      <c r="CR28" s="100">
        <v>16.843891892648593</v>
      </c>
      <c r="CS28" s="100">
        <v>12430.792216774662</v>
      </c>
      <c r="CT28" s="100">
        <v>20</v>
      </c>
      <c r="CU28" s="100">
        <v>14760</v>
      </c>
    </row>
    <row r="29" spans="2:99">
      <c r="C29" s="99" t="s">
        <v>195</v>
      </c>
      <c r="D29" s="100">
        <v>19</v>
      </c>
      <c r="E29" s="100">
        <v>6429.5999999999995</v>
      </c>
      <c r="F29" s="100">
        <v>15</v>
      </c>
      <c r="G29" s="100">
        <v>5076</v>
      </c>
      <c r="H29" s="100">
        <v>17</v>
      </c>
      <c r="I29" s="100">
        <v>5752.7999999999993</v>
      </c>
      <c r="J29" s="100">
        <v>21</v>
      </c>
      <c r="K29" s="100">
        <v>7106.4</v>
      </c>
      <c r="L29" s="100">
        <v>20</v>
      </c>
      <c r="M29" s="100">
        <v>6768</v>
      </c>
      <c r="N29" s="100">
        <v>14</v>
      </c>
      <c r="O29" s="100">
        <v>4737.5999999999995</v>
      </c>
      <c r="P29" s="100">
        <v>15</v>
      </c>
      <c r="Q29" s="100">
        <v>5076</v>
      </c>
      <c r="R29" s="100">
        <v>17</v>
      </c>
      <c r="S29" s="100">
        <v>5752.7999999999993</v>
      </c>
      <c r="T29" s="100">
        <v>11</v>
      </c>
      <c r="U29" s="100">
        <v>3722.3999999999996</v>
      </c>
      <c r="V29" s="100">
        <v>22</v>
      </c>
      <c r="W29" s="100">
        <v>7444.7999999999993</v>
      </c>
      <c r="X29" s="100">
        <v>14</v>
      </c>
      <c r="Y29" s="100">
        <v>4737.5999999999995</v>
      </c>
      <c r="Z29" s="100">
        <v>18</v>
      </c>
      <c r="AA29" s="100">
        <v>6091.2</v>
      </c>
      <c r="AB29" s="100">
        <v>12</v>
      </c>
      <c r="AC29" s="100">
        <v>4060.7999999999997</v>
      </c>
      <c r="AD29" s="100">
        <v>15</v>
      </c>
      <c r="AE29" s="100">
        <v>5076</v>
      </c>
      <c r="AF29" s="100">
        <v>10.972054766176456</v>
      </c>
      <c r="AG29" s="100">
        <v>3712.9433328741125</v>
      </c>
      <c r="AH29" s="100">
        <v>21</v>
      </c>
      <c r="AI29" s="100">
        <v>7106.4</v>
      </c>
      <c r="AJ29" s="100">
        <v>18.741366065107545</v>
      </c>
      <c r="AK29" s="100">
        <v>6342.0782764323931</v>
      </c>
      <c r="AL29" s="100">
        <v>18</v>
      </c>
      <c r="AM29" s="100">
        <v>6091.2</v>
      </c>
      <c r="AN29" s="100">
        <v>18</v>
      </c>
      <c r="AO29" s="100">
        <v>6091.2</v>
      </c>
      <c r="AP29" s="100">
        <v>0.8315647258759431</v>
      </c>
      <c r="AQ29" s="100">
        <v>281.4015032364191</v>
      </c>
      <c r="AR29" s="100">
        <v>4.3531356338840011E-4</v>
      </c>
      <c r="AS29" s="100">
        <v>0.14731010985063459</v>
      </c>
      <c r="AT29" s="100">
        <v>4.8357851233720464E-4</v>
      </c>
      <c r="AU29" s="100">
        <v>0.16364296857491004</v>
      </c>
      <c r="AV29" s="100">
        <v>17</v>
      </c>
      <c r="AW29" s="100">
        <v>5752.7999999999993</v>
      </c>
      <c r="AX29" s="100">
        <v>4.7680316790246833</v>
      </c>
      <c r="AY29" s="100">
        <v>1613.5019201819528</v>
      </c>
      <c r="AZ29" s="100">
        <v>12</v>
      </c>
      <c r="BA29" s="100">
        <v>4060.7999999999997</v>
      </c>
      <c r="BB29" s="100">
        <v>16</v>
      </c>
      <c r="BC29" s="100">
        <v>5414.4</v>
      </c>
      <c r="BD29" s="100">
        <v>16</v>
      </c>
      <c r="BE29" s="100">
        <v>5414.4</v>
      </c>
      <c r="BF29" s="100">
        <v>15</v>
      </c>
      <c r="BG29" s="100">
        <v>5076</v>
      </c>
      <c r="BH29" s="100">
        <v>19</v>
      </c>
      <c r="BI29" s="100">
        <v>6429.5999999999995</v>
      </c>
      <c r="BJ29" s="100">
        <v>24</v>
      </c>
      <c r="BK29" s="100">
        <v>8121.5999999999995</v>
      </c>
      <c r="BL29" s="100">
        <v>18</v>
      </c>
      <c r="BM29" s="100">
        <v>6091.2</v>
      </c>
      <c r="BN29" s="100">
        <v>8.0187856542998475</v>
      </c>
      <c r="BO29" s="100">
        <v>2713.5570654150683</v>
      </c>
      <c r="BP29" s="100">
        <v>17</v>
      </c>
      <c r="BQ29" s="100">
        <v>5752.7999999999993</v>
      </c>
      <c r="BR29" s="100">
        <v>18</v>
      </c>
      <c r="BS29" s="100">
        <v>6091.2</v>
      </c>
      <c r="BT29" s="100">
        <v>21.505088594009738</v>
      </c>
      <c r="BU29" s="100">
        <v>7277.3219802128951</v>
      </c>
      <c r="BV29" s="100">
        <v>0</v>
      </c>
      <c r="BW29" s="100">
        <v>0</v>
      </c>
      <c r="BX29" s="100">
        <v>23</v>
      </c>
      <c r="BY29" s="100">
        <v>7783.2</v>
      </c>
      <c r="BZ29" s="100">
        <v>15</v>
      </c>
      <c r="CA29" s="100">
        <v>5076</v>
      </c>
      <c r="CB29" s="100">
        <v>20</v>
      </c>
      <c r="CC29" s="100">
        <v>6768</v>
      </c>
      <c r="CD29" s="100">
        <v>16</v>
      </c>
      <c r="CE29" s="100">
        <v>5414.4</v>
      </c>
      <c r="CF29" s="100">
        <v>21</v>
      </c>
      <c r="CG29" s="100">
        <v>7106.4</v>
      </c>
      <c r="CH29" s="100">
        <v>16</v>
      </c>
      <c r="CI29" s="100">
        <v>5414.4</v>
      </c>
      <c r="CJ29" s="100">
        <v>10.412590812558669</v>
      </c>
      <c r="CK29" s="100">
        <v>3523.6207309698534</v>
      </c>
      <c r="CL29" s="100">
        <v>21</v>
      </c>
      <c r="CM29" s="100">
        <v>7106.4</v>
      </c>
      <c r="CN29" s="100">
        <v>21</v>
      </c>
      <c r="CO29" s="100">
        <v>7106.4</v>
      </c>
      <c r="CP29" s="100">
        <v>17.58508771222947</v>
      </c>
      <c r="CQ29" s="100">
        <v>5950.7936818184526</v>
      </c>
      <c r="CR29" s="100">
        <v>18.375154791980282</v>
      </c>
      <c r="CS29" s="100">
        <v>6218.1523816061272</v>
      </c>
      <c r="CT29" s="100">
        <v>23</v>
      </c>
      <c r="CU29" s="100">
        <v>7783.2</v>
      </c>
    </row>
    <row r="30" spans="2:99">
      <c r="C30" s="99" t="s">
        <v>196</v>
      </c>
      <c r="D30" s="100">
        <v>21</v>
      </c>
      <c r="E30" s="100">
        <v>2923.2</v>
      </c>
      <c r="F30" s="100">
        <v>16</v>
      </c>
      <c r="G30" s="100">
        <v>2227.1999999999998</v>
      </c>
      <c r="H30" s="100">
        <v>15</v>
      </c>
      <c r="I30" s="100">
        <v>2088</v>
      </c>
      <c r="J30" s="100">
        <v>19</v>
      </c>
      <c r="K30" s="100">
        <v>2644.7999999999997</v>
      </c>
      <c r="L30" s="100">
        <v>20</v>
      </c>
      <c r="M30" s="100">
        <v>2784</v>
      </c>
      <c r="N30" s="100">
        <v>15</v>
      </c>
      <c r="O30" s="100">
        <v>2088</v>
      </c>
      <c r="P30" s="100">
        <v>13</v>
      </c>
      <c r="Q30" s="100">
        <v>1809.6</v>
      </c>
      <c r="R30" s="100">
        <v>17</v>
      </c>
      <c r="S30" s="100">
        <v>2366.3999999999996</v>
      </c>
      <c r="T30" s="100">
        <v>13</v>
      </c>
      <c r="U30" s="100">
        <v>1809.6</v>
      </c>
      <c r="V30" s="100">
        <v>22</v>
      </c>
      <c r="W30" s="100">
        <v>3062.3999999999996</v>
      </c>
      <c r="X30" s="100">
        <v>14</v>
      </c>
      <c r="Y30" s="100">
        <v>1948.7999999999997</v>
      </c>
      <c r="Z30" s="100">
        <v>17</v>
      </c>
      <c r="AA30" s="100">
        <v>2366.3999999999996</v>
      </c>
      <c r="AB30" s="100">
        <v>12</v>
      </c>
      <c r="AC30" s="100">
        <v>1670.3999999999999</v>
      </c>
      <c r="AD30" s="100">
        <v>17</v>
      </c>
      <c r="AE30" s="100">
        <v>2366.3999999999996</v>
      </c>
      <c r="AF30" s="100">
        <v>12.966973814572174</v>
      </c>
      <c r="AG30" s="100">
        <v>1805.0027549884464</v>
      </c>
      <c r="AH30" s="100">
        <v>23</v>
      </c>
      <c r="AI30" s="100">
        <v>3201.6</v>
      </c>
      <c r="AJ30" s="100">
        <v>19.633812068207906</v>
      </c>
      <c r="AK30" s="100">
        <v>2733.02663989454</v>
      </c>
      <c r="AL30" s="100">
        <v>19</v>
      </c>
      <c r="AM30" s="100">
        <v>2644.7999999999997</v>
      </c>
      <c r="AN30" s="100">
        <v>16</v>
      </c>
      <c r="AO30" s="100">
        <v>2227.1999999999998</v>
      </c>
      <c r="AP30" s="100">
        <v>0.77959193050869657</v>
      </c>
      <c r="AQ30" s="100">
        <v>108.51919672681055</v>
      </c>
      <c r="AR30" s="100">
        <v>4.062926591625068E-4</v>
      </c>
      <c r="AS30" s="100">
        <v>5.655593815542094E-2</v>
      </c>
      <c r="AT30" s="100">
        <v>4.551327174938397E-4</v>
      </c>
      <c r="AU30" s="100">
        <v>6.3354474275142486E-2</v>
      </c>
      <c r="AV30" s="100">
        <v>17</v>
      </c>
      <c r="AW30" s="100">
        <v>2366.3999999999996</v>
      </c>
      <c r="AX30" s="100">
        <v>5.0064332629759178</v>
      </c>
      <c r="AY30" s="100">
        <v>696.89551020624765</v>
      </c>
      <c r="AZ30" s="100">
        <v>13</v>
      </c>
      <c r="BA30" s="100">
        <v>1809.6</v>
      </c>
      <c r="BB30" s="100">
        <v>15</v>
      </c>
      <c r="BC30" s="100">
        <v>2088</v>
      </c>
      <c r="BD30" s="100">
        <v>18</v>
      </c>
      <c r="BE30" s="100">
        <v>2505.6</v>
      </c>
      <c r="BF30" s="100">
        <v>17</v>
      </c>
      <c r="BG30" s="100">
        <v>2366.3999999999996</v>
      </c>
      <c r="BH30" s="100">
        <v>19</v>
      </c>
      <c r="BI30" s="100">
        <v>2644.7999999999997</v>
      </c>
      <c r="BJ30" s="100">
        <v>21</v>
      </c>
      <c r="BK30" s="100">
        <v>2923.2</v>
      </c>
      <c r="BL30" s="100">
        <v>18</v>
      </c>
      <c r="BM30" s="100">
        <v>2505.6</v>
      </c>
      <c r="BN30" s="100">
        <v>8.0187856542998475</v>
      </c>
      <c r="BO30" s="100">
        <v>1116.2149630785386</v>
      </c>
      <c r="BP30" s="100">
        <v>16</v>
      </c>
      <c r="BQ30" s="100">
        <v>2227.1999999999998</v>
      </c>
      <c r="BR30" s="100">
        <v>19</v>
      </c>
      <c r="BS30" s="100">
        <v>2644.7999999999997</v>
      </c>
      <c r="BT30" s="100">
        <v>21.505088594009738</v>
      </c>
      <c r="BU30" s="100">
        <v>2993.5083322861551</v>
      </c>
      <c r="BV30" s="100">
        <v>0</v>
      </c>
      <c r="BW30" s="100">
        <v>0</v>
      </c>
      <c r="BX30" s="100">
        <v>24</v>
      </c>
      <c r="BY30" s="100">
        <v>3340.7999999999997</v>
      </c>
      <c r="BZ30" s="100">
        <v>15</v>
      </c>
      <c r="CA30" s="100">
        <v>2088</v>
      </c>
      <c r="CB30" s="100">
        <v>19</v>
      </c>
      <c r="CC30" s="100">
        <v>2644.7999999999997</v>
      </c>
      <c r="CD30" s="100">
        <v>14</v>
      </c>
      <c r="CE30" s="100">
        <v>1948.7999999999997</v>
      </c>
      <c r="CF30" s="100">
        <v>23</v>
      </c>
      <c r="CG30" s="100">
        <v>3201.6</v>
      </c>
      <c r="CH30" s="100">
        <v>16</v>
      </c>
      <c r="CI30" s="100">
        <v>2227.1999999999998</v>
      </c>
      <c r="CJ30" s="100">
        <v>11.714164664128504</v>
      </c>
      <c r="CK30" s="100">
        <v>1630.6117212466875</v>
      </c>
      <c r="CL30" s="100">
        <v>20</v>
      </c>
      <c r="CM30" s="100">
        <v>2784</v>
      </c>
      <c r="CN30" s="100">
        <v>22</v>
      </c>
      <c r="CO30" s="100">
        <v>3062.3999999999996</v>
      </c>
      <c r="CP30" s="100">
        <v>20.22285086906389</v>
      </c>
      <c r="CQ30" s="100">
        <v>2815.0208409736933</v>
      </c>
      <c r="CR30" s="100">
        <v>18.375154791980282</v>
      </c>
      <c r="CS30" s="100">
        <v>2557.8215470436553</v>
      </c>
      <c r="CT30" s="100">
        <v>21</v>
      </c>
      <c r="CU30" s="100">
        <v>2923.2</v>
      </c>
    </row>
    <row r="31" spans="2:99">
      <c r="C31" s="99" t="s">
        <v>197</v>
      </c>
      <c r="D31" s="100">
        <v>19</v>
      </c>
      <c r="E31" s="100">
        <v>6475.2</v>
      </c>
      <c r="F31" s="100">
        <v>15</v>
      </c>
      <c r="G31" s="100">
        <v>5112</v>
      </c>
      <c r="H31" s="100">
        <v>15</v>
      </c>
      <c r="I31" s="100">
        <v>5112</v>
      </c>
      <c r="J31" s="100">
        <v>20</v>
      </c>
      <c r="K31" s="100">
        <v>6816</v>
      </c>
      <c r="L31" s="100">
        <v>18</v>
      </c>
      <c r="M31" s="100">
        <v>6134.4000000000005</v>
      </c>
      <c r="N31" s="100">
        <v>14</v>
      </c>
      <c r="O31" s="100">
        <v>4771.2</v>
      </c>
      <c r="P31" s="100">
        <v>16</v>
      </c>
      <c r="Q31" s="100">
        <v>5452.8</v>
      </c>
      <c r="R31" s="100">
        <v>15</v>
      </c>
      <c r="S31" s="100">
        <v>5112</v>
      </c>
      <c r="T31" s="100">
        <v>13</v>
      </c>
      <c r="U31" s="100">
        <v>4430.4000000000005</v>
      </c>
      <c r="V31" s="100">
        <v>22</v>
      </c>
      <c r="W31" s="100">
        <v>7497.6</v>
      </c>
      <c r="X31" s="100">
        <v>16</v>
      </c>
      <c r="Y31" s="100">
        <v>5452.8</v>
      </c>
      <c r="Z31" s="100">
        <v>16</v>
      </c>
      <c r="AA31" s="100">
        <v>5452.8</v>
      </c>
      <c r="AB31" s="100">
        <v>10</v>
      </c>
      <c r="AC31" s="100">
        <v>3408</v>
      </c>
      <c r="AD31" s="100">
        <v>16</v>
      </c>
      <c r="AE31" s="100">
        <v>5452.8</v>
      </c>
      <c r="AF31" s="100">
        <v>12.966973814572174</v>
      </c>
      <c r="AG31" s="100">
        <v>4419.1446760061972</v>
      </c>
      <c r="AH31" s="100">
        <v>22</v>
      </c>
      <c r="AI31" s="100">
        <v>7497.6</v>
      </c>
      <c r="AJ31" s="100">
        <v>17.848920062007185</v>
      </c>
      <c r="AK31" s="100">
        <v>6082.9119571320489</v>
      </c>
      <c r="AL31" s="100">
        <v>18</v>
      </c>
      <c r="AM31" s="100">
        <v>6134.4000000000005</v>
      </c>
      <c r="AN31" s="100">
        <v>18</v>
      </c>
      <c r="AO31" s="100">
        <v>6134.4000000000005</v>
      </c>
      <c r="AP31" s="100">
        <v>0.72761913514145027</v>
      </c>
      <c r="AQ31" s="100">
        <v>247.97260125620625</v>
      </c>
      <c r="AR31" s="100">
        <v>4.3531356338840011E-4</v>
      </c>
      <c r="AS31" s="100">
        <v>0.14835486240276677</v>
      </c>
      <c r="AT31" s="100">
        <v>4.8357851233720464E-4</v>
      </c>
      <c r="AU31" s="100">
        <v>0.16480355700451935</v>
      </c>
      <c r="AV31" s="100">
        <v>17</v>
      </c>
      <c r="AW31" s="100">
        <v>5793.6</v>
      </c>
      <c r="AX31" s="100">
        <v>4.7680316790246833</v>
      </c>
      <c r="AY31" s="100">
        <v>1624.945196211612</v>
      </c>
      <c r="AZ31" s="100">
        <v>12</v>
      </c>
      <c r="BA31" s="100">
        <v>4089.6000000000004</v>
      </c>
      <c r="BB31" s="100">
        <v>15</v>
      </c>
      <c r="BC31" s="100">
        <v>5112</v>
      </c>
      <c r="BD31" s="100">
        <v>18</v>
      </c>
      <c r="BE31" s="100">
        <v>6134.4000000000005</v>
      </c>
      <c r="BF31" s="100">
        <v>15</v>
      </c>
      <c r="BG31" s="100">
        <v>5112</v>
      </c>
      <c r="BH31" s="100">
        <v>17</v>
      </c>
      <c r="BI31" s="100">
        <v>5793.6</v>
      </c>
      <c r="BJ31" s="100">
        <v>23</v>
      </c>
      <c r="BK31" s="100">
        <v>7838.4000000000005</v>
      </c>
      <c r="BL31" s="100">
        <v>19</v>
      </c>
      <c r="BM31" s="100">
        <v>6475.2</v>
      </c>
      <c r="BN31" s="100">
        <v>6.9496142337265354</v>
      </c>
      <c r="BO31" s="100">
        <v>2368.4285308540034</v>
      </c>
      <c r="BP31" s="100">
        <v>14</v>
      </c>
      <c r="BQ31" s="100">
        <v>4771.2</v>
      </c>
      <c r="BR31" s="100">
        <v>20</v>
      </c>
      <c r="BS31" s="100">
        <v>6816</v>
      </c>
      <c r="BT31" s="100">
        <v>20.609043235926002</v>
      </c>
      <c r="BU31" s="100">
        <v>7023.5619348035816</v>
      </c>
      <c r="BV31" s="100">
        <v>0</v>
      </c>
      <c r="BW31" s="100">
        <v>0</v>
      </c>
      <c r="BX31" s="100">
        <v>22</v>
      </c>
      <c r="BY31" s="100">
        <v>7497.6</v>
      </c>
      <c r="BZ31" s="100">
        <v>14</v>
      </c>
      <c r="CA31" s="100">
        <v>4771.2</v>
      </c>
      <c r="CB31" s="100">
        <v>21</v>
      </c>
      <c r="CC31" s="100">
        <v>7156.8</v>
      </c>
      <c r="CD31" s="100">
        <v>17</v>
      </c>
      <c r="CE31" s="100">
        <v>5793.6</v>
      </c>
      <c r="CF31" s="100">
        <v>19</v>
      </c>
      <c r="CG31" s="100">
        <v>6475.2</v>
      </c>
      <c r="CH31" s="100">
        <v>16</v>
      </c>
      <c r="CI31" s="100">
        <v>5452.8</v>
      </c>
      <c r="CJ31" s="100">
        <v>11.063377738343588</v>
      </c>
      <c r="CK31" s="100">
        <v>3770.399133227495</v>
      </c>
      <c r="CL31" s="100">
        <v>21</v>
      </c>
      <c r="CM31" s="100">
        <v>7156.8</v>
      </c>
      <c r="CN31" s="100">
        <v>23</v>
      </c>
      <c r="CO31" s="100">
        <v>7838.4000000000005</v>
      </c>
      <c r="CP31" s="100">
        <v>18.464342097840941</v>
      </c>
      <c r="CQ31" s="100">
        <v>6292.6477869441933</v>
      </c>
      <c r="CR31" s="100">
        <v>17.609523342314439</v>
      </c>
      <c r="CS31" s="100">
        <v>6001.325555060761</v>
      </c>
      <c r="CT31" s="100">
        <v>21</v>
      </c>
      <c r="CU31" s="100">
        <v>7156.8</v>
      </c>
    </row>
    <row r="32" spans="2:99">
      <c r="C32" s="99" t="s">
        <v>198</v>
      </c>
      <c r="D32" s="100">
        <v>19</v>
      </c>
      <c r="E32" s="100">
        <v>15960</v>
      </c>
      <c r="F32" s="100">
        <v>17</v>
      </c>
      <c r="G32" s="100">
        <v>14280</v>
      </c>
      <c r="H32" s="100">
        <v>17</v>
      </c>
      <c r="I32" s="100">
        <v>14280</v>
      </c>
      <c r="J32" s="100">
        <v>19</v>
      </c>
      <c r="K32" s="100">
        <v>15960</v>
      </c>
      <c r="L32" s="100">
        <v>17</v>
      </c>
      <c r="M32" s="100">
        <v>14280</v>
      </c>
      <c r="N32" s="100">
        <v>15</v>
      </c>
      <c r="O32" s="100">
        <v>12600</v>
      </c>
      <c r="P32" s="100">
        <v>14</v>
      </c>
      <c r="Q32" s="100">
        <v>11760</v>
      </c>
      <c r="R32" s="100">
        <v>15</v>
      </c>
      <c r="S32" s="100">
        <v>12600</v>
      </c>
      <c r="T32" s="100">
        <v>12</v>
      </c>
      <c r="U32" s="100">
        <v>10080</v>
      </c>
      <c r="V32" s="100">
        <v>19</v>
      </c>
      <c r="W32" s="100">
        <v>15960</v>
      </c>
      <c r="X32" s="100">
        <v>15</v>
      </c>
      <c r="Y32" s="100">
        <v>12600</v>
      </c>
      <c r="Z32" s="100">
        <v>17</v>
      </c>
      <c r="AA32" s="100">
        <v>14280</v>
      </c>
      <c r="AB32" s="100">
        <v>10</v>
      </c>
      <c r="AC32" s="100">
        <v>8400</v>
      </c>
      <c r="AD32" s="100">
        <v>14</v>
      </c>
      <c r="AE32" s="100">
        <v>11760</v>
      </c>
      <c r="AF32" s="100">
        <v>11.969514290374315</v>
      </c>
      <c r="AG32" s="100">
        <v>10054.392003914425</v>
      </c>
      <c r="AH32" s="100">
        <v>21</v>
      </c>
      <c r="AI32" s="100">
        <v>17640</v>
      </c>
      <c r="AJ32" s="100">
        <v>19.633812068207906</v>
      </c>
      <c r="AK32" s="100">
        <v>16492.402137294641</v>
      </c>
      <c r="AL32" s="100">
        <v>18</v>
      </c>
      <c r="AM32" s="100">
        <v>15120</v>
      </c>
      <c r="AN32" s="100">
        <v>16</v>
      </c>
      <c r="AO32" s="100">
        <v>13440</v>
      </c>
      <c r="AP32" s="100">
        <v>0.77959193050869657</v>
      </c>
      <c r="AQ32" s="100">
        <v>654.85722162730508</v>
      </c>
      <c r="AR32" s="100">
        <v>4.062926591625068E-4</v>
      </c>
      <c r="AS32" s="100">
        <v>0.34128583369650572</v>
      </c>
      <c r="AT32" s="100">
        <v>4.266869226504747E-4</v>
      </c>
      <c r="AU32" s="100">
        <v>0.35841701502639872</v>
      </c>
      <c r="AV32" s="100">
        <v>14</v>
      </c>
      <c r="AW32" s="100">
        <v>11760</v>
      </c>
      <c r="AX32" s="100">
        <v>5.0064332629759178</v>
      </c>
      <c r="AY32" s="100">
        <v>4205.4039408997705</v>
      </c>
      <c r="AZ32" s="100">
        <v>14</v>
      </c>
      <c r="BA32" s="100">
        <v>11760</v>
      </c>
      <c r="BB32" s="100">
        <v>15</v>
      </c>
      <c r="BC32" s="100">
        <v>12600</v>
      </c>
      <c r="BD32" s="100">
        <v>14</v>
      </c>
      <c r="BE32" s="100">
        <v>11760</v>
      </c>
      <c r="BF32" s="100">
        <v>15</v>
      </c>
      <c r="BG32" s="100">
        <v>12600</v>
      </c>
      <c r="BH32" s="100">
        <v>18</v>
      </c>
      <c r="BI32" s="100">
        <v>15120</v>
      </c>
      <c r="BJ32" s="100">
        <v>22</v>
      </c>
      <c r="BK32" s="100">
        <v>18480</v>
      </c>
      <c r="BL32" s="100">
        <v>19</v>
      </c>
      <c r="BM32" s="100">
        <v>15960</v>
      </c>
      <c r="BN32" s="100">
        <v>6.9496142337265354</v>
      </c>
      <c r="BO32" s="100">
        <v>5837.6759563302894</v>
      </c>
      <c r="BP32" s="100">
        <v>16</v>
      </c>
      <c r="BQ32" s="100">
        <v>13440</v>
      </c>
      <c r="BR32" s="100">
        <v>18</v>
      </c>
      <c r="BS32" s="100">
        <v>15120</v>
      </c>
      <c r="BT32" s="100">
        <v>17.920907161674783</v>
      </c>
      <c r="BU32" s="100">
        <v>15053.562015806818</v>
      </c>
      <c r="BV32" s="100">
        <v>0</v>
      </c>
      <c r="BW32" s="100">
        <v>0</v>
      </c>
      <c r="BX32" s="100">
        <v>21</v>
      </c>
      <c r="BY32" s="100">
        <v>17640</v>
      </c>
      <c r="BZ32" s="100">
        <v>14</v>
      </c>
      <c r="CA32" s="100">
        <v>11760</v>
      </c>
      <c r="CB32" s="100">
        <v>20</v>
      </c>
      <c r="CC32" s="100">
        <v>16800</v>
      </c>
      <c r="CD32" s="100">
        <v>17</v>
      </c>
      <c r="CE32" s="100">
        <v>14280</v>
      </c>
      <c r="CF32" s="100">
        <v>18</v>
      </c>
      <c r="CG32" s="100">
        <v>15120</v>
      </c>
      <c r="CH32" s="100">
        <v>16</v>
      </c>
      <c r="CI32" s="100">
        <v>13440</v>
      </c>
      <c r="CJ32" s="100">
        <v>10.412590812558669</v>
      </c>
      <c r="CK32" s="100">
        <v>8746.576282549282</v>
      </c>
      <c r="CL32" s="100">
        <v>19</v>
      </c>
      <c r="CM32" s="100">
        <v>15960</v>
      </c>
      <c r="CN32" s="100">
        <v>22</v>
      </c>
      <c r="CO32" s="100">
        <v>18480</v>
      </c>
      <c r="CP32" s="100">
        <v>16.705833326617995</v>
      </c>
      <c r="CQ32" s="100">
        <v>14032.899994359115</v>
      </c>
      <c r="CR32" s="100">
        <v>18.375154791980282</v>
      </c>
      <c r="CS32" s="100">
        <v>15435.130025263437</v>
      </c>
      <c r="CT32" s="100">
        <v>21</v>
      </c>
      <c r="CU32" s="100">
        <v>17640</v>
      </c>
    </row>
    <row r="33" spans="2:99">
      <c r="C33" s="99" t="s">
        <v>199</v>
      </c>
      <c r="D33" s="100">
        <v>19</v>
      </c>
      <c r="E33" s="100">
        <v>9006</v>
      </c>
      <c r="F33" s="100">
        <v>17</v>
      </c>
      <c r="G33" s="100">
        <v>8058</v>
      </c>
      <c r="H33" s="100">
        <v>15</v>
      </c>
      <c r="I33" s="100">
        <v>7110</v>
      </c>
      <c r="J33" s="100">
        <v>18</v>
      </c>
      <c r="K33" s="100">
        <v>8532</v>
      </c>
      <c r="L33" s="100">
        <v>20</v>
      </c>
      <c r="M33" s="100">
        <v>9480</v>
      </c>
      <c r="N33" s="100">
        <v>16</v>
      </c>
      <c r="O33" s="100">
        <v>7584</v>
      </c>
      <c r="P33" s="100">
        <v>15</v>
      </c>
      <c r="Q33" s="100">
        <v>7110</v>
      </c>
      <c r="R33" s="100">
        <v>16</v>
      </c>
      <c r="S33" s="100">
        <v>7584</v>
      </c>
      <c r="T33" s="100">
        <v>13</v>
      </c>
      <c r="U33" s="100">
        <v>6162</v>
      </c>
      <c r="V33" s="100">
        <v>18</v>
      </c>
      <c r="W33" s="100">
        <v>8532</v>
      </c>
      <c r="X33" s="100">
        <v>16</v>
      </c>
      <c r="Y33" s="100">
        <v>7584</v>
      </c>
      <c r="Z33" s="100">
        <v>18</v>
      </c>
      <c r="AA33" s="100">
        <v>8532</v>
      </c>
      <c r="AB33" s="100">
        <v>12</v>
      </c>
      <c r="AC33" s="100">
        <v>5688</v>
      </c>
      <c r="AD33" s="100">
        <v>17</v>
      </c>
      <c r="AE33" s="100">
        <v>8058</v>
      </c>
      <c r="AF33" s="100">
        <v>12.966973814572174</v>
      </c>
      <c r="AG33" s="100">
        <v>6146.3455881072105</v>
      </c>
      <c r="AH33" s="100">
        <v>21</v>
      </c>
      <c r="AI33" s="100">
        <v>9954</v>
      </c>
      <c r="AJ33" s="100">
        <v>18.741366065107545</v>
      </c>
      <c r="AK33" s="100">
        <v>8883.4075148609772</v>
      </c>
      <c r="AL33" s="100">
        <v>20</v>
      </c>
      <c r="AM33" s="100">
        <v>9480</v>
      </c>
      <c r="AN33" s="100">
        <v>19</v>
      </c>
      <c r="AO33" s="100">
        <v>9006</v>
      </c>
      <c r="AP33" s="100">
        <v>0.8315647258759431</v>
      </c>
      <c r="AQ33" s="100">
        <v>394.161680065197</v>
      </c>
      <c r="AR33" s="100">
        <v>4.062926591625068E-4</v>
      </c>
      <c r="AS33" s="100">
        <v>0.19258272044302821</v>
      </c>
      <c r="AT33" s="100">
        <v>4.266869226504747E-4</v>
      </c>
      <c r="AU33" s="100">
        <v>0.202249601336325</v>
      </c>
      <c r="AV33" s="100">
        <v>15</v>
      </c>
      <c r="AW33" s="100">
        <v>7110</v>
      </c>
      <c r="AX33" s="100">
        <v>4.291228511122215</v>
      </c>
      <c r="AY33" s="100">
        <v>2034.0423142719299</v>
      </c>
      <c r="AZ33" s="100">
        <v>12</v>
      </c>
      <c r="BA33" s="100">
        <v>5688</v>
      </c>
      <c r="BB33" s="100">
        <v>15</v>
      </c>
      <c r="BC33" s="100">
        <v>7110</v>
      </c>
      <c r="BD33" s="100">
        <v>15</v>
      </c>
      <c r="BE33" s="100">
        <v>7110</v>
      </c>
      <c r="BF33" s="100">
        <v>16</v>
      </c>
      <c r="BG33" s="100">
        <v>7584</v>
      </c>
      <c r="BH33" s="100">
        <v>18</v>
      </c>
      <c r="BI33" s="100">
        <v>8532</v>
      </c>
      <c r="BJ33" s="100">
        <v>22</v>
      </c>
      <c r="BK33" s="100">
        <v>10428</v>
      </c>
      <c r="BL33" s="100">
        <v>17</v>
      </c>
      <c r="BM33" s="100">
        <v>8058</v>
      </c>
      <c r="BN33" s="100">
        <v>6.4150285234398785</v>
      </c>
      <c r="BO33" s="100">
        <v>3040.7235201105022</v>
      </c>
      <c r="BP33" s="100">
        <v>17</v>
      </c>
      <c r="BQ33" s="100">
        <v>8058</v>
      </c>
      <c r="BR33" s="100">
        <v>22</v>
      </c>
      <c r="BS33" s="100">
        <v>10428</v>
      </c>
      <c r="BT33" s="100">
        <v>19.712997877842263</v>
      </c>
      <c r="BU33" s="100">
        <v>9343.9609940972332</v>
      </c>
      <c r="BV33" s="100">
        <v>0</v>
      </c>
      <c r="BW33" s="100">
        <v>0</v>
      </c>
      <c r="BX33" s="100">
        <v>23</v>
      </c>
      <c r="BY33" s="100">
        <v>10902</v>
      </c>
      <c r="BZ33" s="100">
        <v>16</v>
      </c>
      <c r="CA33" s="100">
        <v>7584</v>
      </c>
      <c r="CB33" s="100">
        <v>19</v>
      </c>
      <c r="CC33" s="100">
        <v>9006</v>
      </c>
      <c r="CD33" s="100">
        <v>14</v>
      </c>
      <c r="CE33" s="100">
        <v>6636</v>
      </c>
      <c r="CF33" s="100">
        <v>21</v>
      </c>
      <c r="CG33" s="100">
        <v>9954</v>
      </c>
      <c r="CH33" s="100">
        <v>16</v>
      </c>
      <c r="CI33" s="100">
        <v>7584</v>
      </c>
      <c r="CJ33" s="100">
        <v>9.7618038867737535</v>
      </c>
      <c r="CK33" s="100">
        <v>4627.0950423307595</v>
      </c>
      <c r="CL33" s="100">
        <v>20</v>
      </c>
      <c r="CM33" s="100">
        <v>9480</v>
      </c>
      <c r="CN33" s="100">
        <v>22</v>
      </c>
      <c r="CO33" s="100">
        <v>10428</v>
      </c>
      <c r="CP33" s="100">
        <v>20.22285086906389</v>
      </c>
      <c r="CQ33" s="100">
        <v>9585.631311936284</v>
      </c>
      <c r="CR33" s="100">
        <v>16.078260442982746</v>
      </c>
      <c r="CS33" s="100">
        <v>7621.0954499738218</v>
      </c>
      <c r="CT33" s="100">
        <v>21</v>
      </c>
      <c r="CU33" s="100">
        <v>9954</v>
      </c>
    </row>
    <row r="34" spans="2:99">
      <c r="C34" s="99" t="s">
        <v>200</v>
      </c>
      <c r="D34" s="100">
        <v>20</v>
      </c>
      <c r="E34" s="100">
        <v>10968</v>
      </c>
      <c r="F34" s="100">
        <v>15</v>
      </c>
      <c r="G34" s="100">
        <v>8226</v>
      </c>
      <c r="H34" s="100">
        <v>16</v>
      </c>
      <c r="I34" s="100">
        <v>8774.4</v>
      </c>
      <c r="J34" s="100">
        <v>18</v>
      </c>
      <c r="K34" s="100">
        <v>9871.1999999999989</v>
      </c>
      <c r="L34" s="100">
        <v>17</v>
      </c>
      <c r="M34" s="100">
        <v>9322.7999999999993</v>
      </c>
      <c r="N34" s="100">
        <v>15</v>
      </c>
      <c r="O34" s="100">
        <v>8226</v>
      </c>
      <c r="P34" s="100">
        <v>14</v>
      </c>
      <c r="Q34" s="100">
        <v>7677.5999999999995</v>
      </c>
      <c r="R34" s="100">
        <v>16</v>
      </c>
      <c r="S34" s="100">
        <v>8774.4</v>
      </c>
      <c r="T34" s="100">
        <v>13</v>
      </c>
      <c r="U34" s="100">
        <v>7129.2</v>
      </c>
      <c r="V34" s="100">
        <v>21</v>
      </c>
      <c r="W34" s="100">
        <v>11516.4</v>
      </c>
      <c r="X34" s="100">
        <v>16</v>
      </c>
      <c r="Y34" s="100">
        <v>8774.4</v>
      </c>
      <c r="Z34" s="100">
        <v>18</v>
      </c>
      <c r="AA34" s="100">
        <v>9871.1999999999989</v>
      </c>
      <c r="AB34" s="100">
        <v>12</v>
      </c>
      <c r="AC34" s="100">
        <v>6580.7999999999993</v>
      </c>
      <c r="AD34" s="100">
        <v>17</v>
      </c>
      <c r="AE34" s="100">
        <v>9322.7999999999993</v>
      </c>
      <c r="AF34" s="100">
        <v>12.966973814572174</v>
      </c>
      <c r="AG34" s="100">
        <v>7111.0884399113802</v>
      </c>
      <c r="AH34" s="100">
        <v>20</v>
      </c>
      <c r="AI34" s="100">
        <v>10968</v>
      </c>
      <c r="AJ34" s="100">
        <v>17.848920062007185</v>
      </c>
      <c r="AK34" s="100">
        <v>9788.3477620047397</v>
      </c>
      <c r="AL34" s="100">
        <v>20</v>
      </c>
      <c r="AM34" s="100">
        <v>10968</v>
      </c>
      <c r="AN34" s="100">
        <v>19</v>
      </c>
      <c r="AO34" s="100">
        <v>10419.6</v>
      </c>
      <c r="AP34" s="100">
        <v>0.77959193050869657</v>
      </c>
      <c r="AQ34" s="100">
        <v>427.52821469096921</v>
      </c>
      <c r="AR34" s="100">
        <v>4.062926591625068E-4</v>
      </c>
      <c r="AS34" s="100">
        <v>0.22281089428471873</v>
      </c>
      <c r="AT34" s="100">
        <v>4.266869226504747E-4</v>
      </c>
      <c r="AU34" s="100">
        <v>0.23399510838152032</v>
      </c>
      <c r="AV34" s="100">
        <v>14</v>
      </c>
      <c r="AW34" s="100">
        <v>7677.5999999999995</v>
      </c>
      <c r="AX34" s="100">
        <v>5.0064332629759178</v>
      </c>
      <c r="AY34" s="100">
        <v>2745.528001415993</v>
      </c>
      <c r="AZ34" s="100">
        <v>12</v>
      </c>
      <c r="BA34" s="100">
        <v>6580.7999999999993</v>
      </c>
      <c r="BB34" s="100">
        <v>14</v>
      </c>
      <c r="BC34" s="100">
        <v>7677.5999999999995</v>
      </c>
      <c r="BD34" s="100">
        <v>17</v>
      </c>
      <c r="BE34" s="100">
        <v>9322.7999999999993</v>
      </c>
      <c r="BF34" s="100">
        <v>15</v>
      </c>
      <c r="BG34" s="100">
        <v>8226</v>
      </c>
      <c r="BH34" s="100">
        <v>18</v>
      </c>
      <c r="BI34" s="100">
        <v>9871.1999999999989</v>
      </c>
      <c r="BJ34" s="100">
        <v>23</v>
      </c>
      <c r="BK34" s="100">
        <v>12613.199999999999</v>
      </c>
      <c r="BL34" s="100">
        <v>18</v>
      </c>
      <c r="BM34" s="100">
        <v>9871.1999999999989</v>
      </c>
      <c r="BN34" s="100">
        <v>8.0187856542998475</v>
      </c>
      <c r="BO34" s="100">
        <v>4397.5020528180357</v>
      </c>
      <c r="BP34" s="100">
        <v>17</v>
      </c>
      <c r="BQ34" s="100">
        <v>9322.7999999999993</v>
      </c>
      <c r="BR34" s="100">
        <v>18</v>
      </c>
      <c r="BS34" s="100">
        <v>9871.1999999999989</v>
      </c>
      <c r="BT34" s="100">
        <v>20.609043235926002</v>
      </c>
      <c r="BU34" s="100">
        <v>11301.999310581819</v>
      </c>
      <c r="BV34" s="100">
        <v>0</v>
      </c>
      <c r="BW34" s="100">
        <v>0</v>
      </c>
      <c r="BX34" s="100">
        <v>20</v>
      </c>
      <c r="BY34" s="100">
        <v>10968</v>
      </c>
      <c r="BZ34" s="100">
        <v>15</v>
      </c>
      <c r="CA34" s="100">
        <v>8226</v>
      </c>
      <c r="CB34" s="100">
        <v>21</v>
      </c>
      <c r="CC34" s="100">
        <v>11516.4</v>
      </c>
      <c r="CD34" s="100">
        <v>14</v>
      </c>
      <c r="CE34" s="100">
        <v>7677.5999999999995</v>
      </c>
      <c r="CF34" s="100">
        <v>19</v>
      </c>
      <c r="CG34" s="100">
        <v>10419.6</v>
      </c>
      <c r="CH34" s="100">
        <v>15</v>
      </c>
      <c r="CI34" s="100">
        <v>8226</v>
      </c>
      <c r="CJ34" s="100">
        <v>11.063377738343588</v>
      </c>
      <c r="CK34" s="100">
        <v>6067.1563517076238</v>
      </c>
      <c r="CL34" s="100">
        <v>18</v>
      </c>
      <c r="CM34" s="100">
        <v>9871.1999999999989</v>
      </c>
      <c r="CN34" s="100">
        <v>20</v>
      </c>
      <c r="CO34" s="100">
        <v>10968</v>
      </c>
      <c r="CP34" s="100">
        <v>16.705833326617995</v>
      </c>
      <c r="CQ34" s="100">
        <v>9161.478996317308</v>
      </c>
      <c r="CR34" s="100">
        <v>17.609523342314439</v>
      </c>
      <c r="CS34" s="100">
        <v>9657.0626009252373</v>
      </c>
      <c r="CT34" s="100">
        <v>22</v>
      </c>
      <c r="CU34" s="100">
        <v>12064.8</v>
      </c>
    </row>
    <row r="35" spans="2:99">
      <c r="C35" s="99" t="s">
        <v>201</v>
      </c>
      <c r="D35" s="100">
        <v>18</v>
      </c>
      <c r="E35" s="100">
        <v>9050.3999999999978</v>
      </c>
      <c r="F35" s="100">
        <v>17</v>
      </c>
      <c r="G35" s="100">
        <v>8547.5999999999985</v>
      </c>
      <c r="H35" s="100">
        <v>16</v>
      </c>
      <c r="I35" s="100">
        <v>8044.7999999999984</v>
      </c>
      <c r="J35" s="100">
        <v>18</v>
      </c>
      <c r="K35" s="100">
        <v>9050.3999999999978</v>
      </c>
      <c r="L35" s="100">
        <v>20</v>
      </c>
      <c r="M35" s="100">
        <v>10055.999999999998</v>
      </c>
      <c r="N35" s="100">
        <v>15</v>
      </c>
      <c r="O35" s="100">
        <v>7541.9999999999982</v>
      </c>
      <c r="P35" s="100">
        <v>14</v>
      </c>
      <c r="Q35" s="100">
        <v>7039.1999999999989</v>
      </c>
      <c r="R35" s="100">
        <v>15</v>
      </c>
      <c r="S35" s="100">
        <v>7541.9999999999982</v>
      </c>
      <c r="T35" s="100">
        <v>13</v>
      </c>
      <c r="U35" s="100">
        <v>6536.3999999999987</v>
      </c>
      <c r="V35" s="100">
        <v>21</v>
      </c>
      <c r="W35" s="100">
        <v>10558.799999999997</v>
      </c>
      <c r="X35" s="100">
        <v>16</v>
      </c>
      <c r="Y35" s="100">
        <v>8044.7999999999984</v>
      </c>
      <c r="Z35" s="100">
        <v>17</v>
      </c>
      <c r="AA35" s="100">
        <v>8547.5999999999985</v>
      </c>
      <c r="AB35" s="100">
        <v>12</v>
      </c>
      <c r="AC35" s="100">
        <v>6033.5999999999985</v>
      </c>
      <c r="AD35" s="100">
        <v>15</v>
      </c>
      <c r="AE35" s="100">
        <v>7541.9999999999982</v>
      </c>
      <c r="AF35" s="100">
        <v>11.969514290374315</v>
      </c>
      <c r="AG35" s="100">
        <v>6018.2717852002042</v>
      </c>
      <c r="AH35" s="100">
        <v>23</v>
      </c>
      <c r="AI35" s="100">
        <v>11564.399999999998</v>
      </c>
      <c r="AJ35" s="100">
        <v>17.848920062007185</v>
      </c>
      <c r="AK35" s="100">
        <v>8974.43700717721</v>
      </c>
      <c r="AL35" s="100">
        <v>18</v>
      </c>
      <c r="AM35" s="100">
        <v>9050.3999999999978</v>
      </c>
      <c r="AN35" s="100">
        <v>17</v>
      </c>
      <c r="AO35" s="100">
        <v>8547.5999999999985</v>
      </c>
      <c r="AP35" s="100">
        <v>0.77959193050869657</v>
      </c>
      <c r="AQ35" s="100">
        <v>391.97882265977256</v>
      </c>
      <c r="AR35" s="100">
        <v>3.7727175493661348E-4</v>
      </c>
      <c r="AS35" s="100">
        <v>0.18969223838212923</v>
      </c>
      <c r="AT35" s="100">
        <v>4.266869226504747E-4</v>
      </c>
      <c r="AU35" s="100">
        <v>0.21453818470865862</v>
      </c>
      <c r="AV35" s="100">
        <v>17</v>
      </c>
      <c r="AW35" s="100">
        <v>8547.5999999999985</v>
      </c>
      <c r="AX35" s="100">
        <v>4.7680316790246833</v>
      </c>
      <c r="AY35" s="100">
        <v>2397.3663282136104</v>
      </c>
      <c r="AZ35" s="100">
        <v>14</v>
      </c>
      <c r="BA35" s="100">
        <v>7039.1999999999989</v>
      </c>
      <c r="BB35" s="100">
        <v>15</v>
      </c>
      <c r="BC35" s="100">
        <v>7541.9999999999982</v>
      </c>
      <c r="BD35" s="100">
        <v>18</v>
      </c>
      <c r="BE35" s="100">
        <v>9050.3999999999978</v>
      </c>
      <c r="BF35" s="100">
        <v>14</v>
      </c>
      <c r="BG35" s="100">
        <v>7039.1999999999989</v>
      </c>
      <c r="BH35" s="100">
        <v>20</v>
      </c>
      <c r="BI35" s="100">
        <v>10055.999999999998</v>
      </c>
      <c r="BJ35" s="100">
        <v>24</v>
      </c>
      <c r="BK35" s="100">
        <v>12067.199999999997</v>
      </c>
      <c r="BL35" s="100">
        <v>17</v>
      </c>
      <c r="BM35" s="100">
        <v>8547.5999999999985</v>
      </c>
      <c r="BN35" s="100">
        <v>7.4841999440131923</v>
      </c>
      <c r="BO35" s="100">
        <v>3763.0557318498322</v>
      </c>
      <c r="BP35" s="100">
        <v>17</v>
      </c>
      <c r="BQ35" s="100">
        <v>8547.5999999999985</v>
      </c>
      <c r="BR35" s="100">
        <v>19</v>
      </c>
      <c r="BS35" s="100">
        <v>9553.1999999999989</v>
      </c>
      <c r="BT35" s="100">
        <v>20.609043235926002</v>
      </c>
      <c r="BU35" s="100">
        <v>10362.226939023592</v>
      </c>
      <c r="BV35" s="100">
        <v>0</v>
      </c>
      <c r="BW35" s="100">
        <v>0</v>
      </c>
      <c r="BX35" s="100">
        <v>23</v>
      </c>
      <c r="BY35" s="100">
        <v>11564.399999999998</v>
      </c>
      <c r="BZ35" s="100">
        <v>15</v>
      </c>
      <c r="CA35" s="100">
        <v>7541.9999999999982</v>
      </c>
      <c r="CB35" s="100">
        <v>21</v>
      </c>
      <c r="CC35" s="100">
        <v>10558.799999999997</v>
      </c>
      <c r="CD35" s="100">
        <v>14</v>
      </c>
      <c r="CE35" s="100">
        <v>7039.1999999999989</v>
      </c>
      <c r="CF35" s="100">
        <v>22</v>
      </c>
      <c r="CG35" s="100">
        <v>11061.599999999999</v>
      </c>
      <c r="CH35" s="100">
        <v>14</v>
      </c>
      <c r="CI35" s="100">
        <v>7039.1999999999989</v>
      </c>
      <c r="CJ35" s="100">
        <v>10.412590812558669</v>
      </c>
      <c r="CK35" s="100">
        <v>5235.4506605544975</v>
      </c>
      <c r="CL35" s="100">
        <v>20</v>
      </c>
      <c r="CM35" s="100">
        <v>10055.999999999998</v>
      </c>
      <c r="CN35" s="100">
        <v>23</v>
      </c>
      <c r="CO35" s="100">
        <v>11564.399999999998</v>
      </c>
      <c r="CP35" s="100">
        <v>20.22285086906389</v>
      </c>
      <c r="CQ35" s="100">
        <v>10168.049416965321</v>
      </c>
      <c r="CR35" s="100">
        <v>18.375154791980282</v>
      </c>
      <c r="CS35" s="100">
        <v>9239.0278294076834</v>
      </c>
      <c r="CT35" s="100">
        <v>22</v>
      </c>
      <c r="CU35" s="100">
        <v>11061.599999999999</v>
      </c>
    </row>
    <row r="36" spans="2:99">
      <c r="C36" s="99" t="s">
        <v>202</v>
      </c>
      <c r="D36" s="100">
        <v>17</v>
      </c>
      <c r="E36" s="100">
        <v>12933.599999999999</v>
      </c>
      <c r="F36" s="100">
        <v>14</v>
      </c>
      <c r="G36" s="100">
        <v>10651.199999999999</v>
      </c>
      <c r="H36" s="100">
        <v>16</v>
      </c>
      <c r="I36" s="100">
        <v>12172.8</v>
      </c>
      <c r="J36" s="100">
        <v>20</v>
      </c>
      <c r="K36" s="100">
        <v>15216</v>
      </c>
      <c r="L36" s="100">
        <v>20</v>
      </c>
      <c r="M36" s="100">
        <v>15216</v>
      </c>
      <c r="N36" s="100">
        <v>15</v>
      </c>
      <c r="O36" s="100">
        <v>11412</v>
      </c>
      <c r="P36" s="100">
        <v>14</v>
      </c>
      <c r="Q36" s="100">
        <v>10651.199999999999</v>
      </c>
      <c r="R36" s="100">
        <v>15</v>
      </c>
      <c r="S36" s="100">
        <v>11412</v>
      </c>
      <c r="T36" s="100">
        <v>12</v>
      </c>
      <c r="U36" s="100">
        <v>9129.5999999999985</v>
      </c>
      <c r="V36" s="100">
        <v>22</v>
      </c>
      <c r="W36" s="100">
        <v>16737.599999999999</v>
      </c>
      <c r="X36" s="100">
        <v>15</v>
      </c>
      <c r="Y36" s="100">
        <v>11412</v>
      </c>
      <c r="Z36" s="100">
        <v>15</v>
      </c>
      <c r="AA36" s="100">
        <v>11412</v>
      </c>
      <c r="AB36" s="100">
        <v>10</v>
      </c>
      <c r="AC36" s="100">
        <v>7608</v>
      </c>
      <c r="AD36" s="100">
        <v>14</v>
      </c>
      <c r="AE36" s="100">
        <v>10651.199999999999</v>
      </c>
      <c r="AF36" s="100">
        <v>12.966973814572174</v>
      </c>
      <c r="AG36" s="100">
        <v>9865.2736781265103</v>
      </c>
      <c r="AH36" s="100">
        <v>19</v>
      </c>
      <c r="AI36" s="100">
        <v>14455.199999999999</v>
      </c>
      <c r="AJ36" s="100">
        <v>18.741366065107545</v>
      </c>
      <c r="AK36" s="100">
        <v>14258.43130233382</v>
      </c>
      <c r="AL36" s="100">
        <v>19</v>
      </c>
      <c r="AM36" s="100">
        <v>14455.199999999999</v>
      </c>
      <c r="AN36" s="100">
        <v>17</v>
      </c>
      <c r="AO36" s="100">
        <v>12933.599999999999</v>
      </c>
      <c r="AP36" s="100">
        <v>0.8315647258759431</v>
      </c>
      <c r="AQ36" s="100">
        <v>632.65444344641742</v>
      </c>
      <c r="AR36" s="100">
        <v>3.7727175493661348E-4</v>
      </c>
      <c r="AS36" s="100">
        <v>0.28702835115577552</v>
      </c>
      <c r="AT36" s="100">
        <v>4.8357851233720464E-4</v>
      </c>
      <c r="AU36" s="100">
        <v>0.36790653218614527</v>
      </c>
      <c r="AV36" s="100">
        <v>17</v>
      </c>
      <c r="AW36" s="100">
        <v>12933.599999999999</v>
      </c>
      <c r="AX36" s="100">
        <v>4.291228511122215</v>
      </c>
      <c r="AY36" s="100">
        <v>3264.7666512617811</v>
      </c>
      <c r="AZ36" s="100">
        <v>13</v>
      </c>
      <c r="BA36" s="100">
        <v>9890.4</v>
      </c>
      <c r="BB36" s="100">
        <v>14</v>
      </c>
      <c r="BC36" s="100">
        <v>10651.199999999999</v>
      </c>
      <c r="BD36" s="100">
        <v>15</v>
      </c>
      <c r="BE36" s="100">
        <v>11412</v>
      </c>
      <c r="BF36" s="100">
        <v>14</v>
      </c>
      <c r="BG36" s="100">
        <v>10651.199999999999</v>
      </c>
      <c r="BH36" s="100">
        <v>19</v>
      </c>
      <c r="BI36" s="100">
        <v>14455.199999999999</v>
      </c>
      <c r="BJ36" s="100">
        <v>20</v>
      </c>
      <c r="BK36" s="100">
        <v>15216</v>
      </c>
      <c r="BL36" s="100">
        <v>17</v>
      </c>
      <c r="BM36" s="100">
        <v>12933.599999999999</v>
      </c>
      <c r="BN36" s="100">
        <v>7.4841999440131923</v>
      </c>
      <c r="BO36" s="100">
        <v>5693.9793174052365</v>
      </c>
      <c r="BP36" s="100">
        <v>16</v>
      </c>
      <c r="BQ36" s="100">
        <v>12172.8</v>
      </c>
      <c r="BR36" s="100">
        <v>19</v>
      </c>
      <c r="BS36" s="100">
        <v>14455.199999999999</v>
      </c>
      <c r="BT36" s="100">
        <v>19.712997877842263</v>
      </c>
      <c r="BU36" s="100">
        <v>14997.648785462392</v>
      </c>
      <c r="BV36" s="100">
        <v>0</v>
      </c>
      <c r="BW36" s="100">
        <v>0</v>
      </c>
      <c r="BX36" s="100">
        <v>19</v>
      </c>
      <c r="BY36" s="100">
        <v>14455.199999999999</v>
      </c>
      <c r="BZ36" s="100">
        <v>14</v>
      </c>
      <c r="CA36" s="100">
        <v>10651.199999999999</v>
      </c>
      <c r="CB36" s="100">
        <v>18</v>
      </c>
      <c r="CC36" s="100">
        <v>13694.4</v>
      </c>
      <c r="CD36" s="100">
        <v>14</v>
      </c>
      <c r="CE36" s="100">
        <v>10651.199999999999</v>
      </c>
      <c r="CF36" s="100">
        <v>20</v>
      </c>
      <c r="CG36" s="100">
        <v>15216</v>
      </c>
      <c r="CH36" s="100">
        <v>16</v>
      </c>
      <c r="CI36" s="100">
        <v>12172.8</v>
      </c>
      <c r="CJ36" s="100">
        <v>10.412590812558669</v>
      </c>
      <c r="CK36" s="100">
        <v>7921.8990901946345</v>
      </c>
      <c r="CL36" s="100">
        <v>18</v>
      </c>
      <c r="CM36" s="100">
        <v>13694.4</v>
      </c>
      <c r="CN36" s="100">
        <v>23</v>
      </c>
      <c r="CO36" s="100">
        <v>17498.399999999998</v>
      </c>
      <c r="CP36" s="100">
        <v>18.464342097840941</v>
      </c>
      <c r="CQ36" s="100">
        <v>14047.671468037386</v>
      </c>
      <c r="CR36" s="100">
        <v>19.140786241646126</v>
      </c>
      <c r="CS36" s="100">
        <v>14562.310172644371</v>
      </c>
      <c r="CT36" s="100">
        <v>23</v>
      </c>
      <c r="CU36" s="100">
        <v>17498.399999999998</v>
      </c>
    </row>
    <row r="37" spans="2:99">
      <c r="B37" s="99" t="s">
        <v>128</v>
      </c>
      <c r="C37" s="99" t="s">
        <v>203</v>
      </c>
      <c r="D37" s="100">
        <v>14</v>
      </c>
      <c r="E37" s="100">
        <v>12045.6</v>
      </c>
      <c r="F37" s="100">
        <v>7</v>
      </c>
      <c r="G37" s="100">
        <v>6022.8</v>
      </c>
      <c r="H37" s="100">
        <v>13</v>
      </c>
      <c r="I37" s="100">
        <v>11185.199999999999</v>
      </c>
      <c r="J37" s="100">
        <v>15</v>
      </c>
      <c r="K37" s="100">
        <v>12906</v>
      </c>
      <c r="L37" s="100">
        <v>12</v>
      </c>
      <c r="M37" s="100">
        <v>10324.799999999999</v>
      </c>
      <c r="N37" s="100">
        <v>15</v>
      </c>
      <c r="O37" s="100">
        <v>12906</v>
      </c>
      <c r="P37" s="100">
        <v>7</v>
      </c>
      <c r="Q37" s="100">
        <v>6022.8</v>
      </c>
      <c r="R37" s="100">
        <v>15</v>
      </c>
      <c r="S37" s="100">
        <v>12906</v>
      </c>
      <c r="T37" s="100">
        <v>13</v>
      </c>
      <c r="U37" s="100">
        <v>11185.199999999999</v>
      </c>
      <c r="V37" s="100">
        <v>12</v>
      </c>
      <c r="W37" s="100">
        <v>10324.799999999999</v>
      </c>
      <c r="X37" s="100">
        <v>15</v>
      </c>
      <c r="Y37" s="100">
        <v>12906</v>
      </c>
      <c r="Z37" s="100">
        <v>9</v>
      </c>
      <c r="AA37" s="100">
        <v>7743.5999999999995</v>
      </c>
      <c r="AB37" s="100">
        <v>13</v>
      </c>
      <c r="AC37" s="100">
        <v>11185.199999999999</v>
      </c>
      <c r="AD37" s="100">
        <v>11</v>
      </c>
      <c r="AE37" s="100">
        <v>9464.4</v>
      </c>
      <c r="AF37" s="100">
        <v>9.9745952419785944</v>
      </c>
      <c r="AG37" s="100">
        <v>8582.141746198382</v>
      </c>
      <c r="AH37" s="100">
        <v>10</v>
      </c>
      <c r="AI37" s="100">
        <v>8604</v>
      </c>
      <c r="AJ37" s="100">
        <v>7.139568024802875</v>
      </c>
      <c r="AK37" s="100">
        <v>6142.8843285403937</v>
      </c>
      <c r="AL37" s="100">
        <v>12</v>
      </c>
      <c r="AM37" s="100">
        <v>10324.799999999999</v>
      </c>
      <c r="AN37" s="100">
        <v>12</v>
      </c>
      <c r="AO37" s="100">
        <v>10324.799999999999</v>
      </c>
      <c r="AP37" s="100">
        <v>0.8315647258759431</v>
      </c>
      <c r="AQ37" s="100">
        <v>715.47829014366141</v>
      </c>
      <c r="AR37" s="100">
        <v>2.3216723380714674E-4</v>
      </c>
      <c r="AS37" s="100">
        <v>0.19975668796766904</v>
      </c>
      <c r="AT37" s="100">
        <v>3.9824112780710976E-4</v>
      </c>
      <c r="AU37" s="100">
        <v>0.34264666636523722</v>
      </c>
      <c r="AV37" s="100">
        <v>9</v>
      </c>
      <c r="AW37" s="100">
        <v>7743.5999999999995</v>
      </c>
      <c r="AX37" s="100">
        <v>2.8608190074148099</v>
      </c>
      <c r="AY37" s="100">
        <v>2461.4486739797026</v>
      </c>
      <c r="AZ37" s="100">
        <v>15</v>
      </c>
      <c r="BA37" s="100">
        <v>12906</v>
      </c>
      <c r="BB37" s="100">
        <v>7</v>
      </c>
      <c r="BC37" s="100">
        <v>6022.8</v>
      </c>
      <c r="BD37" s="100">
        <v>11</v>
      </c>
      <c r="BE37" s="100">
        <v>9464.4</v>
      </c>
      <c r="BF37" s="100">
        <v>13</v>
      </c>
      <c r="BG37" s="100">
        <v>11185.199999999999</v>
      </c>
      <c r="BH37" s="100">
        <v>10</v>
      </c>
      <c r="BI37" s="100">
        <v>8604</v>
      </c>
      <c r="BJ37" s="100">
        <v>11</v>
      </c>
      <c r="BK37" s="100">
        <v>9464.4</v>
      </c>
      <c r="BL37" s="100">
        <v>9</v>
      </c>
      <c r="BM37" s="100">
        <v>7743.5999999999995</v>
      </c>
      <c r="BN37" s="100">
        <v>3.7420999720065962</v>
      </c>
      <c r="BO37" s="100">
        <v>3219.7028159144752</v>
      </c>
      <c r="BP37" s="100">
        <v>8</v>
      </c>
      <c r="BQ37" s="100">
        <v>6883.2</v>
      </c>
      <c r="BR37" s="100">
        <v>9</v>
      </c>
      <c r="BS37" s="100">
        <v>7743.5999999999995</v>
      </c>
      <c r="BT37" s="100">
        <v>8.9604535808373917</v>
      </c>
      <c r="BU37" s="100">
        <v>7709.5742609524914</v>
      </c>
      <c r="BV37" s="100">
        <v>0</v>
      </c>
      <c r="BW37" s="100">
        <v>0</v>
      </c>
      <c r="BX37" s="100">
        <v>10</v>
      </c>
      <c r="BY37" s="100">
        <v>8604</v>
      </c>
      <c r="BZ37" s="100">
        <v>15</v>
      </c>
      <c r="CA37" s="100">
        <v>12906</v>
      </c>
      <c r="CB37" s="100">
        <v>9</v>
      </c>
      <c r="CC37" s="100">
        <v>7743.5999999999995</v>
      </c>
      <c r="CD37" s="100">
        <v>15</v>
      </c>
      <c r="CE37" s="100">
        <v>12906</v>
      </c>
      <c r="CF37" s="100">
        <v>8</v>
      </c>
      <c r="CG37" s="100">
        <v>6883.2</v>
      </c>
      <c r="CH37" s="100">
        <v>9</v>
      </c>
      <c r="CI37" s="100">
        <v>7743.5999999999995</v>
      </c>
      <c r="CJ37" s="100">
        <v>7.1586561836340854</v>
      </c>
      <c r="CK37" s="100">
        <v>6159.3077803987671</v>
      </c>
      <c r="CL37" s="100">
        <v>12</v>
      </c>
      <c r="CM37" s="100">
        <v>10324.799999999999</v>
      </c>
      <c r="CN37" s="100">
        <v>14</v>
      </c>
      <c r="CO37" s="100">
        <v>12045.6</v>
      </c>
      <c r="CP37" s="100">
        <v>14.068070169783574</v>
      </c>
      <c r="CQ37" s="100">
        <v>12104.167574081786</v>
      </c>
      <c r="CR37" s="100">
        <v>7.6563144966584513</v>
      </c>
      <c r="CS37" s="100">
        <v>6587.4929929249311</v>
      </c>
      <c r="CT37" s="100">
        <v>12</v>
      </c>
      <c r="CU37" s="100">
        <v>10324.799999999999</v>
      </c>
    </row>
    <row r="38" spans="2:99">
      <c r="C38" s="99" t="s">
        <v>204</v>
      </c>
      <c r="D38" s="100">
        <v>12</v>
      </c>
      <c r="E38" s="100">
        <v>14904</v>
      </c>
      <c r="F38" s="100">
        <v>7</v>
      </c>
      <c r="G38" s="100">
        <v>8694</v>
      </c>
      <c r="H38" s="100">
        <v>12</v>
      </c>
      <c r="I38" s="100">
        <v>14904</v>
      </c>
      <c r="J38" s="100">
        <v>13</v>
      </c>
      <c r="K38" s="100">
        <v>16146</v>
      </c>
      <c r="L38" s="100">
        <v>13</v>
      </c>
      <c r="M38" s="100">
        <v>16146</v>
      </c>
      <c r="N38" s="100">
        <v>14</v>
      </c>
      <c r="O38" s="100">
        <v>17388</v>
      </c>
      <c r="P38" s="100">
        <v>7</v>
      </c>
      <c r="Q38" s="100">
        <v>8694</v>
      </c>
      <c r="R38" s="100">
        <v>13</v>
      </c>
      <c r="S38" s="100">
        <v>16146</v>
      </c>
      <c r="T38" s="100">
        <v>11</v>
      </c>
      <c r="U38" s="100">
        <v>13662</v>
      </c>
      <c r="V38" s="100">
        <v>12</v>
      </c>
      <c r="W38" s="100">
        <v>14904</v>
      </c>
      <c r="X38" s="100">
        <v>13</v>
      </c>
      <c r="Y38" s="100">
        <v>16146</v>
      </c>
      <c r="Z38" s="100">
        <v>7</v>
      </c>
      <c r="AA38" s="100">
        <v>8694</v>
      </c>
      <c r="AB38" s="100">
        <v>14</v>
      </c>
      <c r="AC38" s="100">
        <v>17388</v>
      </c>
      <c r="AD38" s="100">
        <v>13</v>
      </c>
      <c r="AE38" s="100">
        <v>16146</v>
      </c>
      <c r="AF38" s="100">
        <v>8.9771357177807367</v>
      </c>
      <c r="AG38" s="100">
        <v>11149.602561483674</v>
      </c>
      <c r="AH38" s="100">
        <v>9</v>
      </c>
      <c r="AI38" s="100">
        <v>11178</v>
      </c>
      <c r="AJ38" s="100">
        <v>7.139568024802875</v>
      </c>
      <c r="AK38" s="100">
        <v>8867.34348680517</v>
      </c>
      <c r="AL38" s="100">
        <v>11</v>
      </c>
      <c r="AM38" s="100">
        <v>13662</v>
      </c>
      <c r="AN38" s="100">
        <v>13</v>
      </c>
      <c r="AO38" s="100">
        <v>16146</v>
      </c>
      <c r="AP38" s="100">
        <v>0.72761913514145027</v>
      </c>
      <c r="AQ38" s="100">
        <v>903.70296584568121</v>
      </c>
      <c r="AR38" s="100">
        <v>2.3216723380714674E-4</v>
      </c>
      <c r="AS38" s="100">
        <v>0.28835170438847624</v>
      </c>
      <c r="AT38" s="100">
        <v>3.4134953812037976E-4</v>
      </c>
      <c r="AU38" s="100">
        <v>0.42395612634551166</v>
      </c>
      <c r="AV38" s="100">
        <v>8</v>
      </c>
      <c r="AW38" s="100">
        <v>9936</v>
      </c>
      <c r="AX38" s="100">
        <v>2.6224174234635758</v>
      </c>
      <c r="AY38" s="100">
        <v>3257.0424399417611</v>
      </c>
      <c r="AZ38" s="100">
        <v>14</v>
      </c>
      <c r="BA38" s="100">
        <v>17388</v>
      </c>
      <c r="BB38" s="100">
        <v>8</v>
      </c>
      <c r="BC38" s="100">
        <v>9936</v>
      </c>
      <c r="BD38" s="100">
        <v>9</v>
      </c>
      <c r="BE38" s="100">
        <v>11178</v>
      </c>
      <c r="BF38" s="100">
        <v>14</v>
      </c>
      <c r="BG38" s="100">
        <v>17388</v>
      </c>
      <c r="BH38" s="100">
        <v>9</v>
      </c>
      <c r="BI38" s="100">
        <v>11178</v>
      </c>
      <c r="BJ38" s="100">
        <v>10</v>
      </c>
      <c r="BK38" s="100">
        <v>12420</v>
      </c>
      <c r="BL38" s="100">
        <v>9</v>
      </c>
      <c r="BM38" s="100">
        <v>11178</v>
      </c>
      <c r="BN38" s="100">
        <v>4.8112713925799087</v>
      </c>
      <c r="BO38" s="100">
        <v>5975.5990695842465</v>
      </c>
      <c r="BP38" s="100">
        <v>8</v>
      </c>
      <c r="BQ38" s="100">
        <v>9936</v>
      </c>
      <c r="BR38" s="100">
        <v>10</v>
      </c>
      <c r="BS38" s="100">
        <v>12420</v>
      </c>
      <c r="BT38" s="100">
        <v>8.9604535808373917</v>
      </c>
      <c r="BU38" s="100">
        <v>11128.88334740004</v>
      </c>
      <c r="BV38" s="100">
        <v>0</v>
      </c>
      <c r="BW38" s="100">
        <v>0</v>
      </c>
      <c r="BX38" s="100">
        <v>12</v>
      </c>
      <c r="BY38" s="100">
        <v>14904</v>
      </c>
      <c r="BZ38" s="100">
        <v>13</v>
      </c>
      <c r="CA38" s="100">
        <v>16146</v>
      </c>
      <c r="CB38" s="100">
        <v>9</v>
      </c>
      <c r="CC38" s="100">
        <v>11178</v>
      </c>
      <c r="CD38" s="100">
        <v>14</v>
      </c>
      <c r="CE38" s="100">
        <v>17388</v>
      </c>
      <c r="CF38" s="100">
        <v>8</v>
      </c>
      <c r="CG38" s="100">
        <v>9936</v>
      </c>
      <c r="CH38" s="100">
        <v>8</v>
      </c>
      <c r="CI38" s="100">
        <v>9936</v>
      </c>
      <c r="CJ38" s="100">
        <v>7.1586561836340854</v>
      </c>
      <c r="CK38" s="100">
        <v>8891.0509800735344</v>
      </c>
      <c r="CL38" s="100">
        <v>12</v>
      </c>
      <c r="CM38" s="100">
        <v>14904</v>
      </c>
      <c r="CN38" s="100">
        <v>13</v>
      </c>
      <c r="CO38" s="100">
        <v>16146</v>
      </c>
      <c r="CP38" s="100">
        <v>12.309561398560627</v>
      </c>
      <c r="CQ38" s="100">
        <v>15288.475257012298</v>
      </c>
      <c r="CR38" s="100">
        <v>6.8906830469926055</v>
      </c>
      <c r="CS38" s="100">
        <v>8558.2283443648157</v>
      </c>
      <c r="CT38" s="100">
        <v>11</v>
      </c>
      <c r="CU38" s="100">
        <v>13662</v>
      </c>
    </row>
    <row r="39" spans="2:99">
      <c r="C39" s="99" t="s">
        <v>205</v>
      </c>
      <c r="D39" s="100">
        <v>12</v>
      </c>
      <c r="E39" s="100">
        <v>17078.400000000001</v>
      </c>
      <c r="F39" s="100">
        <v>8</v>
      </c>
      <c r="G39" s="100">
        <v>11385.6</v>
      </c>
      <c r="H39" s="100">
        <v>12</v>
      </c>
      <c r="I39" s="100">
        <v>17078.400000000001</v>
      </c>
      <c r="J39" s="100">
        <v>15</v>
      </c>
      <c r="K39" s="100">
        <v>21348</v>
      </c>
      <c r="L39" s="100">
        <v>11</v>
      </c>
      <c r="M39" s="100">
        <v>15655.2</v>
      </c>
      <c r="N39" s="100">
        <v>14</v>
      </c>
      <c r="O39" s="100">
        <v>19924.8</v>
      </c>
      <c r="P39" s="100">
        <v>7</v>
      </c>
      <c r="Q39" s="100">
        <v>9962.4</v>
      </c>
      <c r="R39" s="100">
        <v>14</v>
      </c>
      <c r="S39" s="100">
        <v>19924.8</v>
      </c>
      <c r="T39" s="100">
        <v>12</v>
      </c>
      <c r="U39" s="100">
        <v>17078.400000000001</v>
      </c>
      <c r="V39" s="100">
        <v>13</v>
      </c>
      <c r="W39" s="100">
        <v>18501.600000000002</v>
      </c>
      <c r="X39" s="100">
        <v>13</v>
      </c>
      <c r="Y39" s="100">
        <v>18501.600000000002</v>
      </c>
      <c r="Z39" s="100">
        <v>8</v>
      </c>
      <c r="AA39" s="100">
        <v>11385.6</v>
      </c>
      <c r="AB39" s="100">
        <v>14</v>
      </c>
      <c r="AC39" s="100">
        <v>19924.8</v>
      </c>
      <c r="AD39" s="100">
        <v>11</v>
      </c>
      <c r="AE39" s="100">
        <v>15655.2</v>
      </c>
      <c r="AF39" s="100">
        <v>8.9771357177807367</v>
      </c>
      <c r="AG39" s="100">
        <v>12776.259553545546</v>
      </c>
      <c r="AH39" s="100">
        <v>8</v>
      </c>
      <c r="AI39" s="100">
        <v>11385.6</v>
      </c>
      <c r="AJ39" s="100">
        <v>7.139568024802875</v>
      </c>
      <c r="AK39" s="100">
        <v>10161.033212899452</v>
      </c>
      <c r="AL39" s="100">
        <v>12</v>
      </c>
      <c r="AM39" s="100">
        <v>17078.400000000001</v>
      </c>
      <c r="AN39" s="100">
        <v>12</v>
      </c>
      <c r="AO39" s="100">
        <v>17078.400000000001</v>
      </c>
      <c r="AP39" s="100">
        <v>0.67564633977420374</v>
      </c>
      <c r="AQ39" s="100">
        <v>961.57987076664676</v>
      </c>
      <c r="AR39" s="100">
        <v>2.031463295812534E-4</v>
      </c>
      <c r="AS39" s="100">
        <v>0.28911785626003983</v>
      </c>
      <c r="AT39" s="100">
        <v>3.9824112780710976E-4</v>
      </c>
      <c r="AU39" s="100">
        <v>0.56677677309507857</v>
      </c>
      <c r="AV39" s="100">
        <v>8</v>
      </c>
      <c r="AW39" s="100">
        <v>11385.6</v>
      </c>
      <c r="AX39" s="100">
        <v>2.6224174234635758</v>
      </c>
      <c r="AY39" s="100">
        <v>3732.224477073361</v>
      </c>
      <c r="AZ39" s="100">
        <v>13</v>
      </c>
      <c r="BA39" s="100">
        <v>18501.600000000002</v>
      </c>
      <c r="BB39" s="100">
        <v>7</v>
      </c>
      <c r="BC39" s="100">
        <v>9962.4</v>
      </c>
      <c r="BD39" s="100">
        <v>9</v>
      </c>
      <c r="BE39" s="100">
        <v>12808.800000000001</v>
      </c>
      <c r="BF39" s="100">
        <v>14</v>
      </c>
      <c r="BG39" s="100">
        <v>19924.8</v>
      </c>
      <c r="BH39" s="100">
        <v>8</v>
      </c>
      <c r="BI39" s="100">
        <v>11385.6</v>
      </c>
      <c r="BJ39" s="100">
        <v>10</v>
      </c>
      <c r="BK39" s="100">
        <v>14232</v>
      </c>
      <c r="BL39" s="100">
        <v>9</v>
      </c>
      <c r="BM39" s="100">
        <v>12808.800000000001</v>
      </c>
      <c r="BN39" s="100">
        <v>3.7420999720065962</v>
      </c>
      <c r="BO39" s="100">
        <v>5325.7566801597877</v>
      </c>
      <c r="BP39" s="100">
        <v>7</v>
      </c>
      <c r="BQ39" s="100">
        <v>9962.4</v>
      </c>
      <c r="BR39" s="100">
        <v>9</v>
      </c>
      <c r="BS39" s="100">
        <v>12808.800000000001</v>
      </c>
      <c r="BT39" s="100">
        <v>10.752544297004869</v>
      </c>
      <c r="BU39" s="100">
        <v>15303.021043497331</v>
      </c>
      <c r="BV39" s="100">
        <v>0</v>
      </c>
      <c r="BW39" s="100">
        <v>0</v>
      </c>
      <c r="BX39" s="100">
        <v>10</v>
      </c>
      <c r="BY39" s="100">
        <v>14232</v>
      </c>
      <c r="BZ39" s="100">
        <v>14</v>
      </c>
      <c r="CA39" s="100">
        <v>19924.8</v>
      </c>
      <c r="CB39" s="100">
        <v>9</v>
      </c>
      <c r="CC39" s="100">
        <v>12808.800000000001</v>
      </c>
      <c r="CD39" s="100">
        <v>13</v>
      </c>
      <c r="CE39" s="100">
        <v>18501.600000000002</v>
      </c>
      <c r="CF39" s="100">
        <v>8</v>
      </c>
      <c r="CG39" s="100">
        <v>11385.6</v>
      </c>
      <c r="CH39" s="100">
        <v>8</v>
      </c>
      <c r="CI39" s="100">
        <v>11385.6</v>
      </c>
      <c r="CJ39" s="100">
        <v>7.8094431094190035</v>
      </c>
      <c r="CK39" s="100">
        <v>11114.399433325127</v>
      </c>
      <c r="CL39" s="100">
        <v>10</v>
      </c>
      <c r="CM39" s="100">
        <v>14232</v>
      </c>
      <c r="CN39" s="100">
        <v>13</v>
      </c>
      <c r="CO39" s="100">
        <v>18501.600000000002</v>
      </c>
      <c r="CP39" s="100">
        <v>11.430307012949154</v>
      </c>
      <c r="CQ39" s="100">
        <v>16267.612940829236</v>
      </c>
      <c r="CR39" s="100">
        <v>6.1250515973267605</v>
      </c>
      <c r="CS39" s="100">
        <v>8717.1734333154454</v>
      </c>
      <c r="CT39" s="100">
        <v>11</v>
      </c>
      <c r="CU39" s="100">
        <v>15655.2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7</v>
      </c>
      <c r="G40" s="100">
        <v>5073.5999999999995</v>
      </c>
      <c r="H40" s="100">
        <v>13</v>
      </c>
      <c r="I40" s="100">
        <v>9422.4</v>
      </c>
      <c r="J40" s="100">
        <v>15</v>
      </c>
      <c r="K40" s="100">
        <v>10872</v>
      </c>
      <c r="L40" s="100">
        <v>14</v>
      </c>
      <c r="M40" s="100">
        <v>10147.199999999999</v>
      </c>
      <c r="N40" s="100">
        <v>13</v>
      </c>
      <c r="O40" s="100">
        <v>9422.4</v>
      </c>
      <c r="P40" s="100">
        <v>8</v>
      </c>
      <c r="Q40" s="100">
        <v>5798.4</v>
      </c>
      <c r="R40" s="100">
        <v>15</v>
      </c>
      <c r="S40" s="100">
        <v>10872</v>
      </c>
      <c r="T40" s="100">
        <v>11</v>
      </c>
      <c r="U40" s="100">
        <v>7972.7999999999993</v>
      </c>
      <c r="V40" s="100">
        <v>14</v>
      </c>
      <c r="W40" s="100">
        <v>10147.199999999999</v>
      </c>
      <c r="X40" s="100">
        <v>14</v>
      </c>
      <c r="Y40" s="100">
        <v>10147.199999999999</v>
      </c>
      <c r="Z40" s="100">
        <v>8</v>
      </c>
      <c r="AA40" s="100">
        <v>5798.4</v>
      </c>
      <c r="AB40" s="100">
        <v>14</v>
      </c>
      <c r="AC40" s="100">
        <v>10147.199999999999</v>
      </c>
      <c r="AD40" s="100">
        <v>11</v>
      </c>
      <c r="AE40" s="100">
        <v>7972.7999999999993</v>
      </c>
      <c r="AF40" s="100">
        <v>8.9771357177807367</v>
      </c>
      <c r="AG40" s="100">
        <v>6506.6279682474778</v>
      </c>
      <c r="AH40" s="100">
        <v>10</v>
      </c>
      <c r="AI40" s="100">
        <v>7248</v>
      </c>
      <c r="AJ40" s="100">
        <v>7.139568024802875</v>
      </c>
      <c r="AK40" s="100">
        <v>5174.7589043771231</v>
      </c>
      <c r="AL40" s="100">
        <v>12</v>
      </c>
      <c r="AM40" s="100">
        <v>8697.5999999999985</v>
      </c>
      <c r="AN40" s="100">
        <v>13</v>
      </c>
      <c r="AO40" s="100">
        <v>9422.4</v>
      </c>
      <c r="AP40" s="100">
        <v>0.72761913514145027</v>
      </c>
      <c r="AQ40" s="100">
        <v>527.37834915052315</v>
      </c>
      <c r="AR40" s="100">
        <v>2.3216723380714674E-4</v>
      </c>
      <c r="AS40" s="100">
        <v>0.16827481106341996</v>
      </c>
      <c r="AT40" s="100">
        <v>3.6979533296374476E-4</v>
      </c>
      <c r="AU40" s="100">
        <v>0.26802765733212219</v>
      </c>
      <c r="AV40" s="100">
        <v>9</v>
      </c>
      <c r="AW40" s="100">
        <v>6523.2</v>
      </c>
      <c r="AX40" s="100">
        <v>2.8608190074148099</v>
      </c>
      <c r="AY40" s="100">
        <v>2073.521616574254</v>
      </c>
      <c r="AZ40" s="100">
        <v>13</v>
      </c>
      <c r="BA40" s="100">
        <v>9422.4</v>
      </c>
      <c r="BB40" s="100">
        <v>7</v>
      </c>
      <c r="BC40" s="100">
        <v>5073.5999999999995</v>
      </c>
      <c r="BD40" s="100">
        <v>10</v>
      </c>
      <c r="BE40" s="100">
        <v>7248</v>
      </c>
      <c r="BF40" s="100">
        <v>14</v>
      </c>
      <c r="BG40" s="100">
        <v>10147.199999999999</v>
      </c>
      <c r="BH40" s="100">
        <v>9</v>
      </c>
      <c r="BI40" s="100">
        <v>6523.2</v>
      </c>
      <c r="BJ40" s="100">
        <v>11</v>
      </c>
      <c r="BK40" s="100">
        <v>7972.7999999999993</v>
      </c>
      <c r="BL40" s="100">
        <v>8</v>
      </c>
      <c r="BM40" s="100">
        <v>5798.4</v>
      </c>
      <c r="BN40" s="100">
        <v>4.2766856822932526</v>
      </c>
      <c r="BO40" s="100">
        <v>3099.7417825261491</v>
      </c>
      <c r="BP40" s="100">
        <v>9</v>
      </c>
      <c r="BQ40" s="100">
        <v>6523.2</v>
      </c>
      <c r="BR40" s="100">
        <v>11</v>
      </c>
      <c r="BS40" s="100">
        <v>7972.7999999999993</v>
      </c>
      <c r="BT40" s="100">
        <v>10.752544297004869</v>
      </c>
      <c r="BU40" s="100">
        <v>7793.4441064691282</v>
      </c>
      <c r="BV40" s="100">
        <v>0</v>
      </c>
      <c r="BW40" s="100">
        <v>0</v>
      </c>
      <c r="BX40" s="100">
        <v>12</v>
      </c>
      <c r="BY40" s="100">
        <v>8697.5999999999985</v>
      </c>
      <c r="BZ40" s="100">
        <v>14</v>
      </c>
      <c r="CA40" s="100">
        <v>10147.199999999999</v>
      </c>
      <c r="CB40" s="100">
        <v>11</v>
      </c>
      <c r="CC40" s="100">
        <v>7972.7999999999993</v>
      </c>
      <c r="CD40" s="100">
        <v>13</v>
      </c>
      <c r="CE40" s="100">
        <v>9422.4</v>
      </c>
      <c r="CF40" s="100">
        <v>9</v>
      </c>
      <c r="CG40" s="100">
        <v>6523.2</v>
      </c>
      <c r="CH40" s="100">
        <v>9</v>
      </c>
      <c r="CI40" s="100">
        <v>6523.2</v>
      </c>
      <c r="CJ40" s="100">
        <v>7.8094431094190035</v>
      </c>
      <c r="CK40" s="100">
        <v>5660.2843657068934</v>
      </c>
      <c r="CL40" s="100">
        <v>12</v>
      </c>
      <c r="CM40" s="100">
        <v>8697.5999999999985</v>
      </c>
      <c r="CN40" s="100">
        <v>13</v>
      </c>
      <c r="CO40" s="100">
        <v>9422.4</v>
      </c>
      <c r="CP40" s="100">
        <v>12.309561398560627</v>
      </c>
      <c r="CQ40" s="100">
        <v>8921.9701016767413</v>
      </c>
      <c r="CR40" s="100">
        <v>6.8906830469926055</v>
      </c>
      <c r="CS40" s="100">
        <v>4994.3670724602398</v>
      </c>
      <c r="CT40" s="100">
        <v>12</v>
      </c>
      <c r="CU40" s="100">
        <v>8697.5999999999985</v>
      </c>
    </row>
    <row r="41" spans="2:99">
      <c r="C41" s="99" t="s">
        <v>207</v>
      </c>
      <c r="D41" s="100">
        <v>12</v>
      </c>
      <c r="E41" s="100">
        <v>7920</v>
      </c>
      <c r="F41" s="100">
        <v>8</v>
      </c>
      <c r="G41" s="100">
        <v>5280</v>
      </c>
      <c r="H41" s="100">
        <v>11</v>
      </c>
      <c r="I41" s="100">
        <v>7260</v>
      </c>
      <c r="J41" s="100">
        <v>13</v>
      </c>
      <c r="K41" s="100">
        <v>8580</v>
      </c>
      <c r="L41" s="100">
        <v>12</v>
      </c>
      <c r="M41" s="100">
        <v>7920</v>
      </c>
      <c r="N41" s="100">
        <v>13</v>
      </c>
      <c r="O41" s="100">
        <v>8580</v>
      </c>
      <c r="P41" s="100">
        <v>7</v>
      </c>
      <c r="Q41" s="100">
        <v>4620</v>
      </c>
      <c r="R41" s="100">
        <v>15</v>
      </c>
      <c r="S41" s="100">
        <v>9900</v>
      </c>
      <c r="T41" s="100">
        <v>11</v>
      </c>
      <c r="U41" s="100">
        <v>7260</v>
      </c>
      <c r="V41" s="100">
        <v>14</v>
      </c>
      <c r="W41" s="100">
        <v>9240</v>
      </c>
      <c r="X41" s="100">
        <v>15</v>
      </c>
      <c r="Y41" s="100">
        <v>9900</v>
      </c>
      <c r="Z41" s="100">
        <v>8</v>
      </c>
      <c r="AA41" s="100">
        <v>5280</v>
      </c>
      <c r="AB41" s="100">
        <v>12</v>
      </c>
      <c r="AC41" s="100">
        <v>7920</v>
      </c>
      <c r="AD41" s="100">
        <v>11</v>
      </c>
      <c r="AE41" s="100">
        <v>7260</v>
      </c>
      <c r="AF41" s="100">
        <v>9.9745952419785944</v>
      </c>
      <c r="AG41" s="100">
        <v>6583.2328597058722</v>
      </c>
      <c r="AH41" s="100">
        <v>9</v>
      </c>
      <c r="AI41" s="100">
        <v>5940</v>
      </c>
      <c r="AJ41" s="100">
        <v>8.0320140279032337</v>
      </c>
      <c r="AK41" s="100">
        <v>5301.1292584161347</v>
      </c>
      <c r="AL41" s="100">
        <v>12</v>
      </c>
      <c r="AM41" s="100">
        <v>7920</v>
      </c>
      <c r="AN41" s="100">
        <v>14</v>
      </c>
      <c r="AO41" s="100">
        <v>9240</v>
      </c>
      <c r="AP41" s="100">
        <v>0.8315647258759431</v>
      </c>
      <c r="AQ41" s="100">
        <v>548.83271907812241</v>
      </c>
      <c r="AR41" s="100">
        <v>2.3216723380714674E-4</v>
      </c>
      <c r="AS41" s="100">
        <v>0.15323037431271685</v>
      </c>
      <c r="AT41" s="100">
        <v>4.266869226504747E-4</v>
      </c>
      <c r="AU41" s="100">
        <v>0.28161336894931333</v>
      </c>
      <c r="AV41" s="100">
        <v>9</v>
      </c>
      <c r="AW41" s="100">
        <v>5940</v>
      </c>
      <c r="AX41" s="100">
        <v>3.099220591366044</v>
      </c>
      <c r="AY41" s="100">
        <v>2045.4855903015891</v>
      </c>
      <c r="AZ41" s="100">
        <v>15</v>
      </c>
      <c r="BA41" s="100">
        <v>9900</v>
      </c>
      <c r="BB41" s="100">
        <v>8</v>
      </c>
      <c r="BC41" s="100">
        <v>5280</v>
      </c>
      <c r="BD41" s="100">
        <v>10</v>
      </c>
      <c r="BE41" s="100">
        <v>6600</v>
      </c>
      <c r="BF41" s="100">
        <v>13</v>
      </c>
      <c r="BG41" s="100">
        <v>8580</v>
      </c>
      <c r="BH41" s="100">
        <v>10</v>
      </c>
      <c r="BI41" s="100">
        <v>6600</v>
      </c>
      <c r="BJ41" s="100">
        <v>10</v>
      </c>
      <c r="BK41" s="100">
        <v>6600</v>
      </c>
      <c r="BL41" s="100">
        <v>9</v>
      </c>
      <c r="BM41" s="100">
        <v>5940</v>
      </c>
      <c r="BN41" s="100">
        <v>4.8112713925799087</v>
      </c>
      <c r="BO41" s="100">
        <v>3175.4391191027398</v>
      </c>
      <c r="BP41" s="100">
        <v>8</v>
      </c>
      <c r="BQ41" s="100">
        <v>5280</v>
      </c>
      <c r="BR41" s="100">
        <v>11</v>
      </c>
      <c r="BS41" s="100">
        <v>7260</v>
      </c>
      <c r="BT41" s="100">
        <v>9.8564989389211313</v>
      </c>
      <c r="BU41" s="100">
        <v>6505.2892996879464</v>
      </c>
      <c r="BV41" s="100">
        <v>0</v>
      </c>
      <c r="BW41" s="100">
        <v>0</v>
      </c>
      <c r="BX41" s="100">
        <v>11</v>
      </c>
      <c r="BY41" s="100">
        <v>7260</v>
      </c>
      <c r="BZ41" s="100">
        <v>14</v>
      </c>
      <c r="CA41" s="100">
        <v>9240</v>
      </c>
      <c r="CB41" s="100">
        <v>11</v>
      </c>
      <c r="CC41" s="100">
        <v>7260</v>
      </c>
      <c r="CD41" s="100">
        <v>15</v>
      </c>
      <c r="CE41" s="100">
        <v>9900</v>
      </c>
      <c r="CF41" s="100">
        <v>9</v>
      </c>
      <c r="CG41" s="100">
        <v>5940</v>
      </c>
      <c r="CH41" s="100">
        <v>8</v>
      </c>
      <c r="CI41" s="100">
        <v>5280</v>
      </c>
      <c r="CJ41" s="100">
        <v>7.8094431094190035</v>
      </c>
      <c r="CK41" s="100">
        <v>5154.2324522165427</v>
      </c>
      <c r="CL41" s="100">
        <v>11</v>
      </c>
      <c r="CM41" s="100">
        <v>7260</v>
      </c>
      <c r="CN41" s="100">
        <v>13</v>
      </c>
      <c r="CO41" s="100">
        <v>8580</v>
      </c>
      <c r="CP41" s="100">
        <v>13.1888157841721</v>
      </c>
      <c r="CQ41" s="100">
        <v>8704.6184175535855</v>
      </c>
      <c r="CR41" s="100">
        <v>6.8906830469926055</v>
      </c>
      <c r="CS41" s="100">
        <v>4547.8508110151197</v>
      </c>
      <c r="CT41" s="100">
        <v>11</v>
      </c>
      <c r="CU41" s="100">
        <v>7260</v>
      </c>
    </row>
    <row r="42" spans="2:99">
      <c r="C42" s="99" t="s">
        <v>208</v>
      </c>
      <c r="D42" s="100">
        <v>14</v>
      </c>
      <c r="E42" s="100">
        <v>11844</v>
      </c>
      <c r="F42" s="100">
        <v>8</v>
      </c>
      <c r="G42" s="100">
        <v>6768</v>
      </c>
      <c r="H42" s="100">
        <v>12</v>
      </c>
      <c r="I42" s="100">
        <v>10152</v>
      </c>
      <c r="J42" s="100">
        <v>14</v>
      </c>
      <c r="K42" s="100">
        <v>11844</v>
      </c>
      <c r="L42" s="100">
        <v>13</v>
      </c>
      <c r="M42" s="100">
        <v>10998</v>
      </c>
      <c r="N42" s="100">
        <v>13</v>
      </c>
      <c r="O42" s="100">
        <v>10998</v>
      </c>
      <c r="P42" s="100">
        <v>8</v>
      </c>
      <c r="Q42" s="100">
        <v>6768</v>
      </c>
      <c r="R42" s="100">
        <v>14</v>
      </c>
      <c r="S42" s="100">
        <v>11844</v>
      </c>
      <c r="T42" s="100">
        <v>12</v>
      </c>
      <c r="U42" s="100">
        <v>10152</v>
      </c>
      <c r="V42" s="100">
        <v>12</v>
      </c>
      <c r="W42" s="100">
        <v>10152</v>
      </c>
      <c r="X42" s="100">
        <v>15</v>
      </c>
      <c r="Y42" s="100">
        <v>12690</v>
      </c>
      <c r="Z42" s="100">
        <v>8</v>
      </c>
      <c r="AA42" s="100">
        <v>6768</v>
      </c>
      <c r="AB42" s="100">
        <v>14</v>
      </c>
      <c r="AC42" s="100">
        <v>11844</v>
      </c>
      <c r="AD42" s="100">
        <v>13</v>
      </c>
      <c r="AE42" s="100">
        <v>10998</v>
      </c>
      <c r="AF42" s="100">
        <v>9.9745952419785944</v>
      </c>
      <c r="AG42" s="100">
        <v>8438.5075747138908</v>
      </c>
      <c r="AH42" s="100">
        <v>9</v>
      </c>
      <c r="AI42" s="100">
        <v>7614</v>
      </c>
      <c r="AJ42" s="100">
        <v>7.139568024802875</v>
      </c>
      <c r="AK42" s="100">
        <v>6040.0745489832325</v>
      </c>
      <c r="AL42" s="100">
        <v>11</v>
      </c>
      <c r="AM42" s="100">
        <v>9306</v>
      </c>
      <c r="AN42" s="100">
        <v>13</v>
      </c>
      <c r="AO42" s="100">
        <v>10998</v>
      </c>
      <c r="AP42" s="100">
        <v>0.72761913514145027</v>
      </c>
      <c r="AQ42" s="100">
        <v>615.56578832966693</v>
      </c>
      <c r="AR42" s="100">
        <v>2.3216723380714674E-4</v>
      </c>
      <c r="AS42" s="100">
        <v>0.19641347980084614</v>
      </c>
      <c r="AT42" s="100">
        <v>4.266869226504747E-4</v>
      </c>
      <c r="AU42" s="100">
        <v>0.36097713656230157</v>
      </c>
      <c r="AV42" s="100">
        <v>8</v>
      </c>
      <c r="AW42" s="100">
        <v>6768</v>
      </c>
      <c r="AX42" s="100">
        <v>2.6224174234635758</v>
      </c>
      <c r="AY42" s="100">
        <v>2218.5651402501849</v>
      </c>
      <c r="AZ42" s="100">
        <v>15</v>
      </c>
      <c r="BA42" s="100">
        <v>12690</v>
      </c>
      <c r="BB42" s="100">
        <v>8</v>
      </c>
      <c r="BC42" s="100">
        <v>6768</v>
      </c>
      <c r="BD42" s="100">
        <v>10</v>
      </c>
      <c r="BE42" s="100">
        <v>8460</v>
      </c>
      <c r="BF42" s="100">
        <v>14</v>
      </c>
      <c r="BG42" s="100">
        <v>11844</v>
      </c>
      <c r="BH42" s="100">
        <v>9</v>
      </c>
      <c r="BI42" s="100">
        <v>7614</v>
      </c>
      <c r="BJ42" s="100">
        <v>11</v>
      </c>
      <c r="BK42" s="100">
        <v>9306</v>
      </c>
      <c r="BL42" s="100">
        <v>9</v>
      </c>
      <c r="BM42" s="100">
        <v>7614</v>
      </c>
      <c r="BN42" s="100">
        <v>4.8112713925799087</v>
      </c>
      <c r="BO42" s="100">
        <v>4070.3355981226027</v>
      </c>
      <c r="BP42" s="100">
        <v>9</v>
      </c>
      <c r="BQ42" s="100">
        <v>7614</v>
      </c>
      <c r="BR42" s="100">
        <v>9</v>
      </c>
      <c r="BS42" s="100">
        <v>7614</v>
      </c>
      <c r="BT42" s="100">
        <v>9.8564989389211313</v>
      </c>
      <c r="BU42" s="100">
        <v>8338.598102327278</v>
      </c>
      <c r="BV42" s="100">
        <v>0</v>
      </c>
      <c r="BW42" s="100">
        <v>0</v>
      </c>
      <c r="BX42" s="100">
        <v>11</v>
      </c>
      <c r="BY42" s="100">
        <v>9306</v>
      </c>
      <c r="BZ42" s="100">
        <v>14</v>
      </c>
      <c r="CA42" s="100">
        <v>11844</v>
      </c>
      <c r="CB42" s="100">
        <v>10</v>
      </c>
      <c r="CC42" s="100">
        <v>8460</v>
      </c>
      <c r="CD42" s="100">
        <v>14</v>
      </c>
      <c r="CE42" s="100">
        <v>11844</v>
      </c>
      <c r="CF42" s="100">
        <v>8</v>
      </c>
      <c r="CG42" s="100">
        <v>6768</v>
      </c>
      <c r="CH42" s="100">
        <v>9</v>
      </c>
      <c r="CI42" s="100">
        <v>7614</v>
      </c>
      <c r="CJ42" s="100">
        <v>8.460230035203919</v>
      </c>
      <c r="CK42" s="100">
        <v>7157.3546097825156</v>
      </c>
      <c r="CL42" s="100">
        <v>10</v>
      </c>
      <c r="CM42" s="100">
        <v>8460</v>
      </c>
      <c r="CN42" s="100">
        <v>14</v>
      </c>
      <c r="CO42" s="100">
        <v>11844</v>
      </c>
      <c r="CP42" s="100">
        <v>12.309561398560627</v>
      </c>
      <c r="CQ42" s="100">
        <v>10413.88894318229</v>
      </c>
      <c r="CR42" s="100">
        <v>7.6563144966584513</v>
      </c>
      <c r="CS42" s="100">
        <v>6477.2420641730496</v>
      </c>
      <c r="CT42" s="100">
        <v>13</v>
      </c>
      <c r="CU42" s="100">
        <v>10998</v>
      </c>
    </row>
    <row r="43" spans="2:99">
      <c r="C43" s="99" t="s">
        <v>209</v>
      </c>
      <c r="D43" s="100">
        <v>12</v>
      </c>
      <c r="E43" s="100">
        <v>12268.8</v>
      </c>
      <c r="F43" s="100">
        <v>8</v>
      </c>
      <c r="G43" s="100">
        <v>8179.2</v>
      </c>
      <c r="H43" s="100">
        <v>13</v>
      </c>
      <c r="I43" s="100">
        <v>13291.199999999999</v>
      </c>
      <c r="J43" s="100">
        <v>15</v>
      </c>
      <c r="K43" s="100">
        <v>15336</v>
      </c>
      <c r="L43" s="100">
        <v>13</v>
      </c>
      <c r="M43" s="100">
        <v>13291.199999999999</v>
      </c>
      <c r="N43" s="100">
        <v>15</v>
      </c>
      <c r="O43" s="100">
        <v>15336</v>
      </c>
      <c r="P43" s="100">
        <v>8</v>
      </c>
      <c r="Q43" s="100">
        <v>8179.2</v>
      </c>
      <c r="R43" s="100">
        <v>15</v>
      </c>
      <c r="S43" s="100">
        <v>15336</v>
      </c>
      <c r="T43" s="100">
        <v>11</v>
      </c>
      <c r="U43" s="100">
        <v>11246.4</v>
      </c>
      <c r="V43" s="100">
        <v>13</v>
      </c>
      <c r="W43" s="100">
        <v>13291.199999999999</v>
      </c>
      <c r="X43" s="100">
        <v>12</v>
      </c>
      <c r="Y43" s="100">
        <v>12268.8</v>
      </c>
      <c r="Z43" s="100">
        <v>9</v>
      </c>
      <c r="AA43" s="100">
        <v>9201.6</v>
      </c>
      <c r="AB43" s="100">
        <v>14</v>
      </c>
      <c r="AC43" s="100">
        <v>14313.6</v>
      </c>
      <c r="AD43" s="100">
        <v>12</v>
      </c>
      <c r="AE43" s="100">
        <v>12268.8</v>
      </c>
      <c r="AF43" s="100">
        <v>10.972054766176456</v>
      </c>
      <c r="AG43" s="100">
        <v>11217.828792938808</v>
      </c>
      <c r="AH43" s="100">
        <v>10</v>
      </c>
      <c r="AI43" s="100">
        <v>10224</v>
      </c>
      <c r="AJ43" s="100">
        <v>8.0320140279032337</v>
      </c>
      <c r="AK43" s="100">
        <v>8211.9311421282655</v>
      </c>
      <c r="AL43" s="100">
        <v>13</v>
      </c>
      <c r="AM43" s="100">
        <v>13291.199999999999</v>
      </c>
      <c r="AN43" s="100">
        <v>12</v>
      </c>
      <c r="AO43" s="100">
        <v>12268.8</v>
      </c>
      <c r="AP43" s="100">
        <v>0.72761913514145027</v>
      </c>
      <c r="AQ43" s="100">
        <v>743.91780376861868</v>
      </c>
      <c r="AR43" s="100">
        <v>2.3216723380714674E-4</v>
      </c>
      <c r="AS43" s="100">
        <v>0.23736777984442683</v>
      </c>
      <c r="AT43" s="100">
        <v>3.6979533296374476E-4</v>
      </c>
      <c r="AU43" s="100">
        <v>0.37807874842213263</v>
      </c>
      <c r="AV43" s="100">
        <v>8</v>
      </c>
      <c r="AW43" s="100">
        <v>8179.2</v>
      </c>
      <c r="AX43" s="100">
        <v>3.099220591366044</v>
      </c>
      <c r="AY43" s="100">
        <v>3168.6431326126435</v>
      </c>
      <c r="AZ43" s="100">
        <v>13</v>
      </c>
      <c r="BA43" s="100">
        <v>13291.199999999999</v>
      </c>
      <c r="BB43" s="100">
        <v>9</v>
      </c>
      <c r="BC43" s="100">
        <v>9201.6</v>
      </c>
      <c r="BD43" s="100">
        <v>11</v>
      </c>
      <c r="BE43" s="100">
        <v>11246.4</v>
      </c>
      <c r="BF43" s="100">
        <v>14</v>
      </c>
      <c r="BG43" s="100">
        <v>14313.6</v>
      </c>
      <c r="BH43" s="100">
        <v>9</v>
      </c>
      <c r="BI43" s="100">
        <v>9201.6</v>
      </c>
      <c r="BJ43" s="100">
        <v>11</v>
      </c>
      <c r="BK43" s="100">
        <v>11246.4</v>
      </c>
      <c r="BL43" s="100">
        <v>9</v>
      </c>
      <c r="BM43" s="100">
        <v>9201.6</v>
      </c>
      <c r="BN43" s="100">
        <v>4.8112713925799087</v>
      </c>
      <c r="BO43" s="100">
        <v>4919.0438717736988</v>
      </c>
      <c r="BP43" s="100">
        <v>8</v>
      </c>
      <c r="BQ43" s="100">
        <v>8179.2</v>
      </c>
      <c r="BR43" s="100">
        <v>10</v>
      </c>
      <c r="BS43" s="100">
        <v>10224</v>
      </c>
      <c r="BT43" s="100">
        <v>10.752544297004869</v>
      </c>
      <c r="BU43" s="100">
        <v>10993.401289257778</v>
      </c>
      <c r="BV43" s="100">
        <v>0</v>
      </c>
      <c r="BW43" s="100">
        <v>0</v>
      </c>
      <c r="BX43" s="100">
        <v>11</v>
      </c>
      <c r="BY43" s="100">
        <v>11246.4</v>
      </c>
      <c r="BZ43" s="100">
        <v>15</v>
      </c>
      <c r="CA43" s="100">
        <v>15336</v>
      </c>
      <c r="CB43" s="100">
        <v>10</v>
      </c>
      <c r="CC43" s="100">
        <v>10224</v>
      </c>
      <c r="CD43" s="100">
        <v>15</v>
      </c>
      <c r="CE43" s="100">
        <v>15336</v>
      </c>
      <c r="CF43" s="100">
        <v>9</v>
      </c>
      <c r="CG43" s="100">
        <v>9201.6</v>
      </c>
      <c r="CH43" s="100">
        <v>9</v>
      </c>
      <c r="CI43" s="100">
        <v>9201.6</v>
      </c>
      <c r="CJ43" s="100">
        <v>7.8094431094190035</v>
      </c>
      <c r="CK43" s="100">
        <v>7984.3746350699894</v>
      </c>
      <c r="CL43" s="100">
        <v>12</v>
      </c>
      <c r="CM43" s="100">
        <v>12268.8</v>
      </c>
      <c r="CN43" s="100">
        <v>14</v>
      </c>
      <c r="CO43" s="100">
        <v>14313.6</v>
      </c>
      <c r="CP43" s="100">
        <v>11.430307012949154</v>
      </c>
      <c r="CQ43" s="100">
        <v>11686.345890039214</v>
      </c>
      <c r="CR43" s="100">
        <v>6.8906830469926055</v>
      </c>
      <c r="CS43" s="100">
        <v>7045.0343472452396</v>
      </c>
      <c r="CT43" s="100">
        <v>12</v>
      </c>
      <c r="CU43" s="100">
        <v>12268.8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7</v>
      </c>
      <c r="G44" s="100">
        <v>7156.8</v>
      </c>
      <c r="H44" s="100">
        <v>12</v>
      </c>
      <c r="I44" s="100">
        <v>12268.8</v>
      </c>
      <c r="J44" s="100">
        <v>13</v>
      </c>
      <c r="K44" s="100">
        <v>13291.199999999999</v>
      </c>
      <c r="L44" s="100">
        <v>14</v>
      </c>
      <c r="M44" s="100">
        <v>14313.6</v>
      </c>
      <c r="N44" s="100">
        <v>13</v>
      </c>
      <c r="O44" s="100">
        <v>13291.199999999999</v>
      </c>
      <c r="P44" s="100">
        <v>8</v>
      </c>
      <c r="Q44" s="100">
        <v>8179.2</v>
      </c>
      <c r="R44" s="100">
        <v>15</v>
      </c>
      <c r="S44" s="100">
        <v>15336</v>
      </c>
      <c r="T44" s="100">
        <v>11</v>
      </c>
      <c r="U44" s="100">
        <v>11246.4</v>
      </c>
      <c r="V44" s="100">
        <v>12</v>
      </c>
      <c r="W44" s="100">
        <v>12268.8</v>
      </c>
      <c r="X44" s="100">
        <v>15</v>
      </c>
      <c r="Y44" s="100">
        <v>15336</v>
      </c>
      <c r="Z44" s="100">
        <v>7</v>
      </c>
      <c r="AA44" s="100">
        <v>7156.8</v>
      </c>
      <c r="AB44" s="100">
        <v>13</v>
      </c>
      <c r="AC44" s="100">
        <v>13291.199999999999</v>
      </c>
      <c r="AD44" s="100">
        <v>12</v>
      </c>
      <c r="AE44" s="100">
        <v>12268.8</v>
      </c>
      <c r="AF44" s="100">
        <v>9.9745952419785944</v>
      </c>
      <c r="AG44" s="100">
        <v>10198.026175398914</v>
      </c>
      <c r="AH44" s="100">
        <v>9</v>
      </c>
      <c r="AI44" s="100">
        <v>9201.6</v>
      </c>
      <c r="AJ44" s="100">
        <v>8.0320140279032337</v>
      </c>
      <c r="AK44" s="100">
        <v>8211.9311421282655</v>
      </c>
      <c r="AL44" s="100">
        <v>12</v>
      </c>
      <c r="AM44" s="100">
        <v>12268.8</v>
      </c>
      <c r="AN44" s="100">
        <v>12</v>
      </c>
      <c r="AO44" s="100">
        <v>12268.8</v>
      </c>
      <c r="AP44" s="100">
        <v>0.67564633977420374</v>
      </c>
      <c r="AQ44" s="100">
        <v>690.78081778514593</v>
      </c>
      <c r="AR44" s="100">
        <v>2.6118813803304006E-4</v>
      </c>
      <c r="AS44" s="100">
        <v>0.26703875232498014</v>
      </c>
      <c r="AT44" s="100">
        <v>3.9824112780710976E-4</v>
      </c>
      <c r="AU44" s="100">
        <v>0.40716172906998899</v>
      </c>
      <c r="AV44" s="100">
        <v>8</v>
      </c>
      <c r="AW44" s="100">
        <v>8179.2</v>
      </c>
      <c r="AX44" s="100">
        <v>2.8608190074148099</v>
      </c>
      <c r="AY44" s="100">
        <v>2924.9013531809014</v>
      </c>
      <c r="AZ44" s="100">
        <v>14</v>
      </c>
      <c r="BA44" s="100">
        <v>14313.6</v>
      </c>
      <c r="BB44" s="100">
        <v>7</v>
      </c>
      <c r="BC44" s="100">
        <v>7156.8</v>
      </c>
      <c r="BD44" s="100">
        <v>11</v>
      </c>
      <c r="BE44" s="100">
        <v>11246.4</v>
      </c>
      <c r="BF44" s="100">
        <v>13</v>
      </c>
      <c r="BG44" s="100">
        <v>13291.199999999999</v>
      </c>
      <c r="BH44" s="100">
        <v>9</v>
      </c>
      <c r="BI44" s="100">
        <v>9201.6</v>
      </c>
      <c r="BJ44" s="100">
        <v>11</v>
      </c>
      <c r="BK44" s="100">
        <v>11246.4</v>
      </c>
      <c r="BL44" s="100">
        <v>9</v>
      </c>
      <c r="BM44" s="100">
        <v>9201.6</v>
      </c>
      <c r="BN44" s="100">
        <v>4.2766856822932526</v>
      </c>
      <c r="BO44" s="100">
        <v>4372.4834415766218</v>
      </c>
      <c r="BP44" s="100">
        <v>8</v>
      </c>
      <c r="BQ44" s="100">
        <v>8179.2</v>
      </c>
      <c r="BR44" s="100">
        <v>11</v>
      </c>
      <c r="BS44" s="100">
        <v>11246.4</v>
      </c>
      <c r="BT44" s="100">
        <v>8.9604535808373917</v>
      </c>
      <c r="BU44" s="100">
        <v>9161.1677410481498</v>
      </c>
      <c r="BV44" s="100">
        <v>0</v>
      </c>
      <c r="BW44" s="100">
        <v>0</v>
      </c>
      <c r="BX44" s="100">
        <v>10</v>
      </c>
      <c r="BY44" s="100">
        <v>10224</v>
      </c>
      <c r="BZ44" s="100">
        <v>14</v>
      </c>
      <c r="CA44" s="100">
        <v>14313.6</v>
      </c>
      <c r="CB44" s="100">
        <v>9</v>
      </c>
      <c r="CC44" s="100">
        <v>9201.6</v>
      </c>
      <c r="CD44" s="100">
        <v>13</v>
      </c>
      <c r="CE44" s="100">
        <v>13291.199999999999</v>
      </c>
      <c r="CF44" s="100">
        <v>9</v>
      </c>
      <c r="CG44" s="100">
        <v>9201.6</v>
      </c>
      <c r="CH44" s="100">
        <v>9</v>
      </c>
      <c r="CI44" s="100">
        <v>9201.6</v>
      </c>
      <c r="CJ44" s="100">
        <v>7.8094431094190035</v>
      </c>
      <c r="CK44" s="100">
        <v>7984.3746350699894</v>
      </c>
      <c r="CL44" s="100">
        <v>11</v>
      </c>
      <c r="CM44" s="100">
        <v>11246.4</v>
      </c>
      <c r="CN44" s="100">
        <v>12</v>
      </c>
      <c r="CO44" s="100">
        <v>12268.8</v>
      </c>
      <c r="CP44" s="100">
        <v>13.1888157841721</v>
      </c>
      <c r="CQ44" s="100">
        <v>13484.245257737555</v>
      </c>
      <c r="CR44" s="100">
        <v>6.8906830469926055</v>
      </c>
      <c r="CS44" s="100">
        <v>7045.0343472452396</v>
      </c>
      <c r="CT44" s="100">
        <v>12</v>
      </c>
      <c r="CU44" s="100">
        <v>12268.8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7</v>
      </c>
      <c r="G45" s="100">
        <v>8744.4</v>
      </c>
      <c r="H45" s="100">
        <v>13</v>
      </c>
      <c r="I45" s="100">
        <v>16239.6</v>
      </c>
      <c r="J45" s="100">
        <v>14</v>
      </c>
      <c r="K45" s="100">
        <v>17488.8</v>
      </c>
      <c r="L45" s="100">
        <v>12</v>
      </c>
      <c r="M45" s="100">
        <v>14990.400000000001</v>
      </c>
      <c r="N45" s="100">
        <v>12</v>
      </c>
      <c r="O45" s="100">
        <v>14990.400000000001</v>
      </c>
      <c r="P45" s="100">
        <v>8</v>
      </c>
      <c r="Q45" s="100">
        <v>9993.6</v>
      </c>
      <c r="R45" s="100">
        <v>15</v>
      </c>
      <c r="S45" s="100">
        <v>18738</v>
      </c>
      <c r="T45" s="100">
        <v>13</v>
      </c>
      <c r="U45" s="100">
        <v>16239.6</v>
      </c>
      <c r="V45" s="100">
        <v>12</v>
      </c>
      <c r="W45" s="100">
        <v>14990.400000000001</v>
      </c>
      <c r="X45" s="100">
        <v>15</v>
      </c>
      <c r="Y45" s="100">
        <v>18738</v>
      </c>
      <c r="Z45" s="100">
        <v>8</v>
      </c>
      <c r="AA45" s="100">
        <v>9993.6</v>
      </c>
      <c r="AB45" s="100">
        <v>13</v>
      </c>
      <c r="AC45" s="100">
        <v>16239.6</v>
      </c>
      <c r="AD45" s="100">
        <v>11</v>
      </c>
      <c r="AE45" s="100">
        <v>13741.2</v>
      </c>
      <c r="AF45" s="100">
        <v>8.9771357177807367</v>
      </c>
      <c r="AG45" s="100">
        <v>11214.237938651697</v>
      </c>
      <c r="AH45" s="100">
        <v>10</v>
      </c>
      <c r="AI45" s="100">
        <v>12492</v>
      </c>
      <c r="AJ45" s="100">
        <v>7.139568024802875</v>
      </c>
      <c r="AK45" s="100">
        <v>8918.7483765837515</v>
      </c>
      <c r="AL45" s="100">
        <v>13</v>
      </c>
      <c r="AM45" s="100">
        <v>16239.6</v>
      </c>
      <c r="AN45" s="100">
        <v>14</v>
      </c>
      <c r="AO45" s="100">
        <v>17488.8</v>
      </c>
      <c r="AP45" s="100">
        <v>0.67564633977420374</v>
      </c>
      <c r="AQ45" s="100">
        <v>844.01740764593535</v>
      </c>
      <c r="AR45" s="100">
        <v>2.3216723380714674E-4</v>
      </c>
      <c r="AS45" s="100">
        <v>0.29002330847188773</v>
      </c>
      <c r="AT45" s="100">
        <v>3.6979533296374476E-4</v>
      </c>
      <c r="AU45" s="100">
        <v>0.46194832993830998</v>
      </c>
      <c r="AV45" s="100">
        <v>9</v>
      </c>
      <c r="AW45" s="100">
        <v>11242.800000000001</v>
      </c>
      <c r="AX45" s="100">
        <v>2.6224174234635758</v>
      </c>
      <c r="AY45" s="100">
        <v>3275.9238453906992</v>
      </c>
      <c r="AZ45" s="100">
        <v>14</v>
      </c>
      <c r="BA45" s="100">
        <v>17488.8</v>
      </c>
      <c r="BB45" s="100">
        <v>8</v>
      </c>
      <c r="BC45" s="100">
        <v>9993.6</v>
      </c>
      <c r="BD45" s="100">
        <v>10</v>
      </c>
      <c r="BE45" s="100">
        <v>12492</v>
      </c>
      <c r="BF45" s="100">
        <v>13</v>
      </c>
      <c r="BG45" s="100">
        <v>16239.6</v>
      </c>
      <c r="BH45" s="100">
        <v>9</v>
      </c>
      <c r="BI45" s="100">
        <v>11242.800000000001</v>
      </c>
      <c r="BJ45" s="100">
        <v>10</v>
      </c>
      <c r="BK45" s="100">
        <v>12492</v>
      </c>
      <c r="BL45" s="100">
        <v>8</v>
      </c>
      <c r="BM45" s="100">
        <v>9993.6</v>
      </c>
      <c r="BN45" s="100">
        <v>4.2766856822932526</v>
      </c>
      <c r="BO45" s="100">
        <v>5342.4357543207316</v>
      </c>
      <c r="BP45" s="100">
        <v>8</v>
      </c>
      <c r="BQ45" s="100">
        <v>9993.6</v>
      </c>
      <c r="BR45" s="100">
        <v>11</v>
      </c>
      <c r="BS45" s="100">
        <v>13741.2</v>
      </c>
      <c r="BT45" s="100">
        <v>9.8564989389211313</v>
      </c>
      <c r="BU45" s="100">
        <v>12312.738474500278</v>
      </c>
      <c r="BV45" s="100">
        <v>0</v>
      </c>
      <c r="BW45" s="100">
        <v>0</v>
      </c>
      <c r="BX45" s="100">
        <v>12</v>
      </c>
      <c r="BY45" s="100">
        <v>14990.400000000001</v>
      </c>
      <c r="BZ45" s="100">
        <v>15</v>
      </c>
      <c r="CA45" s="100">
        <v>18738</v>
      </c>
      <c r="CB45" s="100">
        <v>10</v>
      </c>
      <c r="CC45" s="100">
        <v>12492</v>
      </c>
      <c r="CD45" s="100">
        <v>15</v>
      </c>
      <c r="CE45" s="100">
        <v>18738</v>
      </c>
      <c r="CF45" s="100">
        <v>9</v>
      </c>
      <c r="CG45" s="100">
        <v>11242.800000000001</v>
      </c>
      <c r="CH45" s="100">
        <v>8</v>
      </c>
      <c r="CI45" s="100">
        <v>9993.6</v>
      </c>
      <c r="CJ45" s="100">
        <v>7.8094431094190035</v>
      </c>
      <c r="CK45" s="100">
        <v>9755.5563322862199</v>
      </c>
      <c r="CL45" s="100">
        <v>10</v>
      </c>
      <c r="CM45" s="100">
        <v>12492</v>
      </c>
      <c r="CN45" s="100">
        <v>13</v>
      </c>
      <c r="CO45" s="100">
        <v>16239.6</v>
      </c>
      <c r="CP45" s="100">
        <v>11.430307012949154</v>
      </c>
      <c r="CQ45" s="100">
        <v>14278.739520576084</v>
      </c>
      <c r="CR45" s="100">
        <v>6.8906830469926055</v>
      </c>
      <c r="CS45" s="100">
        <v>8607.8412623031636</v>
      </c>
      <c r="CT45" s="100">
        <v>12</v>
      </c>
      <c r="CU45" s="100">
        <v>14990.400000000001</v>
      </c>
    </row>
    <row r="46" spans="2:99">
      <c r="C46" s="99" t="s">
        <v>212</v>
      </c>
      <c r="D46" s="100">
        <v>13</v>
      </c>
      <c r="E46" s="100">
        <v>15756</v>
      </c>
      <c r="F46" s="100">
        <v>7</v>
      </c>
      <c r="G46" s="100">
        <v>8484</v>
      </c>
      <c r="H46" s="100">
        <v>12</v>
      </c>
      <c r="I46" s="100">
        <v>14544</v>
      </c>
      <c r="J46" s="100">
        <v>12</v>
      </c>
      <c r="K46" s="100">
        <v>14544</v>
      </c>
      <c r="L46" s="100">
        <v>13</v>
      </c>
      <c r="M46" s="100">
        <v>15756</v>
      </c>
      <c r="N46" s="100">
        <v>14</v>
      </c>
      <c r="O46" s="100">
        <v>16968</v>
      </c>
      <c r="P46" s="100">
        <v>7</v>
      </c>
      <c r="Q46" s="100">
        <v>8484</v>
      </c>
      <c r="R46" s="100">
        <v>15</v>
      </c>
      <c r="S46" s="100">
        <v>18180</v>
      </c>
      <c r="T46" s="100">
        <v>12</v>
      </c>
      <c r="U46" s="100">
        <v>14544</v>
      </c>
      <c r="V46" s="100">
        <v>13</v>
      </c>
      <c r="W46" s="100">
        <v>15756</v>
      </c>
      <c r="X46" s="100">
        <v>14</v>
      </c>
      <c r="Y46" s="100">
        <v>16968</v>
      </c>
      <c r="Z46" s="100">
        <v>8</v>
      </c>
      <c r="AA46" s="100">
        <v>9696</v>
      </c>
      <c r="AB46" s="100">
        <v>14</v>
      </c>
      <c r="AC46" s="100">
        <v>16968</v>
      </c>
      <c r="AD46" s="100">
        <v>11</v>
      </c>
      <c r="AE46" s="100">
        <v>13332</v>
      </c>
      <c r="AF46" s="100">
        <v>9.9745952419785944</v>
      </c>
      <c r="AG46" s="100">
        <v>12089.209433278056</v>
      </c>
      <c r="AH46" s="100">
        <v>10</v>
      </c>
      <c r="AI46" s="100">
        <v>12120</v>
      </c>
      <c r="AJ46" s="100">
        <v>8.0320140279032337</v>
      </c>
      <c r="AK46" s="100">
        <v>9734.8010018187197</v>
      </c>
      <c r="AL46" s="100">
        <v>11</v>
      </c>
      <c r="AM46" s="100">
        <v>13332</v>
      </c>
      <c r="AN46" s="100">
        <v>12</v>
      </c>
      <c r="AO46" s="100">
        <v>14544</v>
      </c>
      <c r="AP46" s="100">
        <v>0.72761913514145027</v>
      </c>
      <c r="AQ46" s="100">
        <v>881.87439179143769</v>
      </c>
      <c r="AR46" s="100">
        <v>2.3216723380714674E-4</v>
      </c>
      <c r="AS46" s="100">
        <v>0.28138668737426187</v>
      </c>
      <c r="AT46" s="100">
        <v>3.6979533296374476E-4</v>
      </c>
      <c r="AU46" s="100">
        <v>0.44819194355205866</v>
      </c>
      <c r="AV46" s="100">
        <v>9</v>
      </c>
      <c r="AW46" s="100">
        <v>10908</v>
      </c>
      <c r="AX46" s="100">
        <v>2.8608190074148099</v>
      </c>
      <c r="AY46" s="100">
        <v>3467.3126369867496</v>
      </c>
      <c r="AZ46" s="100">
        <v>14</v>
      </c>
      <c r="BA46" s="100">
        <v>16968</v>
      </c>
      <c r="BB46" s="100">
        <v>8</v>
      </c>
      <c r="BC46" s="100">
        <v>9696</v>
      </c>
      <c r="BD46" s="100">
        <v>11</v>
      </c>
      <c r="BE46" s="100">
        <v>13332</v>
      </c>
      <c r="BF46" s="100">
        <v>14</v>
      </c>
      <c r="BG46" s="100">
        <v>16968</v>
      </c>
      <c r="BH46" s="100">
        <v>9</v>
      </c>
      <c r="BI46" s="100">
        <v>10908</v>
      </c>
      <c r="BJ46" s="100">
        <v>11</v>
      </c>
      <c r="BK46" s="100">
        <v>13332</v>
      </c>
      <c r="BL46" s="100">
        <v>8</v>
      </c>
      <c r="BM46" s="100">
        <v>9696</v>
      </c>
      <c r="BN46" s="100">
        <v>4.2766856822932526</v>
      </c>
      <c r="BO46" s="100">
        <v>5183.3430469394225</v>
      </c>
      <c r="BP46" s="100">
        <v>8</v>
      </c>
      <c r="BQ46" s="100">
        <v>9696</v>
      </c>
      <c r="BR46" s="100">
        <v>10</v>
      </c>
      <c r="BS46" s="100">
        <v>12120</v>
      </c>
      <c r="BT46" s="100">
        <v>10.752544297004869</v>
      </c>
      <c r="BU46" s="100">
        <v>13032.083687969902</v>
      </c>
      <c r="BV46" s="100">
        <v>0</v>
      </c>
      <c r="BW46" s="100">
        <v>0</v>
      </c>
      <c r="BX46" s="100">
        <v>12</v>
      </c>
      <c r="BY46" s="100">
        <v>14544</v>
      </c>
      <c r="BZ46" s="100">
        <v>13</v>
      </c>
      <c r="CA46" s="100">
        <v>15756</v>
      </c>
      <c r="CB46" s="100">
        <v>9</v>
      </c>
      <c r="CC46" s="100">
        <v>10908</v>
      </c>
      <c r="CD46" s="100">
        <v>13</v>
      </c>
      <c r="CE46" s="100">
        <v>15756</v>
      </c>
      <c r="CF46" s="100">
        <v>8</v>
      </c>
      <c r="CG46" s="100">
        <v>9696</v>
      </c>
      <c r="CH46" s="100">
        <v>8</v>
      </c>
      <c r="CI46" s="100">
        <v>9696</v>
      </c>
      <c r="CJ46" s="100">
        <v>8.460230035203919</v>
      </c>
      <c r="CK46" s="100">
        <v>10253.79880266715</v>
      </c>
      <c r="CL46" s="100">
        <v>11</v>
      </c>
      <c r="CM46" s="100">
        <v>13332</v>
      </c>
      <c r="CN46" s="100">
        <v>13</v>
      </c>
      <c r="CO46" s="100">
        <v>15756</v>
      </c>
      <c r="CP46" s="100">
        <v>13.1888157841721</v>
      </c>
      <c r="CQ46" s="100">
        <v>15984.844730416586</v>
      </c>
      <c r="CR46" s="100">
        <v>6.8906830469926055</v>
      </c>
      <c r="CS46" s="100">
        <v>8351.5078529550374</v>
      </c>
      <c r="CT46" s="100">
        <v>12</v>
      </c>
      <c r="CU46" s="100">
        <v>14544</v>
      </c>
    </row>
    <row r="47" spans="2:99">
      <c r="C47" s="99" t="s">
        <v>213</v>
      </c>
      <c r="D47" s="100">
        <v>13</v>
      </c>
      <c r="E47" s="100">
        <v>19858.8</v>
      </c>
      <c r="F47" s="100">
        <v>7</v>
      </c>
      <c r="G47" s="100">
        <v>10693.199999999999</v>
      </c>
      <c r="H47" s="100">
        <v>11</v>
      </c>
      <c r="I47" s="100">
        <v>16803.599999999999</v>
      </c>
      <c r="J47" s="100">
        <v>14</v>
      </c>
      <c r="K47" s="100">
        <v>21386.399999999998</v>
      </c>
      <c r="L47" s="100">
        <v>14</v>
      </c>
      <c r="M47" s="100">
        <v>21386.399999999998</v>
      </c>
      <c r="N47" s="100">
        <v>12</v>
      </c>
      <c r="O47" s="100">
        <v>18331.199999999997</v>
      </c>
      <c r="P47" s="100">
        <v>7</v>
      </c>
      <c r="Q47" s="100">
        <v>10693.199999999999</v>
      </c>
      <c r="R47" s="100">
        <v>14</v>
      </c>
      <c r="S47" s="100">
        <v>21386.399999999998</v>
      </c>
      <c r="T47" s="100">
        <v>11</v>
      </c>
      <c r="U47" s="100">
        <v>16803.599999999999</v>
      </c>
      <c r="V47" s="100">
        <v>13</v>
      </c>
      <c r="W47" s="100">
        <v>19858.8</v>
      </c>
      <c r="X47" s="100">
        <v>13</v>
      </c>
      <c r="Y47" s="100">
        <v>19858.8</v>
      </c>
      <c r="Z47" s="100">
        <v>7</v>
      </c>
      <c r="AA47" s="100">
        <v>10693.199999999999</v>
      </c>
      <c r="AB47" s="100">
        <v>13</v>
      </c>
      <c r="AC47" s="100">
        <v>19858.8</v>
      </c>
      <c r="AD47" s="100">
        <v>11</v>
      </c>
      <c r="AE47" s="100">
        <v>16803.599999999999</v>
      </c>
      <c r="AF47" s="100">
        <v>9.9745952419785944</v>
      </c>
      <c r="AG47" s="100">
        <v>15237.1916916465</v>
      </c>
      <c r="AH47" s="100">
        <v>9</v>
      </c>
      <c r="AI47" s="100">
        <v>13748.4</v>
      </c>
      <c r="AJ47" s="100">
        <v>6.2471220217025154</v>
      </c>
      <c r="AK47" s="100">
        <v>9543.1036003527624</v>
      </c>
      <c r="AL47" s="100">
        <v>12</v>
      </c>
      <c r="AM47" s="100">
        <v>18331.199999999997</v>
      </c>
      <c r="AN47" s="100">
        <v>13</v>
      </c>
      <c r="AO47" s="100">
        <v>19858.8</v>
      </c>
      <c r="AP47" s="100">
        <v>0.67564633977420374</v>
      </c>
      <c r="AQ47" s="100">
        <v>1032.1173486390735</v>
      </c>
      <c r="AR47" s="100">
        <v>2.3216723380714674E-4</v>
      </c>
      <c r="AS47" s="100">
        <v>0.35465866636379734</v>
      </c>
      <c r="AT47" s="100">
        <v>3.9824112780710976E-4</v>
      </c>
      <c r="AU47" s="100">
        <v>0.60835314683814079</v>
      </c>
      <c r="AV47" s="100">
        <v>9</v>
      </c>
      <c r="AW47" s="100">
        <v>13748.4</v>
      </c>
      <c r="AX47" s="100">
        <v>2.6224174234635758</v>
      </c>
      <c r="AY47" s="100">
        <v>4006.0048560829582</v>
      </c>
      <c r="AZ47" s="100">
        <v>14</v>
      </c>
      <c r="BA47" s="100">
        <v>21386.399999999998</v>
      </c>
      <c r="BB47" s="100">
        <v>8</v>
      </c>
      <c r="BC47" s="100">
        <v>12220.8</v>
      </c>
      <c r="BD47" s="100">
        <v>10</v>
      </c>
      <c r="BE47" s="100">
        <v>15276</v>
      </c>
      <c r="BF47" s="100">
        <v>14</v>
      </c>
      <c r="BG47" s="100">
        <v>21386.399999999998</v>
      </c>
      <c r="BH47" s="100">
        <v>9</v>
      </c>
      <c r="BI47" s="100">
        <v>13748.4</v>
      </c>
      <c r="BJ47" s="100">
        <v>11</v>
      </c>
      <c r="BK47" s="100">
        <v>16803.599999999999</v>
      </c>
      <c r="BL47" s="100">
        <v>8</v>
      </c>
      <c r="BM47" s="100">
        <v>12220.8</v>
      </c>
      <c r="BN47" s="100">
        <v>3.7420999720065962</v>
      </c>
      <c r="BO47" s="100">
        <v>5716.4319172372761</v>
      </c>
      <c r="BP47" s="100">
        <v>7</v>
      </c>
      <c r="BQ47" s="100">
        <v>10693.199999999999</v>
      </c>
      <c r="BR47" s="100">
        <v>9</v>
      </c>
      <c r="BS47" s="100">
        <v>13748.4</v>
      </c>
      <c r="BT47" s="100">
        <v>9.8564989389211313</v>
      </c>
      <c r="BU47" s="100">
        <v>15056.787779095919</v>
      </c>
      <c r="BV47" s="100">
        <v>0</v>
      </c>
      <c r="BW47" s="100">
        <v>0</v>
      </c>
      <c r="BX47" s="100">
        <v>11</v>
      </c>
      <c r="BY47" s="100">
        <v>16803.599999999999</v>
      </c>
      <c r="BZ47" s="100">
        <v>13</v>
      </c>
      <c r="CA47" s="100">
        <v>19858.8</v>
      </c>
      <c r="CB47" s="100">
        <v>10</v>
      </c>
      <c r="CC47" s="100">
        <v>15276</v>
      </c>
      <c r="CD47" s="100">
        <v>13</v>
      </c>
      <c r="CE47" s="100">
        <v>19858.8</v>
      </c>
      <c r="CF47" s="100">
        <v>7</v>
      </c>
      <c r="CG47" s="100">
        <v>10693.199999999999</v>
      </c>
      <c r="CH47" s="100">
        <v>8</v>
      </c>
      <c r="CI47" s="100">
        <v>12220.8</v>
      </c>
      <c r="CJ47" s="100">
        <v>8.460230035203919</v>
      </c>
      <c r="CK47" s="100">
        <v>12923.847401777506</v>
      </c>
      <c r="CL47" s="100">
        <v>11</v>
      </c>
      <c r="CM47" s="100">
        <v>16803.599999999999</v>
      </c>
      <c r="CN47" s="100">
        <v>13</v>
      </c>
      <c r="CO47" s="100">
        <v>19858.8</v>
      </c>
      <c r="CP47" s="100">
        <v>12.309561398560627</v>
      </c>
      <c r="CQ47" s="100">
        <v>18804.085992441211</v>
      </c>
      <c r="CR47" s="100">
        <v>7.6563144966584513</v>
      </c>
      <c r="CS47" s="100">
        <v>11695.786025095449</v>
      </c>
      <c r="CT47" s="100">
        <v>11</v>
      </c>
      <c r="CU47" s="100">
        <v>16803.599999999999</v>
      </c>
    </row>
    <row r="48" spans="2:99">
      <c r="C48" s="99" t="s">
        <v>214</v>
      </c>
      <c r="D48" s="100">
        <v>13</v>
      </c>
      <c r="E48" s="100">
        <v>11278.800000000001</v>
      </c>
      <c r="F48" s="100">
        <v>7</v>
      </c>
      <c r="G48" s="100">
        <v>6073.2</v>
      </c>
      <c r="H48" s="100">
        <v>11</v>
      </c>
      <c r="I48" s="100">
        <v>9543.6</v>
      </c>
      <c r="J48" s="100">
        <v>15</v>
      </c>
      <c r="K48" s="100">
        <v>13014</v>
      </c>
      <c r="L48" s="100">
        <v>12</v>
      </c>
      <c r="M48" s="100">
        <v>10411.200000000001</v>
      </c>
      <c r="N48" s="100">
        <v>15</v>
      </c>
      <c r="O48" s="100">
        <v>13014</v>
      </c>
      <c r="P48" s="100">
        <v>8</v>
      </c>
      <c r="Q48" s="100">
        <v>6940.8</v>
      </c>
      <c r="R48" s="100">
        <v>14</v>
      </c>
      <c r="S48" s="100">
        <v>12146.4</v>
      </c>
      <c r="T48" s="100">
        <v>12</v>
      </c>
      <c r="U48" s="100">
        <v>10411.200000000001</v>
      </c>
      <c r="V48" s="100">
        <v>14</v>
      </c>
      <c r="W48" s="100">
        <v>12146.4</v>
      </c>
      <c r="X48" s="100">
        <v>13</v>
      </c>
      <c r="Y48" s="100">
        <v>11278.800000000001</v>
      </c>
      <c r="Z48" s="100">
        <v>8</v>
      </c>
      <c r="AA48" s="100">
        <v>6940.8</v>
      </c>
      <c r="AB48" s="100">
        <v>14</v>
      </c>
      <c r="AC48" s="100">
        <v>12146.4</v>
      </c>
      <c r="AD48" s="100">
        <v>12</v>
      </c>
      <c r="AE48" s="100">
        <v>10411.200000000001</v>
      </c>
      <c r="AF48" s="100">
        <v>10.972054766176456</v>
      </c>
      <c r="AG48" s="100">
        <v>9519.3547151346938</v>
      </c>
      <c r="AH48" s="100">
        <v>9</v>
      </c>
      <c r="AI48" s="100">
        <v>7808.4000000000005</v>
      </c>
      <c r="AJ48" s="100">
        <v>8.0320140279032337</v>
      </c>
      <c r="AK48" s="100">
        <v>6968.5753706088453</v>
      </c>
      <c r="AL48" s="100">
        <v>11</v>
      </c>
      <c r="AM48" s="100">
        <v>9543.6</v>
      </c>
      <c r="AN48" s="100">
        <v>13</v>
      </c>
      <c r="AO48" s="100">
        <v>11278.800000000001</v>
      </c>
      <c r="AP48" s="100">
        <v>0.67564633977420374</v>
      </c>
      <c r="AQ48" s="100">
        <v>586.19076438809918</v>
      </c>
      <c r="AR48" s="100">
        <v>2.6118813803304006E-4</v>
      </c>
      <c r="AS48" s="100">
        <v>0.22660682855746556</v>
      </c>
      <c r="AT48" s="100">
        <v>3.6979533296374476E-4</v>
      </c>
      <c r="AU48" s="100">
        <v>0.32083443087934493</v>
      </c>
      <c r="AV48" s="100">
        <v>9</v>
      </c>
      <c r="AW48" s="100">
        <v>7808.4000000000005</v>
      </c>
      <c r="AX48" s="100">
        <v>2.6224174234635758</v>
      </c>
      <c r="AY48" s="100">
        <v>2275.2093565969985</v>
      </c>
      <c r="AZ48" s="100">
        <v>13</v>
      </c>
      <c r="BA48" s="100">
        <v>11278.800000000001</v>
      </c>
      <c r="BB48" s="100">
        <v>8</v>
      </c>
      <c r="BC48" s="100">
        <v>6940.8</v>
      </c>
      <c r="BD48" s="100">
        <v>10</v>
      </c>
      <c r="BE48" s="100">
        <v>8676</v>
      </c>
      <c r="BF48" s="100">
        <v>15</v>
      </c>
      <c r="BG48" s="100">
        <v>13014</v>
      </c>
      <c r="BH48" s="100">
        <v>10</v>
      </c>
      <c r="BI48" s="100">
        <v>8676</v>
      </c>
      <c r="BJ48" s="100">
        <v>10</v>
      </c>
      <c r="BK48" s="100">
        <v>8676</v>
      </c>
      <c r="BL48" s="100">
        <v>9</v>
      </c>
      <c r="BM48" s="100">
        <v>7808.4000000000005</v>
      </c>
      <c r="BN48" s="100">
        <v>3.7420999720065962</v>
      </c>
      <c r="BO48" s="100">
        <v>3246.6459357129229</v>
      </c>
      <c r="BP48" s="100">
        <v>8</v>
      </c>
      <c r="BQ48" s="100">
        <v>6940.8</v>
      </c>
      <c r="BR48" s="100">
        <v>9</v>
      </c>
      <c r="BS48" s="100">
        <v>7808.4000000000005</v>
      </c>
      <c r="BT48" s="100">
        <v>9.8564989389211313</v>
      </c>
      <c r="BU48" s="100">
        <v>8551.4984794079737</v>
      </c>
      <c r="BV48" s="100">
        <v>0</v>
      </c>
      <c r="BW48" s="100">
        <v>0</v>
      </c>
      <c r="BX48" s="100">
        <v>12</v>
      </c>
      <c r="BY48" s="100">
        <v>10411.200000000001</v>
      </c>
      <c r="BZ48" s="100">
        <v>13</v>
      </c>
      <c r="CA48" s="100">
        <v>11278.800000000001</v>
      </c>
      <c r="CB48" s="100">
        <v>11</v>
      </c>
      <c r="CC48" s="100">
        <v>9543.6</v>
      </c>
      <c r="CD48" s="100">
        <v>14</v>
      </c>
      <c r="CE48" s="100">
        <v>12146.4</v>
      </c>
      <c r="CF48" s="100">
        <v>8</v>
      </c>
      <c r="CG48" s="100">
        <v>6940.8</v>
      </c>
      <c r="CH48" s="100">
        <v>8</v>
      </c>
      <c r="CI48" s="100">
        <v>6940.8</v>
      </c>
      <c r="CJ48" s="100">
        <v>8.460230035203919</v>
      </c>
      <c r="CK48" s="100">
        <v>7340.0955785429205</v>
      </c>
      <c r="CL48" s="100">
        <v>12</v>
      </c>
      <c r="CM48" s="100">
        <v>10411.200000000001</v>
      </c>
      <c r="CN48" s="100">
        <v>12</v>
      </c>
      <c r="CO48" s="100">
        <v>10411.200000000001</v>
      </c>
      <c r="CP48" s="100">
        <v>11.430307012949154</v>
      </c>
      <c r="CQ48" s="100">
        <v>9916.9343644346864</v>
      </c>
      <c r="CR48" s="100">
        <v>7.6563144966584513</v>
      </c>
      <c r="CS48" s="100">
        <v>6642.6184573008723</v>
      </c>
      <c r="CT48" s="100">
        <v>12</v>
      </c>
      <c r="CU48" s="100">
        <v>10411.200000000001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5</v>
      </c>
      <c r="G49" s="100">
        <v>4926</v>
      </c>
      <c r="H49" s="100">
        <v>7</v>
      </c>
      <c r="I49" s="100">
        <v>6896.4</v>
      </c>
      <c r="J49" s="100">
        <v>6</v>
      </c>
      <c r="K49" s="100">
        <v>5911.2</v>
      </c>
      <c r="L49" s="100">
        <v>5.2187390536196148</v>
      </c>
      <c r="M49" s="100">
        <v>5141.5017156260437</v>
      </c>
      <c r="N49" s="100">
        <v>7</v>
      </c>
      <c r="O49" s="100">
        <v>6896.4</v>
      </c>
      <c r="P49" s="100">
        <v>9</v>
      </c>
      <c r="Q49" s="100">
        <v>8866.7999999999993</v>
      </c>
      <c r="R49" s="100">
        <v>8</v>
      </c>
      <c r="S49" s="100">
        <v>7881.5999999999995</v>
      </c>
      <c r="T49" s="100">
        <v>11</v>
      </c>
      <c r="U49" s="100">
        <v>10837.199999999999</v>
      </c>
      <c r="V49" s="100">
        <v>6</v>
      </c>
      <c r="W49" s="100">
        <v>5911.2</v>
      </c>
      <c r="X49" s="100">
        <v>5.7982672193353162</v>
      </c>
      <c r="Y49" s="100">
        <v>5712.4528644891534</v>
      </c>
      <c r="Z49" s="100">
        <v>9</v>
      </c>
      <c r="AA49" s="100">
        <v>8866.7999999999993</v>
      </c>
      <c r="AB49" s="100">
        <v>10</v>
      </c>
      <c r="AC49" s="100">
        <v>9852</v>
      </c>
      <c r="AD49" s="100">
        <v>5.7989497493297657</v>
      </c>
      <c r="AE49" s="100">
        <v>5713.1252930396849</v>
      </c>
      <c r="AF49" s="100">
        <v>10</v>
      </c>
      <c r="AG49" s="100">
        <v>9852</v>
      </c>
      <c r="AH49" s="100">
        <v>6.9254168925465702</v>
      </c>
      <c r="AI49" s="100">
        <v>6822.9207225368809</v>
      </c>
      <c r="AJ49" s="100">
        <v>8.8371817248851858</v>
      </c>
      <c r="AK49" s="100">
        <v>8706.3914353568853</v>
      </c>
      <c r="AL49" s="100">
        <v>0</v>
      </c>
      <c r="AM49" s="100">
        <v>0</v>
      </c>
      <c r="AN49" s="100">
        <v>11</v>
      </c>
      <c r="AO49" s="100">
        <v>10837.199999999999</v>
      </c>
      <c r="AP49" s="100">
        <v>10</v>
      </c>
      <c r="AQ49" s="100">
        <v>9852</v>
      </c>
      <c r="AR49" s="100">
        <v>9.7026567985530132</v>
      </c>
      <c r="AS49" s="100">
        <v>9559.0574779344279</v>
      </c>
      <c r="AT49" s="100">
        <v>5.7979066207278809</v>
      </c>
      <c r="AU49" s="100">
        <v>5712.0976027411079</v>
      </c>
      <c r="AV49" s="100">
        <v>4.213818972966707</v>
      </c>
      <c r="AW49" s="100">
        <v>4151.4544521667995</v>
      </c>
      <c r="AX49" s="100">
        <v>6.5899258910655849</v>
      </c>
      <c r="AY49" s="100">
        <v>6492.3949878778139</v>
      </c>
      <c r="AZ49" s="100">
        <v>9</v>
      </c>
      <c r="BA49" s="100">
        <v>8866.7999999999993</v>
      </c>
      <c r="BB49" s="100">
        <v>8.0701436438967704</v>
      </c>
      <c r="BC49" s="100">
        <v>7950.7055179670979</v>
      </c>
      <c r="BD49" s="100">
        <v>7</v>
      </c>
      <c r="BE49" s="100">
        <v>6896.4</v>
      </c>
      <c r="BF49" s="100">
        <v>4.2948087749038342</v>
      </c>
      <c r="BG49" s="100">
        <v>4231.2456050352575</v>
      </c>
      <c r="BH49" s="100">
        <v>11</v>
      </c>
      <c r="BI49" s="100">
        <v>10837.199999999999</v>
      </c>
      <c r="BJ49" s="100">
        <v>5</v>
      </c>
      <c r="BK49" s="100">
        <v>4926</v>
      </c>
      <c r="BL49" s="100">
        <v>6</v>
      </c>
      <c r="BM49" s="100">
        <v>5911.2</v>
      </c>
      <c r="BN49" s="100">
        <v>10</v>
      </c>
      <c r="BO49" s="100">
        <v>9852</v>
      </c>
      <c r="BP49" s="100">
        <v>8</v>
      </c>
      <c r="BQ49" s="100">
        <v>7881.5999999999995</v>
      </c>
      <c r="BR49" s="100">
        <v>5.4989063128847979</v>
      </c>
      <c r="BS49" s="100">
        <v>5417.5224994541022</v>
      </c>
      <c r="BT49" s="100">
        <v>7</v>
      </c>
      <c r="BU49" s="100">
        <v>6896.4</v>
      </c>
      <c r="BV49" s="100">
        <v>7.5024648553400892</v>
      </c>
      <c r="BW49" s="100">
        <v>7391.4283754810558</v>
      </c>
      <c r="BX49" s="100">
        <v>4.7437685449600142</v>
      </c>
      <c r="BY49" s="100">
        <v>4673.560770494606</v>
      </c>
      <c r="BZ49" s="100">
        <v>9</v>
      </c>
      <c r="CA49" s="100">
        <v>8866.7999999999993</v>
      </c>
      <c r="CB49" s="100">
        <v>6</v>
      </c>
      <c r="CC49" s="100">
        <v>5911.2</v>
      </c>
      <c r="CD49" s="100">
        <v>6.5919241358844065</v>
      </c>
      <c r="CE49" s="100">
        <v>6494.3636586733164</v>
      </c>
      <c r="CF49" s="100">
        <v>10</v>
      </c>
      <c r="CG49" s="100">
        <v>9852</v>
      </c>
      <c r="CH49" s="100">
        <v>7.9209981268550669</v>
      </c>
      <c r="CI49" s="100">
        <v>7803.7673545776115</v>
      </c>
      <c r="CJ49" s="100">
        <v>8</v>
      </c>
      <c r="CK49" s="100">
        <v>7881.5999999999995</v>
      </c>
      <c r="CL49" s="100">
        <v>7</v>
      </c>
      <c r="CM49" s="100">
        <v>6896.4</v>
      </c>
      <c r="CN49" s="100">
        <v>4.7865025870392648</v>
      </c>
      <c r="CO49" s="100">
        <v>4715.6623487510833</v>
      </c>
      <c r="CP49" s="100">
        <v>4.4489322229199129</v>
      </c>
      <c r="CQ49" s="100">
        <v>4383.0880260206977</v>
      </c>
      <c r="CR49" s="100">
        <v>7</v>
      </c>
      <c r="CS49" s="100">
        <v>6896.4</v>
      </c>
      <c r="CT49" s="100">
        <v>6.8142960975359346</v>
      </c>
      <c r="CU49" s="100">
        <v>6713.4445152924027</v>
      </c>
    </row>
    <row r="50" spans="2:99">
      <c r="C50" s="99" t="s">
        <v>216</v>
      </c>
      <c r="D50" s="100">
        <v>8</v>
      </c>
      <c r="E50" s="100">
        <v>2256</v>
      </c>
      <c r="F50" s="100">
        <v>7</v>
      </c>
      <c r="G50" s="100">
        <v>1974</v>
      </c>
      <c r="H50" s="100">
        <v>7</v>
      </c>
      <c r="I50" s="100">
        <v>1974</v>
      </c>
      <c r="J50" s="100">
        <v>7</v>
      </c>
      <c r="K50" s="100">
        <v>1974</v>
      </c>
      <c r="L50" s="100">
        <v>10</v>
      </c>
      <c r="M50" s="100">
        <v>2820</v>
      </c>
      <c r="N50" s="100">
        <v>6</v>
      </c>
      <c r="O50" s="100">
        <v>1692</v>
      </c>
      <c r="P50" s="100">
        <v>9</v>
      </c>
      <c r="Q50" s="100">
        <v>2538</v>
      </c>
      <c r="R50" s="100">
        <v>9</v>
      </c>
      <c r="S50" s="100">
        <v>2538</v>
      </c>
      <c r="T50" s="100">
        <v>10</v>
      </c>
      <c r="U50" s="100">
        <v>2820</v>
      </c>
      <c r="V50" s="100">
        <v>7</v>
      </c>
      <c r="W50" s="100">
        <v>1974</v>
      </c>
      <c r="X50" s="100">
        <v>8</v>
      </c>
      <c r="Y50" s="100">
        <v>2256</v>
      </c>
      <c r="Z50" s="100">
        <v>9</v>
      </c>
      <c r="AA50" s="100">
        <v>2538</v>
      </c>
      <c r="AB50" s="100">
        <v>11</v>
      </c>
      <c r="AC50" s="100">
        <v>3102</v>
      </c>
      <c r="AD50" s="100">
        <v>8</v>
      </c>
      <c r="AE50" s="100">
        <v>2256</v>
      </c>
      <c r="AF50" s="100">
        <v>8.9771357177807367</v>
      </c>
      <c r="AG50" s="100">
        <v>2531.5522724141679</v>
      </c>
      <c r="AH50" s="100">
        <v>12</v>
      </c>
      <c r="AI50" s="100">
        <v>3384</v>
      </c>
      <c r="AJ50" s="100">
        <v>10.709352037204312</v>
      </c>
      <c r="AK50" s="100">
        <v>3020.0372744916158</v>
      </c>
      <c r="AL50" s="100">
        <v>6</v>
      </c>
      <c r="AM50" s="100">
        <v>1692</v>
      </c>
      <c r="AN50" s="100">
        <v>10</v>
      </c>
      <c r="AO50" s="100">
        <v>2820</v>
      </c>
      <c r="AP50" s="100">
        <v>0.5717007490397108</v>
      </c>
      <c r="AQ50" s="100">
        <v>161.21961122919845</v>
      </c>
      <c r="AR50" s="100">
        <v>3.1922994648482674E-4</v>
      </c>
      <c r="AS50" s="100">
        <v>9.0022844908721145E-2</v>
      </c>
      <c r="AT50" s="100">
        <v>1.9912056390355488E-4</v>
      </c>
      <c r="AU50" s="100">
        <v>5.6151999020802479E-2</v>
      </c>
      <c r="AV50" s="100">
        <v>7</v>
      </c>
      <c r="AW50" s="100">
        <v>1974</v>
      </c>
      <c r="AX50" s="100">
        <v>1.6688110876586391</v>
      </c>
      <c r="AY50" s="100">
        <v>470.60472671973622</v>
      </c>
      <c r="AZ50" s="100">
        <v>8</v>
      </c>
      <c r="BA50" s="100">
        <v>2256</v>
      </c>
      <c r="BB50" s="100">
        <v>9</v>
      </c>
      <c r="BC50" s="100">
        <v>2538</v>
      </c>
      <c r="BD50" s="100">
        <v>6</v>
      </c>
      <c r="BE50" s="100">
        <v>1692</v>
      </c>
      <c r="BF50" s="100">
        <v>11</v>
      </c>
      <c r="BG50" s="100">
        <v>3102</v>
      </c>
      <c r="BH50" s="100">
        <v>11</v>
      </c>
      <c r="BI50" s="100">
        <v>3102</v>
      </c>
      <c r="BJ50" s="100">
        <v>5</v>
      </c>
      <c r="BK50" s="100">
        <v>1410</v>
      </c>
      <c r="BL50" s="100">
        <v>6</v>
      </c>
      <c r="BM50" s="100">
        <v>1692</v>
      </c>
      <c r="BN50" s="100">
        <v>5.3458571028665656</v>
      </c>
      <c r="BO50" s="100">
        <v>1507.5317030083716</v>
      </c>
      <c r="BP50" s="100">
        <v>8</v>
      </c>
      <c r="BQ50" s="100">
        <v>2256</v>
      </c>
      <c r="BR50" s="100">
        <v>8</v>
      </c>
      <c r="BS50" s="100">
        <v>2256</v>
      </c>
      <c r="BT50" s="100">
        <v>6.272317506586174</v>
      </c>
      <c r="BU50" s="100">
        <v>1768.793536857301</v>
      </c>
      <c r="BV50" s="100">
        <v>0</v>
      </c>
      <c r="BW50" s="100">
        <v>0</v>
      </c>
      <c r="BX50" s="100">
        <v>7</v>
      </c>
      <c r="BY50" s="100">
        <v>1974</v>
      </c>
      <c r="BZ50" s="100">
        <v>9</v>
      </c>
      <c r="CA50" s="100">
        <v>2538</v>
      </c>
      <c r="CB50" s="100">
        <v>6</v>
      </c>
      <c r="CC50" s="100">
        <v>1692</v>
      </c>
      <c r="CD50" s="100">
        <v>11</v>
      </c>
      <c r="CE50" s="100">
        <v>3102</v>
      </c>
      <c r="CF50" s="100">
        <v>10</v>
      </c>
      <c r="CG50" s="100">
        <v>2820</v>
      </c>
      <c r="CH50" s="100">
        <v>9</v>
      </c>
      <c r="CI50" s="100">
        <v>2538</v>
      </c>
      <c r="CJ50" s="100">
        <v>5.8570823320642518</v>
      </c>
      <c r="CK50" s="100">
        <v>1651.6972176421191</v>
      </c>
      <c r="CL50" s="100">
        <v>8</v>
      </c>
      <c r="CM50" s="100">
        <v>2256</v>
      </c>
      <c r="CN50" s="100">
        <v>6</v>
      </c>
      <c r="CO50" s="100">
        <v>1692</v>
      </c>
      <c r="CP50" s="100">
        <v>8.7925438561147349</v>
      </c>
      <c r="CQ50" s="100">
        <v>2479.4973674243552</v>
      </c>
      <c r="CR50" s="100">
        <v>6.1250515973267605</v>
      </c>
      <c r="CS50" s="100">
        <v>1727.2645504461464</v>
      </c>
      <c r="CT50" s="100">
        <v>8</v>
      </c>
      <c r="CU50" s="100">
        <v>2256</v>
      </c>
    </row>
    <row r="51" spans="2:99">
      <c r="C51" s="99" t="s">
        <v>217</v>
      </c>
      <c r="D51" s="100">
        <v>8</v>
      </c>
      <c r="E51" s="100">
        <v>6835.2</v>
      </c>
      <c r="F51" s="100">
        <v>6</v>
      </c>
      <c r="G51" s="100">
        <v>5126.3999999999996</v>
      </c>
      <c r="H51" s="100">
        <v>7</v>
      </c>
      <c r="I51" s="100">
        <v>5980.8</v>
      </c>
      <c r="J51" s="100">
        <v>6</v>
      </c>
      <c r="K51" s="100">
        <v>5126.3999999999996</v>
      </c>
      <c r="L51" s="100">
        <v>9</v>
      </c>
      <c r="M51" s="100">
        <v>7689.5999999999995</v>
      </c>
      <c r="N51" s="100">
        <v>6</v>
      </c>
      <c r="O51" s="100">
        <v>5126.3999999999996</v>
      </c>
      <c r="P51" s="100">
        <v>9</v>
      </c>
      <c r="Q51" s="100">
        <v>7689.5999999999995</v>
      </c>
      <c r="R51" s="100">
        <v>9</v>
      </c>
      <c r="S51" s="100">
        <v>7689.5999999999995</v>
      </c>
      <c r="T51" s="100">
        <v>9</v>
      </c>
      <c r="U51" s="100">
        <v>7689.5999999999995</v>
      </c>
      <c r="V51" s="100">
        <v>6</v>
      </c>
      <c r="W51" s="100">
        <v>5126.3999999999996</v>
      </c>
      <c r="X51" s="100">
        <v>7</v>
      </c>
      <c r="Y51" s="100">
        <v>5980.8</v>
      </c>
      <c r="Z51" s="100">
        <v>9</v>
      </c>
      <c r="AA51" s="100">
        <v>7689.5999999999995</v>
      </c>
      <c r="AB51" s="100">
        <v>11</v>
      </c>
      <c r="AC51" s="100">
        <v>9398.4</v>
      </c>
      <c r="AD51" s="100">
        <v>7</v>
      </c>
      <c r="AE51" s="100">
        <v>5980.8</v>
      </c>
      <c r="AF51" s="100">
        <v>9.9745952419785944</v>
      </c>
      <c r="AG51" s="100">
        <v>8522.2941747465102</v>
      </c>
      <c r="AH51" s="100">
        <v>11</v>
      </c>
      <c r="AI51" s="100">
        <v>9398.4</v>
      </c>
      <c r="AJ51" s="100">
        <v>8.9244600310035924</v>
      </c>
      <c r="AK51" s="100">
        <v>7625.0586504894691</v>
      </c>
      <c r="AL51" s="100">
        <v>7</v>
      </c>
      <c r="AM51" s="100">
        <v>5980.8</v>
      </c>
      <c r="AN51" s="100">
        <v>10</v>
      </c>
      <c r="AO51" s="100">
        <v>8544</v>
      </c>
      <c r="AP51" s="100">
        <v>0.51972795367246438</v>
      </c>
      <c r="AQ51" s="100">
        <v>444.05556361775353</v>
      </c>
      <c r="AR51" s="100">
        <v>2.9020904225893343E-4</v>
      </c>
      <c r="AS51" s="100">
        <v>0.2479546057060327</v>
      </c>
      <c r="AT51" s="100">
        <v>1.9912056390355488E-4</v>
      </c>
      <c r="AU51" s="100">
        <v>0.17012860979919728</v>
      </c>
      <c r="AV51" s="100">
        <v>7</v>
      </c>
      <c r="AW51" s="100">
        <v>5980.8</v>
      </c>
      <c r="AX51" s="100">
        <v>1.4304095037074049</v>
      </c>
      <c r="AY51" s="100">
        <v>1222.1418799676067</v>
      </c>
      <c r="AZ51" s="100">
        <v>9</v>
      </c>
      <c r="BA51" s="100">
        <v>7689.5999999999995</v>
      </c>
      <c r="BB51" s="100">
        <v>9</v>
      </c>
      <c r="BC51" s="100">
        <v>7689.5999999999995</v>
      </c>
      <c r="BD51" s="100">
        <v>7</v>
      </c>
      <c r="BE51" s="100">
        <v>5980.8</v>
      </c>
      <c r="BF51" s="100">
        <v>10</v>
      </c>
      <c r="BG51" s="100">
        <v>8544</v>
      </c>
      <c r="BH51" s="100">
        <v>10</v>
      </c>
      <c r="BI51" s="100">
        <v>8544</v>
      </c>
      <c r="BJ51" s="100">
        <v>6</v>
      </c>
      <c r="BK51" s="100">
        <v>5126.3999999999996</v>
      </c>
      <c r="BL51" s="100">
        <v>7</v>
      </c>
      <c r="BM51" s="100">
        <v>5980.8</v>
      </c>
      <c r="BN51" s="100">
        <v>5.3458571028665656</v>
      </c>
      <c r="BO51" s="100">
        <v>4567.5003086891938</v>
      </c>
      <c r="BP51" s="100">
        <v>7</v>
      </c>
      <c r="BQ51" s="100">
        <v>5980.8</v>
      </c>
      <c r="BR51" s="100">
        <v>7</v>
      </c>
      <c r="BS51" s="100">
        <v>5980.8</v>
      </c>
      <c r="BT51" s="100">
        <v>6.272317506586174</v>
      </c>
      <c r="BU51" s="100">
        <v>5359.0680776272266</v>
      </c>
      <c r="BV51" s="100">
        <v>0</v>
      </c>
      <c r="BW51" s="100">
        <v>0</v>
      </c>
      <c r="BX51" s="100">
        <v>7</v>
      </c>
      <c r="BY51" s="100">
        <v>5980.8</v>
      </c>
      <c r="BZ51" s="100">
        <v>9</v>
      </c>
      <c r="CA51" s="100">
        <v>7689.5999999999995</v>
      </c>
      <c r="CB51" s="100">
        <v>6</v>
      </c>
      <c r="CC51" s="100">
        <v>5126.3999999999996</v>
      </c>
      <c r="CD51" s="100">
        <v>9</v>
      </c>
      <c r="CE51" s="100">
        <v>7689.5999999999995</v>
      </c>
      <c r="CF51" s="100">
        <v>9</v>
      </c>
      <c r="CG51" s="100">
        <v>7689.5999999999995</v>
      </c>
      <c r="CH51" s="100">
        <v>10</v>
      </c>
      <c r="CI51" s="100">
        <v>8544</v>
      </c>
      <c r="CJ51" s="100">
        <v>5.2062954062793345</v>
      </c>
      <c r="CK51" s="100">
        <v>4448.2587951250634</v>
      </c>
      <c r="CL51" s="100">
        <v>7</v>
      </c>
      <c r="CM51" s="100">
        <v>5980.8</v>
      </c>
      <c r="CN51" s="100">
        <v>7</v>
      </c>
      <c r="CO51" s="100">
        <v>5980.8</v>
      </c>
      <c r="CP51" s="100">
        <v>8.7925438561147349</v>
      </c>
      <c r="CQ51" s="100">
        <v>7512.3494706644296</v>
      </c>
      <c r="CR51" s="100">
        <v>6.1250515973267605</v>
      </c>
      <c r="CS51" s="100">
        <v>5233.2440847559837</v>
      </c>
      <c r="CT51" s="100">
        <v>9</v>
      </c>
      <c r="CU51" s="100">
        <v>7689.5999999999995</v>
      </c>
    </row>
    <row r="52" spans="2:99">
      <c r="C52" s="99" t="s">
        <v>218</v>
      </c>
      <c r="D52" s="100">
        <v>8</v>
      </c>
      <c r="E52" s="100">
        <v>4320</v>
      </c>
      <c r="F52" s="100">
        <v>6</v>
      </c>
      <c r="G52" s="100">
        <v>3240</v>
      </c>
      <c r="H52" s="100">
        <v>7</v>
      </c>
      <c r="I52" s="100">
        <v>3780</v>
      </c>
      <c r="J52" s="100">
        <v>7</v>
      </c>
      <c r="K52" s="100">
        <v>3780</v>
      </c>
      <c r="L52" s="100">
        <v>10</v>
      </c>
      <c r="M52" s="100">
        <v>5400</v>
      </c>
      <c r="N52" s="100">
        <v>6</v>
      </c>
      <c r="O52" s="100">
        <v>3240</v>
      </c>
      <c r="P52" s="100">
        <v>9</v>
      </c>
      <c r="Q52" s="100">
        <v>4860</v>
      </c>
      <c r="R52" s="100">
        <v>8</v>
      </c>
      <c r="S52" s="100">
        <v>4320</v>
      </c>
      <c r="T52" s="100">
        <v>10</v>
      </c>
      <c r="U52" s="100">
        <v>5400</v>
      </c>
      <c r="V52" s="100">
        <v>6</v>
      </c>
      <c r="W52" s="100">
        <v>3240</v>
      </c>
      <c r="X52" s="100">
        <v>8</v>
      </c>
      <c r="Y52" s="100">
        <v>4320</v>
      </c>
      <c r="Z52" s="100">
        <v>10</v>
      </c>
      <c r="AA52" s="100">
        <v>5400</v>
      </c>
      <c r="AB52" s="100">
        <v>10</v>
      </c>
      <c r="AC52" s="100">
        <v>5400</v>
      </c>
      <c r="AD52" s="100">
        <v>7</v>
      </c>
      <c r="AE52" s="100">
        <v>3780</v>
      </c>
      <c r="AF52" s="100">
        <v>10.972054766176456</v>
      </c>
      <c r="AG52" s="100">
        <v>5924.9095737352864</v>
      </c>
      <c r="AH52" s="100">
        <v>12</v>
      </c>
      <c r="AI52" s="100">
        <v>6480</v>
      </c>
      <c r="AJ52" s="100">
        <v>10.709352037204312</v>
      </c>
      <c r="AK52" s="100">
        <v>5783.0501000903287</v>
      </c>
      <c r="AL52" s="100">
        <v>7</v>
      </c>
      <c r="AM52" s="100">
        <v>3780</v>
      </c>
      <c r="AN52" s="100">
        <v>10</v>
      </c>
      <c r="AO52" s="100">
        <v>5400</v>
      </c>
      <c r="AP52" s="100">
        <v>0.46775515830521802</v>
      </c>
      <c r="AQ52" s="100">
        <v>252.58778548481774</v>
      </c>
      <c r="AR52" s="100">
        <v>3.1922994648482674E-4</v>
      </c>
      <c r="AS52" s="100">
        <v>0.17238417110180643</v>
      </c>
      <c r="AT52" s="100">
        <v>1.9912056390355488E-4</v>
      </c>
      <c r="AU52" s="100">
        <v>0.10752510450791963</v>
      </c>
      <c r="AV52" s="100">
        <v>8</v>
      </c>
      <c r="AW52" s="100">
        <v>4320</v>
      </c>
      <c r="AX52" s="100">
        <v>1.4304095037074049</v>
      </c>
      <c r="AY52" s="100">
        <v>772.42113200199867</v>
      </c>
      <c r="AZ52" s="100">
        <v>8</v>
      </c>
      <c r="BA52" s="100">
        <v>4320</v>
      </c>
      <c r="BB52" s="100">
        <v>8</v>
      </c>
      <c r="BC52" s="100">
        <v>4320</v>
      </c>
      <c r="BD52" s="100">
        <v>6</v>
      </c>
      <c r="BE52" s="100">
        <v>3240</v>
      </c>
      <c r="BF52" s="100">
        <v>12</v>
      </c>
      <c r="BG52" s="100">
        <v>6480</v>
      </c>
      <c r="BH52" s="100">
        <v>12</v>
      </c>
      <c r="BI52" s="100">
        <v>6480</v>
      </c>
      <c r="BJ52" s="100">
        <v>6</v>
      </c>
      <c r="BK52" s="100">
        <v>3240</v>
      </c>
      <c r="BL52" s="100">
        <v>7</v>
      </c>
      <c r="BM52" s="100">
        <v>3780</v>
      </c>
      <c r="BN52" s="100">
        <v>5.3458571028665656</v>
      </c>
      <c r="BO52" s="100">
        <v>2886.7628355479455</v>
      </c>
      <c r="BP52" s="100">
        <v>8</v>
      </c>
      <c r="BQ52" s="100">
        <v>4320</v>
      </c>
      <c r="BR52" s="100">
        <v>8</v>
      </c>
      <c r="BS52" s="100">
        <v>4320</v>
      </c>
      <c r="BT52" s="100">
        <v>5.3762721485024345</v>
      </c>
      <c r="BU52" s="100">
        <v>2903.1869601913145</v>
      </c>
      <c r="BV52" s="100">
        <v>0</v>
      </c>
      <c r="BW52" s="100">
        <v>0</v>
      </c>
      <c r="BX52" s="100">
        <v>7</v>
      </c>
      <c r="BY52" s="100">
        <v>3780</v>
      </c>
      <c r="BZ52" s="100">
        <v>9</v>
      </c>
      <c r="CA52" s="100">
        <v>4860</v>
      </c>
      <c r="CB52" s="100">
        <v>6</v>
      </c>
      <c r="CC52" s="100">
        <v>3240</v>
      </c>
      <c r="CD52" s="100">
        <v>10</v>
      </c>
      <c r="CE52" s="100">
        <v>5400</v>
      </c>
      <c r="CF52" s="100">
        <v>10</v>
      </c>
      <c r="CG52" s="100">
        <v>5400</v>
      </c>
      <c r="CH52" s="100">
        <v>9</v>
      </c>
      <c r="CI52" s="100">
        <v>4860</v>
      </c>
      <c r="CJ52" s="100">
        <v>5.2062954062793345</v>
      </c>
      <c r="CK52" s="100">
        <v>2811.3995193908409</v>
      </c>
      <c r="CL52" s="100">
        <v>7</v>
      </c>
      <c r="CM52" s="100">
        <v>3780</v>
      </c>
      <c r="CN52" s="100">
        <v>6</v>
      </c>
      <c r="CO52" s="100">
        <v>3240</v>
      </c>
      <c r="CP52" s="100">
        <v>9.6717982417262078</v>
      </c>
      <c r="CQ52" s="100">
        <v>5222.771050532152</v>
      </c>
      <c r="CR52" s="100">
        <v>6.8906830469926055</v>
      </c>
      <c r="CS52" s="100">
        <v>3720.9688453760068</v>
      </c>
      <c r="CT52" s="100">
        <v>8</v>
      </c>
      <c r="CU52" s="100">
        <v>4320</v>
      </c>
    </row>
    <row r="53" spans="2:99">
      <c r="C53" s="99" t="s">
        <v>219</v>
      </c>
      <c r="D53" s="100">
        <v>8</v>
      </c>
      <c r="E53" s="100">
        <v>3254.4</v>
      </c>
      <c r="F53" s="100">
        <v>6</v>
      </c>
      <c r="G53" s="100">
        <v>2440.8000000000002</v>
      </c>
      <c r="H53" s="100">
        <v>6</v>
      </c>
      <c r="I53" s="100">
        <v>2440.8000000000002</v>
      </c>
      <c r="J53" s="100">
        <v>6</v>
      </c>
      <c r="K53" s="100">
        <v>2440.8000000000002</v>
      </c>
      <c r="L53" s="100">
        <v>11</v>
      </c>
      <c r="M53" s="100">
        <v>4474.8</v>
      </c>
      <c r="N53" s="100">
        <v>7</v>
      </c>
      <c r="O53" s="100">
        <v>2847.6</v>
      </c>
      <c r="P53" s="100">
        <v>8</v>
      </c>
      <c r="Q53" s="100">
        <v>3254.4</v>
      </c>
      <c r="R53" s="100">
        <v>8</v>
      </c>
      <c r="S53" s="100">
        <v>3254.4</v>
      </c>
      <c r="T53" s="100">
        <v>10</v>
      </c>
      <c r="U53" s="100">
        <v>4068</v>
      </c>
      <c r="V53" s="100">
        <v>7</v>
      </c>
      <c r="W53" s="100">
        <v>2847.6</v>
      </c>
      <c r="X53" s="100">
        <v>7</v>
      </c>
      <c r="Y53" s="100">
        <v>2847.6</v>
      </c>
      <c r="Z53" s="100">
        <v>10</v>
      </c>
      <c r="AA53" s="100">
        <v>4068</v>
      </c>
      <c r="AB53" s="100">
        <v>12</v>
      </c>
      <c r="AC53" s="100">
        <v>4881.6000000000004</v>
      </c>
      <c r="AD53" s="100">
        <v>6</v>
      </c>
      <c r="AE53" s="100">
        <v>2440.8000000000002</v>
      </c>
      <c r="AF53" s="100">
        <v>8.9771357177807367</v>
      </c>
      <c r="AG53" s="100">
        <v>3651.8988099932039</v>
      </c>
      <c r="AH53" s="100">
        <v>10</v>
      </c>
      <c r="AI53" s="100">
        <v>4068</v>
      </c>
      <c r="AJ53" s="100">
        <v>10.709352037204312</v>
      </c>
      <c r="AK53" s="100">
        <v>4356.5644087347137</v>
      </c>
      <c r="AL53" s="100">
        <v>6</v>
      </c>
      <c r="AM53" s="100">
        <v>2440.8000000000002</v>
      </c>
      <c r="AN53" s="100">
        <v>11</v>
      </c>
      <c r="AO53" s="100">
        <v>4474.8</v>
      </c>
      <c r="AP53" s="100">
        <v>0.5717007490397108</v>
      </c>
      <c r="AQ53" s="100">
        <v>232.56786470935435</v>
      </c>
      <c r="AR53" s="100">
        <v>3.1922994648482674E-4</v>
      </c>
      <c r="AS53" s="100">
        <v>0.12986274223002753</v>
      </c>
      <c r="AT53" s="100">
        <v>1.9912056390355488E-4</v>
      </c>
      <c r="AU53" s="100">
        <v>8.1002245395966121E-2</v>
      </c>
      <c r="AV53" s="100">
        <v>8</v>
      </c>
      <c r="AW53" s="100">
        <v>3254.4</v>
      </c>
      <c r="AX53" s="100">
        <v>1.4304095037074049</v>
      </c>
      <c r="AY53" s="100">
        <v>581.89058610817233</v>
      </c>
      <c r="AZ53" s="100">
        <v>8</v>
      </c>
      <c r="BA53" s="100">
        <v>3254.4</v>
      </c>
      <c r="BB53" s="100">
        <v>9</v>
      </c>
      <c r="BC53" s="100">
        <v>3661.2000000000003</v>
      </c>
      <c r="BD53" s="100">
        <v>6</v>
      </c>
      <c r="BE53" s="100">
        <v>2440.8000000000002</v>
      </c>
      <c r="BF53" s="100">
        <v>10</v>
      </c>
      <c r="BG53" s="100">
        <v>4068</v>
      </c>
      <c r="BH53" s="100">
        <v>11</v>
      </c>
      <c r="BI53" s="100">
        <v>4474.8</v>
      </c>
      <c r="BJ53" s="100">
        <v>6</v>
      </c>
      <c r="BK53" s="100">
        <v>2440.8000000000002</v>
      </c>
      <c r="BL53" s="100">
        <v>7</v>
      </c>
      <c r="BM53" s="100">
        <v>2847.6</v>
      </c>
      <c r="BN53" s="100">
        <v>6.4150285234398785</v>
      </c>
      <c r="BO53" s="100">
        <v>2609.6336033353427</v>
      </c>
      <c r="BP53" s="100">
        <v>8</v>
      </c>
      <c r="BQ53" s="100">
        <v>3254.4</v>
      </c>
      <c r="BR53" s="100">
        <v>7</v>
      </c>
      <c r="BS53" s="100">
        <v>2847.6</v>
      </c>
      <c r="BT53" s="100">
        <v>6.272317506586174</v>
      </c>
      <c r="BU53" s="100">
        <v>2551.5787616792559</v>
      </c>
      <c r="BV53" s="100">
        <v>0</v>
      </c>
      <c r="BW53" s="100">
        <v>0</v>
      </c>
      <c r="BX53" s="100">
        <v>7</v>
      </c>
      <c r="BY53" s="100">
        <v>2847.6</v>
      </c>
      <c r="BZ53" s="100">
        <v>8</v>
      </c>
      <c r="CA53" s="100">
        <v>3254.4</v>
      </c>
      <c r="CB53" s="100">
        <v>6</v>
      </c>
      <c r="CC53" s="100">
        <v>2440.8000000000002</v>
      </c>
      <c r="CD53" s="100">
        <v>9</v>
      </c>
      <c r="CE53" s="100">
        <v>3661.2000000000003</v>
      </c>
      <c r="CF53" s="100">
        <v>9</v>
      </c>
      <c r="CG53" s="100">
        <v>3661.2000000000003</v>
      </c>
      <c r="CH53" s="100">
        <v>10</v>
      </c>
      <c r="CI53" s="100">
        <v>4068</v>
      </c>
      <c r="CJ53" s="100">
        <v>5.2062954062793345</v>
      </c>
      <c r="CK53" s="100">
        <v>2117.9209712744332</v>
      </c>
      <c r="CL53" s="100">
        <v>7</v>
      </c>
      <c r="CM53" s="100">
        <v>2847.6</v>
      </c>
      <c r="CN53" s="100">
        <v>6</v>
      </c>
      <c r="CO53" s="100">
        <v>2440.8000000000002</v>
      </c>
      <c r="CP53" s="100">
        <v>8.7925438561147349</v>
      </c>
      <c r="CQ53" s="100">
        <v>3576.8068406674743</v>
      </c>
      <c r="CR53" s="100">
        <v>6.8906830469926055</v>
      </c>
      <c r="CS53" s="100">
        <v>2803.1298635165922</v>
      </c>
      <c r="CT53" s="100">
        <v>8</v>
      </c>
      <c r="CU53" s="100">
        <v>3254.4</v>
      </c>
    </row>
    <row r="54" spans="2:99">
      <c r="C54" s="99" t="s">
        <v>220</v>
      </c>
      <c r="D54" s="100">
        <v>7</v>
      </c>
      <c r="E54" s="100">
        <v>2343.6</v>
      </c>
      <c r="F54" s="100">
        <v>6</v>
      </c>
      <c r="G54" s="100">
        <v>2008.8000000000002</v>
      </c>
      <c r="H54" s="100">
        <v>6</v>
      </c>
      <c r="I54" s="100">
        <v>2008.8000000000002</v>
      </c>
      <c r="J54" s="100">
        <v>6</v>
      </c>
      <c r="K54" s="100">
        <v>2008.8000000000002</v>
      </c>
      <c r="L54" s="100">
        <v>10</v>
      </c>
      <c r="M54" s="100">
        <v>3348</v>
      </c>
      <c r="N54" s="100">
        <v>6</v>
      </c>
      <c r="O54" s="100">
        <v>2008.8000000000002</v>
      </c>
      <c r="P54" s="100">
        <v>8</v>
      </c>
      <c r="Q54" s="100">
        <v>2678.4</v>
      </c>
      <c r="R54" s="100">
        <v>9</v>
      </c>
      <c r="S54" s="100">
        <v>3013.2000000000003</v>
      </c>
      <c r="T54" s="100">
        <v>11</v>
      </c>
      <c r="U54" s="100">
        <v>3682.8</v>
      </c>
      <c r="V54" s="100">
        <v>6</v>
      </c>
      <c r="W54" s="100">
        <v>2008.8000000000002</v>
      </c>
      <c r="X54" s="100">
        <v>7</v>
      </c>
      <c r="Y54" s="100">
        <v>2343.6</v>
      </c>
      <c r="Z54" s="100">
        <v>9</v>
      </c>
      <c r="AA54" s="100">
        <v>3013.2000000000003</v>
      </c>
      <c r="AB54" s="100">
        <v>11</v>
      </c>
      <c r="AC54" s="100">
        <v>3682.8</v>
      </c>
      <c r="AD54" s="100">
        <v>7</v>
      </c>
      <c r="AE54" s="100">
        <v>2343.6</v>
      </c>
      <c r="AF54" s="100">
        <v>9.9745952419785944</v>
      </c>
      <c r="AG54" s="100">
        <v>3339.4944870144336</v>
      </c>
      <c r="AH54" s="100">
        <v>11</v>
      </c>
      <c r="AI54" s="100">
        <v>3682.8</v>
      </c>
      <c r="AJ54" s="100">
        <v>8.9244600310035924</v>
      </c>
      <c r="AK54" s="100">
        <v>2987.909218380003</v>
      </c>
      <c r="AL54" s="100">
        <v>6</v>
      </c>
      <c r="AM54" s="100">
        <v>2008.8000000000002</v>
      </c>
      <c r="AN54" s="100">
        <v>11</v>
      </c>
      <c r="AO54" s="100">
        <v>3682.8</v>
      </c>
      <c r="AP54" s="100">
        <v>0.46775515830521802</v>
      </c>
      <c r="AQ54" s="100">
        <v>156.60442700058701</v>
      </c>
      <c r="AR54" s="100">
        <v>3.1922994648482674E-4</v>
      </c>
      <c r="AS54" s="100">
        <v>0.10687818608312</v>
      </c>
      <c r="AT54" s="100">
        <v>2.2756635874691985E-4</v>
      </c>
      <c r="AU54" s="100">
        <v>7.6189216908468763E-2</v>
      </c>
      <c r="AV54" s="100">
        <v>7</v>
      </c>
      <c r="AW54" s="100">
        <v>2343.6</v>
      </c>
      <c r="AX54" s="100">
        <v>1.6688110876586391</v>
      </c>
      <c r="AY54" s="100">
        <v>558.71795214811243</v>
      </c>
      <c r="AZ54" s="100">
        <v>8</v>
      </c>
      <c r="BA54" s="100">
        <v>2678.4</v>
      </c>
      <c r="BB54" s="100">
        <v>8</v>
      </c>
      <c r="BC54" s="100">
        <v>2678.4</v>
      </c>
      <c r="BD54" s="100">
        <v>7</v>
      </c>
      <c r="BE54" s="100">
        <v>2343.6</v>
      </c>
      <c r="BF54" s="100">
        <v>12</v>
      </c>
      <c r="BG54" s="100">
        <v>4017.6000000000004</v>
      </c>
      <c r="BH54" s="100">
        <v>10</v>
      </c>
      <c r="BI54" s="100">
        <v>3348</v>
      </c>
      <c r="BJ54" s="100">
        <v>6</v>
      </c>
      <c r="BK54" s="100">
        <v>2008.8000000000002</v>
      </c>
      <c r="BL54" s="100">
        <v>7</v>
      </c>
      <c r="BM54" s="100">
        <v>2343.6</v>
      </c>
      <c r="BN54" s="100">
        <v>5.3458571028665656</v>
      </c>
      <c r="BO54" s="100">
        <v>1789.7929580397263</v>
      </c>
      <c r="BP54" s="100">
        <v>8</v>
      </c>
      <c r="BQ54" s="100">
        <v>2678.4</v>
      </c>
      <c r="BR54" s="100">
        <v>8</v>
      </c>
      <c r="BS54" s="100">
        <v>2678.4</v>
      </c>
      <c r="BT54" s="100">
        <v>6.272317506586174</v>
      </c>
      <c r="BU54" s="100">
        <v>2099.9719012050509</v>
      </c>
      <c r="BV54" s="100">
        <v>0</v>
      </c>
      <c r="BW54" s="100">
        <v>0</v>
      </c>
      <c r="BX54" s="100">
        <v>6</v>
      </c>
      <c r="BY54" s="100">
        <v>2008.8000000000002</v>
      </c>
      <c r="BZ54" s="100">
        <v>9</v>
      </c>
      <c r="CA54" s="100">
        <v>3013.2000000000003</v>
      </c>
      <c r="CB54" s="100">
        <v>5</v>
      </c>
      <c r="CC54" s="100">
        <v>1674</v>
      </c>
      <c r="CD54" s="100">
        <v>10</v>
      </c>
      <c r="CE54" s="100">
        <v>3348</v>
      </c>
      <c r="CF54" s="100">
        <v>10</v>
      </c>
      <c r="CG54" s="100">
        <v>3348</v>
      </c>
      <c r="CH54" s="100">
        <v>10</v>
      </c>
      <c r="CI54" s="100">
        <v>3348</v>
      </c>
      <c r="CJ54" s="100">
        <v>5.2062954062793345</v>
      </c>
      <c r="CK54" s="100">
        <v>1743.0677020223213</v>
      </c>
      <c r="CL54" s="100">
        <v>8</v>
      </c>
      <c r="CM54" s="100">
        <v>2678.4</v>
      </c>
      <c r="CN54" s="100">
        <v>6</v>
      </c>
      <c r="CO54" s="100">
        <v>2008.8000000000002</v>
      </c>
      <c r="CP54" s="100">
        <v>7.9132894705032601</v>
      </c>
      <c r="CQ54" s="100">
        <v>2649.3693147244917</v>
      </c>
      <c r="CR54" s="100">
        <v>6.1250515973267605</v>
      </c>
      <c r="CS54" s="100">
        <v>2050.6672747849993</v>
      </c>
      <c r="CT54" s="100">
        <v>8</v>
      </c>
      <c r="CU54" s="100">
        <v>2678.4</v>
      </c>
    </row>
    <row r="55" spans="2:99">
      <c r="C55" s="99" t="s">
        <v>221</v>
      </c>
      <c r="D55" s="100">
        <v>7</v>
      </c>
      <c r="E55" s="100">
        <v>4645.2</v>
      </c>
      <c r="F55" s="100">
        <v>6</v>
      </c>
      <c r="G55" s="100">
        <v>3981.6000000000004</v>
      </c>
      <c r="H55" s="100">
        <v>7</v>
      </c>
      <c r="I55" s="100">
        <v>4645.2</v>
      </c>
      <c r="J55" s="100">
        <v>7</v>
      </c>
      <c r="K55" s="100">
        <v>4645.2</v>
      </c>
      <c r="L55" s="100">
        <v>9</v>
      </c>
      <c r="M55" s="100">
        <v>5972.4000000000005</v>
      </c>
      <c r="N55" s="100">
        <v>6</v>
      </c>
      <c r="O55" s="100">
        <v>3981.6000000000004</v>
      </c>
      <c r="P55" s="100">
        <v>9</v>
      </c>
      <c r="Q55" s="100">
        <v>5972.4000000000005</v>
      </c>
      <c r="R55" s="100">
        <v>9</v>
      </c>
      <c r="S55" s="100">
        <v>5972.4000000000005</v>
      </c>
      <c r="T55" s="100">
        <v>10</v>
      </c>
      <c r="U55" s="100">
        <v>6636</v>
      </c>
      <c r="V55" s="100">
        <v>6</v>
      </c>
      <c r="W55" s="100">
        <v>3981.6000000000004</v>
      </c>
      <c r="X55" s="100">
        <v>7</v>
      </c>
      <c r="Y55" s="100">
        <v>4645.2</v>
      </c>
      <c r="Z55" s="100">
        <v>9</v>
      </c>
      <c r="AA55" s="100">
        <v>5972.4000000000005</v>
      </c>
      <c r="AB55" s="100">
        <v>10</v>
      </c>
      <c r="AC55" s="100">
        <v>6636</v>
      </c>
      <c r="AD55" s="100">
        <v>7</v>
      </c>
      <c r="AE55" s="100">
        <v>4645.2</v>
      </c>
      <c r="AF55" s="100">
        <v>8.9771357177807367</v>
      </c>
      <c r="AG55" s="100">
        <v>5957.2272623192966</v>
      </c>
      <c r="AH55" s="100">
        <v>10</v>
      </c>
      <c r="AI55" s="100">
        <v>6636</v>
      </c>
      <c r="AJ55" s="100">
        <v>8.9244600310035924</v>
      </c>
      <c r="AK55" s="100">
        <v>5922.2716765739842</v>
      </c>
      <c r="AL55" s="100">
        <v>6</v>
      </c>
      <c r="AM55" s="100">
        <v>3981.6000000000004</v>
      </c>
      <c r="AN55" s="100">
        <v>9</v>
      </c>
      <c r="AO55" s="100">
        <v>5972.4000000000005</v>
      </c>
      <c r="AP55" s="100">
        <v>0.51972795367246438</v>
      </c>
      <c r="AQ55" s="100">
        <v>344.8914700570474</v>
      </c>
      <c r="AR55" s="100">
        <v>2.9020904225893343E-4</v>
      </c>
      <c r="AS55" s="100">
        <v>0.19258272044302824</v>
      </c>
      <c r="AT55" s="100">
        <v>1.9912056390355488E-4</v>
      </c>
      <c r="AU55" s="100">
        <v>0.13213640620639902</v>
      </c>
      <c r="AV55" s="100">
        <v>7</v>
      </c>
      <c r="AW55" s="100">
        <v>4645.2</v>
      </c>
      <c r="AX55" s="100">
        <v>1.4304095037074049</v>
      </c>
      <c r="AY55" s="100">
        <v>949.21974666023391</v>
      </c>
      <c r="AZ55" s="100">
        <v>8</v>
      </c>
      <c r="BA55" s="100">
        <v>5308.8</v>
      </c>
      <c r="BB55" s="100">
        <v>9</v>
      </c>
      <c r="BC55" s="100">
        <v>5972.4000000000005</v>
      </c>
      <c r="BD55" s="100">
        <v>6</v>
      </c>
      <c r="BE55" s="100">
        <v>3981.6000000000004</v>
      </c>
      <c r="BF55" s="100">
        <v>10</v>
      </c>
      <c r="BG55" s="100">
        <v>6636</v>
      </c>
      <c r="BH55" s="100">
        <v>11</v>
      </c>
      <c r="BI55" s="100">
        <v>7299.6</v>
      </c>
      <c r="BJ55" s="100">
        <v>5</v>
      </c>
      <c r="BK55" s="100">
        <v>3318</v>
      </c>
      <c r="BL55" s="100">
        <v>6</v>
      </c>
      <c r="BM55" s="100">
        <v>3981.6000000000004</v>
      </c>
      <c r="BN55" s="100">
        <v>5.3458571028665656</v>
      </c>
      <c r="BO55" s="100">
        <v>3547.5107734622529</v>
      </c>
      <c r="BP55" s="100">
        <v>8</v>
      </c>
      <c r="BQ55" s="100">
        <v>5308.8</v>
      </c>
      <c r="BR55" s="100">
        <v>7</v>
      </c>
      <c r="BS55" s="100">
        <v>4645.2</v>
      </c>
      <c r="BT55" s="100">
        <v>5.3762721485024345</v>
      </c>
      <c r="BU55" s="100">
        <v>3567.6941977462157</v>
      </c>
      <c r="BV55" s="100">
        <v>0</v>
      </c>
      <c r="BW55" s="100">
        <v>0</v>
      </c>
      <c r="BX55" s="100">
        <v>6</v>
      </c>
      <c r="BY55" s="100">
        <v>3981.6000000000004</v>
      </c>
      <c r="BZ55" s="100">
        <v>9</v>
      </c>
      <c r="CA55" s="100">
        <v>5972.4000000000005</v>
      </c>
      <c r="CB55" s="100">
        <v>6</v>
      </c>
      <c r="CC55" s="100">
        <v>3981.6000000000004</v>
      </c>
      <c r="CD55" s="100">
        <v>11</v>
      </c>
      <c r="CE55" s="100">
        <v>7299.6</v>
      </c>
      <c r="CF55" s="100">
        <v>9</v>
      </c>
      <c r="CG55" s="100">
        <v>5972.4000000000005</v>
      </c>
      <c r="CH55" s="100">
        <v>10</v>
      </c>
      <c r="CI55" s="100">
        <v>6636</v>
      </c>
      <c r="CJ55" s="100">
        <v>5.2062954062793345</v>
      </c>
      <c r="CK55" s="100">
        <v>3454.8976316069666</v>
      </c>
      <c r="CL55" s="100">
        <v>7</v>
      </c>
      <c r="CM55" s="100">
        <v>4645.2</v>
      </c>
      <c r="CN55" s="100">
        <v>6</v>
      </c>
      <c r="CO55" s="100">
        <v>3981.6000000000004</v>
      </c>
      <c r="CP55" s="100">
        <v>8.7925438561147349</v>
      </c>
      <c r="CQ55" s="100">
        <v>5834.7321029177383</v>
      </c>
      <c r="CR55" s="100">
        <v>6.1250515973267605</v>
      </c>
      <c r="CS55" s="100">
        <v>4064.5842399860385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3.228751447403281</v>
      </c>
      <c r="G56" s="100">
        <v>3169.3424207710605</v>
      </c>
      <c r="H56" s="100">
        <v>6</v>
      </c>
      <c r="I56" s="100">
        <v>5889.5999999999995</v>
      </c>
      <c r="J56" s="100">
        <v>7</v>
      </c>
      <c r="K56" s="100">
        <v>6871.1999999999989</v>
      </c>
      <c r="L56" s="100">
        <v>2.6336535557241119</v>
      </c>
      <c r="M56" s="100">
        <v>2585.1943302987879</v>
      </c>
      <c r="N56" s="100">
        <v>5.5041580523242457</v>
      </c>
      <c r="O56" s="100">
        <v>5402.8815441614788</v>
      </c>
      <c r="P56" s="100">
        <v>6.9989420919148397</v>
      </c>
      <c r="Q56" s="100">
        <v>6870.1615574236057</v>
      </c>
      <c r="R56" s="100">
        <v>7.3388774030989943</v>
      </c>
      <c r="S56" s="100">
        <v>7203.8420588819718</v>
      </c>
      <c r="T56" s="100">
        <v>0.67860361150599635</v>
      </c>
      <c r="U56" s="100">
        <v>666.11730505428591</v>
      </c>
      <c r="V56" s="100">
        <v>7</v>
      </c>
      <c r="W56" s="100">
        <v>6871.1999999999989</v>
      </c>
      <c r="X56" s="100">
        <v>6.7199207336707945</v>
      </c>
      <c r="Y56" s="100">
        <v>6596.2741921712513</v>
      </c>
      <c r="Z56" s="100">
        <v>9.4567324561537962</v>
      </c>
      <c r="AA56" s="100">
        <v>9282.7285789605648</v>
      </c>
      <c r="AB56" s="100">
        <v>11</v>
      </c>
      <c r="AC56" s="100">
        <v>10797.599999999999</v>
      </c>
      <c r="AD56" s="100">
        <v>7</v>
      </c>
      <c r="AE56" s="100">
        <v>6871.1999999999989</v>
      </c>
      <c r="AF56" s="100">
        <v>10</v>
      </c>
      <c r="AG56" s="100">
        <v>9816</v>
      </c>
      <c r="AH56" s="100">
        <v>2.4904018538917008</v>
      </c>
      <c r="AI56" s="100">
        <v>2444.5784597800935</v>
      </c>
      <c r="AJ56" s="100">
        <v>9.0117097523347933</v>
      </c>
      <c r="AK56" s="100">
        <v>8845.8942928918332</v>
      </c>
      <c r="AL56" s="100">
        <v>5.0784220703765133</v>
      </c>
      <c r="AM56" s="100">
        <v>4984.979104281585</v>
      </c>
      <c r="AN56" s="100">
        <v>6.4731999629447117</v>
      </c>
      <c r="AO56" s="100">
        <v>6354.0930836265288</v>
      </c>
      <c r="AP56" s="100">
        <v>8.6174474506701468</v>
      </c>
      <c r="AQ56" s="100">
        <v>8458.8864175778162</v>
      </c>
      <c r="AR56" s="100">
        <v>7.5841121678065102</v>
      </c>
      <c r="AS56" s="100">
        <v>7444.5645039188694</v>
      </c>
      <c r="AT56" s="100">
        <v>5.8640790732896271</v>
      </c>
      <c r="AU56" s="100">
        <v>5756.1800183410978</v>
      </c>
      <c r="AV56" s="100">
        <v>6.1631808076312673</v>
      </c>
      <c r="AW56" s="100">
        <v>6049.7782807708518</v>
      </c>
      <c r="AX56" s="100">
        <v>4.7034800900343878</v>
      </c>
      <c r="AY56" s="100">
        <v>4616.9360563777545</v>
      </c>
      <c r="AZ56" s="100">
        <v>5.9785001283782053</v>
      </c>
      <c r="BA56" s="100">
        <v>5868.4957260160454</v>
      </c>
      <c r="BB56" s="100">
        <v>7.4278334928335275</v>
      </c>
      <c r="BC56" s="100">
        <v>7291.1613565653897</v>
      </c>
      <c r="BD56" s="100">
        <v>4.3154666419631411</v>
      </c>
      <c r="BE56" s="100">
        <v>4236.0620557510192</v>
      </c>
      <c r="BF56" s="100">
        <v>8.5979067535030946</v>
      </c>
      <c r="BG56" s="100">
        <v>8439.7052692386369</v>
      </c>
      <c r="BH56" s="100">
        <v>8.3425233845871603</v>
      </c>
      <c r="BI56" s="100">
        <v>8189.0209543107558</v>
      </c>
      <c r="BJ56" s="100">
        <v>3.7365625802363782</v>
      </c>
      <c r="BK56" s="100">
        <v>3667.8098287600287</v>
      </c>
      <c r="BL56" s="100">
        <v>4.1972346791696298</v>
      </c>
      <c r="BM56" s="100">
        <v>4120.0055610729078</v>
      </c>
      <c r="BN56" s="100">
        <v>8.0247129699362212</v>
      </c>
      <c r="BO56" s="100">
        <v>7877.0582512893943</v>
      </c>
      <c r="BP56" s="100">
        <v>5.7967214082585974</v>
      </c>
      <c r="BQ56" s="100">
        <v>5690.0617343466383</v>
      </c>
      <c r="BR56" s="100">
        <v>0</v>
      </c>
      <c r="BS56" s="100">
        <v>0</v>
      </c>
      <c r="BT56" s="100">
        <v>4.3358226166893825</v>
      </c>
      <c r="BU56" s="100">
        <v>4256.0434805422974</v>
      </c>
      <c r="BV56" s="100">
        <v>6.5750672012743134</v>
      </c>
      <c r="BW56" s="100">
        <v>6454.0859647708658</v>
      </c>
      <c r="BX56" s="100">
        <v>6.874317054665644</v>
      </c>
      <c r="BY56" s="100">
        <v>6747.8296208597958</v>
      </c>
      <c r="BZ56" s="100">
        <v>5.5206870554843785</v>
      </c>
      <c r="CA56" s="100">
        <v>5419.1064136634659</v>
      </c>
      <c r="CB56" s="100">
        <v>4.4192038208564863</v>
      </c>
      <c r="CC56" s="100">
        <v>4337.8904705527266</v>
      </c>
      <c r="CD56" s="100">
        <v>0.5852956149239219</v>
      </c>
      <c r="CE56" s="100">
        <v>574.52617560932174</v>
      </c>
      <c r="CF56" s="100">
        <v>10</v>
      </c>
      <c r="CG56" s="100">
        <v>9816</v>
      </c>
      <c r="CH56" s="100">
        <v>8.5322500736140228</v>
      </c>
      <c r="CI56" s="100">
        <v>8375.2566722595238</v>
      </c>
      <c r="CJ56" s="100">
        <v>8</v>
      </c>
      <c r="CK56" s="100">
        <v>7852.7999999999993</v>
      </c>
      <c r="CL56" s="100">
        <v>6.2247848647213626</v>
      </c>
      <c r="CM56" s="100">
        <v>6110.2488232104888</v>
      </c>
      <c r="CN56" s="100">
        <v>4.7626652577106166</v>
      </c>
      <c r="CO56" s="100">
        <v>4675.0322169687406</v>
      </c>
      <c r="CP56" s="100">
        <v>0.70435574855801886</v>
      </c>
      <c r="CQ56" s="100">
        <v>691.39560278455122</v>
      </c>
      <c r="CR56" s="100">
        <v>5.9577414473768915</v>
      </c>
      <c r="CS56" s="100">
        <v>5848.1190047451564</v>
      </c>
      <c r="CT56" s="100">
        <v>5.8922717611419815</v>
      </c>
      <c r="CU56" s="100">
        <v>5783.8539607369685</v>
      </c>
    </row>
    <row r="57" spans="2:99">
      <c r="C57" s="99" t="s">
        <v>223</v>
      </c>
      <c r="D57" s="100">
        <v>7</v>
      </c>
      <c r="E57" s="100">
        <v>9878.4</v>
      </c>
      <c r="F57" s="100">
        <v>5</v>
      </c>
      <c r="G57" s="100">
        <v>7056</v>
      </c>
      <c r="H57" s="100">
        <v>7</v>
      </c>
      <c r="I57" s="100">
        <v>9878.4</v>
      </c>
      <c r="J57" s="100">
        <v>7</v>
      </c>
      <c r="K57" s="100">
        <v>9878.4</v>
      </c>
      <c r="L57" s="100">
        <v>9</v>
      </c>
      <c r="M57" s="100">
        <v>12700.800000000001</v>
      </c>
      <c r="N57" s="100">
        <v>6</v>
      </c>
      <c r="O57" s="100">
        <v>8467.2000000000007</v>
      </c>
      <c r="P57" s="100">
        <v>8</v>
      </c>
      <c r="Q57" s="100">
        <v>11289.6</v>
      </c>
      <c r="R57" s="100">
        <v>8</v>
      </c>
      <c r="S57" s="100">
        <v>11289.6</v>
      </c>
      <c r="T57" s="100">
        <v>10</v>
      </c>
      <c r="U57" s="100">
        <v>14112</v>
      </c>
      <c r="V57" s="100">
        <v>7</v>
      </c>
      <c r="W57" s="100">
        <v>9878.4</v>
      </c>
      <c r="X57" s="100">
        <v>8</v>
      </c>
      <c r="Y57" s="100">
        <v>11289.6</v>
      </c>
      <c r="Z57" s="100">
        <v>8</v>
      </c>
      <c r="AA57" s="100">
        <v>11289.6</v>
      </c>
      <c r="AB57" s="100">
        <v>10</v>
      </c>
      <c r="AC57" s="100">
        <v>14112</v>
      </c>
      <c r="AD57" s="100">
        <v>7</v>
      </c>
      <c r="AE57" s="100">
        <v>9878.4</v>
      </c>
      <c r="AF57" s="100">
        <v>8.9771357177807367</v>
      </c>
      <c r="AG57" s="100">
        <v>12668.533924932177</v>
      </c>
      <c r="AH57" s="100">
        <v>11</v>
      </c>
      <c r="AI57" s="100">
        <v>15523.2</v>
      </c>
      <c r="AJ57" s="100">
        <v>8.9244600310035924</v>
      </c>
      <c r="AK57" s="100">
        <v>12594.197995752271</v>
      </c>
      <c r="AL57" s="100">
        <v>6</v>
      </c>
      <c r="AM57" s="100">
        <v>8467.2000000000007</v>
      </c>
      <c r="AN57" s="100">
        <v>9</v>
      </c>
      <c r="AO57" s="100">
        <v>12700.800000000001</v>
      </c>
      <c r="AP57" s="100">
        <v>0.51972795367246438</v>
      </c>
      <c r="AQ57" s="100">
        <v>733.44008822258172</v>
      </c>
      <c r="AR57" s="100">
        <v>3.1922994648482674E-4</v>
      </c>
      <c r="AS57" s="100">
        <v>0.45049730047938752</v>
      </c>
      <c r="AT57" s="100">
        <v>1.9912056390355488E-4</v>
      </c>
      <c r="AU57" s="100">
        <v>0.28099893978069668</v>
      </c>
      <c r="AV57" s="100">
        <v>7</v>
      </c>
      <c r="AW57" s="100">
        <v>9878.4</v>
      </c>
      <c r="AX57" s="100">
        <v>1.4304095037074049</v>
      </c>
      <c r="AY57" s="100">
        <v>2018.5938916318898</v>
      </c>
      <c r="AZ57" s="100">
        <v>8</v>
      </c>
      <c r="BA57" s="100">
        <v>11289.6</v>
      </c>
      <c r="BB57" s="100">
        <v>9</v>
      </c>
      <c r="BC57" s="100">
        <v>12700.800000000001</v>
      </c>
      <c r="BD57" s="100">
        <v>6</v>
      </c>
      <c r="BE57" s="100">
        <v>8467.2000000000007</v>
      </c>
      <c r="BF57" s="100">
        <v>11</v>
      </c>
      <c r="BG57" s="100">
        <v>15523.2</v>
      </c>
      <c r="BH57" s="100">
        <v>11</v>
      </c>
      <c r="BI57" s="100">
        <v>15523.2</v>
      </c>
      <c r="BJ57" s="100">
        <v>6</v>
      </c>
      <c r="BK57" s="100">
        <v>8467.2000000000007</v>
      </c>
      <c r="BL57" s="100">
        <v>6</v>
      </c>
      <c r="BM57" s="100">
        <v>8467.2000000000007</v>
      </c>
      <c r="BN57" s="100">
        <v>4.8112713925799087</v>
      </c>
      <c r="BO57" s="100">
        <v>6789.6661892087677</v>
      </c>
      <c r="BP57" s="100">
        <v>7</v>
      </c>
      <c r="BQ57" s="100">
        <v>9878.4</v>
      </c>
      <c r="BR57" s="100">
        <v>7</v>
      </c>
      <c r="BS57" s="100">
        <v>9878.4</v>
      </c>
      <c r="BT57" s="100">
        <v>4.4802267904186959</v>
      </c>
      <c r="BU57" s="100">
        <v>6322.4960466388638</v>
      </c>
      <c r="BV57" s="100">
        <v>0</v>
      </c>
      <c r="BW57" s="100">
        <v>0</v>
      </c>
      <c r="BX57" s="100">
        <v>6</v>
      </c>
      <c r="BY57" s="100">
        <v>8467.2000000000007</v>
      </c>
      <c r="BZ57" s="100">
        <v>9</v>
      </c>
      <c r="CA57" s="100">
        <v>12700.800000000001</v>
      </c>
      <c r="CB57" s="100">
        <v>5</v>
      </c>
      <c r="CC57" s="100">
        <v>7056</v>
      </c>
      <c r="CD57" s="100">
        <v>9</v>
      </c>
      <c r="CE57" s="100">
        <v>12700.800000000001</v>
      </c>
      <c r="CF57" s="100">
        <v>10</v>
      </c>
      <c r="CG57" s="100">
        <v>14112</v>
      </c>
      <c r="CH57" s="100">
        <v>9</v>
      </c>
      <c r="CI57" s="100">
        <v>12700.800000000001</v>
      </c>
      <c r="CJ57" s="100">
        <v>4.5555084804944181</v>
      </c>
      <c r="CK57" s="100">
        <v>6428.733567673723</v>
      </c>
      <c r="CL57" s="100">
        <v>7</v>
      </c>
      <c r="CM57" s="100">
        <v>9878.4</v>
      </c>
      <c r="CN57" s="100">
        <v>5</v>
      </c>
      <c r="CO57" s="100">
        <v>7056</v>
      </c>
      <c r="CP57" s="100">
        <v>7.9132894705032601</v>
      </c>
      <c r="CQ57" s="100">
        <v>11167.234100774202</v>
      </c>
      <c r="CR57" s="100">
        <v>6.1250515973267605</v>
      </c>
      <c r="CS57" s="100">
        <v>8643.6728141475251</v>
      </c>
      <c r="CT57" s="100">
        <v>8</v>
      </c>
      <c r="CU57" s="100">
        <v>11289.6</v>
      </c>
    </row>
    <row r="58" spans="2:99">
      <c r="C58" s="99" t="s">
        <v>224</v>
      </c>
      <c r="D58" s="100">
        <v>7</v>
      </c>
      <c r="E58" s="100">
        <v>8240.4</v>
      </c>
      <c r="F58" s="100">
        <v>6</v>
      </c>
      <c r="G58" s="100">
        <v>7063.2000000000007</v>
      </c>
      <c r="H58" s="100">
        <v>6</v>
      </c>
      <c r="I58" s="100">
        <v>7063.2000000000007</v>
      </c>
      <c r="J58" s="100">
        <v>6</v>
      </c>
      <c r="K58" s="100">
        <v>7063.2000000000007</v>
      </c>
      <c r="L58" s="100">
        <v>5.2187390536196148</v>
      </c>
      <c r="M58" s="100">
        <v>6143.4996139210107</v>
      </c>
      <c r="N58" s="100">
        <v>6</v>
      </c>
      <c r="O58" s="100">
        <v>7063.2000000000007</v>
      </c>
      <c r="P58" s="100">
        <v>10</v>
      </c>
      <c r="Q58" s="100">
        <v>11772</v>
      </c>
      <c r="R58" s="100">
        <v>8</v>
      </c>
      <c r="S58" s="100">
        <v>9417.6</v>
      </c>
      <c r="T58" s="100">
        <v>10</v>
      </c>
      <c r="U58" s="100">
        <v>11772</v>
      </c>
      <c r="V58" s="100">
        <v>6</v>
      </c>
      <c r="W58" s="100">
        <v>7063.2000000000007</v>
      </c>
      <c r="X58" s="100">
        <v>5.7982672193353162</v>
      </c>
      <c r="Y58" s="100">
        <v>6825.7201706015348</v>
      </c>
      <c r="Z58" s="100">
        <v>9</v>
      </c>
      <c r="AA58" s="100">
        <v>10594.800000000001</v>
      </c>
      <c r="AB58" s="100">
        <v>10</v>
      </c>
      <c r="AC58" s="100">
        <v>11772</v>
      </c>
      <c r="AD58" s="100">
        <v>6.7654413742180592</v>
      </c>
      <c r="AE58" s="100">
        <v>7964.2775857295001</v>
      </c>
      <c r="AF58" s="100">
        <v>9</v>
      </c>
      <c r="AG58" s="100">
        <v>10594.800000000001</v>
      </c>
      <c r="AH58" s="100">
        <v>6.9254168925465702</v>
      </c>
      <c r="AI58" s="100">
        <v>8152.6007659058232</v>
      </c>
      <c r="AJ58" s="100">
        <v>8.1007499144780883</v>
      </c>
      <c r="AK58" s="100">
        <v>9536.2027993236061</v>
      </c>
      <c r="AL58" s="100">
        <v>0</v>
      </c>
      <c r="AM58" s="100">
        <v>0</v>
      </c>
      <c r="AN58" s="100">
        <v>10</v>
      </c>
      <c r="AO58" s="100">
        <v>11772</v>
      </c>
      <c r="AP58" s="100">
        <v>9</v>
      </c>
      <c r="AQ58" s="100">
        <v>10594.800000000001</v>
      </c>
      <c r="AR58" s="100">
        <v>9.7026567985530132</v>
      </c>
      <c r="AS58" s="100">
        <v>11421.967583256608</v>
      </c>
      <c r="AT58" s="100">
        <v>6.626178995117578</v>
      </c>
      <c r="AU58" s="100">
        <v>7800.3379130524136</v>
      </c>
      <c r="AV58" s="100">
        <v>3.6870916013458683</v>
      </c>
      <c r="AW58" s="100">
        <v>4340.4442331043565</v>
      </c>
      <c r="AX58" s="100">
        <v>6.5899258910655849</v>
      </c>
      <c r="AY58" s="100">
        <v>7757.6607589624073</v>
      </c>
      <c r="AZ58" s="100">
        <v>8</v>
      </c>
      <c r="BA58" s="100">
        <v>9417.6</v>
      </c>
      <c r="BB58" s="100">
        <v>8.0701436438967704</v>
      </c>
      <c r="BC58" s="100">
        <v>9500.1730975952778</v>
      </c>
      <c r="BD58" s="100">
        <v>6</v>
      </c>
      <c r="BE58" s="100">
        <v>7063.2000000000007</v>
      </c>
      <c r="BF58" s="100">
        <v>4.2948087749038342</v>
      </c>
      <c r="BG58" s="100">
        <v>5055.8488898167934</v>
      </c>
      <c r="BH58" s="100">
        <v>10</v>
      </c>
      <c r="BI58" s="100">
        <v>11772</v>
      </c>
      <c r="BJ58" s="100">
        <v>6</v>
      </c>
      <c r="BK58" s="100">
        <v>7063.2000000000007</v>
      </c>
      <c r="BL58" s="100">
        <v>6</v>
      </c>
      <c r="BM58" s="100">
        <v>7063.2000000000007</v>
      </c>
      <c r="BN58" s="100">
        <v>10</v>
      </c>
      <c r="BO58" s="100">
        <v>11772</v>
      </c>
      <c r="BP58" s="100">
        <v>7</v>
      </c>
      <c r="BQ58" s="100">
        <v>8240.4</v>
      </c>
      <c r="BR58" s="100">
        <v>4.8115430237741981</v>
      </c>
      <c r="BS58" s="100">
        <v>5664.1484475869865</v>
      </c>
      <c r="BT58" s="100">
        <v>6</v>
      </c>
      <c r="BU58" s="100">
        <v>7063.2000000000007</v>
      </c>
      <c r="BV58" s="100">
        <v>8.3360720614889878</v>
      </c>
      <c r="BW58" s="100">
        <v>9813.2240307848369</v>
      </c>
      <c r="BX58" s="100">
        <v>4.7437685449600142</v>
      </c>
      <c r="BY58" s="100">
        <v>5584.3643311269288</v>
      </c>
      <c r="BZ58" s="100">
        <v>9</v>
      </c>
      <c r="CA58" s="100">
        <v>10594.800000000001</v>
      </c>
      <c r="CB58" s="100">
        <v>5</v>
      </c>
      <c r="CC58" s="100">
        <v>5886</v>
      </c>
      <c r="CD58" s="100">
        <v>6.5919241358844065</v>
      </c>
      <c r="CE58" s="100">
        <v>7760.0130927631235</v>
      </c>
      <c r="CF58" s="100">
        <v>9</v>
      </c>
      <c r="CG58" s="100">
        <v>10594.800000000001</v>
      </c>
      <c r="CH58" s="100">
        <v>7.9209981268550669</v>
      </c>
      <c r="CI58" s="100">
        <v>9324.5989949337854</v>
      </c>
      <c r="CJ58" s="100">
        <v>8</v>
      </c>
      <c r="CK58" s="100">
        <v>9417.6</v>
      </c>
      <c r="CL58" s="100">
        <v>8</v>
      </c>
      <c r="CM58" s="100">
        <v>9417.6</v>
      </c>
      <c r="CN58" s="100">
        <v>4.7865025870392648</v>
      </c>
      <c r="CO58" s="100">
        <v>5634.6708454626223</v>
      </c>
      <c r="CP58" s="100">
        <v>4.4489322229199129</v>
      </c>
      <c r="CQ58" s="100">
        <v>5237.2830128213218</v>
      </c>
      <c r="CR58" s="100">
        <v>8</v>
      </c>
      <c r="CS58" s="100">
        <v>9417.6</v>
      </c>
      <c r="CT58" s="100">
        <v>8.7612378396890591</v>
      </c>
      <c r="CU58" s="100">
        <v>10313.72918488196</v>
      </c>
    </row>
    <row r="59" spans="2:99">
      <c r="C59" s="99" t="s">
        <v>225</v>
      </c>
      <c r="D59" s="100">
        <v>7</v>
      </c>
      <c r="E59" s="100">
        <v>2125.1999999999998</v>
      </c>
      <c r="F59" s="100">
        <v>7</v>
      </c>
      <c r="G59" s="100">
        <v>2125.1999999999998</v>
      </c>
      <c r="H59" s="100">
        <v>6</v>
      </c>
      <c r="I59" s="100">
        <v>1821.6</v>
      </c>
      <c r="J59" s="100">
        <v>7</v>
      </c>
      <c r="K59" s="100">
        <v>2125.1999999999998</v>
      </c>
      <c r="L59" s="100">
        <v>9</v>
      </c>
      <c r="M59" s="100">
        <v>2732.3999999999996</v>
      </c>
      <c r="N59" s="100">
        <v>7</v>
      </c>
      <c r="O59" s="100">
        <v>2125.1999999999998</v>
      </c>
      <c r="P59" s="100">
        <v>9</v>
      </c>
      <c r="Q59" s="100">
        <v>2732.3999999999996</v>
      </c>
      <c r="R59" s="100">
        <v>8</v>
      </c>
      <c r="S59" s="100">
        <v>2428.7999999999997</v>
      </c>
      <c r="T59" s="100">
        <v>9</v>
      </c>
      <c r="U59" s="100">
        <v>2732.3999999999996</v>
      </c>
      <c r="V59" s="100">
        <v>6</v>
      </c>
      <c r="W59" s="100">
        <v>1821.6</v>
      </c>
      <c r="X59" s="100">
        <v>7</v>
      </c>
      <c r="Y59" s="100">
        <v>2125.1999999999998</v>
      </c>
      <c r="Z59" s="100">
        <v>9</v>
      </c>
      <c r="AA59" s="100">
        <v>2732.3999999999996</v>
      </c>
      <c r="AB59" s="100">
        <v>11</v>
      </c>
      <c r="AC59" s="100">
        <v>3339.5999999999995</v>
      </c>
      <c r="AD59" s="100">
        <v>6</v>
      </c>
      <c r="AE59" s="100">
        <v>1821.6</v>
      </c>
      <c r="AF59" s="100">
        <v>9.9745952419785944</v>
      </c>
      <c r="AG59" s="100">
        <v>3028.2871154647009</v>
      </c>
      <c r="AH59" s="100">
        <v>11</v>
      </c>
      <c r="AI59" s="100">
        <v>3339.5999999999995</v>
      </c>
      <c r="AJ59" s="100">
        <v>9.8169060341039529</v>
      </c>
      <c r="AK59" s="100">
        <v>2980.4126719539599</v>
      </c>
      <c r="AL59" s="100">
        <v>6</v>
      </c>
      <c r="AM59" s="100">
        <v>1821.6</v>
      </c>
      <c r="AN59" s="100">
        <v>10</v>
      </c>
      <c r="AO59" s="100">
        <v>3035.9999999999995</v>
      </c>
      <c r="AP59" s="100">
        <v>0.5717007490397108</v>
      </c>
      <c r="AQ59" s="100">
        <v>173.56834740845619</v>
      </c>
      <c r="AR59" s="100">
        <v>2.9020904225893343E-4</v>
      </c>
      <c r="AS59" s="100">
        <v>8.8107465229812179E-2</v>
      </c>
      <c r="AT59" s="100">
        <v>1.9912056390355488E-4</v>
      </c>
      <c r="AU59" s="100">
        <v>6.0453003201119251E-2</v>
      </c>
      <c r="AV59" s="100">
        <v>8</v>
      </c>
      <c r="AW59" s="100">
        <v>2428.7999999999997</v>
      </c>
      <c r="AX59" s="100">
        <v>1.4304095037074049</v>
      </c>
      <c r="AY59" s="100">
        <v>434.27232532556809</v>
      </c>
      <c r="AZ59" s="100">
        <v>9</v>
      </c>
      <c r="BA59" s="100">
        <v>2732.3999999999996</v>
      </c>
      <c r="BB59" s="100">
        <v>9</v>
      </c>
      <c r="BC59" s="100">
        <v>2732.3999999999996</v>
      </c>
      <c r="BD59" s="100">
        <v>6</v>
      </c>
      <c r="BE59" s="100">
        <v>1821.6</v>
      </c>
      <c r="BF59" s="100">
        <v>12</v>
      </c>
      <c r="BG59" s="100">
        <v>3643.2</v>
      </c>
      <c r="BH59" s="100">
        <v>11</v>
      </c>
      <c r="BI59" s="100">
        <v>3339.5999999999995</v>
      </c>
      <c r="BJ59" s="100">
        <v>5</v>
      </c>
      <c r="BK59" s="100">
        <v>1517.9999999999998</v>
      </c>
      <c r="BL59" s="100">
        <v>6</v>
      </c>
      <c r="BM59" s="100">
        <v>1821.6</v>
      </c>
      <c r="BN59" s="100">
        <v>5.3458571028665656</v>
      </c>
      <c r="BO59" s="100">
        <v>1623.0022164302891</v>
      </c>
      <c r="BP59" s="100">
        <v>7</v>
      </c>
      <c r="BQ59" s="100">
        <v>2125.1999999999998</v>
      </c>
      <c r="BR59" s="100">
        <v>8</v>
      </c>
      <c r="BS59" s="100">
        <v>2428.7999999999997</v>
      </c>
      <c r="BT59" s="100">
        <v>6.272317506586174</v>
      </c>
      <c r="BU59" s="100">
        <v>1904.2755949995621</v>
      </c>
      <c r="BV59" s="100">
        <v>0</v>
      </c>
      <c r="BW59" s="100">
        <v>0</v>
      </c>
      <c r="BX59" s="100">
        <v>6</v>
      </c>
      <c r="BY59" s="100">
        <v>1821.6</v>
      </c>
      <c r="BZ59" s="100">
        <v>9</v>
      </c>
      <c r="CA59" s="100">
        <v>2732.3999999999996</v>
      </c>
      <c r="CB59" s="100">
        <v>6</v>
      </c>
      <c r="CC59" s="100">
        <v>1821.6</v>
      </c>
      <c r="CD59" s="100">
        <v>11</v>
      </c>
      <c r="CE59" s="100">
        <v>3339.5999999999995</v>
      </c>
      <c r="CF59" s="100">
        <v>10</v>
      </c>
      <c r="CG59" s="100">
        <v>3035.9999999999995</v>
      </c>
      <c r="CH59" s="100">
        <v>10</v>
      </c>
      <c r="CI59" s="100">
        <v>3035.9999999999995</v>
      </c>
      <c r="CJ59" s="100">
        <v>5.8570823320642518</v>
      </c>
      <c r="CK59" s="100">
        <v>1778.2101960147065</v>
      </c>
      <c r="CL59" s="100">
        <v>8</v>
      </c>
      <c r="CM59" s="100">
        <v>2428.7999999999997</v>
      </c>
      <c r="CN59" s="100">
        <v>7</v>
      </c>
      <c r="CO59" s="100">
        <v>2125.1999999999998</v>
      </c>
      <c r="CP59" s="100">
        <v>7.9132894705032601</v>
      </c>
      <c r="CQ59" s="100">
        <v>2402.4746832447895</v>
      </c>
      <c r="CR59" s="100">
        <v>6.1250515973267605</v>
      </c>
      <c r="CS59" s="100">
        <v>1859.5656649484042</v>
      </c>
      <c r="CT59" s="100">
        <v>8</v>
      </c>
      <c r="CU59" s="100">
        <v>2428.7999999999997</v>
      </c>
    </row>
    <row r="60" spans="2:99">
      <c r="C60" s="99" t="s">
        <v>226</v>
      </c>
      <c r="D60" s="100">
        <v>7</v>
      </c>
      <c r="E60" s="100">
        <v>4561.2</v>
      </c>
      <c r="F60" s="100">
        <v>6</v>
      </c>
      <c r="G60" s="100">
        <v>3909.6000000000004</v>
      </c>
      <c r="H60" s="100">
        <v>6</v>
      </c>
      <c r="I60" s="100">
        <v>3909.6000000000004</v>
      </c>
      <c r="J60" s="100">
        <v>7</v>
      </c>
      <c r="K60" s="100">
        <v>4561.2</v>
      </c>
      <c r="L60" s="100">
        <v>10</v>
      </c>
      <c r="M60" s="100">
        <v>6516</v>
      </c>
      <c r="N60" s="100">
        <v>6</v>
      </c>
      <c r="O60" s="100">
        <v>3909.6000000000004</v>
      </c>
      <c r="P60" s="100">
        <v>9</v>
      </c>
      <c r="Q60" s="100">
        <v>5864.4000000000005</v>
      </c>
      <c r="R60" s="100">
        <v>8</v>
      </c>
      <c r="S60" s="100">
        <v>5212.8</v>
      </c>
      <c r="T60" s="100">
        <v>10</v>
      </c>
      <c r="U60" s="100">
        <v>6516</v>
      </c>
      <c r="V60" s="100">
        <v>7</v>
      </c>
      <c r="W60" s="100">
        <v>4561.2</v>
      </c>
      <c r="X60" s="100">
        <v>7</v>
      </c>
      <c r="Y60" s="100">
        <v>4561.2</v>
      </c>
      <c r="Z60" s="100">
        <v>9</v>
      </c>
      <c r="AA60" s="100">
        <v>5864.4000000000005</v>
      </c>
      <c r="AB60" s="100">
        <v>12</v>
      </c>
      <c r="AC60" s="100">
        <v>7819.2000000000007</v>
      </c>
      <c r="AD60" s="100">
        <v>7</v>
      </c>
      <c r="AE60" s="100">
        <v>4561.2</v>
      </c>
      <c r="AF60" s="100">
        <v>8.9771357177807367</v>
      </c>
      <c r="AG60" s="100">
        <v>5849.5016337059278</v>
      </c>
      <c r="AH60" s="100">
        <v>12</v>
      </c>
      <c r="AI60" s="100">
        <v>7819.2000000000007</v>
      </c>
      <c r="AJ60" s="100">
        <v>9.8169060341039529</v>
      </c>
      <c r="AK60" s="100">
        <v>6396.695971822136</v>
      </c>
      <c r="AL60" s="100">
        <v>6</v>
      </c>
      <c r="AM60" s="100">
        <v>3909.6000000000004</v>
      </c>
      <c r="AN60" s="100">
        <v>10</v>
      </c>
      <c r="AO60" s="100">
        <v>6516</v>
      </c>
      <c r="AP60" s="100">
        <v>0.51972795367246438</v>
      </c>
      <c r="AQ60" s="100">
        <v>338.65473461297779</v>
      </c>
      <c r="AR60" s="100">
        <v>3.1922994648482674E-4</v>
      </c>
      <c r="AS60" s="100">
        <v>0.20801023312951311</v>
      </c>
      <c r="AT60" s="100">
        <v>2.2756635874691985E-4</v>
      </c>
      <c r="AU60" s="100">
        <v>0.14828223935949297</v>
      </c>
      <c r="AV60" s="100">
        <v>8</v>
      </c>
      <c r="AW60" s="100">
        <v>5212.8</v>
      </c>
      <c r="AX60" s="100">
        <v>1.4304095037074049</v>
      </c>
      <c r="AY60" s="100">
        <v>932.05483261574511</v>
      </c>
      <c r="AZ60" s="100">
        <v>9</v>
      </c>
      <c r="BA60" s="100">
        <v>5864.4000000000005</v>
      </c>
      <c r="BB60" s="100">
        <v>10</v>
      </c>
      <c r="BC60" s="100">
        <v>6516</v>
      </c>
      <c r="BD60" s="100">
        <v>6</v>
      </c>
      <c r="BE60" s="100">
        <v>3909.6000000000004</v>
      </c>
      <c r="BF60" s="100">
        <v>11</v>
      </c>
      <c r="BG60" s="100">
        <v>7167.6</v>
      </c>
      <c r="BH60" s="100">
        <v>10</v>
      </c>
      <c r="BI60" s="100">
        <v>6516</v>
      </c>
      <c r="BJ60" s="100">
        <v>6</v>
      </c>
      <c r="BK60" s="100">
        <v>3909.6000000000004</v>
      </c>
      <c r="BL60" s="100">
        <v>6</v>
      </c>
      <c r="BM60" s="100">
        <v>3909.6000000000004</v>
      </c>
      <c r="BN60" s="100">
        <v>5.8804428131532225</v>
      </c>
      <c r="BO60" s="100">
        <v>3831.69653705064</v>
      </c>
      <c r="BP60" s="100">
        <v>8</v>
      </c>
      <c r="BQ60" s="100">
        <v>5212.8</v>
      </c>
      <c r="BR60" s="100">
        <v>7</v>
      </c>
      <c r="BS60" s="100">
        <v>4561.2</v>
      </c>
      <c r="BT60" s="100">
        <v>5.3762721485024345</v>
      </c>
      <c r="BU60" s="100">
        <v>3503.1789319641866</v>
      </c>
      <c r="BV60" s="100">
        <v>0</v>
      </c>
      <c r="BW60" s="100">
        <v>0</v>
      </c>
      <c r="BX60" s="100">
        <v>6</v>
      </c>
      <c r="BY60" s="100">
        <v>3909.6000000000004</v>
      </c>
      <c r="BZ60" s="100">
        <v>9</v>
      </c>
      <c r="CA60" s="100">
        <v>5864.4000000000005</v>
      </c>
      <c r="CB60" s="100">
        <v>5</v>
      </c>
      <c r="CC60" s="100">
        <v>3258</v>
      </c>
      <c r="CD60" s="100">
        <v>11</v>
      </c>
      <c r="CE60" s="100">
        <v>7167.6</v>
      </c>
      <c r="CF60" s="100">
        <v>10</v>
      </c>
      <c r="CG60" s="100">
        <v>6516</v>
      </c>
      <c r="CH60" s="100">
        <v>9</v>
      </c>
      <c r="CI60" s="100">
        <v>5864.4000000000005</v>
      </c>
      <c r="CJ60" s="100">
        <v>5.8570823320642518</v>
      </c>
      <c r="CK60" s="100">
        <v>3816.4748475730667</v>
      </c>
      <c r="CL60" s="100">
        <v>7</v>
      </c>
      <c r="CM60" s="100">
        <v>4561.2</v>
      </c>
      <c r="CN60" s="100">
        <v>6</v>
      </c>
      <c r="CO60" s="100">
        <v>3909.6000000000004</v>
      </c>
      <c r="CP60" s="100">
        <v>8.7925438561147349</v>
      </c>
      <c r="CQ60" s="100">
        <v>5729.2215766443614</v>
      </c>
      <c r="CR60" s="100">
        <v>6.1250515973267605</v>
      </c>
      <c r="CS60" s="100">
        <v>3991.0836208181172</v>
      </c>
      <c r="CT60" s="100">
        <v>8</v>
      </c>
      <c r="CU60" s="100">
        <v>5212.8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6</v>
      </c>
      <c r="G61" s="100">
        <v>5709.5999999999995</v>
      </c>
      <c r="H61" s="100">
        <v>6</v>
      </c>
      <c r="I61" s="100">
        <v>5709.5999999999995</v>
      </c>
      <c r="J61" s="100">
        <v>6</v>
      </c>
      <c r="K61" s="100">
        <v>5709.5999999999995</v>
      </c>
      <c r="L61" s="100">
        <v>10</v>
      </c>
      <c r="M61" s="100">
        <v>9516</v>
      </c>
      <c r="N61" s="100">
        <v>6</v>
      </c>
      <c r="O61" s="100">
        <v>5709.5999999999995</v>
      </c>
      <c r="P61" s="100">
        <v>9</v>
      </c>
      <c r="Q61" s="100">
        <v>8564.4</v>
      </c>
      <c r="R61" s="100">
        <v>9</v>
      </c>
      <c r="S61" s="100">
        <v>8564.4</v>
      </c>
      <c r="T61" s="100">
        <v>9</v>
      </c>
      <c r="U61" s="100">
        <v>8564.4</v>
      </c>
      <c r="V61" s="100">
        <v>7</v>
      </c>
      <c r="W61" s="100">
        <v>6661.1999999999989</v>
      </c>
      <c r="X61" s="100">
        <v>7</v>
      </c>
      <c r="Y61" s="100">
        <v>6661.1999999999989</v>
      </c>
      <c r="Z61" s="100">
        <v>9</v>
      </c>
      <c r="AA61" s="100">
        <v>8564.4</v>
      </c>
      <c r="AB61" s="100">
        <v>11</v>
      </c>
      <c r="AC61" s="100">
        <v>10467.599999999999</v>
      </c>
      <c r="AD61" s="100">
        <v>7</v>
      </c>
      <c r="AE61" s="100">
        <v>6661.1999999999989</v>
      </c>
      <c r="AF61" s="100">
        <v>8.9771357177807367</v>
      </c>
      <c r="AG61" s="100">
        <v>8542.6423490401485</v>
      </c>
      <c r="AH61" s="100">
        <v>12</v>
      </c>
      <c r="AI61" s="100">
        <v>11419.199999999999</v>
      </c>
      <c r="AJ61" s="100">
        <v>9.8169060341039529</v>
      </c>
      <c r="AK61" s="100">
        <v>9341.7677820533208</v>
      </c>
      <c r="AL61" s="100">
        <v>6</v>
      </c>
      <c r="AM61" s="100">
        <v>5709.5999999999995</v>
      </c>
      <c r="AN61" s="100">
        <v>9</v>
      </c>
      <c r="AO61" s="100">
        <v>8564.4</v>
      </c>
      <c r="AP61" s="100">
        <v>0.46775515830521802</v>
      </c>
      <c r="AQ61" s="100">
        <v>445.11580864324543</v>
      </c>
      <c r="AR61" s="100">
        <v>3.1922994648482674E-4</v>
      </c>
      <c r="AS61" s="100">
        <v>0.30377921707496108</v>
      </c>
      <c r="AT61" s="100">
        <v>2.2756635874691985E-4</v>
      </c>
      <c r="AU61" s="100">
        <v>0.21655214698356889</v>
      </c>
      <c r="AV61" s="100">
        <v>8</v>
      </c>
      <c r="AW61" s="100">
        <v>7612.7999999999993</v>
      </c>
      <c r="AX61" s="100">
        <v>1.6688110876586391</v>
      </c>
      <c r="AY61" s="100">
        <v>1588.0406310159608</v>
      </c>
      <c r="AZ61" s="100">
        <v>8</v>
      </c>
      <c r="BA61" s="100">
        <v>7612.7999999999993</v>
      </c>
      <c r="BB61" s="100">
        <v>8</v>
      </c>
      <c r="BC61" s="100">
        <v>7612.7999999999993</v>
      </c>
      <c r="BD61" s="100">
        <v>6</v>
      </c>
      <c r="BE61" s="100">
        <v>5709.5999999999995</v>
      </c>
      <c r="BF61" s="100">
        <v>11</v>
      </c>
      <c r="BG61" s="100">
        <v>10467.599999999999</v>
      </c>
      <c r="BH61" s="100">
        <v>10</v>
      </c>
      <c r="BI61" s="100">
        <v>9516</v>
      </c>
      <c r="BJ61" s="100">
        <v>5</v>
      </c>
      <c r="BK61" s="100">
        <v>4758</v>
      </c>
      <c r="BL61" s="100">
        <v>7</v>
      </c>
      <c r="BM61" s="100">
        <v>6661.1999999999989</v>
      </c>
      <c r="BN61" s="100">
        <v>5.8804428131532225</v>
      </c>
      <c r="BO61" s="100">
        <v>5595.8293809966062</v>
      </c>
      <c r="BP61" s="100">
        <v>7</v>
      </c>
      <c r="BQ61" s="100">
        <v>6661.1999999999989</v>
      </c>
      <c r="BR61" s="100">
        <v>7</v>
      </c>
      <c r="BS61" s="100">
        <v>6661.1999999999989</v>
      </c>
      <c r="BT61" s="100">
        <v>5.3762721485024345</v>
      </c>
      <c r="BU61" s="100">
        <v>5116.0605765149157</v>
      </c>
      <c r="BV61" s="100">
        <v>0</v>
      </c>
      <c r="BW61" s="100">
        <v>0</v>
      </c>
      <c r="BX61" s="100">
        <v>7</v>
      </c>
      <c r="BY61" s="100">
        <v>6661.1999999999989</v>
      </c>
      <c r="BZ61" s="100">
        <v>8</v>
      </c>
      <c r="CA61" s="100">
        <v>7612.7999999999993</v>
      </c>
      <c r="CB61" s="100">
        <v>5</v>
      </c>
      <c r="CC61" s="100">
        <v>4758</v>
      </c>
      <c r="CD61" s="100">
        <v>9</v>
      </c>
      <c r="CE61" s="100">
        <v>8564.4</v>
      </c>
      <c r="CF61" s="100">
        <v>9</v>
      </c>
      <c r="CG61" s="100">
        <v>8564.4</v>
      </c>
      <c r="CH61" s="100">
        <v>10</v>
      </c>
      <c r="CI61" s="100">
        <v>9516</v>
      </c>
      <c r="CJ61" s="100">
        <v>5.2062954062793345</v>
      </c>
      <c r="CK61" s="100">
        <v>4954.3107086154141</v>
      </c>
      <c r="CL61" s="100">
        <v>7</v>
      </c>
      <c r="CM61" s="100">
        <v>6661.1999999999989</v>
      </c>
      <c r="CN61" s="100">
        <v>6</v>
      </c>
      <c r="CO61" s="100">
        <v>5709.5999999999995</v>
      </c>
      <c r="CP61" s="100">
        <v>8.7925438561147349</v>
      </c>
      <c r="CQ61" s="100">
        <v>8366.984733478781</v>
      </c>
      <c r="CR61" s="100">
        <v>6.1250515973267605</v>
      </c>
      <c r="CS61" s="100">
        <v>5828.5991000161448</v>
      </c>
      <c r="CT61" s="100">
        <v>9</v>
      </c>
      <c r="CU61" s="100">
        <v>8564.4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3.8745017368839374</v>
      </c>
      <c r="G62" s="100">
        <v>6467.3182992066686</v>
      </c>
      <c r="H62" s="100">
        <v>6</v>
      </c>
      <c r="I62" s="100">
        <v>10015.200000000001</v>
      </c>
      <c r="J62" s="100">
        <v>6</v>
      </c>
      <c r="K62" s="100">
        <v>10015.200000000001</v>
      </c>
      <c r="L62" s="100">
        <v>2.6336535557241119</v>
      </c>
      <c r="M62" s="100">
        <v>4396.0945152146878</v>
      </c>
      <c r="N62" s="100">
        <v>5.5041580523242457</v>
      </c>
      <c r="O62" s="100">
        <v>9187.5406209396315</v>
      </c>
      <c r="P62" s="100">
        <v>6.9989420919148397</v>
      </c>
      <c r="Q62" s="100">
        <v>11682.634139824251</v>
      </c>
      <c r="R62" s="100">
        <v>8.2562370784863681</v>
      </c>
      <c r="S62" s="100">
        <v>13781.310931409445</v>
      </c>
      <c r="T62" s="100">
        <v>0.67860361150599635</v>
      </c>
      <c r="U62" s="100">
        <v>1132.7251483258092</v>
      </c>
      <c r="V62" s="100">
        <v>6</v>
      </c>
      <c r="W62" s="100">
        <v>10015.200000000001</v>
      </c>
      <c r="X62" s="100">
        <v>6.7199207336707945</v>
      </c>
      <c r="Y62" s="100">
        <v>11216.891688643291</v>
      </c>
      <c r="Z62" s="100">
        <v>8.5110592105384164</v>
      </c>
      <c r="AA62" s="100">
        <v>14206.660034230725</v>
      </c>
      <c r="AB62" s="100">
        <v>11</v>
      </c>
      <c r="AC62" s="100">
        <v>18361.2</v>
      </c>
      <c r="AD62" s="100">
        <v>6</v>
      </c>
      <c r="AE62" s="100">
        <v>10015.200000000001</v>
      </c>
      <c r="AF62" s="100">
        <v>9</v>
      </c>
      <c r="AG62" s="100">
        <v>15022.800000000001</v>
      </c>
      <c r="AH62" s="100">
        <v>2.4904018538917008</v>
      </c>
      <c r="AI62" s="100">
        <v>4156.9787745160274</v>
      </c>
      <c r="AJ62" s="100">
        <v>9.0117097523347933</v>
      </c>
      <c r="AK62" s="100">
        <v>15042.345918597237</v>
      </c>
      <c r="AL62" s="100">
        <v>5.0784220703765133</v>
      </c>
      <c r="AM62" s="100">
        <v>8476.9021198724768</v>
      </c>
      <c r="AN62" s="100">
        <v>7.1924444032719013</v>
      </c>
      <c r="AO62" s="100">
        <v>12005.628197941458</v>
      </c>
      <c r="AP62" s="100">
        <v>8.6174474506701468</v>
      </c>
      <c r="AQ62" s="100">
        <v>14384.243284658609</v>
      </c>
      <c r="AR62" s="100">
        <v>7.5841121678065102</v>
      </c>
      <c r="AS62" s="100">
        <v>12659.400030502627</v>
      </c>
      <c r="AT62" s="100">
        <v>5.1310691891284241</v>
      </c>
      <c r="AU62" s="100">
        <v>8564.7806904931658</v>
      </c>
      <c r="AV62" s="100">
        <v>6.1631808076312673</v>
      </c>
      <c r="AW62" s="100">
        <v>10287.581404098111</v>
      </c>
      <c r="AX62" s="100">
        <v>3.3596286357388485</v>
      </c>
      <c r="AY62" s="100">
        <v>5607.8921187752858</v>
      </c>
      <c r="AZ62" s="100">
        <v>5.9785001283782053</v>
      </c>
      <c r="BA62" s="100">
        <v>9979.312414288901</v>
      </c>
      <c r="BB62" s="100">
        <v>7.4278334928335275</v>
      </c>
      <c r="BC62" s="100">
        <v>12398.539666237724</v>
      </c>
      <c r="BD62" s="100">
        <v>3.5962222016359506</v>
      </c>
      <c r="BE62" s="100">
        <v>6002.814098970729</v>
      </c>
      <c r="BF62" s="100">
        <v>7.0346509801388954</v>
      </c>
      <c r="BG62" s="100">
        <v>11742.239416047845</v>
      </c>
      <c r="BH62" s="100">
        <v>8.3425233845871603</v>
      </c>
      <c r="BI62" s="100">
        <v>13925.340033552888</v>
      </c>
      <c r="BJ62" s="100">
        <v>3.7365625802363782</v>
      </c>
      <c r="BK62" s="100">
        <v>6237.0702589305629</v>
      </c>
      <c r="BL62" s="100">
        <v>4.1972346791696298</v>
      </c>
      <c r="BM62" s="100">
        <v>7006.0241264699462</v>
      </c>
      <c r="BN62" s="100">
        <v>8.0247129699362212</v>
      </c>
      <c r="BO62" s="100">
        <v>13394.850889417541</v>
      </c>
      <c r="BP62" s="100">
        <v>5.7967214082585974</v>
      </c>
      <c r="BQ62" s="100">
        <v>9675.8873746652516</v>
      </c>
      <c r="BR62" s="100">
        <v>0</v>
      </c>
      <c r="BS62" s="100">
        <v>0</v>
      </c>
      <c r="BT62" s="100">
        <v>3.6131855139078186</v>
      </c>
      <c r="BU62" s="100">
        <v>6031.1292598149312</v>
      </c>
      <c r="BV62" s="100">
        <v>5.9175604811468823</v>
      </c>
      <c r="BW62" s="100">
        <v>9877.5919551303759</v>
      </c>
      <c r="BX62" s="100">
        <v>5.8922717611419815</v>
      </c>
      <c r="BY62" s="100">
        <v>9835.3800236981951</v>
      </c>
      <c r="BZ62" s="100">
        <v>6.2107729374199261</v>
      </c>
      <c r="CA62" s="100">
        <v>10367.022187141341</v>
      </c>
      <c r="CB62" s="100">
        <v>3.6826698507137383</v>
      </c>
      <c r="CC62" s="100">
        <v>6147.1125148113724</v>
      </c>
      <c r="CD62" s="100">
        <v>0.5852956149239219</v>
      </c>
      <c r="CE62" s="100">
        <v>976.9754404310105</v>
      </c>
      <c r="CF62" s="100">
        <v>9</v>
      </c>
      <c r="CG62" s="100">
        <v>15022.800000000001</v>
      </c>
      <c r="CH62" s="100">
        <v>9.4802778595711352</v>
      </c>
      <c r="CI62" s="100">
        <v>15824.47980319614</v>
      </c>
      <c r="CJ62" s="100">
        <v>7</v>
      </c>
      <c r="CK62" s="100">
        <v>11684.4</v>
      </c>
      <c r="CL62" s="100">
        <v>6.2247848647213626</v>
      </c>
      <c r="CM62" s="100">
        <v>10390.4108961929</v>
      </c>
      <c r="CN62" s="100">
        <v>3.9688877147588468</v>
      </c>
      <c r="CO62" s="100">
        <v>6624.8673734754675</v>
      </c>
      <c r="CP62" s="100">
        <v>0.57629106700201549</v>
      </c>
      <c r="CQ62" s="100">
        <v>961.94504903976429</v>
      </c>
      <c r="CR62" s="100">
        <v>5.9577414473768915</v>
      </c>
      <c r="CS62" s="100">
        <v>9944.6620239615077</v>
      </c>
      <c r="CT62" s="100">
        <v>5.1557377909992326</v>
      </c>
      <c r="CU62" s="100">
        <v>8605.9575207359194</v>
      </c>
    </row>
    <row r="63" spans="2:99">
      <c r="C63" s="99" t="s">
        <v>229</v>
      </c>
      <c r="D63" s="100">
        <v>7</v>
      </c>
      <c r="E63" s="100">
        <v>5569.2</v>
      </c>
      <c r="F63" s="100">
        <v>6</v>
      </c>
      <c r="G63" s="100">
        <v>4773.6000000000004</v>
      </c>
      <c r="H63" s="100">
        <v>7</v>
      </c>
      <c r="I63" s="100">
        <v>5569.2</v>
      </c>
      <c r="J63" s="100">
        <v>6</v>
      </c>
      <c r="K63" s="100">
        <v>4773.6000000000004</v>
      </c>
      <c r="L63" s="100">
        <v>10</v>
      </c>
      <c r="M63" s="100">
        <v>7956</v>
      </c>
      <c r="N63" s="100">
        <v>6</v>
      </c>
      <c r="O63" s="100">
        <v>4773.6000000000004</v>
      </c>
      <c r="P63" s="100">
        <v>9</v>
      </c>
      <c r="Q63" s="100">
        <v>7160.4000000000005</v>
      </c>
      <c r="R63" s="100">
        <v>9</v>
      </c>
      <c r="S63" s="100">
        <v>7160.4000000000005</v>
      </c>
      <c r="T63" s="100">
        <v>10</v>
      </c>
      <c r="U63" s="100">
        <v>7956</v>
      </c>
      <c r="V63" s="100">
        <v>7</v>
      </c>
      <c r="W63" s="100">
        <v>5569.2</v>
      </c>
      <c r="X63" s="100">
        <v>7</v>
      </c>
      <c r="Y63" s="100">
        <v>5569.2</v>
      </c>
      <c r="Z63" s="100">
        <v>9</v>
      </c>
      <c r="AA63" s="100">
        <v>7160.4000000000005</v>
      </c>
      <c r="AB63" s="100">
        <v>10</v>
      </c>
      <c r="AC63" s="100">
        <v>7956</v>
      </c>
      <c r="AD63" s="100">
        <v>6</v>
      </c>
      <c r="AE63" s="100">
        <v>4773.6000000000004</v>
      </c>
      <c r="AF63" s="100">
        <v>9.9745952419785944</v>
      </c>
      <c r="AG63" s="100">
        <v>7935.7879745181699</v>
      </c>
      <c r="AH63" s="100">
        <v>11</v>
      </c>
      <c r="AI63" s="100">
        <v>8751.6</v>
      </c>
      <c r="AJ63" s="100">
        <v>8.9244600310035924</v>
      </c>
      <c r="AK63" s="100">
        <v>7100.3004006664587</v>
      </c>
      <c r="AL63" s="100">
        <v>6</v>
      </c>
      <c r="AM63" s="100">
        <v>4773.6000000000004</v>
      </c>
      <c r="AN63" s="100">
        <v>10</v>
      </c>
      <c r="AO63" s="100">
        <v>7956</v>
      </c>
      <c r="AP63" s="100">
        <v>0.46775515830521802</v>
      </c>
      <c r="AQ63" s="100">
        <v>372.14600394763147</v>
      </c>
      <c r="AR63" s="100">
        <v>3.1922994648482674E-4</v>
      </c>
      <c r="AS63" s="100">
        <v>0.25397934542332817</v>
      </c>
      <c r="AT63" s="100">
        <v>1.9912056390355488E-4</v>
      </c>
      <c r="AU63" s="100">
        <v>0.15842032064166828</v>
      </c>
      <c r="AV63" s="100">
        <v>7</v>
      </c>
      <c r="AW63" s="100">
        <v>5569.2</v>
      </c>
      <c r="AX63" s="100">
        <v>1.4304095037074049</v>
      </c>
      <c r="AY63" s="100">
        <v>1138.0338011496115</v>
      </c>
      <c r="AZ63" s="100">
        <v>8</v>
      </c>
      <c r="BA63" s="100">
        <v>6364.8</v>
      </c>
      <c r="BB63" s="100">
        <v>9</v>
      </c>
      <c r="BC63" s="100">
        <v>7160.4000000000005</v>
      </c>
      <c r="BD63" s="100">
        <v>6</v>
      </c>
      <c r="BE63" s="100">
        <v>4773.6000000000004</v>
      </c>
      <c r="BF63" s="100">
        <v>11</v>
      </c>
      <c r="BG63" s="100">
        <v>8751.6</v>
      </c>
      <c r="BH63" s="100">
        <v>10</v>
      </c>
      <c r="BI63" s="100">
        <v>7956</v>
      </c>
      <c r="BJ63" s="100">
        <v>6</v>
      </c>
      <c r="BK63" s="100">
        <v>4773.6000000000004</v>
      </c>
      <c r="BL63" s="100">
        <v>7</v>
      </c>
      <c r="BM63" s="100">
        <v>5569.2</v>
      </c>
      <c r="BN63" s="100">
        <v>5.8804428131532225</v>
      </c>
      <c r="BO63" s="100">
        <v>4678.4803021447042</v>
      </c>
      <c r="BP63" s="100">
        <v>7</v>
      </c>
      <c r="BQ63" s="100">
        <v>5569.2</v>
      </c>
      <c r="BR63" s="100">
        <v>7</v>
      </c>
      <c r="BS63" s="100">
        <v>5569.2</v>
      </c>
      <c r="BT63" s="100">
        <v>6.272317506586174</v>
      </c>
      <c r="BU63" s="100">
        <v>4990.2558082399601</v>
      </c>
      <c r="BV63" s="100">
        <v>0</v>
      </c>
      <c r="BW63" s="100">
        <v>0</v>
      </c>
      <c r="BX63" s="100">
        <v>7</v>
      </c>
      <c r="BY63" s="100">
        <v>5569.2</v>
      </c>
      <c r="BZ63" s="100">
        <v>8</v>
      </c>
      <c r="CA63" s="100">
        <v>6364.8</v>
      </c>
      <c r="CB63" s="100">
        <v>5</v>
      </c>
      <c r="CC63" s="100">
        <v>3978</v>
      </c>
      <c r="CD63" s="100">
        <v>9</v>
      </c>
      <c r="CE63" s="100">
        <v>7160.4000000000005</v>
      </c>
      <c r="CF63" s="100">
        <v>9</v>
      </c>
      <c r="CG63" s="100">
        <v>7160.4000000000005</v>
      </c>
      <c r="CH63" s="100">
        <v>9</v>
      </c>
      <c r="CI63" s="100">
        <v>7160.4000000000005</v>
      </c>
      <c r="CJ63" s="100">
        <v>5.2062954062793345</v>
      </c>
      <c r="CK63" s="100">
        <v>4142.1286252358386</v>
      </c>
      <c r="CL63" s="100">
        <v>7</v>
      </c>
      <c r="CM63" s="100">
        <v>5569.2</v>
      </c>
      <c r="CN63" s="100">
        <v>6</v>
      </c>
      <c r="CO63" s="100">
        <v>4773.6000000000004</v>
      </c>
      <c r="CP63" s="100">
        <v>7.9132894705032601</v>
      </c>
      <c r="CQ63" s="100">
        <v>6295.8131027323943</v>
      </c>
      <c r="CR63" s="100">
        <v>5.3594201476609156</v>
      </c>
      <c r="CS63" s="100">
        <v>4263.9546694790242</v>
      </c>
      <c r="CT63" s="100">
        <v>8</v>
      </c>
      <c r="CU63" s="100">
        <v>6364.8</v>
      </c>
    </row>
    <row r="64" spans="2:99">
      <c r="C64" s="99" t="s">
        <v>230</v>
      </c>
      <c r="D64" s="100">
        <v>7</v>
      </c>
      <c r="E64" s="100">
        <v>7064.3999999999987</v>
      </c>
      <c r="F64" s="100">
        <v>6</v>
      </c>
      <c r="G64" s="100">
        <v>6055.1999999999989</v>
      </c>
      <c r="H64" s="100">
        <v>6</v>
      </c>
      <c r="I64" s="100">
        <v>6055.1999999999989</v>
      </c>
      <c r="J64" s="100">
        <v>7</v>
      </c>
      <c r="K64" s="100">
        <v>7064.3999999999987</v>
      </c>
      <c r="L64" s="100">
        <v>9</v>
      </c>
      <c r="M64" s="100">
        <v>9082.7999999999993</v>
      </c>
      <c r="N64" s="100">
        <v>6</v>
      </c>
      <c r="O64" s="100">
        <v>6055.1999999999989</v>
      </c>
      <c r="P64" s="100">
        <v>9</v>
      </c>
      <c r="Q64" s="100">
        <v>9082.7999999999993</v>
      </c>
      <c r="R64" s="100">
        <v>8</v>
      </c>
      <c r="S64" s="100">
        <v>8073.5999999999985</v>
      </c>
      <c r="T64" s="100">
        <v>9</v>
      </c>
      <c r="U64" s="100">
        <v>9082.7999999999993</v>
      </c>
      <c r="V64" s="100">
        <v>6</v>
      </c>
      <c r="W64" s="100">
        <v>6055.1999999999989</v>
      </c>
      <c r="X64" s="100">
        <v>8</v>
      </c>
      <c r="Y64" s="100">
        <v>8073.5999999999985</v>
      </c>
      <c r="Z64" s="100">
        <v>9</v>
      </c>
      <c r="AA64" s="100">
        <v>9082.7999999999993</v>
      </c>
      <c r="AB64" s="100">
        <v>11</v>
      </c>
      <c r="AC64" s="100">
        <v>11101.199999999997</v>
      </c>
      <c r="AD64" s="100">
        <v>7</v>
      </c>
      <c r="AE64" s="100">
        <v>7064.3999999999987</v>
      </c>
      <c r="AF64" s="100">
        <v>8.9771357177807367</v>
      </c>
      <c r="AG64" s="100">
        <v>9059.7253663843185</v>
      </c>
      <c r="AH64" s="100">
        <v>10</v>
      </c>
      <c r="AI64" s="100">
        <v>10091.999999999998</v>
      </c>
      <c r="AJ64" s="100">
        <v>9.8169060341039529</v>
      </c>
      <c r="AK64" s="100">
        <v>9907.2215696177082</v>
      </c>
      <c r="AL64" s="100">
        <v>6</v>
      </c>
      <c r="AM64" s="100">
        <v>6055.1999999999989</v>
      </c>
      <c r="AN64" s="100">
        <v>11</v>
      </c>
      <c r="AO64" s="100">
        <v>11101.199999999997</v>
      </c>
      <c r="AP64" s="100">
        <v>0.51972795367246438</v>
      </c>
      <c r="AQ64" s="100">
        <v>524.50945084625096</v>
      </c>
      <c r="AR64" s="100">
        <v>3.1922994648482674E-4</v>
      </c>
      <c r="AS64" s="100">
        <v>0.32216686199248706</v>
      </c>
      <c r="AT64" s="100">
        <v>2.2756635874691985E-4</v>
      </c>
      <c r="AU64" s="100">
        <v>0.22965996924739146</v>
      </c>
      <c r="AV64" s="100">
        <v>7</v>
      </c>
      <c r="AW64" s="100">
        <v>7064.3999999999987</v>
      </c>
      <c r="AX64" s="100">
        <v>1.4304095037074049</v>
      </c>
      <c r="AY64" s="100">
        <v>1443.5692711415129</v>
      </c>
      <c r="AZ64" s="100">
        <v>8</v>
      </c>
      <c r="BA64" s="100">
        <v>8073.5999999999985</v>
      </c>
      <c r="BB64" s="100">
        <v>9</v>
      </c>
      <c r="BC64" s="100">
        <v>9082.7999999999993</v>
      </c>
      <c r="BD64" s="100">
        <v>6</v>
      </c>
      <c r="BE64" s="100">
        <v>6055.1999999999989</v>
      </c>
      <c r="BF64" s="100">
        <v>10</v>
      </c>
      <c r="BG64" s="100">
        <v>10091.999999999998</v>
      </c>
      <c r="BH64" s="100">
        <v>12</v>
      </c>
      <c r="BI64" s="100">
        <v>12110.399999999998</v>
      </c>
      <c r="BJ64" s="100">
        <v>6</v>
      </c>
      <c r="BK64" s="100">
        <v>6055.1999999999989</v>
      </c>
      <c r="BL64" s="100">
        <v>6</v>
      </c>
      <c r="BM64" s="100">
        <v>6055.1999999999989</v>
      </c>
      <c r="BN64" s="100">
        <v>4.8112713925799087</v>
      </c>
      <c r="BO64" s="100">
        <v>4855.5350893916429</v>
      </c>
      <c r="BP64" s="100">
        <v>8</v>
      </c>
      <c r="BQ64" s="100">
        <v>8073.5999999999985</v>
      </c>
      <c r="BR64" s="100">
        <v>7</v>
      </c>
      <c r="BS64" s="100">
        <v>7064.3999999999987</v>
      </c>
      <c r="BT64" s="100">
        <v>5.3762721485024345</v>
      </c>
      <c r="BU64" s="100">
        <v>5425.7338522686559</v>
      </c>
      <c r="BV64" s="100">
        <v>0</v>
      </c>
      <c r="BW64" s="100">
        <v>0</v>
      </c>
      <c r="BX64" s="100">
        <v>7</v>
      </c>
      <c r="BY64" s="100">
        <v>7064.3999999999987</v>
      </c>
      <c r="BZ64" s="100">
        <v>9</v>
      </c>
      <c r="CA64" s="100">
        <v>9082.7999999999993</v>
      </c>
      <c r="CB64" s="100">
        <v>5</v>
      </c>
      <c r="CC64" s="100">
        <v>5045.9999999999991</v>
      </c>
      <c r="CD64" s="100">
        <v>9</v>
      </c>
      <c r="CE64" s="100">
        <v>9082.7999999999993</v>
      </c>
      <c r="CF64" s="100">
        <v>9</v>
      </c>
      <c r="CG64" s="100">
        <v>9082.7999999999993</v>
      </c>
      <c r="CH64" s="100">
        <v>9</v>
      </c>
      <c r="CI64" s="100">
        <v>9082.7999999999993</v>
      </c>
      <c r="CJ64" s="100">
        <v>5.2062954062793345</v>
      </c>
      <c r="CK64" s="100">
        <v>5254.1933240171038</v>
      </c>
      <c r="CL64" s="100">
        <v>7</v>
      </c>
      <c r="CM64" s="100">
        <v>7064.3999999999987</v>
      </c>
      <c r="CN64" s="100">
        <v>6</v>
      </c>
      <c r="CO64" s="100">
        <v>6055.1999999999989</v>
      </c>
      <c r="CP64" s="100">
        <v>8.7925438561147349</v>
      </c>
      <c r="CQ64" s="100">
        <v>8873.4352595909895</v>
      </c>
      <c r="CR64" s="100">
        <v>6.1250515973267605</v>
      </c>
      <c r="CS64" s="100">
        <v>6181.4020720221652</v>
      </c>
      <c r="CT64" s="100">
        <v>8</v>
      </c>
      <c r="CU64" s="100">
        <v>8073.5999999999985</v>
      </c>
    </row>
    <row r="65" spans="2:99">
      <c r="C65" s="99" t="s">
        <v>231</v>
      </c>
      <c r="D65" s="100">
        <v>7</v>
      </c>
      <c r="E65" s="100">
        <v>7182</v>
      </c>
      <c r="F65" s="100">
        <v>6</v>
      </c>
      <c r="G65" s="100">
        <v>6156</v>
      </c>
      <c r="H65" s="100">
        <v>6</v>
      </c>
      <c r="I65" s="100">
        <v>6156</v>
      </c>
      <c r="J65" s="100">
        <v>7</v>
      </c>
      <c r="K65" s="100">
        <v>7182</v>
      </c>
      <c r="L65" s="100">
        <v>9</v>
      </c>
      <c r="M65" s="100">
        <v>9234</v>
      </c>
      <c r="N65" s="100">
        <v>7</v>
      </c>
      <c r="O65" s="100">
        <v>7182</v>
      </c>
      <c r="P65" s="100">
        <v>10</v>
      </c>
      <c r="Q65" s="100">
        <v>10260</v>
      </c>
      <c r="R65" s="100">
        <v>8</v>
      </c>
      <c r="S65" s="100">
        <v>8208</v>
      </c>
      <c r="T65" s="100">
        <v>9</v>
      </c>
      <c r="U65" s="100">
        <v>9234</v>
      </c>
      <c r="V65" s="100">
        <v>6</v>
      </c>
      <c r="W65" s="100">
        <v>6156</v>
      </c>
      <c r="X65" s="100">
        <v>7</v>
      </c>
      <c r="Y65" s="100">
        <v>7182</v>
      </c>
      <c r="Z65" s="100">
        <v>9</v>
      </c>
      <c r="AA65" s="100">
        <v>9234</v>
      </c>
      <c r="AB65" s="100">
        <v>11</v>
      </c>
      <c r="AC65" s="100">
        <v>11286</v>
      </c>
      <c r="AD65" s="100">
        <v>7</v>
      </c>
      <c r="AE65" s="100">
        <v>7182</v>
      </c>
      <c r="AF65" s="100">
        <v>8.9771357177807367</v>
      </c>
      <c r="AG65" s="100">
        <v>9210.5412464430356</v>
      </c>
      <c r="AH65" s="100">
        <v>12</v>
      </c>
      <c r="AI65" s="100">
        <v>12312</v>
      </c>
      <c r="AJ65" s="100">
        <v>8.9244600310035924</v>
      </c>
      <c r="AK65" s="100">
        <v>9156.4959918096865</v>
      </c>
      <c r="AL65" s="100">
        <v>6</v>
      </c>
      <c r="AM65" s="100">
        <v>6156</v>
      </c>
      <c r="AN65" s="100">
        <v>9</v>
      </c>
      <c r="AO65" s="100">
        <v>9234</v>
      </c>
      <c r="AP65" s="100">
        <v>0.51972795367246438</v>
      </c>
      <c r="AQ65" s="100">
        <v>533.2408804679485</v>
      </c>
      <c r="AR65" s="100">
        <v>3.1922994648482674E-4</v>
      </c>
      <c r="AS65" s="100">
        <v>0.32752992509343226</v>
      </c>
      <c r="AT65" s="100">
        <v>1.9912056390355488E-4</v>
      </c>
      <c r="AU65" s="100">
        <v>0.20429769856504731</v>
      </c>
      <c r="AV65" s="100">
        <v>6</v>
      </c>
      <c r="AW65" s="100">
        <v>6156</v>
      </c>
      <c r="AX65" s="100">
        <v>1.4304095037074049</v>
      </c>
      <c r="AY65" s="100">
        <v>1467.6001508037975</v>
      </c>
      <c r="AZ65" s="100">
        <v>9</v>
      </c>
      <c r="BA65" s="100">
        <v>9234</v>
      </c>
      <c r="BB65" s="100">
        <v>8</v>
      </c>
      <c r="BC65" s="100">
        <v>8208</v>
      </c>
      <c r="BD65" s="100">
        <v>6</v>
      </c>
      <c r="BE65" s="100">
        <v>6156</v>
      </c>
      <c r="BF65" s="100">
        <v>11</v>
      </c>
      <c r="BG65" s="100">
        <v>11286</v>
      </c>
      <c r="BH65" s="100">
        <v>10</v>
      </c>
      <c r="BI65" s="100">
        <v>10260</v>
      </c>
      <c r="BJ65" s="100">
        <v>6</v>
      </c>
      <c r="BK65" s="100">
        <v>6156</v>
      </c>
      <c r="BL65" s="100">
        <v>7</v>
      </c>
      <c r="BM65" s="100">
        <v>7182</v>
      </c>
      <c r="BN65" s="100">
        <v>5.8804428131532225</v>
      </c>
      <c r="BO65" s="100">
        <v>6033.3343262952067</v>
      </c>
      <c r="BP65" s="100">
        <v>8</v>
      </c>
      <c r="BQ65" s="100">
        <v>8208</v>
      </c>
      <c r="BR65" s="100">
        <v>7</v>
      </c>
      <c r="BS65" s="100">
        <v>7182</v>
      </c>
      <c r="BT65" s="100">
        <v>5.3762721485024345</v>
      </c>
      <c r="BU65" s="100">
        <v>5516.0552243634975</v>
      </c>
      <c r="BV65" s="100">
        <v>0</v>
      </c>
      <c r="BW65" s="100">
        <v>0</v>
      </c>
      <c r="BX65" s="100">
        <v>6</v>
      </c>
      <c r="BY65" s="100">
        <v>6156</v>
      </c>
      <c r="BZ65" s="100">
        <v>8</v>
      </c>
      <c r="CA65" s="100">
        <v>8208</v>
      </c>
      <c r="CB65" s="100">
        <v>5</v>
      </c>
      <c r="CC65" s="100">
        <v>5130</v>
      </c>
      <c r="CD65" s="100">
        <v>9</v>
      </c>
      <c r="CE65" s="100">
        <v>9234</v>
      </c>
      <c r="CF65" s="100">
        <v>10</v>
      </c>
      <c r="CG65" s="100">
        <v>10260</v>
      </c>
      <c r="CH65" s="100">
        <v>10</v>
      </c>
      <c r="CI65" s="100">
        <v>10260</v>
      </c>
      <c r="CJ65" s="100">
        <v>5.8570823320642518</v>
      </c>
      <c r="CK65" s="100">
        <v>6009.3664726979223</v>
      </c>
      <c r="CL65" s="100">
        <v>7</v>
      </c>
      <c r="CM65" s="100">
        <v>7182</v>
      </c>
      <c r="CN65" s="100">
        <v>6</v>
      </c>
      <c r="CO65" s="100">
        <v>6156</v>
      </c>
      <c r="CP65" s="100">
        <v>8.7925438561147349</v>
      </c>
      <c r="CQ65" s="100">
        <v>9021.1499963737187</v>
      </c>
      <c r="CR65" s="100">
        <v>6.1250515973267605</v>
      </c>
      <c r="CS65" s="100">
        <v>6284.3029388572559</v>
      </c>
      <c r="CT65" s="100">
        <v>8</v>
      </c>
      <c r="CU65" s="100">
        <v>8208</v>
      </c>
    </row>
    <row r="66" spans="2:99">
      <c r="C66" s="99" t="s">
        <v>232</v>
      </c>
      <c r="D66" s="100">
        <v>7</v>
      </c>
      <c r="E66" s="100">
        <v>8332.7999999999993</v>
      </c>
      <c r="F66" s="100">
        <v>5</v>
      </c>
      <c r="G66" s="100">
        <v>5951.9999999999991</v>
      </c>
      <c r="H66" s="100">
        <v>6</v>
      </c>
      <c r="I66" s="100">
        <v>7142.4</v>
      </c>
      <c r="J66" s="100">
        <v>6</v>
      </c>
      <c r="K66" s="100">
        <v>7142.4</v>
      </c>
      <c r="L66" s="100">
        <v>10</v>
      </c>
      <c r="M66" s="100">
        <v>11903.999999999998</v>
      </c>
      <c r="N66" s="100">
        <v>6</v>
      </c>
      <c r="O66" s="100">
        <v>7142.4</v>
      </c>
      <c r="P66" s="100">
        <v>9</v>
      </c>
      <c r="Q66" s="100">
        <v>10713.599999999999</v>
      </c>
      <c r="R66" s="100">
        <v>8</v>
      </c>
      <c r="S66" s="100">
        <v>9523.1999999999989</v>
      </c>
      <c r="T66" s="100">
        <v>10</v>
      </c>
      <c r="U66" s="100">
        <v>11903.999999999998</v>
      </c>
      <c r="V66" s="100">
        <v>6</v>
      </c>
      <c r="W66" s="100">
        <v>7142.4</v>
      </c>
      <c r="X66" s="100">
        <v>6</v>
      </c>
      <c r="Y66" s="100">
        <v>7142.4</v>
      </c>
      <c r="Z66" s="100">
        <v>9</v>
      </c>
      <c r="AA66" s="100">
        <v>10713.599999999999</v>
      </c>
      <c r="AB66" s="100">
        <v>11</v>
      </c>
      <c r="AC66" s="100">
        <v>13094.399999999998</v>
      </c>
      <c r="AD66" s="100">
        <v>7</v>
      </c>
      <c r="AE66" s="100">
        <v>8332.7999999999993</v>
      </c>
      <c r="AF66" s="100">
        <v>7.9796761935828773</v>
      </c>
      <c r="AG66" s="100">
        <v>9499.0065408410555</v>
      </c>
      <c r="AH66" s="100">
        <v>11</v>
      </c>
      <c r="AI66" s="100">
        <v>13094.399999999998</v>
      </c>
      <c r="AJ66" s="100">
        <v>8.9244600310035924</v>
      </c>
      <c r="AK66" s="100">
        <v>10623.677220906675</v>
      </c>
      <c r="AL66" s="100">
        <v>6</v>
      </c>
      <c r="AM66" s="100">
        <v>7142.4</v>
      </c>
      <c r="AN66" s="100">
        <v>9</v>
      </c>
      <c r="AO66" s="100">
        <v>10713.599999999999</v>
      </c>
      <c r="AP66" s="100">
        <v>0.51972795367246438</v>
      </c>
      <c r="AQ66" s="100">
        <v>618.68415605170151</v>
      </c>
      <c r="AR66" s="100">
        <v>2.6118813803304006E-4</v>
      </c>
      <c r="AS66" s="100">
        <v>0.31091835951453084</v>
      </c>
      <c r="AT66" s="100">
        <v>1.9912056390355488E-4</v>
      </c>
      <c r="AU66" s="100">
        <v>0.23703311927079171</v>
      </c>
      <c r="AV66" s="100">
        <v>8</v>
      </c>
      <c r="AW66" s="100">
        <v>9523.1999999999989</v>
      </c>
      <c r="AX66" s="100">
        <v>1.4304095037074049</v>
      </c>
      <c r="AY66" s="100">
        <v>1702.7594732132945</v>
      </c>
      <c r="AZ66" s="100">
        <v>9</v>
      </c>
      <c r="BA66" s="100">
        <v>10713.599999999999</v>
      </c>
      <c r="BB66" s="100">
        <v>9</v>
      </c>
      <c r="BC66" s="100">
        <v>10713.599999999999</v>
      </c>
      <c r="BD66" s="100">
        <v>6</v>
      </c>
      <c r="BE66" s="100">
        <v>7142.4</v>
      </c>
      <c r="BF66" s="100">
        <v>11</v>
      </c>
      <c r="BG66" s="100">
        <v>13094.399999999998</v>
      </c>
      <c r="BH66" s="100">
        <v>10</v>
      </c>
      <c r="BI66" s="100">
        <v>11903.999999999998</v>
      </c>
      <c r="BJ66" s="100">
        <v>6</v>
      </c>
      <c r="BK66" s="100">
        <v>7142.4</v>
      </c>
      <c r="BL66" s="100">
        <v>6</v>
      </c>
      <c r="BM66" s="100">
        <v>7142.4</v>
      </c>
      <c r="BN66" s="100">
        <v>5.8804428131532225</v>
      </c>
      <c r="BO66" s="100">
        <v>7000.0791247775951</v>
      </c>
      <c r="BP66" s="100">
        <v>8</v>
      </c>
      <c r="BQ66" s="100">
        <v>9523.1999999999989</v>
      </c>
      <c r="BR66" s="100">
        <v>7</v>
      </c>
      <c r="BS66" s="100">
        <v>8332.7999999999993</v>
      </c>
      <c r="BT66" s="100">
        <v>5.3762721485024345</v>
      </c>
      <c r="BU66" s="100">
        <v>6399.9143655772978</v>
      </c>
      <c r="BV66" s="100">
        <v>0</v>
      </c>
      <c r="BW66" s="100">
        <v>0</v>
      </c>
      <c r="BX66" s="100">
        <v>7</v>
      </c>
      <c r="BY66" s="100">
        <v>8332.7999999999993</v>
      </c>
      <c r="BZ66" s="100">
        <v>8</v>
      </c>
      <c r="CA66" s="100">
        <v>9523.1999999999989</v>
      </c>
      <c r="CB66" s="100">
        <v>5</v>
      </c>
      <c r="CC66" s="100">
        <v>5951.9999999999991</v>
      </c>
      <c r="CD66" s="100">
        <v>9</v>
      </c>
      <c r="CE66" s="100">
        <v>10713.599999999999</v>
      </c>
      <c r="CF66" s="100">
        <v>9</v>
      </c>
      <c r="CG66" s="100">
        <v>10713.599999999999</v>
      </c>
      <c r="CH66" s="100">
        <v>9</v>
      </c>
      <c r="CI66" s="100">
        <v>10713.599999999999</v>
      </c>
      <c r="CJ66" s="100">
        <v>5.2062954062793345</v>
      </c>
      <c r="CK66" s="100">
        <v>6197.5740516349188</v>
      </c>
      <c r="CL66" s="100">
        <v>7</v>
      </c>
      <c r="CM66" s="100">
        <v>8332.7999999999993</v>
      </c>
      <c r="CN66" s="100">
        <v>6</v>
      </c>
      <c r="CO66" s="100">
        <v>7142.4</v>
      </c>
      <c r="CP66" s="100">
        <v>7.9132894705032601</v>
      </c>
      <c r="CQ66" s="100">
        <v>9419.9797856870791</v>
      </c>
      <c r="CR66" s="100">
        <v>6.1250515973267605</v>
      </c>
      <c r="CS66" s="100">
        <v>7291.2614214577752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8</v>
      </c>
      <c r="E67" s="100">
        <v>8985.6</v>
      </c>
      <c r="F67" s="100">
        <v>6</v>
      </c>
      <c r="G67" s="100">
        <v>6739.2000000000007</v>
      </c>
      <c r="H67" s="100">
        <v>6</v>
      </c>
      <c r="I67" s="100">
        <v>6739.2000000000007</v>
      </c>
      <c r="J67" s="100">
        <v>6</v>
      </c>
      <c r="K67" s="100">
        <v>6739.2000000000007</v>
      </c>
      <c r="L67" s="100">
        <v>9</v>
      </c>
      <c r="M67" s="100">
        <v>10108.800000000001</v>
      </c>
      <c r="N67" s="100">
        <v>6</v>
      </c>
      <c r="O67" s="100">
        <v>6739.2000000000007</v>
      </c>
      <c r="P67" s="100">
        <v>9</v>
      </c>
      <c r="Q67" s="100">
        <v>10108.800000000001</v>
      </c>
      <c r="R67" s="100">
        <v>8</v>
      </c>
      <c r="S67" s="100">
        <v>8985.6</v>
      </c>
      <c r="T67" s="100">
        <v>11</v>
      </c>
      <c r="U67" s="100">
        <v>12355.2</v>
      </c>
      <c r="V67" s="100">
        <v>6</v>
      </c>
      <c r="W67" s="100">
        <v>6739.2000000000007</v>
      </c>
      <c r="X67" s="100">
        <v>7</v>
      </c>
      <c r="Y67" s="100">
        <v>7862.4000000000005</v>
      </c>
      <c r="Z67" s="100">
        <v>8</v>
      </c>
      <c r="AA67" s="100">
        <v>8985.6</v>
      </c>
      <c r="AB67" s="100">
        <v>10</v>
      </c>
      <c r="AC67" s="100">
        <v>11232</v>
      </c>
      <c r="AD67" s="100">
        <v>7</v>
      </c>
      <c r="AE67" s="100">
        <v>7862.4000000000005</v>
      </c>
      <c r="AF67" s="100">
        <v>9.9745952419785944</v>
      </c>
      <c r="AG67" s="100">
        <v>11203.465375790358</v>
      </c>
      <c r="AH67" s="100">
        <v>10</v>
      </c>
      <c r="AI67" s="100">
        <v>11232</v>
      </c>
      <c r="AJ67" s="100">
        <v>8.9244600310035924</v>
      </c>
      <c r="AK67" s="100">
        <v>10023.953506823236</v>
      </c>
      <c r="AL67" s="100">
        <v>6</v>
      </c>
      <c r="AM67" s="100">
        <v>6739.2000000000007</v>
      </c>
      <c r="AN67" s="100">
        <v>11</v>
      </c>
      <c r="AO67" s="100">
        <v>12355.2</v>
      </c>
      <c r="AP67" s="100">
        <v>0.51972795367246438</v>
      </c>
      <c r="AQ67" s="100">
        <v>583.75843756491201</v>
      </c>
      <c r="AR67" s="100">
        <v>2.6118813803304006E-4</v>
      </c>
      <c r="AS67" s="100">
        <v>0.29336651663871061</v>
      </c>
      <c r="AT67" s="100">
        <v>1.9912056390355488E-4</v>
      </c>
      <c r="AU67" s="100">
        <v>0.22365221737647284</v>
      </c>
      <c r="AV67" s="100">
        <v>7</v>
      </c>
      <c r="AW67" s="100">
        <v>7862.4000000000005</v>
      </c>
      <c r="AX67" s="100">
        <v>1.4304095037074049</v>
      </c>
      <c r="AY67" s="100">
        <v>1606.6359545641574</v>
      </c>
      <c r="AZ67" s="100">
        <v>9</v>
      </c>
      <c r="BA67" s="100">
        <v>10108.800000000001</v>
      </c>
      <c r="BB67" s="100">
        <v>8</v>
      </c>
      <c r="BC67" s="100">
        <v>8985.6</v>
      </c>
      <c r="BD67" s="100">
        <v>6</v>
      </c>
      <c r="BE67" s="100">
        <v>6739.2000000000007</v>
      </c>
      <c r="BF67" s="100">
        <v>10</v>
      </c>
      <c r="BG67" s="100">
        <v>11232</v>
      </c>
      <c r="BH67" s="100">
        <v>11</v>
      </c>
      <c r="BI67" s="100">
        <v>12355.2</v>
      </c>
      <c r="BJ67" s="100">
        <v>5</v>
      </c>
      <c r="BK67" s="100">
        <v>5616</v>
      </c>
      <c r="BL67" s="100">
        <v>6</v>
      </c>
      <c r="BM67" s="100">
        <v>6739.2000000000007</v>
      </c>
      <c r="BN67" s="100">
        <v>5.3458571028665656</v>
      </c>
      <c r="BO67" s="100">
        <v>6004.4666979397271</v>
      </c>
      <c r="BP67" s="100">
        <v>7</v>
      </c>
      <c r="BQ67" s="100">
        <v>7862.4000000000005</v>
      </c>
      <c r="BR67" s="100">
        <v>7</v>
      </c>
      <c r="BS67" s="100">
        <v>7862.4000000000005</v>
      </c>
      <c r="BT67" s="100">
        <v>5.3762721485024345</v>
      </c>
      <c r="BU67" s="100">
        <v>6038.6288771979343</v>
      </c>
      <c r="BV67" s="100">
        <v>0</v>
      </c>
      <c r="BW67" s="100">
        <v>0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5</v>
      </c>
      <c r="CC67" s="100">
        <v>5616</v>
      </c>
      <c r="CD67" s="100">
        <v>9</v>
      </c>
      <c r="CE67" s="100">
        <v>10108.800000000001</v>
      </c>
      <c r="CF67" s="100">
        <v>8</v>
      </c>
      <c r="CG67" s="100">
        <v>8985.6</v>
      </c>
      <c r="CH67" s="100">
        <v>9</v>
      </c>
      <c r="CI67" s="100">
        <v>10108.800000000001</v>
      </c>
      <c r="CJ67" s="100">
        <v>5.2062954062793345</v>
      </c>
      <c r="CK67" s="100">
        <v>5847.711000332949</v>
      </c>
      <c r="CL67" s="100">
        <v>7</v>
      </c>
      <c r="CM67" s="100">
        <v>7862.4000000000005</v>
      </c>
      <c r="CN67" s="100">
        <v>6</v>
      </c>
      <c r="CO67" s="100">
        <v>6739.2000000000007</v>
      </c>
      <c r="CP67" s="100">
        <v>7.9132894705032601</v>
      </c>
      <c r="CQ67" s="100">
        <v>8888.2067332692623</v>
      </c>
      <c r="CR67" s="100">
        <v>6.1250515973267605</v>
      </c>
      <c r="CS67" s="100">
        <v>6879.6579541174178</v>
      </c>
      <c r="CT67" s="100">
        <v>8</v>
      </c>
      <c r="CU67" s="100">
        <v>8985.6</v>
      </c>
    </row>
    <row r="68" spans="2:99">
      <c r="C68" s="99" t="s">
        <v>234</v>
      </c>
      <c r="D68" s="100">
        <v>8</v>
      </c>
      <c r="E68" s="100">
        <v>8265.6</v>
      </c>
      <c r="F68" s="100">
        <v>6</v>
      </c>
      <c r="G68" s="100">
        <v>6199.2000000000007</v>
      </c>
      <c r="H68" s="100">
        <v>7</v>
      </c>
      <c r="I68" s="100">
        <v>7232.4000000000005</v>
      </c>
      <c r="J68" s="100">
        <v>7</v>
      </c>
      <c r="K68" s="100">
        <v>7232.4000000000005</v>
      </c>
      <c r="L68" s="100">
        <v>9</v>
      </c>
      <c r="M68" s="100">
        <v>9298.8000000000011</v>
      </c>
      <c r="N68" s="100">
        <v>7</v>
      </c>
      <c r="O68" s="100">
        <v>7232.4000000000005</v>
      </c>
      <c r="P68" s="100">
        <v>9</v>
      </c>
      <c r="Q68" s="100">
        <v>9298.8000000000011</v>
      </c>
      <c r="R68" s="100">
        <v>8</v>
      </c>
      <c r="S68" s="100">
        <v>8265.6</v>
      </c>
      <c r="T68" s="100">
        <v>10</v>
      </c>
      <c r="U68" s="100">
        <v>10332</v>
      </c>
      <c r="V68" s="100">
        <v>7</v>
      </c>
      <c r="W68" s="100">
        <v>7232.4000000000005</v>
      </c>
      <c r="X68" s="100">
        <v>7</v>
      </c>
      <c r="Y68" s="100">
        <v>7232.4000000000005</v>
      </c>
      <c r="Z68" s="100">
        <v>9</v>
      </c>
      <c r="AA68" s="100">
        <v>9298.8000000000011</v>
      </c>
      <c r="AB68" s="100">
        <v>10</v>
      </c>
      <c r="AC68" s="100">
        <v>10332</v>
      </c>
      <c r="AD68" s="100">
        <v>6</v>
      </c>
      <c r="AE68" s="100">
        <v>6199.2000000000007</v>
      </c>
      <c r="AF68" s="100">
        <v>8.9771357177807367</v>
      </c>
      <c r="AG68" s="100">
        <v>9275.1766236110579</v>
      </c>
      <c r="AH68" s="100">
        <v>11</v>
      </c>
      <c r="AI68" s="100">
        <v>11365.2</v>
      </c>
      <c r="AJ68" s="100">
        <v>8.9244600310035924</v>
      </c>
      <c r="AK68" s="100">
        <v>9220.752104032912</v>
      </c>
      <c r="AL68" s="100">
        <v>6</v>
      </c>
      <c r="AM68" s="100">
        <v>6199.2000000000007</v>
      </c>
      <c r="AN68" s="100">
        <v>10</v>
      </c>
      <c r="AO68" s="100">
        <v>10332</v>
      </c>
      <c r="AP68" s="100">
        <v>0.46775515830521802</v>
      </c>
      <c r="AQ68" s="100">
        <v>483.28462956095126</v>
      </c>
      <c r="AR68" s="100">
        <v>2.9020904225893343E-4</v>
      </c>
      <c r="AS68" s="100">
        <v>0.29984398246193</v>
      </c>
      <c r="AT68" s="100">
        <v>1.9912056390355488E-4</v>
      </c>
      <c r="AU68" s="100">
        <v>0.2057313666251529</v>
      </c>
      <c r="AV68" s="100">
        <v>7</v>
      </c>
      <c r="AW68" s="100">
        <v>7232.4000000000005</v>
      </c>
      <c r="AX68" s="100">
        <v>1.4304095037074049</v>
      </c>
      <c r="AY68" s="100">
        <v>1477.8990992304909</v>
      </c>
      <c r="AZ68" s="100">
        <v>9</v>
      </c>
      <c r="BA68" s="100">
        <v>9298.8000000000011</v>
      </c>
      <c r="BB68" s="100">
        <v>8</v>
      </c>
      <c r="BC68" s="100">
        <v>8265.6</v>
      </c>
      <c r="BD68" s="100">
        <v>6</v>
      </c>
      <c r="BE68" s="100">
        <v>6199.2000000000007</v>
      </c>
      <c r="BF68" s="100">
        <v>10</v>
      </c>
      <c r="BG68" s="100">
        <v>10332</v>
      </c>
      <c r="BH68" s="100">
        <v>11</v>
      </c>
      <c r="BI68" s="100">
        <v>11365.2</v>
      </c>
      <c r="BJ68" s="100">
        <v>5</v>
      </c>
      <c r="BK68" s="100">
        <v>5166</v>
      </c>
      <c r="BL68" s="100">
        <v>7</v>
      </c>
      <c r="BM68" s="100">
        <v>7232.4000000000005</v>
      </c>
      <c r="BN68" s="100">
        <v>4.8112713925799087</v>
      </c>
      <c r="BO68" s="100">
        <v>4971.0056028135623</v>
      </c>
      <c r="BP68" s="100">
        <v>8</v>
      </c>
      <c r="BQ68" s="100">
        <v>8265.6</v>
      </c>
      <c r="BR68" s="100">
        <v>8</v>
      </c>
      <c r="BS68" s="100">
        <v>8265.6</v>
      </c>
      <c r="BT68" s="100">
        <v>5.3762721485024345</v>
      </c>
      <c r="BU68" s="100">
        <v>5554.7643838327158</v>
      </c>
      <c r="BV68" s="100">
        <v>0</v>
      </c>
      <c r="BW68" s="100">
        <v>0</v>
      </c>
      <c r="BX68" s="100">
        <v>7</v>
      </c>
      <c r="BY68" s="100">
        <v>7232.4000000000005</v>
      </c>
      <c r="BZ68" s="100">
        <v>9</v>
      </c>
      <c r="CA68" s="100">
        <v>9298.8000000000011</v>
      </c>
      <c r="CB68" s="100">
        <v>5</v>
      </c>
      <c r="CC68" s="100">
        <v>5166</v>
      </c>
      <c r="CD68" s="100">
        <v>9</v>
      </c>
      <c r="CE68" s="100">
        <v>9298.8000000000011</v>
      </c>
      <c r="CF68" s="100">
        <v>10</v>
      </c>
      <c r="CG68" s="100">
        <v>10332</v>
      </c>
      <c r="CH68" s="100">
        <v>9</v>
      </c>
      <c r="CI68" s="100">
        <v>9298.8000000000011</v>
      </c>
      <c r="CJ68" s="100">
        <v>5.2062954062793345</v>
      </c>
      <c r="CK68" s="100">
        <v>5379.1444137678091</v>
      </c>
      <c r="CL68" s="100">
        <v>7</v>
      </c>
      <c r="CM68" s="100">
        <v>7232.4000000000005</v>
      </c>
      <c r="CN68" s="100">
        <v>6</v>
      </c>
      <c r="CO68" s="100">
        <v>6199.2000000000007</v>
      </c>
      <c r="CP68" s="100">
        <v>9.6717982417262078</v>
      </c>
      <c r="CQ68" s="100">
        <v>9992.9019433515186</v>
      </c>
      <c r="CR68" s="100">
        <v>6.1250515973267605</v>
      </c>
      <c r="CS68" s="100">
        <v>6328.4033103580095</v>
      </c>
      <c r="CT68" s="100">
        <v>7</v>
      </c>
      <c r="CU68" s="100">
        <v>7232.4000000000005</v>
      </c>
    </row>
    <row r="69" spans="2:99">
      <c r="C69" s="99" t="s">
        <v>235</v>
      </c>
      <c r="D69" s="100">
        <v>7</v>
      </c>
      <c r="E69" s="100">
        <v>5308.8</v>
      </c>
      <c r="F69" s="100">
        <v>5</v>
      </c>
      <c r="G69" s="100">
        <v>3792</v>
      </c>
      <c r="H69" s="100">
        <v>6</v>
      </c>
      <c r="I69" s="100">
        <v>4550.3999999999996</v>
      </c>
      <c r="J69" s="100">
        <v>6</v>
      </c>
      <c r="K69" s="100">
        <v>4550.3999999999996</v>
      </c>
      <c r="L69" s="100">
        <v>10</v>
      </c>
      <c r="M69" s="100">
        <v>7584</v>
      </c>
      <c r="N69" s="100">
        <v>6</v>
      </c>
      <c r="O69" s="100">
        <v>4550.3999999999996</v>
      </c>
      <c r="P69" s="100">
        <v>10</v>
      </c>
      <c r="Q69" s="100">
        <v>7584</v>
      </c>
      <c r="R69" s="100">
        <v>8</v>
      </c>
      <c r="S69" s="100">
        <v>6067.2</v>
      </c>
      <c r="T69" s="100">
        <v>10</v>
      </c>
      <c r="U69" s="100">
        <v>7584</v>
      </c>
      <c r="V69" s="100">
        <v>7</v>
      </c>
      <c r="W69" s="100">
        <v>5308.8</v>
      </c>
      <c r="X69" s="100">
        <v>7</v>
      </c>
      <c r="Y69" s="100">
        <v>5308.8</v>
      </c>
      <c r="Z69" s="100">
        <v>9</v>
      </c>
      <c r="AA69" s="100">
        <v>6825.5999999999995</v>
      </c>
      <c r="AB69" s="100">
        <v>11</v>
      </c>
      <c r="AC69" s="100">
        <v>8342.4</v>
      </c>
      <c r="AD69" s="100">
        <v>7</v>
      </c>
      <c r="AE69" s="100">
        <v>5308.8</v>
      </c>
      <c r="AF69" s="100">
        <v>8.9771357177807367</v>
      </c>
      <c r="AG69" s="100">
        <v>6808.2597283649102</v>
      </c>
      <c r="AH69" s="100">
        <v>11</v>
      </c>
      <c r="AI69" s="100">
        <v>8342.4</v>
      </c>
      <c r="AJ69" s="100">
        <v>9.8169060341039529</v>
      </c>
      <c r="AK69" s="100">
        <v>7445.1415362644375</v>
      </c>
      <c r="AL69" s="100">
        <v>6</v>
      </c>
      <c r="AM69" s="100">
        <v>4550.3999999999996</v>
      </c>
      <c r="AN69" s="100">
        <v>10</v>
      </c>
      <c r="AO69" s="100">
        <v>7584</v>
      </c>
      <c r="AP69" s="100">
        <v>0.46775515830521802</v>
      </c>
      <c r="AQ69" s="100">
        <v>354.74551205867732</v>
      </c>
      <c r="AR69" s="100">
        <v>2.9020904225893343E-4</v>
      </c>
      <c r="AS69" s="100">
        <v>0.22009453764917511</v>
      </c>
      <c r="AT69" s="100">
        <v>2.2756635874691985E-4</v>
      </c>
      <c r="AU69" s="100">
        <v>0.17258632647366401</v>
      </c>
      <c r="AV69" s="100">
        <v>8</v>
      </c>
      <c r="AW69" s="100">
        <v>6067.2</v>
      </c>
      <c r="AX69" s="100">
        <v>1.6688110876586391</v>
      </c>
      <c r="AY69" s="100">
        <v>1265.6263288803118</v>
      </c>
      <c r="AZ69" s="100">
        <v>8</v>
      </c>
      <c r="BA69" s="100">
        <v>6067.2</v>
      </c>
      <c r="BB69" s="100">
        <v>9</v>
      </c>
      <c r="BC69" s="100">
        <v>6825.5999999999995</v>
      </c>
      <c r="BD69" s="100">
        <v>6</v>
      </c>
      <c r="BE69" s="100">
        <v>4550.3999999999996</v>
      </c>
      <c r="BF69" s="100">
        <v>12</v>
      </c>
      <c r="BG69" s="100">
        <v>9100.7999999999993</v>
      </c>
      <c r="BH69" s="100">
        <v>11</v>
      </c>
      <c r="BI69" s="100">
        <v>8342.4</v>
      </c>
      <c r="BJ69" s="100">
        <v>5</v>
      </c>
      <c r="BK69" s="100">
        <v>3792</v>
      </c>
      <c r="BL69" s="100">
        <v>7</v>
      </c>
      <c r="BM69" s="100">
        <v>5308.8</v>
      </c>
      <c r="BN69" s="100">
        <v>5.3458571028665656</v>
      </c>
      <c r="BO69" s="100">
        <v>4054.2980268140032</v>
      </c>
      <c r="BP69" s="100">
        <v>8</v>
      </c>
      <c r="BQ69" s="100">
        <v>6067.2</v>
      </c>
      <c r="BR69" s="100">
        <v>7</v>
      </c>
      <c r="BS69" s="100">
        <v>5308.8</v>
      </c>
      <c r="BT69" s="100">
        <v>5.3762721485024345</v>
      </c>
      <c r="BU69" s="100">
        <v>4077.3647974242463</v>
      </c>
      <c r="BV69" s="100">
        <v>0</v>
      </c>
      <c r="BW69" s="100">
        <v>0</v>
      </c>
      <c r="BX69" s="100">
        <v>6</v>
      </c>
      <c r="BY69" s="100">
        <v>4550.3999999999996</v>
      </c>
      <c r="BZ69" s="100">
        <v>9</v>
      </c>
      <c r="CA69" s="100">
        <v>6825.5999999999995</v>
      </c>
      <c r="CB69" s="100">
        <v>5</v>
      </c>
      <c r="CC69" s="100">
        <v>3792</v>
      </c>
      <c r="CD69" s="100">
        <v>10</v>
      </c>
      <c r="CE69" s="100">
        <v>7584</v>
      </c>
      <c r="CF69" s="100">
        <v>10</v>
      </c>
      <c r="CG69" s="100">
        <v>7584</v>
      </c>
      <c r="CH69" s="100">
        <v>9</v>
      </c>
      <c r="CI69" s="100">
        <v>6825.5999999999995</v>
      </c>
      <c r="CJ69" s="100">
        <v>5.2062954062793345</v>
      </c>
      <c r="CK69" s="100">
        <v>3948.454436122247</v>
      </c>
      <c r="CL69" s="100">
        <v>7</v>
      </c>
      <c r="CM69" s="100">
        <v>5308.8</v>
      </c>
      <c r="CN69" s="100">
        <v>7</v>
      </c>
      <c r="CO69" s="100">
        <v>5308.8</v>
      </c>
      <c r="CP69" s="100">
        <v>8.7925438561147349</v>
      </c>
      <c r="CQ69" s="100">
        <v>6668.2652604774148</v>
      </c>
      <c r="CR69" s="100">
        <v>6.1250515973267605</v>
      </c>
      <c r="CS69" s="100">
        <v>4645.2391314126153</v>
      </c>
      <c r="CT69" s="100">
        <v>8</v>
      </c>
      <c r="CU69" s="100">
        <v>6067.2</v>
      </c>
    </row>
    <row r="70" spans="2:99">
      <c r="C70" s="99" t="s">
        <v>236</v>
      </c>
      <c r="D70" s="100">
        <v>7</v>
      </c>
      <c r="E70" s="100">
        <v>3746.3999999999996</v>
      </c>
      <c r="F70" s="100">
        <v>6</v>
      </c>
      <c r="G70" s="100">
        <v>3211.2</v>
      </c>
      <c r="H70" s="100">
        <v>6</v>
      </c>
      <c r="I70" s="100">
        <v>3211.2</v>
      </c>
      <c r="J70" s="100">
        <v>7</v>
      </c>
      <c r="K70" s="100">
        <v>3746.3999999999996</v>
      </c>
      <c r="L70" s="100">
        <v>9</v>
      </c>
      <c r="M70" s="100">
        <v>4816.7999999999993</v>
      </c>
      <c r="N70" s="100">
        <v>6</v>
      </c>
      <c r="O70" s="100">
        <v>3211.2</v>
      </c>
      <c r="P70" s="100">
        <v>10</v>
      </c>
      <c r="Q70" s="100">
        <v>5351.9999999999991</v>
      </c>
      <c r="R70" s="100">
        <v>9</v>
      </c>
      <c r="S70" s="100">
        <v>4816.7999999999993</v>
      </c>
      <c r="T70" s="100">
        <v>10</v>
      </c>
      <c r="U70" s="100">
        <v>5351.9999999999991</v>
      </c>
      <c r="V70" s="100">
        <v>6</v>
      </c>
      <c r="W70" s="100">
        <v>3211.2</v>
      </c>
      <c r="X70" s="100">
        <v>7</v>
      </c>
      <c r="Y70" s="100">
        <v>3746.3999999999996</v>
      </c>
      <c r="Z70" s="100">
        <v>9</v>
      </c>
      <c r="AA70" s="100">
        <v>4816.7999999999993</v>
      </c>
      <c r="AB70" s="100">
        <v>11</v>
      </c>
      <c r="AC70" s="100">
        <v>5887.1999999999989</v>
      </c>
      <c r="AD70" s="100">
        <v>7</v>
      </c>
      <c r="AE70" s="100">
        <v>3746.3999999999996</v>
      </c>
      <c r="AF70" s="100">
        <v>8.9771357177807367</v>
      </c>
      <c r="AG70" s="100">
        <v>4804.5630361562498</v>
      </c>
      <c r="AH70" s="100">
        <v>10</v>
      </c>
      <c r="AI70" s="100">
        <v>5351.9999999999991</v>
      </c>
      <c r="AJ70" s="100">
        <v>10.709352037204312</v>
      </c>
      <c r="AK70" s="100">
        <v>5731.6452103117472</v>
      </c>
      <c r="AL70" s="100">
        <v>6</v>
      </c>
      <c r="AM70" s="100">
        <v>3211.2</v>
      </c>
      <c r="AN70" s="100">
        <v>10</v>
      </c>
      <c r="AO70" s="100">
        <v>5351.9999999999991</v>
      </c>
      <c r="AP70" s="100">
        <v>0.51972795367246438</v>
      </c>
      <c r="AQ70" s="100">
        <v>278.15840080550288</v>
      </c>
      <c r="AR70" s="100">
        <v>2.9020904225893343E-4</v>
      </c>
      <c r="AS70" s="100">
        <v>0.15531987941698114</v>
      </c>
      <c r="AT70" s="100">
        <v>2.2756635874691985E-4</v>
      </c>
      <c r="AU70" s="100">
        <v>0.12179351520135148</v>
      </c>
      <c r="AV70" s="100">
        <v>7</v>
      </c>
      <c r="AW70" s="100">
        <v>3746.3999999999996</v>
      </c>
      <c r="AX70" s="100">
        <v>1.4304095037074049</v>
      </c>
      <c r="AY70" s="100">
        <v>765.55516638420306</v>
      </c>
      <c r="AZ70" s="100">
        <v>8</v>
      </c>
      <c r="BA70" s="100">
        <v>4281.5999999999995</v>
      </c>
      <c r="BB70" s="100">
        <v>8</v>
      </c>
      <c r="BC70" s="100">
        <v>4281.5999999999995</v>
      </c>
      <c r="BD70" s="100">
        <v>6</v>
      </c>
      <c r="BE70" s="100">
        <v>3211.2</v>
      </c>
      <c r="BF70" s="100">
        <v>12</v>
      </c>
      <c r="BG70" s="100">
        <v>6422.4</v>
      </c>
      <c r="BH70" s="100">
        <v>10</v>
      </c>
      <c r="BI70" s="100">
        <v>5351.9999999999991</v>
      </c>
      <c r="BJ70" s="100">
        <v>6</v>
      </c>
      <c r="BK70" s="100">
        <v>3211.2</v>
      </c>
      <c r="BL70" s="100">
        <v>7</v>
      </c>
      <c r="BM70" s="100">
        <v>3746.3999999999996</v>
      </c>
      <c r="BN70" s="100">
        <v>5.3458571028665656</v>
      </c>
      <c r="BO70" s="100">
        <v>2861.1027214541855</v>
      </c>
      <c r="BP70" s="100">
        <v>8</v>
      </c>
      <c r="BQ70" s="100">
        <v>4281.5999999999995</v>
      </c>
      <c r="BR70" s="100">
        <v>8</v>
      </c>
      <c r="BS70" s="100">
        <v>4281.5999999999995</v>
      </c>
      <c r="BT70" s="100">
        <v>6.272317506586174</v>
      </c>
      <c r="BU70" s="100">
        <v>3356.9443295249198</v>
      </c>
      <c r="BV70" s="100">
        <v>0</v>
      </c>
      <c r="BW70" s="100">
        <v>0</v>
      </c>
      <c r="BX70" s="100">
        <v>7</v>
      </c>
      <c r="BY70" s="100">
        <v>3746.3999999999996</v>
      </c>
      <c r="BZ70" s="100">
        <v>10</v>
      </c>
      <c r="CA70" s="100">
        <v>5351.9999999999991</v>
      </c>
      <c r="CB70" s="100">
        <v>5</v>
      </c>
      <c r="CC70" s="100">
        <v>2675.9999999999995</v>
      </c>
      <c r="CD70" s="100">
        <v>10</v>
      </c>
      <c r="CE70" s="100">
        <v>5351.9999999999991</v>
      </c>
      <c r="CF70" s="100">
        <v>9</v>
      </c>
      <c r="CG70" s="100">
        <v>4816.7999999999993</v>
      </c>
      <c r="CH70" s="100">
        <v>9</v>
      </c>
      <c r="CI70" s="100">
        <v>4816.7999999999993</v>
      </c>
      <c r="CJ70" s="100">
        <v>5.2062954062793345</v>
      </c>
      <c r="CK70" s="100">
        <v>2786.4093014406994</v>
      </c>
      <c r="CL70" s="100">
        <v>7</v>
      </c>
      <c r="CM70" s="100">
        <v>3746.3999999999996</v>
      </c>
      <c r="CN70" s="100">
        <v>6</v>
      </c>
      <c r="CO70" s="100">
        <v>3211.2</v>
      </c>
      <c r="CP70" s="100">
        <v>9.6717982417262078</v>
      </c>
      <c r="CQ70" s="100">
        <v>5176.3464189718661</v>
      </c>
      <c r="CR70" s="100">
        <v>6.1250515973267605</v>
      </c>
      <c r="CS70" s="100">
        <v>3278.1276148892816</v>
      </c>
      <c r="CT70" s="100">
        <v>8</v>
      </c>
      <c r="CU70" s="100">
        <v>4281.5999999999995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8</v>
      </c>
      <c r="G71" s="100">
        <v>4512</v>
      </c>
      <c r="H71" s="100">
        <v>10</v>
      </c>
      <c r="I71" s="100">
        <v>5640</v>
      </c>
      <c r="J71" s="100">
        <v>8</v>
      </c>
      <c r="K71" s="100">
        <v>4512</v>
      </c>
      <c r="L71" s="100">
        <v>7.8281085804294221</v>
      </c>
      <c r="M71" s="100">
        <v>4415.0532393621943</v>
      </c>
      <c r="N71" s="100">
        <v>13</v>
      </c>
      <c r="O71" s="100">
        <v>7332</v>
      </c>
      <c r="P71" s="100">
        <v>15</v>
      </c>
      <c r="Q71" s="100">
        <v>8460</v>
      </c>
      <c r="R71" s="100">
        <v>9</v>
      </c>
      <c r="S71" s="100">
        <v>5076</v>
      </c>
      <c r="T71" s="100">
        <v>7</v>
      </c>
      <c r="U71" s="100">
        <v>3948</v>
      </c>
      <c r="V71" s="100">
        <v>9</v>
      </c>
      <c r="W71" s="100">
        <v>5076</v>
      </c>
      <c r="X71" s="100">
        <v>11.596534438670632</v>
      </c>
      <c r="Y71" s="100">
        <v>6540.4454234102368</v>
      </c>
      <c r="Z71" s="100">
        <v>7</v>
      </c>
      <c r="AA71" s="100">
        <v>3948</v>
      </c>
      <c r="AB71" s="100">
        <v>11</v>
      </c>
      <c r="AC71" s="100">
        <v>6204</v>
      </c>
      <c r="AD71" s="100">
        <v>13.530882748436118</v>
      </c>
      <c r="AE71" s="100">
        <v>7631.4178701179708</v>
      </c>
      <c r="AF71" s="100">
        <v>11</v>
      </c>
      <c r="AG71" s="100">
        <v>6204</v>
      </c>
      <c r="AH71" s="100">
        <v>6.9254168925465702</v>
      </c>
      <c r="AI71" s="100">
        <v>3905.9351273962657</v>
      </c>
      <c r="AJ71" s="100">
        <v>11.046477156106484</v>
      </c>
      <c r="AK71" s="100">
        <v>6230.2131160440567</v>
      </c>
      <c r="AL71" s="100">
        <v>0</v>
      </c>
      <c r="AM71" s="100">
        <v>0</v>
      </c>
      <c r="AN71" s="100">
        <v>8</v>
      </c>
      <c r="AO71" s="100">
        <v>4512</v>
      </c>
      <c r="AP71" s="100">
        <v>14</v>
      </c>
      <c r="AQ71" s="100">
        <v>7896</v>
      </c>
      <c r="AR71" s="100">
        <v>7.7621254388424106</v>
      </c>
      <c r="AS71" s="100">
        <v>4377.8387475071195</v>
      </c>
      <c r="AT71" s="100">
        <v>5.7979066207278809</v>
      </c>
      <c r="AU71" s="100">
        <v>3270.0193340905248</v>
      </c>
      <c r="AV71" s="100">
        <v>6.8474558310708975</v>
      </c>
      <c r="AW71" s="100">
        <v>3861.9650887239864</v>
      </c>
      <c r="AX71" s="100">
        <v>9.414179844379408</v>
      </c>
      <c r="AY71" s="100">
        <v>5309.5974322299862</v>
      </c>
      <c r="AZ71" s="100">
        <v>9</v>
      </c>
      <c r="BA71" s="100">
        <v>5076</v>
      </c>
      <c r="BB71" s="100">
        <v>11.656874152295334</v>
      </c>
      <c r="BC71" s="100">
        <v>6574.4770218945687</v>
      </c>
      <c r="BD71" s="100">
        <v>8</v>
      </c>
      <c r="BE71" s="100">
        <v>4512</v>
      </c>
      <c r="BF71" s="100">
        <v>5.0756830976136227</v>
      </c>
      <c r="BG71" s="100">
        <v>2862.6852670540834</v>
      </c>
      <c r="BH71" s="100">
        <v>11</v>
      </c>
      <c r="BI71" s="100">
        <v>6204</v>
      </c>
      <c r="BJ71" s="100">
        <v>9</v>
      </c>
      <c r="BK71" s="100">
        <v>5076</v>
      </c>
      <c r="BL71" s="100">
        <v>11</v>
      </c>
      <c r="BM71" s="100">
        <v>6204</v>
      </c>
      <c r="BN71" s="100">
        <v>11</v>
      </c>
      <c r="BO71" s="100">
        <v>6204</v>
      </c>
      <c r="BP71" s="100">
        <v>11</v>
      </c>
      <c r="BQ71" s="100">
        <v>6204</v>
      </c>
      <c r="BR71" s="100">
        <v>6.1862696019953978</v>
      </c>
      <c r="BS71" s="100">
        <v>3489.0560555254042</v>
      </c>
      <c r="BT71" s="100">
        <v>11</v>
      </c>
      <c r="BU71" s="100">
        <v>6204</v>
      </c>
      <c r="BV71" s="100">
        <v>8.3360720614889878</v>
      </c>
      <c r="BW71" s="100">
        <v>4701.5446426797889</v>
      </c>
      <c r="BX71" s="100">
        <v>10.278165180746697</v>
      </c>
      <c r="BY71" s="100">
        <v>5796.8851619411371</v>
      </c>
      <c r="BZ71" s="100">
        <v>8</v>
      </c>
      <c r="CA71" s="100">
        <v>4512</v>
      </c>
      <c r="CB71" s="100">
        <v>10</v>
      </c>
      <c r="CC71" s="100">
        <v>5640</v>
      </c>
      <c r="CD71" s="100">
        <v>8.0567961660809413</v>
      </c>
      <c r="CE71" s="100">
        <v>4544.0330376696511</v>
      </c>
      <c r="CF71" s="100">
        <v>11</v>
      </c>
      <c r="CG71" s="100">
        <v>6204</v>
      </c>
      <c r="CH71" s="100">
        <v>9.6812199328228594</v>
      </c>
      <c r="CI71" s="100">
        <v>5460.2080421120927</v>
      </c>
      <c r="CJ71" s="100">
        <v>9</v>
      </c>
      <c r="CK71" s="100">
        <v>5076</v>
      </c>
      <c r="CL71" s="100">
        <v>14</v>
      </c>
      <c r="CM71" s="100">
        <v>7896</v>
      </c>
      <c r="CN71" s="100">
        <v>9.5730051740785296</v>
      </c>
      <c r="CO71" s="100">
        <v>5399.1749181802907</v>
      </c>
      <c r="CP71" s="100">
        <v>7.1182915566718599</v>
      </c>
      <c r="CQ71" s="100">
        <v>4014.7164379629289</v>
      </c>
      <c r="CR71" s="100">
        <v>13</v>
      </c>
      <c r="CS71" s="100">
        <v>7332</v>
      </c>
      <c r="CT71" s="100">
        <v>13.628592195071869</v>
      </c>
      <c r="CU71" s="100">
        <v>7686.5259980205346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7</v>
      </c>
      <c r="G72" s="100">
        <v>520.79999999999995</v>
      </c>
      <c r="H72" s="100">
        <v>10</v>
      </c>
      <c r="I72" s="100">
        <v>743.99999999999989</v>
      </c>
      <c r="J72" s="100">
        <v>7</v>
      </c>
      <c r="K72" s="100">
        <v>520.79999999999995</v>
      </c>
      <c r="L72" s="100">
        <v>7.3062346750674614</v>
      </c>
      <c r="M72" s="100">
        <v>543.58385982501909</v>
      </c>
      <c r="N72" s="100">
        <v>14</v>
      </c>
      <c r="O72" s="100">
        <v>1041.5999999999999</v>
      </c>
      <c r="P72" s="100">
        <v>14</v>
      </c>
      <c r="Q72" s="100">
        <v>1041.5999999999999</v>
      </c>
      <c r="R72" s="100">
        <v>8</v>
      </c>
      <c r="S72" s="100">
        <v>595.19999999999993</v>
      </c>
      <c r="T72" s="100">
        <v>8</v>
      </c>
      <c r="U72" s="100">
        <v>595.19999999999993</v>
      </c>
      <c r="V72" s="100">
        <v>9</v>
      </c>
      <c r="W72" s="100">
        <v>669.59999999999991</v>
      </c>
      <c r="X72" s="100">
        <v>11.596534438670632</v>
      </c>
      <c r="Y72" s="100">
        <v>862.78216223709489</v>
      </c>
      <c r="Z72" s="100">
        <v>9</v>
      </c>
      <c r="AA72" s="100">
        <v>669.59999999999991</v>
      </c>
      <c r="AB72" s="100">
        <v>12</v>
      </c>
      <c r="AC72" s="100">
        <v>892.8</v>
      </c>
      <c r="AD72" s="100">
        <v>13.530882748436118</v>
      </c>
      <c r="AE72" s="100">
        <v>1006.6976764836471</v>
      </c>
      <c r="AF72" s="100">
        <v>10</v>
      </c>
      <c r="AG72" s="100">
        <v>743.99999999999989</v>
      </c>
      <c r="AH72" s="100">
        <v>7.5550002464144397</v>
      </c>
      <c r="AI72" s="100">
        <v>562.09201833323425</v>
      </c>
      <c r="AJ72" s="100">
        <v>10.310045345699384</v>
      </c>
      <c r="AK72" s="100">
        <v>767.06737372003408</v>
      </c>
      <c r="AL72" s="100">
        <v>0</v>
      </c>
      <c r="AM72" s="100">
        <v>0</v>
      </c>
      <c r="AN72" s="100">
        <v>9</v>
      </c>
      <c r="AO72" s="100">
        <v>669.59999999999991</v>
      </c>
      <c r="AP72" s="100">
        <v>13</v>
      </c>
      <c r="AQ72" s="100">
        <v>967.19999999999993</v>
      </c>
      <c r="AR72" s="100">
        <v>8.732391118697711</v>
      </c>
      <c r="AS72" s="100">
        <v>649.68989923110962</v>
      </c>
      <c r="AT72" s="100">
        <v>6.626178995117578</v>
      </c>
      <c r="AU72" s="100">
        <v>492.98771723674776</v>
      </c>
      <c r="AV72" s="100">
        <v>6.3207284594500601</v>
      </c>
      <c r="AW72" s="100">
        <v>470.26219738308441</v>
      </c>
      <c r="AX72" s="100">
        <v>10.355597828817348</v>
      </c>
      <c r="AY72" s="100">
        <v>770.45647846401062</v>
      </c>
      <c r="AZ72" s="100">
        <v>10</v>
      </c>
      <c r="BA72" s="100">
        <v>743.99999999999989</v>
      </c>
      <c r="BB72" s="100">
        <v>12.553556779394974</v>
      </c>
      <c r="BC72" s="100">
        <v>933.98462438698596</v>
      </c>
      <c r="BD72" s="100">
        <v>9</v>
      </c>
      <c r="BE72" s="100">
        <v>669.59999999999991</v>
      </c>
      <c r="BF72" s="100">
        <v>5.0756830976136227</v>
      </c>
      <c r="BG72" s="100">
        <v>377.63082246245347</v>
      </c>
      <c r="BH72" s="100">
        <v>12</v>
      </c>
      <c r="BI72" s="100">
        <v>892.8</v>
      </c>
      <c r="BJ72" s="100">
        <v>9</v>
      </c>
      <c r="BK72" s="100">
        <v>669.59999999999991</v>
      </c>
      <c r="BL72" s="100">
        <v>10</v>
      </c>
      <c r="BM72" s="100">
        <v>743.99999999999989</v>
      </c>
      <c r="BN72" s="100">
        <v>10</v>
      </c>
      <c r="BO72" s="100">
        <v>743.99999999999989</v>
      </c>
      <c r="BP72" s="100">
        <v>11</v>
      </c>
      <c r="BQ72" s="100">
        <v>818.39999999999986</v>
      </c>
      <c r="BR72" s="100">
        <v>7.5609961802165975</v>
      </c>
      <c r="BS72" s="100">
        <v>562.53811580811475</v>
      </c>
      <c r="BT72" s="100">
        <v>12</v>
      </c>
      <c r="BU72" s="100">
        <v>892.8</v>
      </c>
      <c r="BV72" s="100">
        <v>8.3360720614889878</v>
      </c>
      <c r="BW72" s="100">
        <v>620.20376137478058</v>
      </c>
      <c r="BX72" s="100">
        <v>11.859421362400035</v>
      </c>
      <c r="BY72" s="100">
        <v>882.34094936256247</v>
      </c>
      <c r="BZ72" s="100">
        <v>9</v>
      </c>
      <c r="CA72" s="100">
        <v>669.59999999999991</v>
      </c>
      <c r="CB72" s="100">
        <v>12</v>
      </c>
      <c r="CC72" s="100">
        <v>892.8</v>
      </c>
      <c r="CD72" s="100">
        <v>8.0567961660809413</v>
      </c>
      <c r="CE72" s="100">
        <v>599.42563475642191</v>
      </c>
      <c r="CF72" s="100">
        <v>11</v>
      </c>
      <c r="CG72" s="100">
        <v>818.39999999999986</v>
      </c>
      <c r="CH72" s="100">
        <v>7.9209981268550669</v>
      </c>
      <c r="CI72" s="100">
        <v>589.32226063801693</v>
      </c>
      <c r="CJ72" s="100">
        <v>8</v>
      </c>
      <c r="CK72" s="100">
        <v>595.19999999999993</v>
      </c>
      <c r="CL72" s="100">
        <v>14</v>
      </c>
      <c r="CM72" s="100">
        <v>1041.5999999999999</v>
      </c>
      <c r="CN72" s="100">
        <v>10.370755605251739</v>
      </c>
      <c r="CO72" s="100">
        <v>771.58421703072929</v>
      </c>
      <c r="CP72" s="100">
        <v>6.2285051120878769</v>
      </c>
      <c r="CQ72" s="100">
        <v>463.40078033933798</v>
      </c>
      <c r="CR72" s="100">
        <v>14</v>
      </c>
      <c r="CS72" s="100">
        <v>1041.5999999999999</v>
      </c>
      <c r="CT72" s="100">
        <v>13.628592195071869</v>
      </c>
      <c r="CU72" s="100">
        <v>1013.967259313347</v>
      </c>
    </row>
    <row r="73" spans="2:99">
      <c r="C73" s="99" t="s">
        <v>239</v>
      </c>
      <c r="D73" s="100">
        <v>9</v>
      </c>
      <c r="E73" s="100">
        <v>5032.7999999999993</v>
      </c>
      <c r="F73" s="100">
        <v>8</v>
      </c>
      <c r="G73" s="100">
        <v>4473.5999999999995</v>
      </c>
      <c r="H73" s="100">
        <v>11</v>
      </c>
      <c r="I73" s="100">
        <v>6151.1999999999989</v>
      </c>
      <c r="J73" s="100">
        <v>7</v>
      </c>
      <c r="K73" s="100">
        <v>3914.3999999999996</v>
      </c>
      <c r="L73" s="100">
        <v>6.7843607697054997</v>
      </c>
      <c r="M73" s="100">
        <v>3793.8145424193149</v>
      </c>
      <c r="N73" s="100">
        <v>13</v>
      </c>
      <c r="O73" s="100">
        <v>7269.5999999999995</v>
      </c>
      <c r="P73" s="100">
        <v>14</v>
      </c>
      <c r="Q73" s="100">
        <v>7828.7999999999993</v>
      </c>
      <c r="R73" s="100">
        <v>9</v>
      </c>
      <c r="S73" s="100">
        <v>5032.7999999999993</v>
      </c>
      <c r="T73" s="100">
        <v>7</v>
      </c>
      <c r="U73" s="100">
        <v>3914.3999999999996</v>
      </c>
      <c r="V73" s="100">
        <v>10</v>
      </c>
      <c r="W73" s="100">
        <v>5591.9999999999991</v>
      </c>
      <c r="X73" s="100">
        <v>11.596534438670632</v>
      </c>
      <c r="Y73" s="100">
        <v>6484.7820581046171</v>
      </c>
      <c r="Z73" s="100">
        <v>8</v>
      </c>
      <c r="AA73" s="100">
        <v>4473.5999999999995</v>
      </c>
      <c r="AB73" s="100">
        <v>12</v>
      </c>
      <c r="AC73" s="100">
        <v>6710.4</v>
      </c>
      <c r="AD73" s="100">
        <v>14.497374373324412</v>
      </c>
      <c r="AE73" s="100">
        <v>8106.9317495630103</v>
      </c>
      <c r="AF73" s="100">
        <v>9</v>
      </c>
      <c r="AG73" s="100">
        <v>5032.7999999999993</v>
      </c>
      <c r="AH73" s="100">
        <v>6.9254168925465702</v>
      </c>
      <c r="AI73" s="100">
        <v>3872.6931263120414</v>
      </c>
      <c r="AJ73" s="100">
        <v>10.310045345699384</v>
      </c>
      <c r="AK73" s="100">
        <v>5765.3773573150947</v>
      </c>
      <c r="AL73" s="100">
        <v>0</v>
      </c>
      <c r="AM73" s="100">
        <v>0</v>
      </c>
      <c r="AN73" s="100">
        <v>8</v>
      </c>
      <c r="AO73" s="100">
        <v>4473.5999999999995</v>
      </c>
      <c r="AP73" s="100">
        <v>12</v>
      </c>
      <c r="AQ73" s="100">
        <v>6710.4</v>
      </c>
      <c r="AR73" s="100">
        <v>6.7918597589871093</v>
      </c>
      <c r="AS73" s="100">
        <v>3798.0079772255908</v>
      </c>
      <c r="AT73" s="100">
        <v>5.7979066207278809</v>
      </c>
      <c r="AU73" s="100">
        <v>3242.1893823110304</v>
      </c>
      <c r="AV73" s="100">
        <v>6.8474558310708975</v>
      </c>
      <c r="AW73" s="100">
        <v>3829.0973007348452</v>
      </c>
      <c r="AX73" s="100">
        <v>11.297015813255291</v>
      </c>
      <c r="AY73" s="100">
        <v>6317.2912427723577</v>
      </c>
      <c r="AZ73" s="100">
        <v>9</v>
      </c>
      <c r="BA73" s="100">
        <v>5032.7999999999993</v>
      </c>
      <c r="BB73" s="100">
        <v>9.8635088980960521</v>
      </c>
      <c r="BC73" s="100">
        <v>5515.6741758153121</v>
      </c>
      <c r="BD73" s="100">
        <v>8</v>
      </c>
      <c r="BE73" s="100">
        <v>4473.5999999999995</v>
      </c>
      <c r="BF73" s="100">
        <v>5.0756830976136227</v>
      </c>
      <c r="BG73" s="100">
        <v>2838.3219881855375</v>
      </c>
      <c r="BH73" s="100">
        <v>11</v>
      </c>
      <c r="BI73" s="100">
        <v>6151.1999999999989</v>
      </c>
      <c r="BJ73" s="100">
        <v>8</v>
      </c>
      <c r="BK73" s="100">
        <v>4473.5999999999995</v>
      </c>
      <c r="BL73" s="100">
        <v>11</v>
      </c>
      <c r="BM73" s="100">
        <v>6151.1999999999989</v>
      </c>
      <c r="BN73" s="100">
        <v>10</v>
      </c>
      <c r="BO73" s="100">
        <v>5591.9999999999991</v>
      </c>
      <c r="BP73" s="100">
        <v>11</v>
      </c>
      <c r="BQ73" s="100">
        <v>6151.1999999999989</v>
      </c>
      <c r="BR73" s="100">
        <v>7.5609961802165975</v>
      </c>
      <c r="BS73" s="100">
        <v>4228.109063977121</v>
      </c>
      <c r="BT73" s="100">
        <v>13</v>
      </c>
      <c r="BU73" s="100">
        <v>7269.5999999999995</v>
      </c>
      <c r="BV73" s="100">
        <v>9.1696792676378873</v>
      </c>
      <c r="BW73" s="100">
        <v>5127.6846464631062</v>
      </c>
      <c r="BX73" s="100">
        <v>10.278165180746697</v>
      </c>
      <c r="BY73" s="100">
        <v>5747.5499690735523</v>
      </c>
      <c r="BZ73" s="100">
        <v>8</v>
      </c>
      <c r="CA73" s="100">
        <v>4473.5999999999995</v>
      </c>
      <c r="CB73" s="100">
        <v>11</v>
      </c>
      <c r="CC73" s="100">
        <v>6151.1999999999989</v>
      </c>
      <c r="CD73" s="100">
        <v>8.0567961660809413</v>
      </c>
      <c r="CE73" s="100">
        <v>4505.3604160724617</v>
      </c>
      <c r="CF73" s="100">
        <v>11</v>
      </c>
      <c r="CG73" s="100">
        <v>6151.1999999999989</v>
      </c>
      <c r="CH73" s="100">
        <v>8.8011090298389636</v>
      </c>
      <c r="CI73" s="100">
        <v>4921.5801694859474</v>
      </c>
      <c r="CJ73" s="100">
        <v>8</v>
      </c>
      <c r="CK73" s="100">
        <v>4473.5999999999995</v>
      </c>
      <c r="CL73" s="100">
        <v>14</v>
      </c>
      <c r="CM73" s="100">
        <v>7828.7999999999993</v>
      </c>
      <c r="CN73" s="100">
        <v>11.168506036424951</v>
      </c>
      <c r="CO73" s="100">
        <v>6245.4285755688315</v>
      </c>
      <c r="CP73" s="100">
        <v>6.2285051120878769</v>
      </c>
      <c r="CQ73" s="100">
        <v>3482.9800586795404</v>
      </c>
      <c r="CR73" s="100">
        <v>13</v>
      </c>
      <c r="CS73" s="100">
        <v>7269.5999999999995</v>
      </c>
      <c r="CT73" s="100">
        <v>14.602063066148428</v>
      </c>
      <c r="CU73" s="100">
        <v>8165.4736665902001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7</v>
      </c>
      <c r="G74" s="100">
        <v>2822.4</v>
      </c>
      <c r="H74" s="100">
        <v>10</v>
      </c>
      <c r="I74" s="100">
        <v>4032</v>
      </c>
      <c r="J74" s="100">
        <v>7</v>
      </c>
      <c r="K74" s="100">
        <v>2822.4</v>
      </c>
      <c r="L74" s="100">
        <v>6.7843607697054997</v>
      </c>
      <c r="M74" s="100">
        <v>2735.4542623452576</v>
      </c>
      <c r="N74" s="100">
        <v>13</v>
      </c>
      <c r="O74" s="100">
        <v>5241.5999999999995</v>
      </c>
      <c r="P74" s="100">
        <v>13</v>
      </c>
      <c r="Q74" s="100">
        <v>5241.5999999999995</v>
      </c>
      <c r="R74" s="100">
        <v>8</v>
      </c>
      <c r="S74" s="100">
        <v>3225.6</v>
      </c>
      <c r="T74" s="100">
        <v>8</v>
      </c>
      <c r="U74" s="100">
        <v>3225.6</v>
      </c>
      <c r="V74" s="100">
        <v>9</v>
      </c>
      <c r="W74" s="100">
        <v>3628.7999999999997</v>
      </c>
      <c r="X74" s="100">
        <v>10.768210550194159</v>
      </c>
      <c r="Y74" s="100">
        <v>4341.7424938382846</v>
      </c>
      <c r="Z74" s="100">
        <v>8</v>
      </c>
      <c r="AA74" s="100">
        <v>3225.6</v>
      </c>
      <c r="AB74" s="100">
        <v>11</v>
      </c>
      <c r="AC74" s="100">
        <v>4435.2</v>
      </c>
      <c r="AD74" s="100">
        <v>14.497374373324412</v>
      </c>
      <c r="AE74" s="100">
        <v>5845.3413473244027</v>
      </c>
      <c r="AF74" s="100">
        <v>11</v>
      </c>
      <c r="AG74" s="100">
        <v>4435.2</v>
      </c>
      <c r="AH74" s="100">
        <v>6.9254168925465702</v>
      </c>
      <c r="AI74" s="100">
        <v>2792.3280910747771</v>
      </c>
      <c r="AJ74" s="100">
        <v>9.5736135352922851</v>
      </c>
      <c r="AK74" s="100">
        <v>3860.0809774298491</v>
      </c>
      <c r="AL74" s="100">
        <v>0</v>
      </c>
      <c r="AM74" s="100">
        <v>0</v>
      </c>
      <c r="AN74" s="100">
        <v>8</v>
      </c>
      <c r="AO74" s="100">
        <v>3225.6</v>
      </c>
      <c r="AP74" s="100">
        <v>13</v>
      </c>
      <c r="AQ74" s="100">
        <v>5241.5999999999995</v>
      </c>
      <c r="AR74" s="100">
        <v>7.7621254388424106</v>
      </c>
      <c r="AS74" s="100">
        <v>3129.6889769412601</v>
      </c>
      <c r="AT74" s="100">
        <v>5.7979066207278809</v>
      </c>
      <c r="AU74" s="100">
        <v>2337.7159494774814</v>
      </c>
      <c r="AV74" s="100">
        <v>7.3741832026917367</v>
      </c>
      <c r="AW74" s="100">
        <v>2973.2706673253083</v>
      </c>
      <c r="AX74" s="100">
        <v>12.238433797693229</v>
      </c>
      <c r="AY74" s="100">
        <v>4934.5365072299101</v>
      </c>
      <c r="AZ74" s="100">
        <v>9</v>
      </c>
      <c r="BA74" s="100">
        <v>3628.7999999999997</v>
      </c>
      <c r="BB74" s="100">
        <v>10.760191525195692</v>
      </c>
      <c r="BC74" s="100">
        <v>4338.5092229589027</v>
      </c>
      <c r="BD74" s="100">
        <v>8</v>
      </c>
      <c r="BE74" s="100">
        <v>3225.6</v>
      </c>
      <c r="BF74" s="100">
        <v>5.4661202589685161</v>
      </c>
      <c r="BG74" s="100">
        <v>2203.9396884161056</v>
      </c>
      <c r="BH74" s="100">
        <v>11</v>
      </c>
      <c r="BI74" s="100">
        <v>4435.2</v>
      </c>
      <c r="BJ74" s="100">
        <v>10</v>
      </c>
      <c r="BK74" s="100">
        <v>4032</v>
      </c>
      <c r="BL74" s="100">
        <v>11</v>
      </c>
      <c r="BM74" s="100">
        <v>4435.2</v>
      </c>
      <c r="BN74" s="100">
        <v>9</v>
      </c>
      <c r="BO74" s="100">
        <v>3628.7999999999997</v>
      </c>
      <c r="BP74" s="100">
        <v>13</v>
      </c>
      <c r="BQ74" s="100">
        <v>5241.5999999999995</v>
      </c>
      <c r="BR74" s="100">
        <v>6.1862696019953978</v>
      </c>
      <c r="BS74" s="100">
        <v>2494.3039035245442</v>
      </c>
      <c r="BT74" s="100">
        <v>13</v>
      </c>
      <c r="BU74" s="100">
        <v>5241.5999999999995</v>
      </c>
      <c r="BV74" s="100">
        <v>9.1696792676378873</v>
      </c>
      <c r="BW74" s="100">
        <v>3697.214680711596</v>
      </c>
      <c r="BX74" s="100">
        <v>10.278165180746697</v>
      </c>
      <c r="BY74" s="100">
        <v>4144.1562008770679</v>
      </c>
      <c r="BZ74" s="100">
        <v>8</v>
      </c>
      <c r="CA74" s="100">
        <v>3225.6</v>
      </c>
      <c r="CB74" s="100">
        <v>10</v>
      </c>
      <c r="CC74" s="100">
        <v>4032</v>
      </c>
      <c r="CD74" s="100">
        <v>7.324360150982673</v>
      </c>
      <c r="CE74" s="100">
        <v>2953.1820128762138</v>
      </c>
      <c r="CF74" s="100">
        <v>11</v>
      </c>
      <c r="CG74" s="100">
        <v>4435.2</v>
      </c>
      <c r="CH74" s="100">
        <v>9.6812199328228594</v>
      </c>
      <c r="CI74" s="100">
        <v>3903.4678769141769</v>
      </c>
      <c r="CJ74" s="100">
        <v>9</v>
      </c>
      <c r="CK74" s="100">
        <v>3628.7999999999997</v>
      </c>
      <c r="CL74" s="100">
        <v>13</v>
      </c>
      <c r="CM74" s="100">
        <v>5241.5999999999995</v>
      </c>
      <c r="CN74" s="100">
        <v>11.168506036424951</v>
      </c>
      <c r="CO74" s="100">
        <v>4503.1416338865401</v>
      </c>
      <c r="CP74" s="100">
        <v>5.7836118897958864</v>
      </c>
      <c r="CQ74" s="100">
        <v>2331.9523139657013</v>
      </c>
      <c r="CR74" s="100">
        <v>13</v>
      </c>
      <c r="CS74" s="100">
        <v>5241.5999999999995</v>
      </c>
      <c r="CT74" s="100">
        <v>13.628592195071869</v>
      </c>
      <c r="CU74" s="100">
        <v>5495.0483730529777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7</v>
      </c>
      <c r="G75" s="100">
        <v>4502.3999999999996</v>
      </c>
      <c r="H75" s="100">
        <v>10</v>
      </c>
      <c r="I75" s="100">
        <v>6431.9999999999991</v>
      </c>
      <c r="J75" s="100">
        <v>8</v>
      </c>
      <c r="K75" s="100">
        <v>5145.5999999999995</v>
      </c>
      <c r="L75" s="100">
        <v>6.7843607697054997</v>
      </c>
      <c r="M75" s="100">
        <v>4363.7008470745768</v>
      </c>
      <c r="N75" s="100">
        <v>14</v>
      </c>
      <c r="O75" s="100">
        <v>9004.7999999999993</v>
      </c>
      <c r="P75" s="100">
        <v>15</v>
      </c>
      <c r="Q75" s="100">
        <v>9647.9999999999982</v>
      </c>
      <c r="R75" s="100">
        <v>9</v>
      </c>
      <c r="S75" s="100">
        <v>5788.7999999999993</v>
      </c>
      <c r="T75" s="100">
        <v>8</v>
      </c>
      <c r="U75" s="100">
        <v>5145.5999999999995</v>
      </c>
      <c r="V75" s="100">
        <v>8</v>
      </c>
      <c r="W75" s="100">
        <v>5145.5999999999995</v>
      </c>
      <c r="X75" s="100">
        <v>10.768210550194159</v>
      </c>
      <c r="Y75" s="100">
        <v>6926.1130258848816</v>
      </c>
      <c r="Z75" s="100">
        <v>8</v>
      </c>
      <c r="AA75" s="100">
        <v>5145.5999999999995</v>
      </c>
      <c r="AB75" s="100">
        <v>11</v>
      </c>
      <c r="AC75" s="100">
        <v>7075.1999999999989</v>
      </c>
      <c r="AD75" s="100">
        <v>13.530882748436118</v>
      </c>
      <c r="AE75" s="100">
        <v>8703.0637837941103</v>
      </c>
      <c r="AF75" s="100">
        <v>11</v>
      </c>
      <c r="AG75" s="100">
        <v>7075.1999999999989</v>
      </c>
      <c r="AH75" s="100">
        <v>7.5550002464144397</v>
      </c>
      <c r="AI75" s="100">
        <v>4859.3761584937674</v>
      </c>
      <c r="AJ75" s="100">
        <v>9.5736135352922851</v>
      </c>
      <c r="AK75" s="100">
        <v>6157.7482258999971</v>
      </c>
      <c r="AL75" s="100">
        <v>0</v>
      </c>
      <c r="AM75" s="100">
        <v>0</v>
      </c>
      <c r="AN75" s="100">
        <v>8</v>
      </c>
      <c r="AO75" s="100">
        <v>5145.5999999999995</v>
      </c>
      <c r="AP75" s="100">
        <v>12</v>
      </c>
      <c r="AQ75" s="100">
        <v>7718.4</v>
      </c>
      <c r="AR75" s="100">
        <v>7.7621254388424106</v>
      </c>
      <c r="AS75" s="100">
        <v>4992.5990822634376</v>
      </c>
      <c r="AT75" s="100">
        <v>6.626178995117578</v>
      </c>
      <c r="AU75" s="100">
        <v>4261.9583296596256</v>
      </c>
      <c r="AV75" s="100">
        <v>6.3207284594500601</v>
      </c>
      <c r="AW75" s="100">
        <v>4065.492545118278</v>
      </c>
      <c r="AX75" s="100">
        <v>9.414179844379408</v>
      </c>
      <c r="AY75" s="100">
        <v>6055.200475904835</v>
      </c>
      <c r="AZ75" s="100">
        <v>9</v>
      </c>
      <c r="BA75" s="100">
        <v>5788.7999999999993</v>
      </c>
      <c r="BB75" s="100">
        <v>10.760191525195692</v>
      </c>
      <c r="BC75" s="100">
        <v>6920.9551890058683</v>
      </c>
      <c r="BD75" s="100">
        <v>9</v>
      </c>
      <c r="BE75" s="100">
        <v>5788.7999999999993</v>
      </c>
      <c r="BF75" s="100">
        <v>5.4661202589685161</v>
      </c>
      <c r="BG75" s="100">
        <v>3515.808550568549</v>
      </c>
      <c r="BH75" s="100">
        <v>10</v>
      </c>
      <c r="BI75" s="100">
        <v>6431.9999999999991</v>
      </c>
      <c r="BJ75" s="100">
        <v>10</v>
      </c>
      <c r="BK75" s="100">
        <v>6431.9999999999991</v>
      </c>
      <c r="BL75" s="100">
        <v>11</v>
      </c>
      <c r="BM75" s="100">
        <v>7075.1999999999989</v>
      </c>
      <c r="BN75" s="100">
        <v>11</v>
      </c>
      <c r="BO75" s="100">
        <v>7075.1999999999989</v>
      </c>
      <c r="BP75" s="100">
        <v>11</v>
      </c>
      <c r="BQ75" s="100">
        <v>7075.1999999999989</v>
      </c>
      <c r="BR75" s="100">
        <v>6.8736328911059976</v>
      </c>
      <c r="BS75" s="100">
        <v>4421.1206755593776</v>
      </c>
      <c r="BT75" s="100">
        <v>13</v>
      </c>
      <c r="BU75" s="100">
        <v>8361.5999999999985</v>
      </c>
      <c r="BV75" s="100">
        <v>7.5024648553400892</v>
      </c>
      <c r="BW75" s="100">
        <v>4825.5853949547445</v>
      </c>
      <c r="BX75" s="100">
        <v>11.859421362400035</v>
      </c>
      <c r="BY75" s="100">
        <v>7627.9798202957018</v>
      </c>
      <c r="BZ75" s="100">
        <v>9</v>
      </c>
      <c r="CA75" s="100">
        <v>5788.7999999999993</v>
      </c>
      <c r="CB75" s="100">
        <v>10</v>
      </c>
      <c r="CC75" s="100">
        <v>6431.9999999999991</v>
      </c>
      <c r="CD75" s="100">
        <v>8.7892321811792087</v>
      </c>
      <c r="CE75" s="100">
        <v>5653.2341389344665</v>
      </c>
      <c r="CF75" s="100">
        <v>11</v>
      </c>
      <c r="CG75" s="100">
        <v>7075.1999999999989</v>
      </c>
      <c r="CH75" s="100">
        <v>7.9209981268550669</v>
      </c>
      <c r="CI75" s="100">
        <v>5094.7859951931787</v>
      </c>
      <c r="CJ75" s="100">
        <v>9</v>
      </c>
      <c r="CK75" s="100">
        <v>5788.7999999999993</v>
      </c>
      <c r="CL75" s="100">
        <v>13</v>
      </c>
      <c r="CM75" s="100">
        <v>8361.5999999999985</v>
      </c>
      <c r="CN75" s="100">
        <v>10.370755605251739</v>
      </c>
      <c r="CO75" s="100">
        <v>6670.4700052979179</v>
      </c>
      <c r="CP75" s="100">
        <v>7.1182915566718599</v>
      </c>
      <c r="CQ75" s="100">
        <v>4578.4851292513395</v>
      </c>
      <c r="CR75" s="100">
        <v>12</v>
      </c>
      <c r="CS75" s="100">
        <v>7718.4</v>
      </c>
      <c r="CT75" s="100">
        <v>13.628592195071869</v>
      </c>
      <c r="CU75" s="100">
        <v>8765.910499870226</v>
      </c>
    </row>
    <row r="76" spans="2:99">
      <c r="C76" s="99" t="s">
        <v>242</v>
      </c>
      <c r="D76" s="100">
        <v>8</v>
      </c>
      <c r="E76" s="100">
        <v>6230.4</v>
      </c>
      <c r="F76" s="100">
        <v>8</v>
      </c>
      <c r="G76" s="100">
        <v>6230.4</v>
      </c>
      <c r="H76" s="100">
        <v>9</v>
      </c>
      <c r="I76" s="100">
        <v>7009.2</v>
      </c>
      <c r="J76" s="100">
        <v>8</v>
      </c>
      <c r="K76" s="100">
        <v>6230.4</v>
      </c>
      <c r="L76" s="100">
        <v>6.7843607697054997</v>
      </c>
      <c r="M76" s="100">
        <v>5283.6601674466428</v>
      </c>
      <c r="N76" s="100">
        <v>14</v>
      </c>
      <c r="O76" s="100">
        <v>10903.199999999999</v>
      </c>
      <c r="P76" s="100">
        <v>14</v>
      </c>
      <c r="Q76" s="100">
        <v>10903.199999999999</v>
      </c>
      <c r="R76" s="100">
        <v>9</v>
      </c>
      <c r="S76" s="100">
        <v>7009.2</v>
      </c>
      <c r="T76" s="100">
        <v>8</v>
      </c>
      <c r="U76" s="100">
        <v>6230.4</v>
      </c>
      <c r="V76" s="100">
        <v>8</v>
      </c>
      <c r="W76" s="100">
        <v>6230.4</v>
      </c>
      <c r="X76" s="100">
        <v>11.596534438670632</v>
      </c>
      <c r="Y76" s="100">
        <v>9031.3810208366885</v>
      </c>
      <c r="Z76" s="100">
        <v>7</v>
      </c>
      <c r="AA76" s="100">
        <v>5451.5999999999995</v>
      </c>
      <c r="AB76" s="100">
        <v>10</v>
      </c>
      <c r="AC76" s="100">
        <v>7788</v>
      </c>
      <c r="AD76" s="100">
        <v>12.564391123547823</v>
      </c>
      <c r="AE76" s="100">
        <v>9785.1478070190442</v>
      </c>
      <c r="AF76" s="100">
        <v>11</v>
      </c>
      <c r="AG76" s="100">
        <v>8566.7999999999993</v>
      </c>
      <c r="AH76" s="100">
        <v>6.2958335386786999</v>
      </c>
      <c r="AI76" s="100">
        <v>4903.1951599229715</v>
      </c>
      <c r="AJ76" s="100">
        <v>10.310045345699384</v>
      </c>
      <c r="AK76" s="100">
        <v>8029.4633152306797</v>
      </c>
      <c r="AL76" s="100">
        <v>0</v>
      </c>
      <c r="AM76" s="100">
        <v>0</v>
      </c>
      <c r="AN76" s="100">
        <v>8</v>
      </c>
      <c r="AO76" s="100">
        <v>6230.4</v>
      </c>
      <c r="AP76" s="100">
        <v>12</v>
      </c>
      <c r="AQ76" s="100">
        <v>9345.5999999999985</v>
      </c>
      <c r="AR76" s="100">
        <v>7.7621254388424106</v>
      </c>
      <c r="AS76" s="100">
        <v>6045.1432917704687</v>
      </c>
      <c r="AT76" s="100">
        <v>6.626178995117578</v>
      </c>
      <c r="AU76" s="100">
        <v>5160.4682013975698</v>
      </c>
      <c r="AV76" s="100">
        <v>6.8474558310708975</v>
      </c>
      <c r="AW76" s="100">
        <v>5332.7986012380143</v>
      </c>
      <c r="AX76" s="100">
        <v>10.355597828817348</v>
      </c>
      <c r="AY76" s="100">
        <v>8064.9395890829501</v>
      </c>
      <c r="AZ76" s="100">
        <v>9</v>
      </c>
      <c r="BA76" s="100">
        <v>7009.2</v>
      </c>
      <c r="BB76" s="100">
        <v>11.656874152295334</v>
      </c>
      <c r="BC76" s="100">
        <v>9078.3735898076047</v>
      </c>
      <c r="BD76" s="100">
        <v>8</v>
      </c>
      <c r="BE76" s="100">
        <v>6230.4</v>
      </c>
      <c r="BF76" s="100">
        <v>4.6852459362587284</v>
      </c>
      <c r="BG76" s="100">
        <v>3648.8695351582974</v>
      </c>
      <c r="BH76" s="100">
        <v>11</v>
      </c>
      <c r="BI76" s="100">
        <v>8566.7999999999993</v>
      </c>
      <c r="BJ76" s="100">
        <v>9</v>
      </c>
      <c r="BK76" s="100">
        <v>7009.2</v>
      </c>
      <c r="BL76" s="100">
        <v>11</v>
      </c>
      <c r="BM76" s="100">
        <v>8566.7999999999993</v>
      </c>
      <c r="BN76" s="100">
        <v>10</v>
      </c>
      <c r="BO76" s="100">
        <v>7788</v>
      </c>
      <c r="BP76" s="100">
        <v>12</v>
      </c>
      <c r="BQ76" s="100">
        <v>9345.5999999999985</v>
      </c>
      <c r="BR76" s="100">
        <v>6.1862696019953978</v>
      </c>
      <c r="BS76" s="100">
        <v>4817.8667660340152</v>
      </c>
      <c r="BT76" s="100">
        <v>13</v>
      </c>
      <c r="BU76" s="100">
        <v>10124.4</v>
      </c>
      <c r="BV76" s="100">
        <v>8.3360720614889878</v>
      </c>
      <c r="BW76" s="100">
        <v>6492.1329214876232</v>
      </c>
      <c r="BX76" s="100">
        <v>9.4875370899200284</v>
      </c>
      <c r="BY76" s="100">
        <v>7388.8938856297173</v>
      </c>
      <c r="BZ76" s="100">
        <v>8</v>
      </c>
      <c r="CA76" s="100">
        <v>6230.4</v>
      </c>
      <c r="CB76" s="100">
        <v>10</v>
      </c>
      <c r="CC76" s="100">
        <v>7788</v>
      </c>
      <c r="CD76" s="100">
        <v>8.0567961660809413</v>
      </c>
      <c r="CE76" s="100">
        <v>6274.632854143837</v>
      </c>
      <c r="CF76" s="100">
        <v>10</v>
      </c>
      <c r="CG76" s="100">
        <v>7788</v>
      </c>
      <c r="CH76" s="100">
        <v>7.9209981268550669</v>
      </c>
      <c r="CI76" s="100">
        <v>6168.873341194726</v>
      </c>
      <c r="CJ76" s="100">
        <v>9</v>
      </c>
      <c r="CK76" s="100">
        <v>7009.2</v>
      </c>
      <c r="CL76" s="100">
        <v>13</v>
      </c>
      <c r="CM76" s="100">
        <v>10124.4</v>
      </c>
      <c r="CN76" s="100">
        <v>11.168506036424951</v>
      </c>
      <c r="CO76" s="100">
        <v>8698.0325011677505</v>
      </c>
      <c r="CP76" s="100">
        <v>6.6733983343798684</v>
      </c>
      <c r="CQ76" s="100">
        <v>5197.2426228150416</v>
      </c>
      <c r="CR76" s="100">
        <v>13</v>
      </c>
      <c r="CS76" s="100">
        <v>10124.4</v>
      </c>
      <c r="CT76" s="100">
        <v>13.628592195071869</v>
      </c>
      <c r="CU76" s="100">
        <v>10613.947601521972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8</v>
      </c>
      <c r="G77" s="100">
        <v>2227.1999999999998</v>
      </c>
      <c r="H77" s="100">
        <v>10</v>
      </c>
      <c r="I77" s="100">
        <v>2784</v>
      </c>
      <c r="J77" s="100">
        <v>8</v>
      </c>
      <c r="K77" s="100">
        <v>2227.1999999999998</v>
      </c>
      <c r="L77" s="100">
        <v>7.3062346750674614</v>
      </c>
      <c r="M77" s="100">
        <v>2034.0557335387812</v>
      </c>
      <c r="N77" s="100">
        <v>13</v>
      </c>
      <c r="O77" s="100">
        <v>3619.2</v>
      </c>
      <c r="P77" s="100">
        <v>13</v>
      </c>
      <c r="Q77" s="100">
        <v>3619.2</v>
      </c>
      <c r="R77" s="100">
        <v>9</v>
      </c>
      <c r="S77" s="100">
        <v>2505.6</v>
      </c>
      <c r="T77" s="100">
        <v>7</v>
      </c>
      <c r="U77" s="100">
        <v>1948.7999999999997</v>
      </c>
      <c r="V77" s="100">
        <v>9</v>
      </c>
      <c r="W77" s="100">
        <v>2505.6</v>
      </c>
      <c r="X77" s="100">
        <v>10.768210550194159</v>
      </c>
      <c r="Y77" s="100">
        <v>2997.8698171740534</v>
      </c>
      <c r="Z77" s="100">
        <v>8</v>
      </c>
      <c r="AA77" s="100">
        <v>2227.1999999999998</v>
      </c>
      <c r="AB77" s="100">
        <v>12</v>
      </c>
      <c r="AC77" s="100">
        <v>3340.7999999999997</v>
      </c>
      <c r="AD77" s="100">
        <v>13.530882748436118</v>
      </c>
      <c r="AE77" s="100">
        <v>3766.997757164615</v>
      </c>
      <c r="AF77" s="100">
        <v>9</v>
      </c>
      <c r="AG77" s="100">
        <v>2505.6</v>
      </c>
      <c r="AH77" s="100">
        <v>7.5550002464144397</v>
      </c>
      <c r="AI77" s="100">
        <v>2103.3120686017796</v>
      </c>
      <c r="AJ77" s="100">
        <v>10.310045345699384</v>
      </c>
      <c r="AK77" s="100">
        <v>2870.3166242427083</v>
      </c>
      <c r="AL77" s="100">
        <v>0</v>
      </c>
      <c r="AM77" s="100">
        <v>0</v>
      </c>
      <c r="AN77" s="100">
        <v>9</v>
      </c>
      <c r="AO77" s="100">
        <v>2505.6</v>
      </c>
      <c r="AP77" s="100">
        <v>13</v>
      </c>
      <c r="AQ77" s="100">
        <v>3619.2</v>
      </c>
      <c r="AR77" s="100">
        <v>8.732391118697711</v>
      </c>
      <c r="AS77" s="100">
        <v>2431.0976874454427</v>
      </c>
      <c r="AT77" s="100">
        <v>6.626178995117578</v>
      </c>
      <c r="AU77" s="100">
        <v>1844.7282322407336</v>
      </c>
      <c r="AV77" s="100">
        <v>6.3207284594500601</v>
      </c>
      <c r="AW77" s="100">
        <v>1759.6908031108967</v>
      </c>
      <c r="AX77" s="100">
        <v>12.238433797693229</v>
      </c>
      <c r="AY77" s="100">
        <v>3407.179969277795</v>
      </c>
      <c r="AZ77" s="100">
        <v>10</v>
      </c>
      <c r="BA77" s="100">
        <v>2784</v>
      </c>
      <c r="BB77" s="100">
        <v>12.553556779394974</v>
      </c>
      <c r="BC77" s="100">
        <v>3494.9102073835606</v>
      </c>
      <c r="BD77" s="100">
        <v>9</v>
      </c>
      <c r="BE77" s="100">
        <v>2505.6</v>
      </c>
      <c r="BF77" s="100">
        <v>5.4661202589685161</v>
      </c>
      <c r="BG77" s="100">
        <v>1521.7678800968347</v>
      </c>
      <c r="BH77" s="100">
        <v>10</v>
      </c>
      <c r="BI77" s="100">
        <v>2784</v>
      </c>
      <c r="BJ77" s="100">
        <v>9</v>
      </c>
      <c r="BK77" s="100">
        <v>2505.6</v>
      </c>
      <c r="BL77" s="100">
        <v>11</v>
      </c>
      <c r="BM77" s="100">
        <v>3062.3999999999996</v>
      </c>
      <c r="BN77" s="100">
        <v>11</v>
      </c>
      <c r="BO77" s="100">
        <v>3062.3999999999996</v>
      </c>
      <c r="BP77" s="100">
        <v>12</v>
      </c>
      <c r="BQ77" s="100">
        <v>3340.7999999999997</v>
      </c>
      <c r="BR77" s="100">
        <v>6.8736328911059976</v>
      </c>
      <c r="BS77" s="100">
        <v>1913.6193968839095</v>
      </c>
      <c r="BT77" s="100">
        <v>12</v>
      </c>
      <c r="BU77" s="100">
        <v>3340.7999999999997</v>
      </c>
      <c r="BV77" s="100">
        <v>7.5024648553400892</v>
      </c>
      <c r="BW77" s="100">
        <v>2088.6862157266805</v>
      </c>
      <c r="BX77" s="100">
        <v>10.278165180746697</v>
      </c>
      <c r="BY77" s="100">
        <v>2861.4411863198802</v>
      </c>
      <c r="BZ77" s="100">
        <v>9</v>
      </c>
      <c r="CA77" s="100">
        <v>2505.6</v>
      </c>
      <c r="CB77" s="100">
        <v>12</v>
      </c>
      <c r="CC77" s="100">
        <v>3340.7999999999997</v>
      </c>
      <c r="CD77" s="100">
        <v>8.0567961660809413</v>
      </c>
      <c r="CE77" s="100">
        <v>2243.0120526369337</v>
      </c>
      <c r="CF77" s="100">
        <v>10</v>
      </c>
      <c r="CG77" s="100">
        <v>2784</v>
      </c>
      <c r="CH77" s="100">
        <v>9.6812199328228594</v>
      </c>
      <c r="CI77" s="100">
        <v>2695.2516292978839</v>
      </c>
      <c r="CJ77" s="100">
        <v>8</v>
      </c>
      <c r="CK77" s="100">
        <v>2227.1999999999998</v>
      </c>
      <c r="CL77" s="100">
        <v>16</v>
      </c>
      <c r="CM77" s="100">
        <v>4454.3999999999996</v>
      </c>
      <c r="CN77" s="100">
        <v>11.966256467598162</v>
      </c>
      <c r="CO77" s="100">
        <v>3331.4058005793281</v>
      </c>
      <c r="CP77" s="100">
        <v>7.1182915566718599</v>
      </c>
      <c r="CQ77" s="100">
        <v>1981.7323693774456</v>
      </c>
      <c r="CR77" s="100">
        <v>13</v>
      </c>
      <c r="CS77" s="100">
        <v>3619.2</v>
      </c>
      <c r="CT77" s="100">
        <v>12.655121323995305</v>
      </c>
      <c r="CU77" s="100">
        <v>3523.1857766002927</v>
      </c>
    </row>
    <row r="78" spans="2:99">
      <c r="C78" s="99" t="s">
        <v>244</v>
      </c>
      <c r="D78" s="100">
        <v>9</v>
      </c>
      <c r="E78" s="100">
        <v>4968</v>
      </c>
      <c r="F78" s="100">
        <v>7</v>
      </c>
      <c r="G78" s="100">
        <v>3864</v>
      </c>
      <c r="H78" s="100">
        <v>10</v>
      </c>
      <c r="I78" s="100">
        <v>5520</v>
      </c>
      <c r="J78" s="100">
        <v>8</v>
      </c>
      <c r="K78" s="100">
        <v>4416</v>
      </c>
      <c r="L78" s="100">
        <v>7.3062346750674614</v>
      </c>
      <c r="M78" s="100">
        <v>4033.0415406372385</v>
      </c>
      <c r="N78" s="100">
        <v>14</v>
      </c>
      <c r="O78" s="100">
        <v>7728</v>
      </c>
      <c r="P78" s="100">
        <v>13</v>
      </c>
      <c r="Q78" s="100">
        <v>7176</v>
      </c>
      <c r="R78" s="100">
        <v>8</v>
      </c>
      <c r="S78" s="100">
        <v>4416</v>
      </c>
      <c r="T78" s="100">
        <v>7</v>
      </c>
      <c r="U78" s="100">
        <v>3864</v>
      </c>
      <c r="V78" s="100">
        <v>9</v>
      </c>
      <c r="W78" s="100">
        <v>4968</v>
      </c>
      <c r="X78" s="100">
        <v>10.768210550194159</v>
      </c>
      <c r="Y78" s="100">
        <v>5944.0522237071755</v>
      </c>
      <c r="Z78" s="100">
        <v>8</v>
      </c>
      <c r="AA78" s="100">
        <v>4416</v>
      </c>
      <c r="AB78" s="100">
        <v>10</v>
      </c>
      <c r="AC78" s="100">
        <v>5520</v>
      </c>
      <c r="AD78" s="100">
        <v>12.564391123547823</v>
      </c>
      <c r="AE78" s="100">
        <v>6935.5439001983987</v>
      </c>
      <c r="AF78" s="100">
        <v>11</v>
      </c>
      <c r="AG78" s="100">
        <v>6072</v>
      </c>
      <c r="AH78" s="100">
        <v>6.9254168925465702</v>
      </c>
      <c r="AI78" s="100">
        <v>3822.8301246857068</v>
      </c>
      <c r="AJ78" s="100">
        <v>10.310045345699384</v>
      </c>
      <c r="AK78" s="100">
        <v>5691.1450308260601</v>
      </c>
      <c r="AL78" s="100">
        <v>0</v>
      </c>
      <c r="AM78" s="100">
        <v>0</v>
      </c>
      <c r="AN78" s="100">
        <v>9</v>
      </c>
      <c r="AO78" s="100">
        <v>4968</v>
      </c>
      <c r="AP78" s="100">
        <v>14</v>
      </c>
      <c r="AQ78" s="100">
        <v>7728</v>
      </c>
      <c r="AR78" s="100">
        <v>7.7621254388424106</v>
      </c>
      <c r="AS78" s="100">
        <v>4284.6932422410109</v>
      </c>
      <c r="AT78" s="100">
        <v>5.7979066207278809</v>
      </c>
      <c r="AU78" s="100">
        <v>3200.4444546417903</v>
      </c>
      <c r="AV78" s="100">
        <v>6.8474558310708975</v>
      </c>
      <c r="AW78" s="100">
        <v>3779.7956187511354</v>
      </c>
      <c r="AX78" s="100">
        <v>10.355597828817348</v>
      </c>
      <c r="AY78" s="100">
        <v>5716.2900015071764</v>
      </c>
      <c r="AZ78" s="100">
        <v>9</v>
      </c>
      <c r="BA78" s="100">
        <v>4968</v>
      </c>
      <c r="BB78" s="100">
        <v>11.656874152295334</v>
      </c>
      <c r="BC78" s="100">
        <v>6434.5945320670244</v>
      </c>
      <c r="BD78" s="100">
        <v>8</v>
      </c>
      <c r="BE78" s="100">
        <v>4416</v>
      </c>
      <c r="BF78" s="100">
        <v>4.6852459362587284</v>
      </c>
      <c r="BG78" s="100">
        <v>2586.2557568148181</v>
      </c>
      <c r="BH78" s="100">
        <v>11</v>
      </c>
      <c r="BI78" s="100">
        <v>6072</v>
      </c>
      <c r="BJ78" s="100">
        <v>8</v>
      </c>
      <c r="BK78" s="100">
        <v>4416</v>
      </c>
      <c r="BL78" s="100">
        <v>11</v>
      </c>
      <c r="BM78" s="100">
        <v>6072</v>
      </c>
      <c r="BN78" s="100">
        <v>10</v>
      </c>
      <c r="BO78" s="100">
        <v>5520</v>
      </c>
      <c r="BP78" s="100">
        <v>11</v>
      </c>
      <c r="BQ78" s="100">
        <v>6072</v>
      </c>
      <c r="BR78" s="100">
        <v>6.8736328911059976</v>
      </c>
      <c r="BS78" s="100">
        <v>3794.2453558905108</v>
      </c>
      <c r="BT78" s="100">
        <v>12</v>
      </c>
      <c r="BU78" s="100">
        <v>6624</v>
      </c>
      <c r="BV78" s="100">
        <v>8.3360720614889878</v>
      </c>
      <c r="BW78" s="100">
        <v>4601.5117779419215</v>
      </c>
      <c r="BX78" s="100">
        <v>10.278165180746697</v>
      </c>
      <c r="BY78" s="100">
        <v>5673.5471797721766</v>
      </c>
      <c r="BZ78" s="100">
        <v>9</v>
      </c>
      <c r="CA78" s="100">
        <v>4968</v>
      </c>
      <c r="CB78" s="100">
        <v>12</v>
      </c>
      <c r="CC78" s="100">
        <v>6624</v>
      </c>
      <c r="CD78" s="100">
        <v>8.0567961660809413</v>
      </c>
      <c r="CE78" s="100">
        <v>4447.3514836766799</v>
      </c>
      <c r="CF78" s="100">
        <v>10</v>
      </c>
      <c r="CG78" s="100">
        <v>5520</v>
      </c>
      <c r="CH78" s="100">
        <v>7.9209981268550669</v>
      </c>
      <c r="CI78" s="100">
        <v>4372.390966023997</v>
      </c>
      <c r="CJ78" s="100">
        <v>8</v>
      </c>
      <c r="CK78" s="100">
        <v>4416</v>
      </c>
      <c r="CL78" s="100">
        <v>14</v>
      </c>
      <c r="CM78" s="100">
        <v>7728</v>
      </c>
      <c r="CN78" s="100">
        <v>11.168506036424951</v>
      </c>
      <c r="CO78" s="100">
        <v>6165.0153321065727</v>
      </c>
      <c r="CP78" s="100">
        <v>7.1182915566718599</v>
      </c>
      <c r="CQ78" s="100">
        <v>3929.2969392828668</v>
      </c>
      <c r="CR78" s="100">
        <v>14</v>
      </c>
      <c r="CS78" s="100">
        <v>7728</v>
      </c>
      <c r="CT78" s="100">
        <v>13.628592195071869</v>
      </c>
      <c r="CU78" s="100">
        <v>7522.9828916796714</v>
      </c>
    </row>
    <row r="79" spans="2:99">
      <c r="C79" s="99" t="s">
        <v>245</v>
      </c>
      <c r="D79" s="100">
        <v>9</v>
      </c>
      <c r="E79" s="100">
        <v>6814.7999999999993</v>
      </c>
      <c r="F79" s="100">
        <v>8</v>
      </c>
      <c r="G79" s="100">
        <v>6057.5999999999995</v>
      </c>
      <c r="H79" s="100">
        <v>10</v>
      </c>
      <c r="I79" s="100">
        <v>7571.9999999999991</v>
      </c>
      <c r="J79" s="100">
        <v>8</v>
      </c>
      <c r="K79" s="100">
        <v>6057.5999999999995</v>
      </c>
      <c r="L79" s="100">
        <v>7.3062346750674614</v>
      </c>
      <c r="M79" s="100">
        <v>5532.2808959610811</v>
      </c>
      <c r="N79" s="100">
        <v>13</v>
      </c>
      <c r="O79" s="100">
        <v>9843.5999999999985</v>
      </c>
      <c r="P79" s="100">
        <v>14</v>
      </c>
      <c r="Q79" s="100">
        <v>10600.8</v>
      </c>
      <c r="R79" s="100">
        <v>9</v>
      </c>
      <c r="S79" s="100">
        <v>6814.7999999999993</v>
      </c>
      <c r="T79" s="100">
        <v>8</v>
      </c>
      <c r="U79" s="100">
        <v>6057.5999999999995</v>
      </c>
      <c r="V79" s="100">
        <v>9</v>
      </c>
      <c r="W79" s="100">
        <v>6814.7999999999993</v>
      </c>
      <c r="X79" s="100">
        <v>11.596534438670632</v>
      </c>
      <c r="Y79" s="100">
        <v>8780.8958769614019</v>
      </c>
      <c r="Z79" s="100">
        <v>8</v>
      </c>
      <c r="AA79" s="100">
        <v>6057.5999999999995</v>
      </c>
      <c r="AB79" s="100">
        <v>11</v>
      </c>
      <c r="AC79" s="100">
        <v>8329.1999999999989</v>
      </c>
      <c r="AD79" s="100">
        <v>12.564391123547823</v>
      </c>
      <c r="AE79" s="100">
        <v>9513.7569587504113</v>
      </c>
      <c r="AF79" s="100">
        <v>11</v>
      </c>
      <c r="AG79" s="100">
        <v>8329.1999999999989</v>
      </c>
      <c r="AH79" s="100">
        <v>6.9254168925465702</v>
      </c>
      <c r="AI79" s="100">
        <v>5243.9256710362624</v>
      </c>
      <c r="AJ79" s="100">
        <v>11.046477156106484</v>
      </c>
      <c r="AK79" s="100">
        <v>8364.3925026038287</v>
      </c>
      <c r="AL79" s="100">
        <v>0</v>
      </c>
      <c r="AM79" s="100">
        <v>0</v>
      </c>
      <c r="AN79" s="100">
        <v>8</v>
      </c>
      <c r="AO79" s="100">
        <v>6057.5999999999995</v>
      </c>
      <c r="AP79" s="100">
        <v>13</v>
      </c>
      <c r="AQ79" s="100">
        <v>9843.5999999999985</v>
      </c>
      <c r="AR79" s="100">
        <v>7.7621254388424106</v>
      </c>
      <c r="AS79" s="100">
        <v>5877.481382291473</v>
      </c>
      <c r="AT79" s="100">
        <v>6.626178995117578</v>
      </c>
      <c r="AU79" s="100">
        <v>5017.3427351030296</v>
      </c>
      <c r="AV79" s="100">
        <v>5.7940010878292219</v>
      </c>
      <c r="AW79" s="100">
        <v>4387.2176237042868</v>
      </c>
      <c r="AX79" s="100">
        <v>9.414179844379408</v>
      </c>
      <c r="AY79" s="100">
        <v>7128.4169781640867</v>
      </c>
      <c r="AZ79" s="100">
        <v>9</v>
      </c>
      <c r="BA79" s="100">
        <v>6814.7999999999993</v>
      </c>
      <c r="BB79" s="100">
        <v>10.760191525195692</v>
      </c>
      <c r="BC79" s="100">
        <v>8147.6170228781775</v>
      </c>
      <c r="BD79" s="100">
        <v>8</v>
      </c>
      <c r="BE79" s="100">
        <v>6057.5999999999995</v>
      </c>
      <c r="BF79" s="100">
        <v>4.6852459362587284</v>
      </c>
      <c r="BG79" s="100">
        <v>3547.668222935109</v>
      </c>
      <c r="BH79" s="100">
        <v>11</v>
      </c>
      <c r="BI79" s="100">
        <v>8329.1999999999989</v>
      </c>
      <c r="BJ79" s="100">
        <v>9</v>
      </c>
      <c r="BK79" s="100">
        <v>6814.7999999999993</v>
      </c>
      <c r="BL79" s="100">
        <v>11</v>
      </c>
      <c r="BM79" s="100">
        <v>8329.1999999999989</v>
      </c>
      <c r="BN79" s="100">
        <v>10</v>
      </c>
      <c r="BO79" s="100">
        <v>7571.9999999999991</v>
      </c>
      <c r="BP79" s="100">
        <v>12</v>
      </c>
      <c r="BQ79" s="100">
        <v>9086.4</v>
      </c>
      <c r="BR79" s="100">
        <v>6.1862696019953978</v>
      </c>
      <c r="BS79" s="100">
        <v>4684.2433426309144</v>
      </c>
      <c r="BT79" s="100">
        <v>12</v>
      </c>
      <c r="BU79" s="100">
        <v>9086.4</v>
      </c>
      <c r="BV79" s="100">
        <v>8.3360720614889878</v>
      </c>
      <c r="BW79" s="100">
        <v>6312.0737649594612</v>
      </c>
      <c r="BX79" s="100">
        <v>9.4875370899200284</v>
      </c>
      <c r="BY79" s="100">
        <v>7183.9630844874446</v>
      </c>
      <c r="BZ79" s="100">
        <v>8</v>
      </c>
      <c r="CA79" s="100">
        <v>6057.5999999999995</v>
      </c>
      <c r="CB79" s="100">
        <v>11</v>
      </c>
      <c r="CC79" s="100">
        <v>8329.1999999999989</v>
      </c>
      <c r="CD79" s="100">
        <v>8.0567961660809413</v>
      </c>
      <c r="CE79" s="100">
        <v>6100.6060569564879</v>
      </c>
      <c r="CF79" s="100">
        <v>10</v>
      </c>
      <c r="CG79" s="100">
        <v>7571.9999999999991</v>
      </c>
      <c r="CH79" s="100">
        <v>7.9209981268550669</v>
      </c>
      <c r="CI79" s="100">
        <v>5997.7797816546563</v>
      </c>
      <c r="CJ79" s="100">
        <v>9</v>
      </c>
      <c r="CK79" s="100">
        <v>6814.7999999999993</v>
      </c>
      <c r="CL79" s="100">
        <v>14</v>
      </c>
      <c r="CM79" s="100">
        <v>10600.8</v>
      </c>
      <c r="CN79" s="100">
        <v>9.5730051740785296</v>
      </c>
      <c r="CO79" s="100">
        <v>7248.679517812262</v>
      </c>
      <c r="CP79" s="100">
        <v>6.2285051120878769</v>
      </c>
      <c r="CQ79" s="100">
        <v>4716.2240708729396</v>
      </c>
      <c r="CR79" s="100">
        <v>14</v>
      </c>
      <c r="CS79" s="100">
        <v>10600.8</v>
      </c>
      <c r="CT79" s="100">
        <v>12.655121323995305</v>
      </c>
      <c r="CU79" s="100">
        <v>9582.4578665292447</v>
      </c>
    </row>
    <row r="80" spans="2:99">
      <c r="C80" s="99" t="s">
        <v>246</v>
      </c>
      <c r="D80" s="100">
        <v>9</v>
      </c>
      <c r="E80" s="100">
        <v>7246.7999999999993</v>
      </c>
      <c r="F80" s="100">
        <v>7</v>
      </c>
      <c r="G80" s="100">
        <v>5636.4</v>
      </c>
      <c r="H80" s="100">
        <v>10</v>
      </c>
      <c r="I80" s="100">
        <v>8051.9999999999991</v>
      </c>
      <c r="J80" s="100">
        <v>7</v>
      </c>
      <c r="K80" s="100">
        <v>5636.4</v>
      </c>
      <c r="L80" s="100">
        <v>6.7843607697054997</v>
      </c>
      <c r="M80" s="100">
        <v>5462.7672917668679</v>
      </c>
      <c r="N80" s="100">
        <v>14</v>
      </c>
      <c r="O80" s="100">
        <v>11272.8</v>
      </c>
      <c r="P80" s="100">
        <v>14</v>
      </c>
      <c r="Q80" s="100">
        <v>11272.8</v>
      </c>
      <c r="R80" s="100">
        <v>8</v>
      </c>
      <c r="S80" s="100">
        <v>6441.5999999999995</v>
      </c>
      <c r="T80" s="100">
        <v>8</v>
      </c>
      <c r="U80" s="100">
        <v>6441.5999999999995</v>
      </c>
      <c r="V80" s="100">
        <v>9</v>
      </c>
      <c r="W80" s="100">
        <v>7246.7999999999993</v>
      </c>
      <c r="X80" s="100">
        <v>9.9398866617176846</v>
      </c>
      <c r="Y80" s="100">
        <v>8003.5967400150794</v>
      </c>
      <c r="Z80" s="100">
        <v>8</v>
      </c>
      <c r="AA80" s="100">
        <v>6441.5999999999995</v>
      </c>
      <c r="AB80" s="100">
        <v>11</v>
      </c>
      <c r="AC80" s="100">
        <v>8857.1999999999989</v>
      </c>
      <c r="AD80" s="100">
        <v>13.530882748436118</v>
      </c>
      <c r="AE80" s="100">
        <v>10895.066789040762</v>
      </c>
      <c r="AF80" s="100">
        <v>10</v>
      </c>
      <c r="AG80" s="100">
        <v>8051.9999999999991</v>
      </c>
      <c r="AH80" s="100">
        <v>6.9254168925465702</v>
      </c>
      <c r="AI80" s="100">
        <v>5576.345681878498</v>
      </c>
      <c r="AJ80" s="100">
        <v>11.046477156106484</v>
      </c>
      <c r="AK80" s="100">
        <v>8894.62340609694</v>
      </c>
      <c r="AL80" s="100">
        <v>0</v>
      </c>
      <c r="AM80" s="100">
        <v>0</v>
      </c>
      <c r="AN80" s="100">
        <v>8</v>
      </c>
      <c r="AO80" s="100">
        <v>6441.5999999999995</v>
      </c>
      <c r="AP80" s="100">
        <v>12</v>
      </c>
      <c r="AQ80" s="100">
        <v>9662.4</v>
      </c>
      <c r="AR80" s="100">
        <v>7.7621254388424106</v>
      </c>
      <c r="AS80" s="100">
        <v>6250.0634033559081</v>
      </c>
      <c r="AT80" s="100">
        <v>5.7979066207278809</v>
      </c>
      <c r="AU80" s="100">
        <v>4668.4744110100892</v>
      </c>
      <c r="AV80" s="100">
        <v>6.8474558310708975</v>
      </c>
      <c r="AW80" s="100">
        <v>5513.5714351782863</v>
      </c>
      <c r="AX80" s="100">
        <v>10.355597828817348</v>
      </c>
      <c r="AY80" s="100">
        <v>8338.3273717637276</v>
      </c>
      <c r="AZ80" s="100">
        <v>10</v>
      </c>
      <c r="BA80" s="100">
        <v>8051.9999999999991</v>
      </c>
      <c r="BB80" s="100">
        <v>10.760191525195692</v>
      </c>
      <c r="BC80" s="100">
        <v>8664.1062160875699</v>
      </c>
      <c r="BD80" s="100">
        <v>9</v>
      </c>
      <c r="BE80" s="100">
        <v>7246.7999999999993</v>
      </c>
      <c r="BF80" s="100">
        <v>4.6852459362587284</v>
      </c>
      <c r="BG80" s="100">
        <v>3772.5600278755278</v>
      </c>
      <c r="BH80" s="100">
        <v>9</v>
      </c>
      <c r="BI80" s="100">
        <v>7246.7999999999993</v>
      </c>
      <c r="BJ80" s="100">
        <v>10</v>
      </c>
      <c r="BK80" s="100">
        <v>8051.9999999999991</v>
      </c>
      <c r="BL80" s="100">
        <v>10</v>
      </c>
      <c r="BM80" s="100">
        <v>8051.9999999999991</v>
      </c>
      <c r="BN80" s="100">
        <v>10</v>
      </c>
      <c r="BO80" s="100">
        <v>8051.9999999999991</v>
      </c>
      <c r="BP80" s="100">
        <v>11</v>
      </c>
      <c r="BQ80" s="100">
        <v>8857.1999999999989</v>
      </c>
      <c r="BR80" s="100">
        <v>6.1862696019953978</v>
      </c>
      <c r="BS80" s="100">
        <v>4981.1842835266934</v>
      </c>
      <c r="BT80" s="100">
        <v>11</v>
      </c>
      <c r="BU80" s="100">
        <v>8857.1999999999989</v>
      </c>
      <c r="BV80" s="100">
        <v>8.3360720614889878</v>
      </c>
      <c r="BW80" s="100">
        <v>6712.2052239109325</v>
      </c>
      <c r="BX80" s="100">
        <v>11.859421362400035</v>
      </c>
      <c r="BY80" s="100">
        <v>9549.2060810045077</v>
      </c>
      <c r="BZ80" s="100">
        <v>9</v>
      </c>
      <c r="CA80" s="100">
        <v>7246.7999999999993</v>
      </c>
      <c r="CB80" s="100">
        <v>12</v>
      </c>
      <c r="CC80" s="100">
        <v>9662.4</v>
      </c>
      <c r="CD80" s="100">
        <v>7.324360150982673</v>
      </c>
      <c r="CE80" s="100">
        <v>5897.5747935712479</v>
      </c>
      <c r="CF80" s="100">
        <v>10</v>
      </c>
      <c r="CG80" s="100">
        <v>8051.9999999999991</v>
      </c>
      <c r="CH80" s="100">
        <v>9.6812199328228594</v>
      </c>
      <c r="CI80" s="100">
        <v>7795.3182899089661</v>
      </c>
      <c r="CJ80" s="100">
        <v>9</v>
      </c>
      <c r="CK80" s="100">
        <v>7246.7999999999993</v>
      </c>
      <c r="CL80" s="100">
        <v>13</v>
      </c>
      <c r="CM80" s="100">
        <v>10467.599999999999</v>
      </c>
      <c r="CN80" s="100">
        <v>10.370755605251739</v>
      </c>
      <c r="CO80" s="100">
        <v>8350.5324133486993</v>
      </c>
      <c r="CP80" s="100">
        <v>6.2285051120878769</v>
      </c>
      <c r="CQ80" s="100">
        <v>5015.1923162531584</v>
      </c>
      <c r="CR80" s="100">
        <v>12</v>
      </c>
      <c r="CS80" s="100">
        <v>9662.4</v>
      </c>
      <c r="CT80" s="100">
        <v>12.655121323995305</v>
      </c>
      <c r="CU80" s="100">
        <v>10189.903690081019</v>
      </c>
    </row>
    <row r="81" spans="2:99">
      <c r="C81" s="99" t="s">
        <v>247</v>
      </c>
      <c r="D81" s="100">
        <v>8</v>
      </c>
      <c r="E81" s="100">
        <v>6028.8</v>
      </c>
      <c r="F81" s="100">
        <v>7</v>
      </c>
      <c r="G81" s="100">
        <v>5275.2</v>
      </c>
      <c r="H81" s="100">
        <v>9</v>
      </c>
      <c r="I81" s="100">
        <v>6782.4000000000005</v>
      </c>
      <c r="J81" s="100">
        <v>8</v>
      </c>
      <c r="K81" s="100">
        <v>6028.8</v>
      </c>
      <c r="L81" s="100">
        <v>7.3062346750674614</v>
      </c>
      <c r="M81" s="100">
        <v>5505.9784511308389</v>
      </c>
      <c r="N81" s="100">
        <v>12</v>
      </c>
      <c r="O81" s="100">
        <v>9043.2000000000007</v>
      </c>
      <c r="P81" s="100">
        <v>15</v>
      </c>
      <c r="Q81" s="100">
        <v>11304</v>
      </c>
      <c r="R81" s="100">
        <v>8</v>
      </c>
      <c r="S81" s="100">
        <v>6028.8</v>
      </c>
      <c r="T81" s="100">
        <v>8</v>
      </c>
      <c r="U81" s="100">
        <v>6028.8</v>
      </c>
      <c r="V81" s="100">
        <v>9</v>
      </c>
      <c r="W81" s="100">
        <v>6782.4000000000005</v>
      </c>
      <c r="X81" s="100">
        <v>10.768210550194159</v>
      </c>
      <c r="Y81" s="100">
        <v>8114.9234706263178</v>
      </c>
      <c r="Z81" s="100">
        <v>8</v>
      </c>
      <c r="AA81" s="100">
        <v>6028.8</v>
      </c>
      <c r="AB81" s="100">
        <v>10</v>
      </c>
      <c r="AC81" s="100">
        <v>7536</v>
      </c>
      <c r="AD81" s="100">
        <v>14.497374373324412</v>
      </c>
      <c r="AE81" s="100">
        <v>10925.221327737278</v>
      </c>
      <c r="AF81" s="100">
        <v>10</v>
      </c>
      <c r="AG81" s="100">
        <v>7536</v>
      </c>
      <c r="AH81" s="100">
        <v>6.9254168925465702</v>
      </c>
      <c r="AI81" s="100">
        <v>5218.9941702230954</v>
      </c>
      <c r="AJ81" s="100">
        <v>11.046477156106484</v>
      </c>
      <c r="AK81" s="100">
        <v>8324.6251848418469</v>
      </c>
      <c r="AL81" s="100">
        <v>0</v>
      </c>
      <c r="AM81" s="100">
        <v>0</v>
      </c>
      <c r="AN81" s="100">
        <v>7</v>
      </c>
      <c r="AO81" s="100">
        <v>5275.2</v>
      </c>
      <c r="AP81" s="100">
        <v>13</v>
      </c>
      <c r="AQ81" s="100">
        <v>9796.8000000000011</v>
      </c>
      <c r="AR81" s="100">
        <v>7.7621254388424106</v>
      </c>
      <c r="AS81" s="100">
        <v>5849.5377307116405</v>
      </c>
      <c r="AT81" s="100">
        <v>6.626178995117578</v>
      </c>
      <c r="AU81" s="100">
        <v>4993.4884907206069</v>
      </c>
      <c r="AV81" s="100">
        <v>6.3207284594500601</v>
      </c>
      <c r="AW81" s="100">
        <v>4763.3009670415659</v>
      </c>
      <c r="AX81" s="100">
        <v>9.414179844379408</v>
      </c>
      <c r="AY81" s="100">
        <v>7094.5259307243223</v>
      </c>
      <c r="AZ81" s="100">
        <v>9</v>
      </c>
      <c r="BA81" s="100">
        <v>6782.4000000000005</v>
      </c>
      <c r="BB81" s="100">
        <v>11.656874152295334</v>
      </c>
      <c r="BC81" s="100">
        <v>8784.6203611697638</v>
      </c>
      <c r="BD81" s="100">
        <v>9</v>
      </c>
      <c r="BE81" s="100">
        <v>6782.4000000000005</v>
      </c>
      <c r="BF81" s="100">
        <v>5.0756830976136227</v>
      </c>
      <c r="BG81" s="100">
        <v>3825.0347823616262</v>
      </c>
      <c r="BH81" s="100">
        <v>11</v>
      </c>
      <c r="BI81" s="100">
        <v>8289.6</v>
      </c>
      <c r="BJ81" s="100">
        <v>9</v>
      </c>
      <c r="BK81" s="100">
        <v>6782.4000000000005</v>
      </c>
      <c r="BL81" s="100">
        <v>10</v>
      </c>
      <c r="BM81" s="100">
        <v>7536</v>
      </c>
      <c r="BN81" s="100">
        <v>10</v>
      </c>
      <c r="BO81" s="100">
        <v>7536</v>
      </c>
      <c r="BP81" s="100">
        <v>11</v>
      </c>
      <c r="BQ81" s="100">
        <v>8289.6</v>
      </c>
      <c r="BR81" s="100">
        <v>6.1862696019953978</v>
      </c>
      <c r="BS81" s="100">
        <v>4661.972772063732</v>
      </c>
      <c r="BT81" s="100">
        <v>12</v>
      </c>
      <c r="BU81" s="100">
        <v>9043.2000000000007</v>
      </c>
      <c r="BV81" s="100">
        <v>7.5024648553400892</v>
      </c>
      <c r="BW81" s="100">
        <v>5653.8575149842918</v>
      </c>
      <c r="BX81" s="100">
        <v>11.859421362400035</v>
      </c>
      <c r="BY81" s="100">
        <v>8937.2599387046666</v>
      </c>
      <c r="BZ81" s="100">
        <v>9</v>
      </c>
      <c r="CA81" s="100">
        <v>6782.4000000000005</v>
      </c>
      <c r="CB81" s="100">
        <v>10</v>
      </c>
      <c r="CC81" s="100">
        <v>7536</v>
      </c>
      <c r="CD81" s="100">
        <v>8.0567961660809413</v>
      </c>
      <c r="CE81" s="100">
        <v>6071.6015907585979</v>
      </c>
      <c r="CF81" s="100">
        <v>11</v>
      </c>
      <c r="CG81" s="100">
        <v>8289.6</v>
      </c>
      <c r="CH81" s="100">
        <v>8.8011090298389636</v>
      </c>
      <c r="CI81" s="100">
        <v>6632.5157648866434</v>
      </c>
      <c r="CJ81" s="100">
        <v>9</v>
      </c>
      <c r="CK81" s="100">
        <v>6782.4000000000005</v>
      </c>
      <c r="CL81" s="100">
        <v>13</v>
      </c>
      <c r="CM81" s="100">
        <v>9796.8000000000011</v>
      </c>
      <c r="CN81" s="100">
        <v>11.168506036424951</v>
      </c>
      <c r="CO81" s="100">
        <v>8416.5861490498428</v>
      </c>
      <c r="CP81" s="100">
        <v>5.7836118897958864</v>
      </c>
      <c r="CQ81" s="100">
        <v>4358.5299201501803</v>
      </c>
      <c r="CR81" s="100">
        <v>14</v>
      </c>
      <c r="CS81" s="100">
        <v>10550.4</v>
      </c>
      <c r="CT81" s="100">
        <v>13.628592195071869</v>
      </c>
      <c r="CU81" s="100">
        <v>10270.507078206161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7</v>
      </c>
      <c r="G82" s="100">
        <v>3561.5999999999995</v>
      </c>
      <c r="H82" s="100">
        <v>10</v>
      </c>
      <c r="I82" s="100">
        <v>5087.9999999999991</v>
      </c>
      <c r="J82" s="100">
        <v>7</v>
      </c>
      <c r="K82" s="100">
        <v>3561.5999999999995</v>
      </c>
      <c r="L82" s="100">
        <v>7.3062346750674614</v>
      </c>
      <c r="M82" s="100">
        <v>3717.4122026743235</v>
      </c>
      <c r="N82" s="100">
        <v>13</v>
      </c>
      <c r="O82" s="100">
        <v>6614.3999999999987</v>
      </c>
      <c r="P82" s="100">
        <v>15</v>
      </c>
      <c r="Q82" s="100">
        <v>7631.9999999999982</v>
      </c>
      <c r="R82" s="100">
        <v>8</v>
      </c>
      <c r="S82" s="100">
        <v>4070.3999999999992</v>
      </c>
      <c r="T82" s="100">
        <v>7</v>
      </c>
      <c r="U82" s="100">
        <v>3561.5999999999995</v>
      </c>
      <c r="V82" s="100">
        <v>9</v>
      </c>
      <c r="W82" s="100">
        <v>4579.1999999999989</v>
      </c>
      <c r="X82" s="100">
        <v>10.768210550194159</v>
      </c>
      <c r="Y82" s="100">
        <v>5478.8655279387867</v>
      </c>
      <c r="Z82" s="100">
        <v>8</v>
      </c>
      <c r="AA82" s="100">
        <v>4070.3999999999992</v>
      </c>
      <c r="AB82" s="100">
        <v>12</v>
      </c>
      <c r="AC82" s="100">
        <v>6105.5999999999985</v>
      </c>
      <c r="AD82" s="100">
        <v>13.530882748436118</v>
      </c>
      <c r="AE82" s="100">
        <v>6884.5131424042956</v>
      </c>
      <c r="AF82" s="100">
        <v>10</v>
      </c>
      <c r="AG82" s="100">
        <v>5087.9999999999991</v>
      </c>
      <c r="AH82" s="100">
        <v>6.2958335386786999</v>
      </c>
      <c r="AI82" s="100">
        <v>3203.320104479722</v>
      </c>
      <c r="AJ82" s="100">
        <v>10.310045345699384</v>
      </c>
      <c r="AK82" s="100">
        <v>5245.7510718918456</v>
      </c>
      <c r="AL82" s="100">
        <v>0</v>
      </c>
      <c r="AM82" s="100">
        <v>0</v>
      </c>
      <c r="AN82" s="100">
        <v>8</v>
      </c>
      <c r="AO82" s="100">
        <v>4070.3999999999992</v>
      </c>
      <c r="AP82" s="100">
        <v>14</v>
      </c>
      <c r="AQ82" s="100">
        <v>7123.1999999999989</v>
      </c>
      <c r="AR82" s="100">
        <v>7.7621254388424106</v>
      </c>
      <c r="AS82" s="100">
        <v>3949.3694232830176</v>
      </c>
      <c r="AT82" s="100">
        <v>6.626178995117578</v>
      </c>
      <c r="AU82" s="100">
        <v>3371.3998727158232</v>
      </c>
      <c r="AV82" s="100">
        <v>6.8474558310708975</v>
      </c>
      <c r="AW82" s="100">
        <v>3483.9855268488718</v>
      </c>
      <c r="AX82" s="100">
        <v>10.355597828817348</v>
      </c>
      <c r="AY82" s="100">
        <v>5268.928175302266</v>
      </c>
      <c r="AZ82" s="100">
        <v>10</v>
      </c>
      <c r="BA82" s="100">
        <v>5087.9999999999991</v>
      </c>
      <c r="BB82" s="100">
        <v>11.656874152295334</v>
      </c>
      <c r="BC82" s="100">
        <v>5931.0175686878647</v>
      </c>
      <c r="BD82" s="100">
        <v>8</v>
      </c>
      <c r="BE82" s="100">
        <v>4070.3999999999992</v>
      </c>
      <c r="BF82" s="100">
        <v>5.4661202589685161</v>
      </c>
      <c r="BG82" s="100">
        <v>2781.1619877631806</v>
      </c>
      <c r="BH82" s="100">
        <v>10</v>
      </c>
      <c r="BI82" s="100">
        <v>5087.9999999999991</v>
      </c>
      <c r="BJ82" s="100">
        <v>9</v>
      </c>
      <c r="BK82" s="100">
        <v>4579.1999999999989</v>
      </c>
      <c r="BL82" s="100">
        <v>11</v>
      </c>
      <c r="BM82" s="100">
        <v>5596.7999999999993</v>
      </c>
      <c r="BN82" s="100">
        <v>11</v>
      </c>
      <c r="BO82" s="100">
        <v>5596.7999999999993</v>
      </c>
      <c r="BP82" s="100">
        <v>11</v>
      </c>
      <c r="BQ82" s="100">
        <v>5596.7999999999993</v>
      </c>
      <c r="BR82" s="100">
        <v>6.1862696019953978</v>
      </c>
      <c r="BS82" s="100">
        <v>3147.5739734952576</v>
      </c>
      <c r="BT82" s="100">
        <v>13</v>
      </c>
      <c r="BU82" s="100">
        <v>6614.3999999999987</v>
      </c>
      <c r="BV82" s="100">
        <v>7.5024648553400892</v>
      </c>
      <c r="BW82" s="100">
        <v>3817.2541183970366</v>
      </c>
      <c r="BX82" s="100">
        <v>11.068793271573366</v>
      </c>
      <c r="BY82" s="100">
        <v>5631.8020165765274</v>
      </c>
      <c r="BZ82" s="100">
        <v>8</v>
      </c>
      <c r="CA82" s="100">
        <v>4070.3999999999992</v>
      </c>
      <c r="CB82" s="100">
        <v>10</v>
      </c>
      <c r="CC82" s="100">
        <v>5087.9999999999991</v>
      </c>
      <c r="CD82" s="100">
        <v>7.324360150982673</v>
      </c>
      <c r="CE82" s="100">
        <v>3726.6344448199834</v>
      </c>
      <c r="CF82" s="100">
        <v>12</v>
      </c>
      <c r="CG82" s="100">
        <v>6105.5999999999985</v>
      </c>
      <c r="CH82" s="100">
        <v>8.8011090298389636</v>
      </c>
      <c r="CI82" s="100">
        <v>4478.0042743820641</v>
      </c>
      <c r="CJ82" s="100">
        <v>8</v>
      </c>
      <c r="CK82" s="100">
        <v>4070.3999999999992</v>
      </c>
      <c r="CL82" s="100">
        <v>13</v>
      </c>
      <c r="CM82" s="100">
        <v>6614.3999999999987</v>
      </c>
      <c r="CN82" s="100">
        <v>10.370755605251739</v>
      </c>
      <c r="CO82" s="100">
        <v>5276.6404519520838</v>
      </c>
      <c r="CP82" s="100">
        <v>7.1182915566718599</v>
      </c>
      <c r="CQ82" s="100">
        <v>3621.7867440346417</v>
      </c>
      <c r="CR82" s="100">
        <v>13</v>
      </c>
      <c r="CS82" s="100">
        <v>6614.3999999999987</v>
      </c>
      <c r="CT82" s="100">
        <v>12.655121323995305</v>
      </c>
      <c r="CU82" s="100">
        <v>6438.9257296488095</v>
      </c>
    </row>
    <row r="83" spans="2:99">
      <c r="C83" s="99" t="s">
        <v>249</v>
      </c>
      <c r="D83" s="100">
        <v>9</v>
      </c>
      <c r="E83" s="100">
        <v>7743.5999999999995</v>
      </c>
      <c r="F83" s="100">
        <v>6</v>
      </c>
      <c r="G83" s="100">
        <v>5162.3999999999996</v>
      </c>
      <c r="H83" s="100">
        <v>10</v>
      </c>
      <c r="I83" s="100">
        <v>8604</v>
      </c>
      <c r="J83" s="100">
        <v>7</v>
      </c>
      <c r="K83" s="100">
        <v>6022.8</v>
      </c>
      <c r="L83" s="100">
        <v>7.3062346750674614</v>
      </c>
      <c r="M83" s="100">
        <v>6286.2843144280432</v>
      </c>
      <c r="N83" s="100">
        <v>13</v>
      </c>
      <c r="O83" s="100">
        <v>11185.199999999999</v>
      </c>
      <c r="P83" s="100">
        <v>14</v>
      </c>
      <c r="Q83" s="100">
        <v>12045.6</v>
      </c>
      <c r="R83" s="100">
        <v>9</v>
      </c>
      <c r="S83" s="100">
        <v>7743.5999999999995</v>
      </c>
      <c r="T83" s="100">
        <v>8</v>
      </c>
      <c r="U83" s="100">
        <v>6883.2</v>
      </c>
      <c r="V83" s="100">
        <v>8</v>
      </c>
      <c r="W83" s="100">
        <v>6883.2</v>
      </c>
      <c r="X83" s="100">
        <v>10.768210550194159</v>
      </c>
      <c r="Y83" s="100">
        <v>9264.9683573870534</v>
      </c>
      <c r="Z83" s="100">
        <v>8</v>
      </c>
      <c r="AA83" s="100">
        <v>6883.2</v>
      </c>
      <c r="AB83" s="100">
        <v>12</v>
      </c>
      <c r="AC83" s="100">
        <v>10324.799999999999</v>
      </c>
      <c r="AD83" s="100">
        <v>13.530882748436118</v>
      </c>
      <c r="AE83" s="100">
        <v>11641.971516754436</v>
      </c>
      <c r="AF83" s="100">
        <v>10</v>
      </c>
      <c r="AG83" s="100">
        <v>8604</v>
      </c>
      <c r="AH83" s="100">
        <v>6.9254168925465702</v>
      </c>
      <c r="AI83" s="100">
        <v>5958.6286943470686</v>
      </c>
      <c r="AJ83" s="100">
        <v>10.310045345699384</v>
      </c>
      <c r="AK83" s="100">
        <v>8870.7630154397502</v>
      </c>
      <c r="AL83" s="100">
        <v>0</v>
      </c>
      <c r="AM83" s="100">
        <v>0</v>
      </c>
      <c r="AN83" s="100">
        <v>8</v>
      </c>
      <c r="AO83" s="100">
        <v>6883.2</v>
      </c>
      <c r="AP83" s="100">
        <v>14</v>
      </c>
      <c r="AQ83" s="100">
        <v>12045.6</v>
      </c>
      <c r="AR83" s="100">
        <v>7.7621254388424106</v>
      </c>
      <c r="AS83" s="100">
        <v>6678.53272758001</v>
      </c>
      <c r="AT83" s="100">
        <v>6.626178995117578</v>
      </c>
      <c r="AU83" s="100">
        <v>5701.1644073991638</v>
      </c>
      <c r="AV83" s="100">
        <v>6.3207284594500601</v>
      </c>
      <c r="AW83" s="100">
        <v>5438.3547665108317</v>
      </c>
      <c r="AX83" s="100">
        <v>11.297015813255291</v>
      </c>
      <c r="AY83" s="100">
        <v>9719.9524057248527</v>
      </c>
      <c r="AZ83" s="100">
        <v>10</v>
      </c>
      <c r="BA83" s="100">
        <v>8604</v>
      </c>
      <c r="BB83" s="100">
        <v>10.760191525195692</v>
      </c>
      <c r="BC83" s="100">
        <v>9258.0687882783732</v>
      </c>
      <c r="BD83" s="100">
        <v>9</v>
      </c>
      <c r="BE83" s="100">
        <v>7743.5999999999995</v>
      </c>
      <c r="BF83" s="100">
        <v>5.0756830976136227</v>
      </c>
      <c r="BG83" s="100">
        <v>4367.1177371867607</v>
      </c>
      <c r="BH83" s="100">
        <v>9</v>
      </c>
      <c r="BI83" s="100">
        <v>7743.5999999999995</v>
      </c>
      <c r="BJ83" s="100">
        <v>9</v>
      </c>
      <c r="BK83" s="100">
        <v>7743.5999999999995</v>
      </c>
      <c r="BL83" s="100">
        <v>10</v>
      </c>
      <c r="BM83" s="100">
        <v>8604</v>
      </c>
      <c r="BN83" s="100">
        <v>11</v>
      </c>
      <c r="BO83" s="100">
        <v>9464.4</v>
      </c>
      <c r="BP83" s="100">
        <v>11</v>
      </c>
      <c r="BQ83" s="100">
        <v>9464.4</v>
      </c>
      <c r="BR83" s="100">
        <v>6.1862696019953978</v>
      </c>
      <c r="BS83" s="100">
        <v>5322.66636555684</v>
      </c>
      <c r="BT83" s="100">
        <v>12</v>
      </c>
      <c r="BU83" s="100">
        <v>10324.799999999999</v>
      </c>
      <c r="BV83" s="100">
        <v>8.3360720614889878</v>
      </c>
      <c r="BW83" s="100">
        <v>7172.3564017051249</v>
      </c>
      <c r="BX83" s="100">
        <v>11.068793271573366</v>
      </c>
      <c r="BY83" s="100">
        <v>9523.5897308617241</v>
      </c>
      <c r="BZ83" s="100">
        <v>9</v>
      </c>
      <c r="CA83" s="100">
        <v>7743.5999999999995</v>
      </c>
      <c r="CB83" s="100">
        <v>11</v>
      </c>
      <c r="CC83" s="100">
        <v>9464.4</v>
      </c>
      <c r="CD83" s="100">
        <v>7.324360150982673</v>
      </c>
      <c r="CE83" s="100">
        <v>6301.879473905492</v>
      </c>
      <c r="CF83" s="100">
        <v>10</v>
      </c>
      <c r="CG83" s="100">
        <v>8604</v>
      </c>
      <c r="CH83" s="100">
        <v>8.8011090298389636</v>
      </c>
      <c r="CI83" s="100">
        <v>7572.4742092734441</v>
      </c>
      <c r="CJ83" s="100">
        <v>8</v>
      </c>
      <c r="CK83" s="100">
        <v>6883.2</v>
      </c>
      <c r="CL83" s="100">
        <v>15</v>
      </c>
      <c r="CM83" s="100">
        <v>12906</v>
      </c>
      <c r="CN83" s="100">
        <v>11.168506036424951</v>
      </c>
      <c r="CO83" s="100">
        <v>9609.382593740027</v>
      </c>
      <c r="CP83" s="100">
        <v>6.6733983343798684</v>
      </c>
      <c r="CQ83" s="100">
        <v>5741.7919269004387</v>
      </c>
      <c r="CR83" s="100">
        <v>15</v>
      </c>
      <c r="CS83" s="100">
        <v>12906</v>
      </c>
      <c r="CT83" s="100">
        <v>13.628592195071869</v>
      </c>
      <c r="CU83" s="100">
        <v>11726.040724639835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7</v>
      </c>
      <c r="G84" s="100">
        <v>5468.4</v>
      </c>
      <c r="H84" s="100">
        <v>9</v>
      </c>
      <c r="I84" s="100">
        <v>7030.7999999999993</v>
      </c>
      <c r="J84" s="100">
        <v>7</v>
      </c>
      <c r="K84" s="100">
        <v>5468.4</v>
      </c>
      <c r="L84" s="100">
        <v>6.7843607697054997</v>
      </c>
      <c r="M84" s="100">
        <v>5299.9426332939356</v>
      </c>
      <c r="N84" s="100">
        <v>14</v>
      </c>
      <c r="O84" s="100">
        <v>10936.8</v>
      </c>
      <c r="P84" s="100">
        <v>14</v>
      </c>
      <c r="Q84" s="100">
        <v>10936.8</v>
      </c>
      <c r="R84" s="100">
        <v>8</v>
      </c>
      <c r="S84" s="100">
        <v>6249.5999999999995</v>
      </c>
      <c r="T84" s="100">
        <v>7</v>
      </c>
      <c r="U84" s="100">
        <v>5468.4</v>
      </c>
      <c r="V84" s="100">
        <v>9</v>
      </c>
      <c r="W84" s="100">
        <v>7030.7999999999993</v>
      </c>
      <c r="X84" s="100">
        <v>9.9398866617176846</v>
      </c>
      <c r="Y84" s="100">
        <v>7765.0394601338548</v>
      </c>
      <c r="Z84" s="100">
        <v>8</v>
      </c>
      <c r="AA84" s="100">
        <v>6249.5999999999995</v>
      </c>
      <c r="AB84" s="100">
        <v>11</v>
      </c>
      <c r="AC84" s="100">
        <v>8593.1999999999989</v>
      </c>
      <c r="AD84" s="100">
        <v>11.597899498659531</v>
      </c>
      <c r="AE84" s="100">
        <v>9060.2790883528251</v>
      </c>
      <c r="AF84" s="100">
        <v>10</v>
      </c>
      <c r="AG84" s="100">
        <v>7811.9999999999991</v>
      </c>
      <c r="AH84" s="100">
        <v>6.9254168925465702</v>
      </c>
      <c r="AI84" s="100">
        <v>5410.1356764573802</v>
      </c>
      <c r="AJ84" s="100">
        <v>10.310045345699384</v>
      </c>
      <c r="AK84" s="100">
        <v>8054.2074240603588</v>
      </c>
      <c r="AL84" s="100">
        <v>0</v>
      </c>
      <c r="AM84" s="100">
        <v>0</v>
      </c>
      <c r="AN84" s="100">
        <v>8</v>
      </c>
      <c r="AO84" s="100">
        <v>6249.5999999999995</v>
      </c>
      <c r="AP84" s="100">
        <v>13</v>
      </c>
      <c r="AQ84" s="100">
        <v>10155.599999999999</v>
      </c>
      <c r="AR84" s="100">
        <v>7.7621254388424106</v>
      </c>
      <c r="AS84" s="100">
        <v>6063.772392823691</v>
      </c>
      <c r="AT84" s="100">
        <v>6.626178995117578</v>
      </c>
      <c r="AU84" s="100">
        <v>5176.3710309858516</v>
      </c>
      <c r="AV84" s="100">
        <v>6.3207284594500601</v>
      </c>
      <c r="AW84" s="100">
        <v>4937.7530725223869</v>
      </c>
      <c r="AX84" s="100">
        <v>11.297015813255291</v>
      </c>
      <c r="AY84" s="100">
        <v>8825.228753315032</v>
      </c>
      <c r="AZ84" s="100">
        <v>10</v>
      </c>
      <c r="BA84" s="100">
        <v>7811.9999999999991</v>
      </c>
      <c r="BB84" s="100">
        <v>11.656874152295334</v>
      </c>
      <c r="BC84" s="100">
        <v>9106.3500877731149</v>
      </c>
      <c r="BD84" s="100">
        <v>9</v>
      </c>
      <c r="BE84" s="100">
        <v>7030.7999999999993</v>
      </c>
      <c r="BF84" s="100">
        <v>5.4661202589685161</v>
      </c>
      <c r="BG84" s="100">
        <v>4270.1331463062043</v>
      </c>
      <c r="BH84" s="100">
        <v>9</v>
      </c>
      <c r="BI84" s="100">
        <v>7030.7999999999993</v>
      </c>
      <c r="BJ84" s="100">
        <v>9</v>
      </c>
      <c r="BK84" s="100">
        <v>7030.7999999999993</v>
      </c>
      <c r="BL84" s="100">
        <v>10</v>
      </c>
      <c r="BM84" s="100">
        <v>7811.9999999999991</v>
      </c>
      <c r="BN84" s="100">
        <v>10</v>
      </c>
      <c r="BO84" s="100">
        <v>7811.9999999999991</v>
      </c>
      <c r="BP84" s="100">
        <v>12</v>
      </c>
      <c r="BQ84" s="100">
        <v>9374.4</v>
      </c>
      <c r="BR84" s="100">
        <v>6.8736328911059976</v>
      </c>
      <c r="BS84" s="100">
        <v>5369.6820145320053</v>
      </c>
      <c r="BT84" s="100">
        <v>12</v>
      </c>
      <c r="BU84" s="100">
        <v>9374.4</v>
      </c>
      <c r="BV84" s="100">
        <v>7.5024648553400892</v>
      </c>
      <c r="BW84" s="100">
        <v>5860.9255449916773</v>
      </c>
      <c r="BX84" s="100">
        <v>11.068793271573366</v>
      </c>
      <c r="BY84" s="100">
        <v>8646.9413037531122</v>
      </c>
      <c r="BZ84" s="100">
        <v>8</v>
      </c>
      <c r="CA84" s="100">
        <v>6249.5999999999995</v>
      </c>
      <c r="CB84" s="100">
        <v>12</v>
      </c>
      <c r="CC84" s="100">
        <v>9374.4</v>
      </c>
      <c r="CD84" s="100">
        <v>8.0567961660809413</v>
      </c>
      <c r="CE84" s="100">
        <v>6293.9691649424312</v>
      </c>
      <c r="CF84" s="100">
        <v>10</v>
      </c>
      <c r="CG84" s="100">
        <v>7811.9999999999991</v>
      </c>
      <c r="CH84" s="100">
        <v>8.8011090298389636</v>
      </c>
      <c r="CI84" s="100">
        <v>6875.4263741101977</v>
      </c>
      <c r="CJ84" s="100">
        <v>8</v>
      </c>
      <c r="CK84" s="100">
        <v>6249.5999999999995</v>
      </c>
      <c r="CL84" s="100">
        <v>15</v>
      </c>
      <c r="CM84" s="100">
        <v>11717.999999999998</v>
      </c>
      <c r="CN84" s="100">
        <v>11.168506036424951</v>
      </c>
      <c r="CO84" s="100">
        <v>8724.8369156551707</v>
      </c>
      <c r="CP84" s="100">
        <v>6.6733983343798684</v>
      </c>
      <c r="CQ84" s="100">
        <v>5213.2587788175524</v>
      </c>
      <c r="CR84" s="100">
        <v>13</v>
      </c>
      <c r="CS84" s="100">
        <v>10155.599999999999</v>
      </c>
      <c r="CT84" s="100">
        <v>11.681650452918744</v>
      </c>
      <c r="CU84" s="100">
        <v>9125.7053338201222</v>
      </c>
    </row>
    <row r="85" spans="2:99">
      <c r="C85" s="99" t="s">
        <v>251</v>
      </c>
      <c r="D85" s="100">
        <v>8</v>
      </c>
      <c r="E85" s="100">
        <v>1200</v>
      </c>
      <c r="F85" s="100">
        <v>7</v>
      </c>
      <c r="G85" s="100">
        <v>1050</v>
      </c>
      <c r="H85" s="100">
        <v>10</v>
      </c>
      <c r="I85" s="100">
        <v>1500</v>
      </c>
      <c r="J85" s="100">
        <v>8</v>
      </c>
      <c r="K85" s="100">
        <v>1200</v>
      </c>
      <c r="L85" s="100">
        <v>7.8281085804294221</v>
      </c>
      <c r="M85" s="100">
        <v>1174.2162870644133</v>
      </c>
      <c r="N85" s="100">
        <v>14</v>
      </c>
      <c r="O85" s="100">
        <v>2100</v>
      </c>
      <c r="P85" s="100">
        <v>15</v>
      </c>
      <c r="Q85" s="100">
        <v>2250</v>
      </c>
      <c r="R85" s="100">
        <v>9</v>
      </c>
      <c r="S85" s="100">
        <v>1350</v>
      </c>
      <c r="T85" s="100">
        <v>8</v>
      </c>
      <c r="U85" s="100">
        <v>1200</v>
      </c>
      <c r="V85" s="100">
        <v>9</v>
      </c>
      <c r="W85" s="100">
        <v>1350</v>
      </c>
      <c r="X85" s="100">
        <v>11.596534438670632</v>
      </c>
      <c r="Y85" s="100">
        <v>1739.4801658005949</v>
      </c>
      <c r="Z85" s="100">
        <v>8</v>
      </c>
      <c r="AA85" s="100">
        <v>1200</v>
      </c>
      <c r="AB85" s="100">
        <v>11</v>
      </c>
      <c r="AC85" s="100">
        <v>1650</v>
      </c>
      <c r="AD85" s="100">
        <v>13.530882748436118</v>
      </c>
      <c r="AE85" s="100">
        <v>2029.6324122654178</v>
      </c>
      <c r="AF85" s="100">
        <v>10</v>
      </c>
      <c r="AG85" s="100">
        <v>1500</v>
      </c>
      <c r="AH85" s="100">
        <v>6.9254168925465702</v>
      </c>
      <c r="AI85" s="100">
        <v>1038.8125338819855</v>
      </c>
      <c r="AJ85" s="100">
        <v>10.310045345699384</v>
      </c>
      <c r="AK85" s="100">
        <v>1546.5068018549077</v>
      </c>
      <c r="AL85" s="100">
        <v>0</v>
      </c>
      <c r="AM85" s="100">
        <v>0</v>
      </c>
      <c r="AN85" s="100">
        <v>9</v>
      </c>
      <c r="AO85" s="100">
        <v>1350</v>
      </c>
      <c r="AP85" s="100">
        <v>14</v>
      </c>
      <c r="AQ85" s="100">
        <v>2100</v>
      </c>
      <c r="AR85" s="100">
        <v>8.732391118697711</v>
      </c>
      <c r="AS85" s="100">
        <v>1309.8586678046568</v>
      </c>
      <c r="AT85" s="100">
        <v>6.626178995117578</v>
      </c>
      <c r="AU85" s="100">
        <v>993.92684926763673</v>
      </c>
      <c r="AV85" s="100">
        <v>6.8474558310708975</v>
      </c>
      <c r="AW85" s="100">
        <v>1027.1183746606346</v>
      </c>
      <c r="AX85" s="100">
        <v>11.297015813255291</v>
      </c>
      <c r="AY85" s="100">
        <v>1694.5523719882935</v>
      </c>
      <c r="AZ85" s="100">
        <v>9</v>
      </c>
      <c r="BA85" s="100">
        <v>1350</v>
      </c>
      <c r="BB85" s="100">
        <v>11.656874152295334</v>
      </c>
      <c r="BC85" s="100">
        <v>1748.5311228443002</v>
      </c>
      <c r="BD85" s="100">
        <v>9</v>
      </c>
      <c r="BE85" s="100">
        <v>1350</v>
      </c>
      <c r="BF85" s="100">
        <v>5.4661202589685161</v>
      </c>
      <c r="BG85" s="100">
        <v>819.91803884527735</v>
      </c>
      <c r="BH85" s="100">
        <v>10</v>
      </c>
      <c r="BI85" s="100">
        <v>1500</v>
      </c>
      <c r="BJ85" s="100">
        <v>9</v>
      </c>
      <c r="BK85" s="100">
        <v>1350</v>
      </c>
      <c r="BL85" s="100">
        <v>12</v>
      </c>
      <c r="BM85" s="100">
        <v>1800</v>
      </c>
      <c r="BN85" s="100">
        <v>11</v>
      </c>
      <c r="BO85" s="100">
        <v>1650</v>
      </c>
      <c r="BP85" s="100">
        <v>11</v>
      </c>
      <c r="BQ85" s="100">
        <v>1650</v>
      </c>
      <c r="BR85" s="100">
        <v>6.8736328911059976</v>
      </c>
      <c r="BS85" s="100">
        <v>1031.0449336658996</v>
      </c>
      <c r="BT85" s="100">
        <v>12</v>
      </c>
      <c r="BU85" s="100">
        <v>1800</v>
      </c>
      <c r="BV85" s="100">
        <v>8.3360720614889878</v>
      </c>
      <c r="BW85" s="100">
        <v>1250.4108092233482</v>
      </c>
      <c r="BX85" s="100">
        <v>11.859421362400035</v>
      </c>
      <c r="BY85" s="100">
        <v>1778.9132043600052</v>
      </c>
      <c r="BZ85" s="100">
        <v>8</v>
      </c>
      <c r="CA85" s="100">
        <v>1200</v>
      </c>
      <c r="CB85" s="100">
        <v>11</v>
      </c>
      <c r="CC85" s="100">
        <v>1650</v>
      </c>
      <c r="CD85" s="100">
        <v>7.324360150982673</v>
      </c>
      <c r="CE85" s="100">
        <v>1098.654022647401</v>
      </c>
      <c r="CF85" s="100">
        <v>11</v>
      </c>
      <c r="CG85" s="100">
        <v>1650</v>
      </c>
      <c r="CH85" s="100">
        <v>8.8011090298389636</v>
      </c>
      <c r="CI85" s="100">
        <v>1320.1663544758446</v>
      </c>
      <c r="CJ85" s="100">
        <v>9</v>
      </c>
      <c r="CK85" s="100">
        <v>1350</v>
      </c>
      <c r="CL85" s="100">
        <v>13</v>
      </c>
      <c r="CM85" s="100">
        <v>1950</v>
      </c>
      <c r="CN85" s="100">
        <v>11.966256467598162</v>
      </c>
      <c r="CO85" s="100">
        <v>1794.9384701397244</v>
      </c>
      <c r="CP85" s="100">
        <v>7.1182915566718599</v>
      </c>
      <c r="CQ85" s="100">
        <v>1067.7437335007789</v>
      </c>
      <c r="CR85" s="100">
        <v>15</v>
      </c>
      <c r="CS85" s="100">
        <v>2250</v>
      </c>
      <c r="CT85" s="100">
        <v>12.655121323995305</v>
      </c>
      <c r="CU85" s="100">
        <v>1898.2681985992956</v>
      </c>
    </row>
    <row r="86" spans="2:99">
      <c r="C86" s="99" t="s">
        <v>252</v>
      </c>
      <c r="D86" s="100">
        <v>9</v>
      </c>
      <c r="E86" s="100">
        <v>4860</v>
      </c>
      <c r="F86" s="100">
        <v>7</v>
      </c>
      <c r="G86" s="100">
        <v>3780</v>
      </c>
      <c r="H86" s="100">
        <v>11</v>
      </c>
      <c r="I86" s="100">
        <v>5940</v>
      </c>
      <c r="J86" s="100">
        <v>7</v>
      </c>
      <c r="K86" s="100">
        <v>3780</v>
      </c>
      <c r="L86" s="100">
        <v>6.7843607697054997</v>
      </c>
      <c r="M86" s="100">
        <v>3663.55481564097</v>
      </c>
      <c r="N86" s="100">
        <v>13</v>
      </c>
      <c r="O86" s="100">
        <v>7020</v>
      </c>
      <c r="P86" s="100">
        <v>13</v>
      </c>
      <c r="Q86" s="100">
        <v>7020</v>
      </c>
      <c r="R86" s="100">
        <v>9</v>
      </c>
      <c r="S86" s="100">
        <v>4860</v>
      </c>
      <c r="T86" s="100">
        <v>7</v>
      </c>
      <c r="U86" s="100">
        <v>3780</v>
      </c>
      <c r="V86" s="100">
        <v>9</v>
      </c>
      <c r="W86" s="100">
        <v>4860</v>
      </c>
      <c r="X86" s="100">
        <v>10.768210550194159</v>
      </c>
      <c r="Y86" s="100">
        <v>5814.8336971048457</v>
      </c>
      <c r="Z86" s="100">
        <v>8</v>
      </c>
      <c r="AA86" s="100">
        <v>4320</v>
      </c>
      <c r="AB86" s="100">
        <v>11</v>
      </c>
      <c r="AC86" s="100">
        <v>5940</v>
      </c>
      <c r="AD86" s="100">
        <v>14.497374373324412</v>
      </c>
      <c r="AE86" s="100">
        <v>7828.5821615951827</v>
      </c>
      <c r="AF86" s="100">
        <v>9</v>
      </c>
      <c r="AG86" s="100">
        <v>4860</v>
      </c>
      <c r="AH86" s="100">
        <v>7.5550002464144397</v>
      </c>
      <c r="AI86" s="100">
        <v>4079.7001330637972</v>
      </c>
      <c r="AJ86" s="100">
        <v>9.5736135352922851</v>
      </c>
      <c r="AK86" s="100">
        <v>5169.7513090578341</v>
      </c>
      <c r="AL86" s="100">
        <v>0</v>
      </c>
      <c r="AM86" s="100">
        <v>0</v>
      </c>
      <c r="AN86" s="100">
        <v>8</v>
      </c>
      <c r="AO86" s="100">
        <v>4320</v>
      </c>
      <c r="AP86" s="100">
        <v>13</v>
      </c>
      <c r="AQ86" s="100">
        <v>7020</v>
      </c>
      <c r="AR86" s="100">
        <v>7.7621254388424106</v>
      </c>
      <c r="AS86" s="100">
        <v>4191.5477369749015</v>
      </c>
      <c r="AT86" s="100">
        <v>6.626178995117578</v>
      </c>
      <c r="AU86" s="100">
        <v>3578.1366573634923</v>
      </c>
      <c r="AV86" s="100">
        <v>7.3741832026917367</v>
      </c>
      <c r="AW86" s="100">
        <v>3982.058929453538</v>
      </c>
      <c r="AX86" s="100">
        <v>10.355597828817348</v>
      </c>
      <c r="AY86" s="100">
        <v>5592.0228275613681</v>
      </c>
      <c r="AZ86" s="100">
        <v>10</v>
      </c>
      <c r="BA86" s="100">
        <v>5400</v>
      </c>
      <c r="BB86" s="100">
        <v>10.760191525195692</v>
      </c>
      <c r="BC86" s="100">
        <v>5810.5034236056736</v>
      </c>
      <c r="BD86" s="100">
        <v>8</v>
      </c>
      <c r="BE86" s="100">
        <v>4320</v>
      </c>
      <c r="BF86" s="100">
        <v>5.0756830976136227</v>
      </c>
      <c r="BG86" s="100">
        <v>2740.8688727113563</v>
      </c>
      <c r="BH86" s="100">
        <v>11</v>
      </c>
      <c r="BI86" s="100">
        <v>5940</v>
      </c>
      <c r="BJ86" s="100">
        <v>10</v>
      </c>
      <c r="BK86" s="100">
        <v>5400</v>
      </c>
      <c r="BL86" s="100">
        <v>11</v>
      </c>
      <c r="BM86" s="100">
        <v>5940</v>
      </c>
      <c r="BN86" s="100">
        <v>10</v>
      </c>
      <c r="BO86" s="100">
        <v>5400</v>
      </c>
      <c r="BP86" s="100">
        <v>12</v>
      </c>
      <c r="BQ86" s="100">
        <v>6480</v>
      </c>
      <c r="BR86" s="100">
        <v>6.1862696019953978</v>
      </c>
      <c r="BS86" s="100">
        <v>3340.5855850775147</v>
      </c>
      <c r="BT86" s="100">
        <v>12</v>
      </c>
      <c r="BU86" s="100">
        <v>6480</v>
      </c>
      <c r="BV86" s="100">
        <v>7.5024648553400892</v>
      </c>
      <c r="BW86" s="100">
        <v>4051.3310218836482</v>
      </c>
      <c r="BX86" s="100">
        <v>10.278165180746697</v>
      </c>
      <c r="BY86" s="100">
        <v>5550.2091976032161</v>
      </c>
      <c r="BZ86" s="100">
        <v>8</v>
      </c>
      <c r="CA86" s="100">
        <v>4320</v>
      </c>
      <c r="CB86" s="100">
        <v>12</v>
      </c>
      <c r="CC86" s="100">
        <v>6480</v>
      </c>
      <c r="CD86" s="100">
        <v>8.0567961660809413</v>
      </c>
      <c r="CE86" s="100">
        <v>4350.6699296837087</v>
      </c>
      <c r="CF86" s="100">
        <v>10</v>
      </c>
      <c r="CG86" s="100">
        <v>5400</v>
      </c>
      <c r="CH86" s="100">
        <v>7.9209981268550669</v>
      </c>
      <c r="CI86" s="100">
        <v>4277.3389885017359</v>
      </c>
      <c r="CJ86" s="100">
        <v>8</v>
      </c>
      <c r="CK86" s="100">
        <v>4320</v>
      </c>
      <c r="CL86" s="100">
        <v>14</v>
      </c>
      <c r="CM86" s="100">
        <v>7560</v>
      </c>
      <c r="CN86" s="100">
        <v>10.370755605251739</v>
      </c>
      <c r="CO86" s="100">
        <v>5600.2080268359396</v>
      </c>
      <c r="CP86" s="100">
        <v>5.7836118897958864</v>
      </c>
      <c r="CQ86" s="100">
        <v>3123.1504204897788</v>
      </c>
      <c r="CR86" s="100">
        <v>13</v>
      </c>
      <c r="CS86" s="100">
        <v>7020</v>
      </c>
      <c r="CT86" s="100">
        <v>13.628592195071869</v>
      </c>
      <c r="CU86" s="100">
        <v>7359.4397853388091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5.1660023158452502</v>
      </c>
      <c r="G87" s="100">
        <v>5548.2864872177988</v>
      </c>
      <c r="H87" s="100">
        <v>7</v>
      </c>
      <c r="I87" s="100">
        <v>7518</v>
      </c>
      <c r="J87" s="100">
        <v>10</v>
      </c>
      <c r="K87" s="100">
        <v>10740</v>
      </c>
      <c r="L87" s="100">
        <v>2.0483972100076429</v>
      </c>
      <c r="M87" s="100">
        <v>2199.9786035482084</v>
      </c>
      <c r="N87" s="100">
        <v>6.4215177277116195</v>
      </c>
      <c r="O87" s="100">
        <v>6896.7100395622792</v>
      </c>
      <c r="P87" s="100">
        <v>3.8883011621749111</v>
      </c>
      <c r="Q87" s="100">
        <v>4176.0354481758541</v>
      </c>
      <c r="R87" s="100">
        <v>8.2562370784863681</v>
      </c>
      <c r="S87" s="100">
        <v>8867.1986222943597</v>
      </c>
      <c r="T87" s="100">
        <v>0.40716216690359786</v>
      </c>
      <c r="U87" s="100">
        <v>437.29216725446412</v>
      </c>
      <c r="V87" s="100">
        <v>7</v>
      </c>
      <c r="W87" s="100">
        <v>7518</v>
      </c>
      <c r="X87" s="100">
        <v>8.6398980861481629</v>
      </c>
      <c r="Y87" s="100">
        <v>9279.2505445231272</v>
      </c>
      <c r="Z87" s="100">
        <v>7.5653859649230366</v>
      </c>
      <c r="AA87" s="100">
        <v>8125.2245263273417</v>
      </c>
      <c r="AB87" s="100">
        <v>9</v>
      </c>
      <c r="AC87" s="100">
        <v>9666</v>
      </c>
      <c r="AD87" s="100">
        <v>7</v>
      </c>
      <c r="AE87" s="100">
        <v>7518</v>
      </c>
      <c r="AF87" s="100">
        <v>7</v>
      </c>
      <c r="AG87" s="100">
        <v>7518</v>
      </c>
      <c r="AH87" s="100">
        <v>1.7432812977241905</v>
      </c>
      <c r="AI87" s="100">
        <v>1872.2841137557805</v>
      </c>
      <c r="AJ87" s="100">
        <v>9.0117097523347933</v>
      </c>
      <c r="AK87" s="100">
        <v>9678.5762740075679</v>
      </c>
      <c r="AL87" s="100">
        <v>6.7712294271686853</v>
      </c>
      <c r="AM87" s="100">
        <v>7272.3004047791683</v>
      </c>
      <c r="AN87" s="100">
        <v>6.4731999629447117</v>
      </c>
      <c r="AO87" s="100">
        <v>6952.2167602026202</v>
      </c>
      <c r="AP87" s="100">
        <v>7.6599532894845757</v>
      </c>
      <c r="AQ87" s="100">
        <v>8226.7898329064337</v>
      </c>
      <c r="AR87" s="100">
        <v>5.3088785174645574</v>
      </c>
      <c r="AS87" s="100">
        <v>5701.735527756935</v>
      </c>
      <c r="AT87" s="100">
        <v>6.5970889574508309</v>
      </c>
      <c r="AU87" s="100">
        <v>7085.2735403021925</v>
      </c>
      <c r="AV87" s="100">
        <v>8.8045440109018109</v>
      </c>
      <c r="AW87" s="100">
        <v>9456.0802677085449</v>
      </c>
      <c r="AX87" s="100">
        <v>5.3754058171821573</v>
      </c>
      <c r="AY87" s="100">
        <v>5773.1858476536372</v>
      </c>
      <c r="AZ87" s="100">
        <v>5.9785001283782053</v>
      </c>
      <c r="BA87" s="100">
        <v>6420.9091378781923</v>
      </c>
      <c r="BB87" s="100">
        <v>8.3563126794377176</v>
      </c>
      <c r="BC87" s="100">
        <v>8974.679817716109</v>
      </c>
      <c r="BD87" s="100">
        <v>5.0347110822903316</v>
      </c>
      <c r="BE87" s="100">
        <v>5407.2797023798157</v>
      </c>
      <c r="BF87" s="100">
        <v>4.6897673200925967</v>
      </c>
      <c r="BG87" s="100">
        <v>5036.8101017794488</v>
      </c>
      <c r="BH87" s="100">
        <v>5.3088785174645574</v>
      </c>
      <c r="BI87" s="100">
        <v>5701.735527756935</v>
      </c>
      <c r="BJ87" s="100">
        <v>4.4838750962836542</v>
      </c>
      <c r="BK87" s="100">
        <v>4815.6818534086442</v>
      </c>
      <c r="BL87" s="100">
        <v>4.8967737923645682</v>
      </c>
      <c r="BM87" s="100">
        <v>5259.1350529995461</v>
      </c>
      <c r="BN87" s="100">
        <v>5.1066355263230498</v>
      </c>
      <c r="BO87" s="100">
        <v>5484.5265552709552</v>
      </c>
      <c r="BP87" s="100">
        <v>6.6248244665812548</v>
      </c>
      <c r="BQ87" s="100">
        <v>7115.0614771082674</v>
      </c>
      <c r="BR87" s="100">
        <v>0</v>
      </c>
      <c r="BS87" s="100">
        <v>0</v>
      </c>
      <c r="BT87" s="100">
        <v>5.058459719470946</v>
      </c>
      <c r="BU87" s="100">
        <v>5432.7857387117956</v>
      </c>
      <c r="BV87" s="100">
        <v>6.5750672012743134</v>
      </c>
      <c r="BW87" s="100">
        <v>7061.6221741686122</v>
      </c>
      <c r="BX87" s="100">
        <v>6.874317054665644</v>
      </c>
      <c r="BY87" s="100">
        <v>7383.0165167109017</v>
      </c>
      <c r="BZ87" s="100">
        <v>6.2107729374199261</v>
      </c>
      <c r="CA87" s="100">
        <v>6670.370134789001</v>
      </c>
      <c r="CB87" s="100">
        <v>6.6288057312847286</v>
      </c>
      <c r="CC87" s="100">
        <v>7119.337355399799</v>
      </c>
      <c r="CD87" s="100">
        <v>0.45522992271860596</v>
      </c>
      <c r="CE87" s="100">
        <v>488.91693699978282</v>
      </c>
      <c r="CF87" s="100">
        <v>9</v>
      </c>
      <c r="CG87" s="100">
        <v>9666</v>
      </c>
      <c r="CH87" s="100">
        <v>10.428305645528249</v>
      </c>
      <c r="CI87" s="100">
        <v>11200.000263297339</v>
      </c>
      <c r="CJ87" s="100">
        <v>6</v>
      </c>
      <c r="CK87" s="100">
        <v>6444</v>
      </c>
      <c r="CL87" s="100">
        <v>8.0032948260703236</v>
      </c>
      <c r="CM87" s="100">
        <v>8595.5386431995285</v>
      </c>
      <c r="CN87" s="100">
        <v>9.5253305154212331</v>
      </c>
      <c r="CO87" s="100">
        <v>10230.204973562404</v>
      </c>
      <c r="CP87" s="100">
        <v>0.51225872622401369</v>
      </c>
      <c r="CQ87" s="100">
        <v>550.16587196459068</v>
      </c>
      <c r="CR87" s="100">
        <v>6.808847368430734</v>
      </c>
      <c r="CS87" s="100">
        <v>7312.7020736946088</v>
      </c>
      <c r="CT87" s="100">
        <v>7.3653397014274766</v>
      </c>
      <c r="CU87" s="100">
        <v>7910.3748393331098</v>
      </c>
    </row>
    <row r="88" spans="2:99">
      <c r="C88" s="99" t="s">
        <v>254</v>
      </c>
      <c r="D88" s="100">
        <v>8</v>
      </c>
      <c r="E88" s="100">
        <v>7939.2</v>
      </c>
      <c r="F88" s="100">
        <v>5.1660023158452502</v>
      </c>
      <c r="G88" s="100">
        <v>5126.7406982448265</v>
      </c>
      <c r="H88" s="100">
        <v>8</v>
      </c>
      <c r="I88" s="100">
        <v>7939.2</v>
      </c>
      <c r="J88" s="100">
        <v>10</v>
      </c>
      <c r="K88" s="100">
        <v>9924</v>
      </c>
      <c r="L88" s="100">
        <v>2.0483972100076429</v>
      </c>
      <c r="M88" s="100">
        <v>2032.8293912115848</v>
      </c>
      <c r="N88" s="100">
        <v>7.3388774030989943</v>
      </c>
      <c r="O88" s="100">
        <v>7283.1019348354421</v>
      </c>
      <c r="P88" s="100">
        <v>3.8883011621749111</v>
      </c>
      <c r="Q88" s="100">
        <v>3858.7500733423817</v>
      </c>
      <c r="R88" s="100">
        <v>9.173596753873742</v>
      </c>
      <c r="S88" s="100">
        <v>9103.8774185443017</v>
      </c>
      <c r="T88" s="100">
        <v>0.40716216690359786</v>
      </c>
      <c r="U88" s="100">
        <v>404.06773443513049</v>
      </c>
      <c r="V88" s="100">
        <v>7</v>
      </c>
      <c r="W88" s="100">
        <v>6946.8</v>
      </c>
      <c r="X88" s="100">
        <v>8.6398980861481629</v>
      </c>
      <c r="Y88" s="100">
        <v>8574.2348606934374</v>
      </c>
      <c r="Z88" s="100">
        <v>7.5653859649230366</v>
      </c>
      <c r="AA88" s="100">
        <v>7507.8890315896215</v>
      </c>
      <c r="AB88" s="100">
        <v>10</v>
      </c>
      <c r="AC88" s="100">
        <v>9924</v>
      </c>
      <c r="AD88" s="100">
        <v>7</v>
      </c>
      <c r="AE88" s="100">
        <v>6946.8</v>
      </c>
      <c r="AF88" s="100">
        <v>7</v>
      </c>
      <c r="AG88" s="100">
        <v>6946.8</v>
      </c>
      <c r="AH88" s="100">
        <v>1.4942411123350205</v>
      </c>
      <c r="AI88" s="100">
        <v>1482.8848798812744</v>
      </c>
      <c r="AJ88" s="100">
        <v>7.2093678018678355</v>
      </c>
      <c r="AK88" s="100">
        <v>7154.5766065736398</v>
      </c>
      <c r="AL88" s="100">
        <v>6.7712294271686853</v>
      </c>
      <c r="AM88" s="100">
        <v>6719.7680835222027</v>
      </c>
      <c r="AN88" s="100">
        <v>7.1924444032719013</v>
      </c>
      <c r="AO88" s="100">
        <v>7137.7818258070347</v>
      </c>
      <c r="AP88" s="100">
        <v>7.6599532894845757</v>
      </c>
      <c r="AQ88" s="100">
        <v>7601.7376444844931</v>
      </c>
      <c r="AR88" s="100">
        <v>4.5504673006839056</v>
      </c>
      <c r="AS88" s="100">
        <v>4515.8837491987078</v>
      </c>
      <c r="AT88" s="100">
        <v>7.3300988416120338</v>
      </c>
      <c r="AU88" s="100">
        <v>7274.3900904157827</v>
      </c>
      <c r="AV88" s="100">
        <v>8.8045440109018109</v>
      </c>
      <c r="AW88" s="100">
        <v>8737.629476418957</v>
      </c>
      <c r="AX88" s="100">
        <v>6.719257271477697</v>
      </c>
      <c r="AY88" s="100">
        <v>6668.1909162144666</v>
      </c>
      <c r="AZ88" s="100">
        <v>5.9785001283782053</v>
      </c>
      <c r="BA88" s="100">
        <v>5933.0635274025308</v>
      </c>
      <c r="BB88" s="100">
        <v>7.4278334928335275</v>
      </c>
      <c r="BC88" s="100">
        <v>7371.3819582879923</v>
      </c>
      <c r="BD88" s="100">
        <v>5.0347110822903316</v>
      </c>
      <c r="BE88" s="100">
        <v>4996.4472780649248</v>
      </c>
      <c r="BF88" s="100">
        <v>5.4713952067746963</v>
      </c>
      <c r="BG88" s="100">
        <v>5429.8126032032087</v>
      </c>
      <c r="BH88" s="100">
        <v>5.3088785174645574</v>
      </c>
      <c r="BI88" s="100">
        <v>5268.5310407318266</v>
      </c>
      <c r="BJ88" s="100">
        <v>5.2311876123309293</v>
      </c>
      <c r="BK88" s="100">
        <v>5191.4305864772141</v>
      </c>
      <c r="BL88" s="100">
        <v>5.5963129055595067</v>
      </c>
      <c r="BM88" s="100">
        <v>5553.7809274772544</v>
      </c>
      <c r="BN88" s="100">
        <v>5.1066355263230498</v>
      </c>
      <c r="BO88" s="100">
        <v>5067.8250963229948</v>
      </c>
      <c r="BP88" s="100">
        <v>6.6248244665812548</v>
      </c>
      <c r="BQ88" s="100">
        <v>6574.4758006352367</v>
      </c>
      <c r="BR88" s="100">
        <v>0</v>
      </c>
      <c r="BS88" s="100">
        <v>0</v>
      </c>
      <c r="BT88" s="100">
        <v>5.058459719470946</v>
      </c>
      <c r="BU88" s="100">
        <v>5020.0154256029664</v>
      </c>
      <c r="BV88" s="100">
        <v>6.5750672012743134</v>
      </c>
      <c r="BW88" s="100">
        <v>6525.0966905446285</v>
      </c>
      <c r="BX88" s="100">
        <v>6.874317054665644</v>
      </c>
      <c r="BY88" s="100">
        <v>6822.0722450501853</v>
      </c>
      <c r="BZ88" s="100">
        <v>6.9008588193554727</v>
      </c>
      <c r="CA88" s="100">
        <v>6848.4122923283712</v>
      </c>
      <c r="CB88" s="100">
        <v>6.6288057312847286</v>
      </c>
      <c r="CC88" s="100">
        <v>6578.4268077269644</v>
      </c>
      <c r="CD88" s="100">
        <v>0.45522992271860596</v>
      </c>
      <c r="CE88" s="100">
        <v>451.77017530594452</v>
      </c>
      <c r="CF88" s="100">
        <v>10</v>
      </c>
      <c r="CG88" s="100">
        <v>9924</v>
      </c>
      <c r="CH88" s="100">
        <v>9.4802778595711352</v>
      </c>
      <c r="CI88" s="100">
        <v>9408.2277478383949</v>
      </c>
      <c r="CJ88" s="100">
        <v>6</v>
      </c>
      <c r="CK88" s="100">
        <v>5954.4</v>
      </c>
      <c r="CL88" s="100">
        <v>8.0032948260703236</v>
      </c>
      <c r="CM88" s="100">
        <v>7942.4697853921889</v>
      </c>
      <c r="CN88" s="100">
        <v>9.5253305154212331</v>
      </c>
      <c r="CO88" s="100">
        <v>9452.9380035040322</v>
      </c>
      <c r="CP88" s="100">
        <v>0.57629106700201549</v>
      </c>
      <c r="CQ88" s="100">
        <v>571.91125489280012</v>
      </c>
      <c r="CR88" s="100">
        <v>7.6599532894845757</v>
      </c>
      <c r="CS88" s="100">
        <v>7601.7376444844931</v>
      </c>
      <c r="CT88" s="100">
        <v>8.1018736715702229</v>
      </c>
      <c r="CU88" s="100">
        <v>8040.2994316662889</v>
      </c>
    </row>
    <row r="89" spans="2:99">
      <c r="C89" s="99" t="s">
        <v>255</v>
      </c>
      <c r="D89" s="100">
        <v>7</v>
      </c>
      <c r="E89" s="100">
        <v>7434</v>
      </c>
      <c r="F89" s="100">
        <v>5.1660023158452502</v>
      </c>
      <c r="G89" s="100">
        <v>5486.294459427656</v>
      </c>
      <c r="H89" s="100">
        <v>8</v>
      </c>
      <c r="I89" s="100">
        <v>8496</v>
      </c>
      <c r="J89" s="100">
        <v>9</v>
      </c>
      <c r="K89" s="100">
        <v>9558</v>
      </c>
      <c r="L89" s="100">
        <v>2.0483972100076429</v>
      </c>
      <c r="M89" s="100">
        <v>2175.3978370281166</v>
      </c>
      <c r="N89" s="100">
        <v>7.3388774030989943</v>
      </c>
      <c r="O89" s="100">
        <v>7793.8878020911316</v>
      </c>
      <c r="P89" s="100">
        <v>4.6659613946098935</v>
      </c>
      <c r="Q89" s="100">
        <v>4955.2510010757069</v>
      </c>
      <c r="R89" s="100">
        <v>9.173596753873742</v>
      </c>
      <c r="S89" s="100">
        <v>9742.3597526139147</v>
      </c>
      <c r="T89" s="100">
        <v>0.40716216690359786</v>
      </c>
      <c r="U89" s="100">
        <v>432.40622125162093</v>
      </c>
      <c r="V89" s="100">
        <v>7</v>
      </c>
      <c r="W89" s="100">
        <v>7434</v>
      </c>
      <c r="X89" s="100">
        <v>7.6799094099094791</v>
      </c>
      <c r="Y89" s="100">
        <v>8156.0637933238668</v>
      </c>
      <c r="Z89" s="100">
        <v>6.6197127193076568</v>
      </c>
      <c r="AA89" s="100">
        <v>7030.1349079047313</v>
      </c>
      <c r="AB89" s="100">
        <v>9</v>
      </c>
      <c r="AC89" s="100">
        <v>9558</v>
      </c>
      <c r="AD89" s="100">
        <v>7</v>
      </c>
      <c r="AE89" s="100">
        <v>7434</v>
      </c>
      <c r="AF89" s="100">
        <v>7</v>
      </c>
      <c r="AG89" s="100">
        <v>7434</v>
      </c>
      <c r="AH89" s="100">
        <v>1.4942411123350205</v>
      </c>
      <c r="AI89" s="100">
        <v>1586.8840612997917</v>
      </c>
      <c r="AJ89" s="100">
        <v>9.0117097523347933</v>
      </c>
      <c r="AK89" s="100">
        <v>9570.4357569795502</v>
      </c>
      <c r="AL89" s="100">
        <v>6.7712294271686853</v>
      </c>
      <c r="AM89" s="100">
        <v>7191.045651653144</v>
      </c>
      <c r="AN89" s="100">
        <v>7.1924444032719013</v>
      </c>
      <c r="AO89" s="100">
        <v>7638.3759562747591</v>
      </c>
      <c r="AP89" s="100">
        <v>6.7024591282990027</v>
      </c>
      <c r="AQ89" s="100">
        <v>7118.0115942535413</v>
      </c>
      <c r="AR89" s="100">
        <v>4.5504673006839056</v>
      </c>
      <c r="AS89" s="100">
        <v>4832.5962733263077</v>
      </c>
      <c r="AT89" s="100">
        <v>7.3300988416120338</v>
      </c>
      <c r="AU89" s="100">
        <v>7784.5649697919798</v>
      </c>
      <c r="AV89" s="100">
        <v>8.8045440109018109</v>
      </c>
      <c r="AW89" s="100">
        <v>9350.425739577724</v>
      </c>
      <c r="AX89" s="100">
        <v>6.719257271477697</v>
      </c>
      <c r="AY89" s="100">
        <v>7135.8512223093139</v>
      </c>
      <c r="AZ89" s="100">
        <v>5.9785001283782053</v>
      </c>
      <c r="BA89" s="100">
        <v>6349.1671363376545</v>
      </c>
      <c r="BB89" s="100">
        <v>8.3563126794377176</v>
      </c>
      <c r="BC89" s="100">
        <v>8874.404065562856</v>
      </c>
      <c r="BD89" s="100">
        <v>5.0347110822903316</v>
      </c>
      <c r="BE89" s="100">
        <v>5346.8631693923326</v>
      </c>
      <c r="BF89" s="100">
        <v>4.6897673200925967</v>
      </c>
      <c r="BG89" s="100">
        <v>4980.532893938338</v>
      </c>
      <c r="BH89" s="100">
        <v>5.3088785174645574</v>
      </c>
      <c r="BI89" s="100">
        <v>5638.0289855473602</v>
      </c>
      <c r="BJ89" s="100">
        <v>5.2311876123309293</v>
      </c>
      <c r="BK89" s="100">
        <v>5555.5212442954471</v>
      </c>
      <c r="BL89" s="100">
        <v>5.5963129055595067</v>
      </c>
      <c r="BM89" s="100">
        <v>5943.2843057041964</v>
      </c>
      <c r="BN89" s="100">
        <v>5.8361548872263436</v>
      </c>
      <c r="BO89" s="100">
        <v>6197.9964902343772</v>
      </c>
      <c r="BP89" s="100">
        <v>5.7967214082585974</v>
      </c>
      <c r="BQ89" s="100">
        <v>6156.1181355706303</v>
      </c>
      <c r="BR89" s="100">
        <v>0</v>
      </c>
      <c r="BS89" s="100">
        <v>0</v>
      </c>
      <c r="BT89" s="100">
        <v>5.058459719470946</v>
      </c>
      <c r="BU89" s="100">
        <v>5372.0842220781442</v>
      </c>
      <c r="BV89" s="100">
        <v>5.9175604811468823</v>
      </c>
      <c r="BW89" s="100">
        <v>6284.4492309779889</v>
      </c>
      <c r="BX89" s="100">
        <v>6.874317054665644</v>
      </c>
      <c r="BY89" s="100">
        <v>7300.5247120549138</v>
      </c>
      <c r="BZ89" s="100">
        <v>6.2107729374199261</v>
      </c>
      <c r="CA89" s="100">
        <v>6595.8408595399615</v>
      </c>
      <c r="CB89" s="100">
        <v>5.8922717611419815</v>
      </c>
      <c r="CC89" s="100">
        <v>6257.5926103327847</v>
      </c>
      <c r="CD89" s="100">
        <v>0.45522992271860596</v>
      </c>
      <c r="CE89" s="100">
        <v>483.45417792715955</v>
      </c>
      <c r="CF89" s="100">
        <v>9</v>
      </c>
      <c r="CG89" s="100">
        <v>9558</v>
      </c>
      <c r="CH89" s="100">
        <v>9.4802778595711352</v>
      </c>
      <c r="CI89" s="100">
        <v>10068.055086864546</v>
      </c>
      <c r="CJ89" s="100">
        <v>6</v>
      </c>
      <c r="CK89" s="100">
        <v>6372</v>
      </c>
      <c r="CL89" s="100">
        <v>8.0032948260703236</v>
      </c>
      <c r="CM89" s="100">
        <v>8499.4991052866844</v>
      </c>
      <c r="CN89" s="100">
        <v>8.7315529724694638</v>
      </c>
      <c r="CO89" s="100">
        <v>9272.9092567625703</v>
      </c>
      <c r="CP89" s="100">
        <v>0.51225872622401369</v>
      </c>
      <c r="CQ89" s="100">
        <v>544.01876724990257</v>
      </c>
      <c r="CR89" s="100">
        <v>8.5110592105384164</v>
      </c>
      <c r="CS89" s="100">
        <v>9038.7448815917978</v>
      </c>
      <c r="CT89" s="100">
        <v>8.1018736715702229</v>
      </c>
      <c r="CU89" s="100">
        <v>8604.1898392075764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5.1660023158452502</v>
      </c>
      <c r="G90" s="100">
        <v>5728.0633678092136</v>
      </c>
      <c r="H90" s="100">
        <v>8</v>
      </c>
      <c r="I90" s="100">
        <v>8870.4</v>
      </c>
      <c r="J90" s="100">
        <v>9</v>
      </c>
      <c r="K90" s="100">
        <v>9979.1999999999989</v>
      </c>
      <c r="L90" s="100">
        <v>1.7557690371494081</v>
      </c>
      <c r="M90" s="100">
        <v>1946.7967083912636</v>
      </c>
      <c r="N90" s="100">
        <v>7.3388774030989943</v>
      </c>
      <c r="O90" s="100">
        <v>8137.3472645561642</v>
      </c>
      <c r="P90" s="100">
        <v>3.8883011621749111</v>
      </c>
      <c r="Q90" s="100">
        <v>4311.3483286195415</v>
      </c>
      <c r="R90" s="100">
        <v>9.173596753873742</v>
      </c>
      <c r="S90" s="100">
        <v>10171.684080695204</v>
      </c>
      <c r="T90" s="100">
        <v>0.47502252805419753</v>
      </c>
      <c r="U90" s="100">
        <v>526.70497910649419</v>
      </c>
      <c r="V90" s="100">
        <v>7</v>
      </c>
      <c r="W90" s="100">
        <v>7761.5999999999995</v>
      </c>
      <c r="X90" s="100">
        <v>7.6799094099094791</v>
      </c>
      <c r="Y90" s="100">
        <v>8515.4835537076306</v>
      </c>
      <c r="Z90" s="100">
        <v>6.6197127193076568</v>
      </c>
      <c r="AA90" s="100">
        <v>7339.9374631683295</v>
      </c>
      <c r="AB90" s="100">
        <v>10</v>
      </c>
      <c r="AC90" s="100">
        <v>11088</v>
      </c>
      <c r="AD90" s="100">
        <v>8</v>
      </c>
      <c r="AE90" s="100">
        <v>8870.4</v>
      </c>
      <c r="AF90" s="100">
        <v>7</v>
      </c>
      <c r="AG90" s="100">
        <v>7761.5999999999995</v>
      </c>
      <c r="AH90" s="100">
        <v>1.4942411123350205</v>
      </c>
      <c r="AI90" s="100">
        <v>1656.8145453570708</v>
      </c>
      <c r="AJ90" s="100">
        <v>8.1105387771013149</v>
      </c>
      <c r="AK90" s="100">
        <v>8992.9653960499381</v>
      </c>
      <c r="AL90" s="100">
        <v>6.7712294271686853</v>
      </c>
      <c r="AM90" s="100">
        <v>7507.939188844638</v>
      </c>
      <c r="AN90" s="100">
        <v>7.1924444032719013</v>
      </c>
      <c r="AO90" s="100">
        <v>7974.9823543478842</v>
      </c>
      <c r="AP90" s="100">
        <v>7.6599532894845757</v>
      </c>
      <c r="AQ90" s="100">
        <v>8493.3562073804969</v>
      </c>
      <c r="AR90" s="100">
        <v>5.3088785174645574</v>
      </c>
      <c r="AS90" s="100">
        <v>5886.4845001647009</v>
      </c>
      <c r="AT90" s="100">
        <v>7.3300988416120338</v>
      </c>
      <c r="AU90" s="100">
        <v>8127.6135955794225</v>
      </c>
      <c r="AV90" s="100">
        <v>9.6849984119919927</v>
      </c>
      <c r="AW90" s="100">
        <v>10738.726239216721</v>
      </c>
      <c r="AX90" s="100">
        <v>6.0473315443299276</v>
      </c>
      <c r="AY90" s="100">
        <v>6705.2812163530234</v>
      </c>
      <c r="AZ90" s="100">
        <v>5.2311876123309293</v>
      </c>
      <c r="BA90" s="100">
        <v>5800.3408245525343</v>
      </c>
      <c r="BB90" s="100">
        <v>7.4278334928335275</v>
      </c>
      <c r="BC90" s="100">
        <v>8235.9817768538142</v>
      </c>
      <c r="BD90" s="100">
        <v>4.3154666419631411</v>
      </c>
      <c r="BE90" s="100">
        <v>4784.9894126087311</v>
      </c>
      <c r="BF90" s="100">
        <v>4.6897673200925967</v>
      </c>
      <c r="BG90" s="100">
        <v>5200.0140045186708</v>
      </c>
      <c r="BH90" s="100">
        <v>6.0672897342452083</v>
      </c>
      <c r="BI90" s="100">
        <v>6727.4108573310868</v>
      </c>
      <c r="BJ90" s="100">
        <v>5.2311876123309293</v>
      </c>
      <c r="BK90" s="100">
        <v>5800.3408245525343</v>
      </c>
      <c r="BL90" s="100">
        <v>4.8967737923645682</v>
      </c>
      <c r="BM90" s="100">
        <v>5429.542780973833</v>
      </c>
      <c r="BN90" s="100">
        <v>5.1066355263230498</v>
      </c>
      <c r="BO90" s="100">
        <v>5662.2374715869973</v>
      </c>
      <c r="BP90" s="100">
        <v>6.6248244665812548</v>
      </c>
      <c r="BQ90" s="100">
        <v>7345.6053685452953</v>
      </c>
      <c r="BR90" s="100">
        <v>0</v>
      </c>
      <c r="BS90" s="100">
        <v>0</v>
      </c>
      <c r="BT90" s="100">
        <v>5.058459719470946</v>
      </c>
      <c r="BU90" s="100">
        <v>5608.8201369493845</v>
      </c>
      <c r="BV90" s="100">
        <v>5.9175604811468823</v>
      </c>
      <c r="BW90" s="100">
        <v>6561.3910614956631</v>
      </c>
      <c r="BX90" s="100">
        <v>6.874317054665644</v>
      </c>
      <c r="BY90" s="100">
        <v>7622.2427502132659</v>
      </c>
      <c r="BZ90" s="100">
        <v>6.2107729374199261</v>
      </c>
      <c r="CA90" s="100">
        <v>6886.5050330112135</v>
      </c>
      <c r="CB90" s="100">
        <v>5.8922717611419815</v>
      </c>
      <c r="CC90" s="100">
        <v>6533.3509287542292</v>
      </c>
      <c r="CD90" s="100">
        <v>0.39019707661594794</v>
      </c>
      <c r="CE90" s="100">
        <v>432.65051855176307</v>
      </c>
      <c r="CF90" s="100">
        <v>10</v>
      </c>
      <c r="CG90" s="100">
        <v>11088</v>
      </c>
      <c r="CH90" s="100">
        <v>9.4802778595711352</v>
      </c>
      <c r="CI90" s="100">
        <v>10511.732090692474</v>
      </c>
      <c r="CJ90" s="100">
        <v>6</v>
      </c>
      <c r="CK90" s="100">
        <v>6652.7999999999993</v>
      </c>
      <c r="CL90" s="100">
        <v>7.1140398453958422</v>
      </c>
      <c r="CM90" s="100">
        <v>7888.0473805749098</v>
      </c>
      <c r="CN90" s="100">
        <v>8.7315529724694638</v>
      </c>
      <c r="CO90" s="100">
        <v>9681.5459358741409</v>
      </c>
      <c r="CP90" s="100">
        <v>0.57629106700201549</v>
      </c>
      <c r="CQ90" s="100">
        <v>638.99153509183475</v>
      </c>
      <c r="CR90" s="100">
        <v>7.6599532894845757</v>
      </c>
      <c r="CS90" s="100">
        <v>8493.3562073804969</v>
      </c>
      <c r="CT90" s="100">
        <v>8.1018736715702229</v>
      </c>
      <c r="CU90" s="100">
        <v>8983.357527037062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5.1660023158452502</v>
      </c>
      <c r="G91" s="100">
        <v>5870.6450317265417</v>
      </c>
      <c r="H91" s="100">
        <v>7</v>
      </c>
      <c r="I91" s="100">
        <v>7954.7999999999993</v>
      </c>
      <c r="J91" s="100">
        <v>10</v>
      </c>
      <c r="K91" s="100">
        <v>11363.999999999998</v>
      </c>
      <c r="L91" s="100">
        <v>1.7557690371494081</v>
      </c>
      <c r="M91" s="100">
        <v>1995.2559338165872</v>
      </c>
      <c r="N91" s="100">
        <v>7.3388774030989943</v>
      </c>
      <c r="O91" s="100">
        <v>8339.9002808816967</v>
      </c>
      <c r="P91" s="100">
        <v>3.8883011621749111</v>
      </c>
      <c r="Q91" s="100">
        <v>4418.6654406955686</v>
      </c>
      <c r="R91" s="100">
        <v>8.2562370784863681</v>
      </c>
      <c r="S91" s="100">
        <v>9382.3878159919077</v>
      </c>
      <c r="T91" s="100">
        <v>0.40716216690359786</v>
      </c>
      <c r="U91" s="100">
        <v>462.69908646924853</v>
      </c>
      <c r="V91" s="100">
        <v>7</v>
      </c>
      <c r="W91" s="100">
        <v>7954.7999999999993</v>
      </c>
      <c r="X91" s="100">
        <v>7.6799094099094791</v>
      </c>
      <c r="Y91" s="100">
        <v>8727.4490534211309</v>
      </c>
      <c r="Z91" s="100">
        <v>7.5653859649230366</v>
      </c>
      <c r="AA91" s="100">
        <v>8597.3046105385383</v>
      </c>
      <c r="AB91" s="100">
        <v>9</v>
      </c>
      <c r="AC91" s="100">
        <v>10227.599999999999</v>
      </c>
      <c r="AD91" s="100">
        <v>7</v>
      </c>
      <c r="AE91" s="100">
        <v>7954.7999999999993</v>
      </c>
      <c r="AF91" s="100">
        <v>7</v>
      </c>
      <c r="AG91" s="100">
        <v>7954.7999999999993</v>
      </c>
      <c r="AH91" s="100">
        <v>1.4942411123350205</v>
      </c>
      <c r="AI91" s="100">
        <v>1698.055600057517</v>
      </c>
      <c r="AJ91" s="100">
        <v>9.0117097523347933</v>
      </c>
      <c r="AK91" s="100">
        <v>10240.906962553257</v>
      </c>
      <c r="AL91" s="100">
        <v>7.6176331055647708</v>
      </c>
      <c r="AM91" s="100">
        <v>8656.6782611638046</v>
      </c>
      <c r="AN91" s="100">
        <v>7.1924444032719013</v>
      </c>
      <c r="AO91" s="100">
        <v>8173.4938198781874</v>
      </c>
      <c r="AP91" s="100">
        <v>7.6599532894845757</v>
      </c>
      <c r="AQ91" s="100">
        <v>8704.7709181702703</v>
      </c>
      <c r="AR91" s="100">
        <v>4.5504673006839056</v>
      </c>
      <c r="AS91" s="100">
        <v>5171.1510404971896</v>
      </c>
      <c r="AT91" s="100">
        <v>7.3300988416120338</v>
      </c>
      <c r="AU91" s="100">
        <v>8329.9243236079146</v>
      </c>
      <c r="AV91" s="100">
        <v>7.9240896098116291</v>
      </c>
      <c r="AW91" s="100">
        <v>9004.9354325899349</v>
      </c>
      <c r="AX91" s="100">
        <v>6.0473315443299276</v>
      </c>
      <c r="AY91" s="100">
        <v>6872.1875669765286</v>
      </c>
      <c r="AZ91" s="100">
        <v>5.2311876123309293</v>
      </c>
      <c r="BA91" s="100">
        <v>5944.7216026528677</v>
      </c>
      <c r="BB91" s="100">
        <v>7.4278334928335275</v>
      </c>
      <c r="BC91" s="100">
        <v>8440.9899812560197</v>
      </c>
      <c r="BD91" s="100">
        <v>4.3154666419631411</v>
      </c>
      <c r="BE91" s="100">
        <v>4904.0962919269132</v>
      </c>
      <c r="BF91" s="100">
        <v>5.4713952067746963</v>
      </c>
      <c r="BG91" s="100">
        <v>6217.6935129787644</v>
      </c>
      <c r="BH91" s="100">
        <v>6.0672897342452083</v>
      </c>
      <c r="BI91" s="100">
        <v>6894.8680539962543</v>
      </c>
      <c r="BJ91" s="100">
        <v>5.9785001283782053</v>
      </c>
      <c r="BK91" s="100">
        <v>6793.9675458889915</v>
      </c>
      <c r="BL91" s="100">
        <v>5.5963129055595067</v>
      </c>
      <c r="BM91" s="100">
        <v>6359.6499858778225</v>
      </c>
      <c r="BN91" s="100">
        <v>5.8361548872263436</v>
      </c>
      <c r="BO91" s="100">
        <v>6632.2064138440164</v>
      </c>
      <c r="BP91" s="100">
        <v>5.7967214082585974</v>
      </c>
      <c r="BQ91" s="100">
        <v>6587.3942083450693</v>
      </c>
      <c r="BR91" s="100">
        <v>0</v>
      </c>
      <c r="BS91" s="100">
        <v>0</v>
      </c>
      <c r="BT91" s="100">
        <v>4.3358226166893825</v>
      </c>
      <c r="BU91" s="100">
        <v>4927.2288216058141</v>
      </c>
      <c r="BV91" s="100">
        <v>5.9175604811468823</v>
      </c>
      <c r="BW91" s="100">
        <v>6724.7157307753159</v>
      </c>
      <c r="BX91" s="100">
        <v>6.874317054665644</v>
      </c>
      <c r="BY91" s="100">
        <v>7811.9739009220366</v>
      </c>
      <c r="BZ91" s="100">
        <v>6.9008588193554727</v>
      </c>
      <c r="CA91" s="100">
        <v>7842.1359623155586</v>
      </c>
      <c r="CB91" s="100">
        <v>5.8922717611419815</v>
      </c>
      <c r="CC91" s="100">
        <v>6695.9776293617469</v>
      </c>
      <c r="CD91" s="100">
        <v>0.39019707661594794</v>
      </c>
      <c r="CE91" s="100">
        <v>443.41995786636318</v>
      </c>
      <c r="CF91" s="100">
        <v>9</v>
      </c>
      <c r="CG91" s="100">
        <v>10227.599999999999</v>
      </c>
      <c r="CH91" s="100">
        <v>10.428305645528249</v>
      </c>
      <c r="CI91" s="100">
        <v>11850.726535578302</v>
      </c>
      <c r="CJ91" s="100">
        <v>6</v>
      </c>
      <c r="CK91" s="100">
        <v>6818.4</v>
      </c>
      <c r="CL91" s="100">
        <v>8.0032948260703236</v>
      </c>
      <c r="CM91" s="100">
        <v>9094.9442403463145</v>
      </c>
      <c r="CN91" s="100">
        <v>9.5253305154212331</v>
      </c>
      <c r="CO91" s="100">
        <v>10824.585597724688</v>
      </c>
      <c r="CP91" s="100">
        <v>0.57629106700201549</v>
      </c>
      <c r="CQ91" s="100">
        <v>654.89716854109031</v>
      </c>
      <c r="CR91" s="100">
        <v>7.6599532894845757</v>
      </c>
      <c r="CS91" s="100">
        <v>8704.7709181702703</v>
      </c>
      <c r="CT91" s="100">
        <v>7.3653397014274766</v>
      </c>
      <c r="CU91" s="100">
        <v>8369.9720367021837</v>
      </c>
    </row>
    <row r="92" spans="2:99">
      <c r="C92" s="99" t="s">
        <v>258</v>
      </c>
      <c r="D92" s="100">
        <v>8</v>
      </c>
      <c r="E92" s="100">
        <v>6278.4</v>
      </c>
      <c r="F92" s="100">
        <v>5.1660023158452502</v>
      </c>
      <c r="G92" s="100">
        <v>4054.2786174753519</v>
      </c>
      <c r="H92" s="100">
        <v>9</v>
      </c>
      <c r="I92" s="100">
        <v>7063.2</v>
      </c>
      <c r="J92" s="100">
        <v>10</v>
      </c>
      <c r="K92" s="100">
        <v>7848</v>
      </c>
      <c r="L92" s="100">
        <v>2.0483972100076429</v>
      </c>
      <c r="M92" s="100">
        <v>1607.5821304139981</v>
      </c>
      <c r="N92" s="100">
        <v>7.3388774030989943</v>
      </c>
      <c r="O92" s="100">
        <v>5759.5509859520907</v>
      </c>
      <c r="P92" s="100">
        <v>4.6659613946098935</v>
      </c>
      <c r="Q92" s="100">
        <v>3661.8465024898442</v>
      </c>
      <c r="R92" s="100">
        <v>9.173596753873742</v>
      </c>
      <c r="S92" s="100">
        <v>7199.4387324401123</v>
      </c>
      <c r="T92" s="100">
        <v>0.47502252805419753</v>
      </c>
      <c r="U92" s="100">
        <v>372.79768001693418</v>
      </c>
      <c r="V92" s="100">
        <v>7</v>
      </c>
      <c r="W92" s="100">
        <v>5493.5999999999995</v>
      </c>
      <c r="X92" s="100">
        <v>8.6398980861481629</v>
      </c>
      <c r="Y92" s="100">
        <v>6780.5920180090779</v>
      </c>
      <c r="Z92" s="100">
        <v>6.6197127193076568</v>
      </c>
      <c r="AA92" s="100">
        <v>5195.1505421126485</v>
      </c>
      <c r="AB92" s="100">
        <v>10</v>
      </c>
      <c r="AC92" s="100">
        <v>7848</v>
      </c>
      <c r="AD92" s="100">
        <v>7</v>
      </c>
      <c r="AE92" s="100">
        <v>5493.5999999999995</v>
      </c>
      <c r="AF92" s="100">
        <v>7</v>
      </c>
      <c r="AG92" s="100">
        <v>5493.5999999999995</v>
      </c>
      <c r="AH92" s="100">
        <v>1.4942411123350205</v>
      </c>
      <c r="AI92" s="100">
        <v>1172.6804249605241</v>
      </c>
      <c r="AJ92" s="100">
        <v>9.0117097523347933</v>
      </c>
      <c r="AK92" s="100">
        <v>7072.3898136323451</v>
      </c>
      <c r="AL92" s="100">
        <v>7.6176331055647708</v>
      </c>
      <c r="AM92" s="100">
        <v>5978.3184612472314</v>
      </c>
      <c r="AN92" s="100">
        <v>7.9116888435990917</v>
      </c>
      <c r="AO92" s="100">
        <v>6209.0934044565665</v>
      </c>
      <c r="AP92" s="100">
        <v>6.7024591282990027</v>
      </c>
      <c r="AQ92" s="100">
        <v>5260.089923889057</v>
      </c>
      <c r="AR92" s="100">
        <v>4.5504673006839056</v>
      </c>
      <c r="AS92" s="100">
        <v>3571.2067375767288</v>
      </c>
      <c r="AT92" s="100">
        <v>7.3300988416120338</v>
      </c>
      <c r="AU92" s="100">
        <v>5752.661570897124</v>
      </c>
      <c r="AV92" s="100">
        <v>9.6849984119919927</v>
      </c>
      <c r="AW92" s="100">
        <v>7600.7867537313159</v>
      </c>
      <c r="AX92" s="100">
        <v>6.0473315443299276</v>
      </c>
      <c r="AY92" s="100">
        <v>4745.9457959901265</v>
      </c>
      <c r="AZ92" s="100">
        <v>5.9785001283782053</v>
      </c>
      <c r="BA92" s="100">
        <v>4691.9269007512148</v>
      </c>
      <c r="BB92" s="100">
        <v>8.3563126794377176</v>
      </c>
      <c r="BC92" s="100">
        <v>6558.0341908227201</v>
      </c>
      <c r="BD92" s="100">
        <v>4.3154666419631411</v>
      </c>
      <c r="BE92" s="100">
        <v>3386.7782206126731</v>
      </c>
      <c r="BF92" s="100">
        <v>4.6897673200925967</v>
      </c>
      <c r="BG92" s="100">
        <v>3680.5293928086699</v>
      </c>
      <c r="BH92" s="100">
        <v>6.0672897342452083</v>
      </c>
      <c r="BI92" s="100">
        <v>4761.6089834356389</v>
      </c>
      <c r="BJ92" s="100">
        <v>5.2311876123309293</v>
      </c>
      <c r="BK92" s="100">
        <v>4105.4360381573133</v>
      </c>
      <c r="BL92" s="100">
        <v>4.8967737923645682</v>
      </c>
      <c r="BM92" s="100">
        <v>3842.9880722477128</v>
      </c>
      <c r="BN92" s="100">
        <v>5.8361548872263436</v>
      </c>
      <c r="BO92" s="100">
        <v>4580.2143554952345</v>
      </c>
      <c r="BP92" s="100">
        <v>6.6248244665812548</v>
      </c>
      <c r="BQ92" s="100">
        <v>5199.1622413729683</v>
      </c>
      <c r="BR92" s="100">
        <v>0</v>
      </c>
      <c r="BS92" s="100">
        <v>0</v>
      </c>
      <c r="BT92" s="100">
        <v>5.058459719470946</v>
      </c>
      <c r="BU92" s="100">
        <v>3969.8791878407983</v>
      </c>
      <c r="BV92" s="100">
        <v>6.5750672012743134</v>
      </c>
      <c r="BW92" s="100">
        <v>5160.1127395600806</v>
      </c>
      <c r="BX92" s="100">
        <v>6.874317054665644</v>
      </c>
      <c r="BY92" s="100">
        <v>5394.9640245015971</v>
      </c>
      <c r="BZ92" s="100">
        <v>6.2107729374199261</v>
      </c>
      <c r="CA92" s="100">
        <v>4874.2146012871581</v>
      </c>
      <c r="CB92" s="100">
        <v>5.8922717611419815</v>
      </c>
      <c r="CC92" s="100">
        <v>4624.2548781442265</v>
      </c>
      <c r="CD92" s="100">
        <v>0.39019707661594794</v>
      </c>
      <c r="CE92" s="100">
        <v>306.22666572819594</v>
      </c>
      <c r="CF92" s="100">
        <v>10</v>
      </c>
      <c r="CG92" s="100">
        <v>7848</v>
      </c>
      <c r="CH92" s="100">
        <v>10.428305645528249</v>
      </c>
      <c r="CI92" s="100">
        <v>8184.1342706105697</v>
      </c>
      <c r="CJ92" s="100">
        <v>6</v>
      </c>
      <c r="CK92" s="100">
        <v>4708.7999999999993</v>
      </c>
      <c r="CL92" s="100">
        <v>7.1140398453958422</v>
      </c>
      <c r="CM92" s="100">
        <v>5583.0984706666568</v>
      </c>
      <c r="CN92" s="100">
        <v>9.5253305154212331</v>
      </c>
      <c r="CO92" s="100">
        <v>7475.4793885025829</v>
      </c>
      <c r="CP92" s="100">
        <v>0.51225872622401369</v>
      </c>
      <c r="CQ92" s="100">
        <v>402.02064834060593</v>
      </c>
      <c r="CR92" s="100">
        <v>8.5110592105384164</v>
      </c>
      <c r="CS92" s="100">
        <v>6679.4792684305485</v>
      </c>
      <c r="CT92" s="100">
        <v>8.8384076417129727</v>
      </c>
      <c r="CU92" s="100">
        <v>6936.3823172163402</v>
      </c>
    </row>
    <row r="93" spans="2:99">
      <c r="C93" s="99" t="s">
        <v>259</v>
      </c>
      <c r="D93" s="100">
        <v>8</v>
      </c>
      <c r="E93" s="100">
        <v>5548.8</v>
      </c>
      <c r="F93" s="100">
        <v>5.1660023158452502</v>
      </c>
      <c r="G93" s="100">
        <v>3583.1392062702657</v>
      </c>
      <c r="H93" s="100">
        <v>8</v>
      </c>
      <c r="I93" s="100">
        <v>5548.8</v>
      </c>
      <c r="J93" s="100">
        <v>11</v>
      </c>
      <c r="K93" s="100">
        <v>7629.6</v>
      </c>
      <c r="L93" s="100">
        <v>2.0483972100076429</v>
      </c>
      <c r="M93" s="100">
        <v>1420.7683048613012</v>
      </c>
      <c r="N93" s="100">
        <v>6.4215177277116195</v>
      </c>
      <c r="O93" s="100">
        <v>4453.9646959407792</v>
      </c>
      <c r="P93" s="100">
        <v>3.8883011621749111</v>
      </c>
      <c r="Q93" s="100">
        <v>2696.9256860845185</v>
      </c>
      <c r="R93" s="100">
        <v>9.173596753873742</v>
      </c>
      <c r="S93" s="100">
        <v>6362.806708486828</v>
      </c>
      <c r="T93" s="100">
        <v>0.40716216690359786</v>
      </c>
      <c r="U93" s="100">
        <v>282.4076789643355</v>
      </c>
      <c r="V93" s="100">
        <v>7</v>
      </c>
      <c r="W93" s="100">
        <v>4855.2</v>
      </c>
      <c r="X93" s="100">
        <v>8.6398980861481629</v>
      </c>
      <c r="Y93" s="100">
        <v>5992.6333125523661</v>
      </c>
      <c r="Z93" s="100">
        <v>6.6197127193076568</v>
      </c>
      <c r="AA93" s="100">
        <v>4591.4327421117905</v>
      </c>
      <c r="AB93" s="100">
        <v>11</v>
      </c>
      <c r="AC93" s="100">
        <v>7629.6</v>
      </c>
      <c r="AD93" s="100">
        <v>7</v>
      </c>
      <c r="AE93" s="100">
        <v>4855.2</v>
      </c>
      <c r="AF93" s="100">
        <v>6</v>
      </c>
      <c r="AG93" s="100">
        <v>4161.6000000000004</v>
      </c>
      <c r="AH93" s="100">
        <v>1.4942411123350205</v>
      </c>
      <c r="AI93" s="100">
        <v>1036.4056355155703</v>
      </c>
      <c r="AJ93" s="100">
        <v>9.0117097523347933</v>
      </c>
      <c r="AK93" s="100">
        <v>6250.5218842194126</v>
      </c>
      <c r="AL93" s="100">
        <v>7.6176331055647708</v>
      </c>
      <c r="AM93" s="100">
        <v>5283.5903220197251</v>
      </c>
      <c r="AN93" s="100">
        <v>7.9116888435990917</v>
      </c>
      <c r="AO93" s="100">
        <v>5487.5473819203298</v>
      </c>
      <c r="AP93" s="100">
        <v>6.7024591282990027</v>
      </c>
      <c r="AQ93" s="100">
        <v>4648.8256513881888</v>
      </c>
      <c r="AR93" s="100">
        <v>4.5504673006839056</v>
      </c>
      <c r="AS93" s="100">
        <v>3156.2041197543572</v>
      </c>
      <c r="AT93" s="100">
        <v>6.5970889574508309</v>
      </c>
      <c r="AU93" s="100">
        <v>4575.7409008878967</v>
      </c>
      <c r="AV93" s="100">
        <v>8.8045440109018109</v>
      </c>
      <c r="AW93" s="100">
        <v>6106.831725961496</v>
      </c>
      <c r="AX93" s="100">
        <v>6.0473315443299276</v>
      </c>
      <c r="AY93" s="100">
        <v>4194.4291591472384</v>
      </c>
      <c r="AZ93" s="100">
        <v>6.7258126444254804</v>
      </c>
      <c r="BA93" s="100">
        <v>4665.0236501735135</v>
      </c>
      <c r="BB93" s="100">
        <v>7.4278334928335275</v>
      </c>
      <c r="BC93" s="100">
        <v>5151.9453106293349</v>
      </c>
      <c r="BD93" s="100">
        <v>5.0347110822903316</v>
      </c>
      <c r="BE93" s="100">
        <v>3492.0756066765739</v>
      </c>
      <c r="BF93" s="100">
        <v>5.4713952067746963</v>
      </c>
      <c r="BG93" s="100">
        <v>3794.9597154189296</v>
      </c>
      <c r="BH93" s="100">
        <v>6.0672897342452083</v>
      </c>
      <c r="BI93" s="100">
        <v>4208.2721596724768</v>
      </c>
      <c r="BJ93" s="100">
        <v>5.2311876123309293</v>
      </c>
      <c r="BK93" s="100">
        <v>3628.3517279127327</v>
      </c>
      <c r="BL93" s="100">
        <v>5.5963129055595067</v>
      </c>
      <c r="BM93" s="100">
        <v>3881.6026312960739</v>
      </c>
      <c r="BN93" s="100">
        <v>5.8361548872263436</v>
      </c>
      <c r="BO93" s="100">
        <v>4047.957029780192</v>
      </c>
      <c r="BP93" s="100">
        <v>5.7967214082585974</v>
      </c>
      <c r="BQ93" s="100">
        <v>4020.6059687681632</v>
      </c>
      <c r="BR93" s="100">
        <v>0</v>
      </c>
      <c r="BS93" s="100">
        <v>0</v>
      </c>
      <c r="BT93" s="100">
        <v>5.058459719470946</v>
      </c>
      <c r="BU93" s="100">
        <v>3508.5476614250483</v>
      </c>
      <c r="BV93" s="100">
        <v>6.5750672012743134</v>
      </c>
      <c r="BW93" s="100">
        <v>4560.4666108038637</v>
      </c>
      <c r="BX93" s="100">
        <v>6.874317054665644</v>
      </c>
      <c r="BY93" s="100">
        <v>4768.0263091160905</v>
      </c>
      <c r="BZ93" s="100">
        <v>6.9008588193554727</v>
      </c>
      <c r="CA93" s="100">
        <v>4786.4356771049561</v>
      </c>
      <c r="CB93" s="100">
        <v>6.6288057312847286</v>
      </c>
      <c r="CC93" s="100">
        <v>4597.7396552190876</v>
      </c>
      <c r="CD93" s="100">
        <v>0.45522992271860596</v>
      </c>
      <c r="CE93" s="100">
        <v>315.74747439762513</v>
      </c>
      <c r="CF93" s="100">
        <v>9</v>
      </c>
      <c r="CG93" s="100">
        <v>6242.4000000000005</v>
      </c>
      <c r="CH93" s="100">
        <v>10.428305645528249</v>
      </c>
      <c r="CI93" s="100">
        <v>7233.0727957383942</v>
      </c>
      <c r="CJ93" s="100">
        <v>7</v>
      </c>
      <c r="CK93" s="100">
        <v>4855.2</v>
      </c>
      <c r="CL93" s="100">
        <v>8.0032948260703236</v>
      </c>
      <c r="CM93" s="100">
        <v>5551.0852913623767</v>
      </c>
      <c r="CN93" s="100">
        <v>9.5253305154212331</v>
      </c>
      <c r="CO93" s="100">
        <v>6606.7692454961671</v>
      </c>
      <c r="CP93" s="100">
        <v>0.51225872622401369</v>
      </c>
      <c r="CQ93" s="100">
        <v>355.30265250897588</v>
      </c>
      <c r="CR93" s="100">
        <v>7.6599532894845757</v>
      </c>
      <c r="CS93" s="100">
        <v>5312.9436015865022</v>
      </c>
      <c r="CT93" s="100">
        <v>8.8384076417129727</v>
      </c>
      <c r="CU93" s="100">
        <v>6130.3195402921183</v>
      </c>
    </row>
    <row r="94" spans="2:99">
      <c r="C94" s="99" t="s">
        <v>260</v>
      </c>
      <c r="D94" s="100">
        <v>8</v>
      </c>
      <c r="E94" s="100">
        <v>9542.4</v>
      </c>
      <c r="F94" s="100">
        <v>5.1660023158452502</v>
      </c>
      <c r="G94" s="100">
        <v>6162.0075623402145</v>
      </c>
      <c r="H94" s="100">
        <v>7</v>
      </c>
      <c r="I94" s="100">
        <v>8349.6</v>
      </c>
      <c r="J94" s="100">
        <v>9</v>
      </c>
      <c r="K94" s="100">
        <v>10735.199999999999</v>
      </c>
      <c r="L94" s="100">
        <v>2.0483972100076429</v>
      </c>
      <c r="M94" s="100">
        <v>2443.3281920971162</v>
      </c>
      <c r="N94" s="100">
        <v>6.4215177277116195</v>
      </c>
      <c r="O94" s="100">
        <v>7659.5863456144198</v>
      </c>
      <c r="P94" s="100">
        <v>3.8883011621749111</v>
      </c>
      <c r="Q94" s="100">
        <v>4637.9656262422341</v>
      </c>
      <c r="R94" s="100">
        <v>9.173596753873742</v>
      </c>
      <c r="S94" s="100">
        <v>10942.266208020599</v>
      </c>
      <c r="T94" s="100">
        <v>0.47502252805419753</v>
      </c>
      <c r="U94" s="100">
        <v>566.60687146304679</v>
      </c>
      <c r="V94" s="100">
        <v>7</v>
      </c>
      <c r="W94" s="100">
        <v>8349.6</v>
      </c>
      <c r="X94" s="100">
        <v>8.6398980861481629</v>
      </c>
      <c r="Y94" s="100">
        <v>10305.670437157529</v>
      </c>
      <c r="Z94" s="100">
        <v>7.5653859649230366</v>
      </c>
      <c r="AA94" s="100">
        <v>9023.992378960198</v>
      </c>
      <c r="AB94" s="100">
        <v>9</v>
      </c>
      <c r="AC94" s="100">
        <v>10735.199999999999</v>
      </c>
      <c r="AD94" s="100">
        <v>7</v>
      </c>
      <c r="AE94" s="100">
        <v>8349.6</v>
      </c>
      <c r="AF94" s="100">
        <v>7</v>
      </c>
      <c r="AG94" s="100">
        <v>8349.6</v>
      </c>
      <c r="AH94" s="100">
        <v>1.4942411123350205</v>
      </c>
      <c r="AI94" s="100">
        <v>1782.3307987932124</v>
      </c>
      <c r="AJ94" s="100">
        <v>7.2093678018678355</v>
      </c>
      <c r="AK94" s="100">
        <v>8599.3339140679545</v>
      </c>
      <c r="AL94" s="100">
        <v>6.7712294271686853</v>
      </c>
      <c r="AM94" s="100">
        <v>8076.7224607268072</v>
      </c>
      <c r="AN94" s="100">
        <v>6.4731999629447117</v>
      </c>
      <c r="AO94" s="100">
        <v>7721.2329158004513</v>
      </c>
      <c r="AP94" s="100">
        <v>6.7024591282990027</v>
      </c>
      <c r="AQ94" s="100">
        <v>7994.6932482350503</v>
      </c>
      <c r="AR94" s="100">
        <v>4.5504673006839056</v>
      </c>
      <c r="AS94" s="100">
        <v>5427.7973962557626</v>
      </c>
      <c r="AT94" s="100">
        <v>6.5970889574508309</v>
      </c>
      <c r="AU94" s="100">
        <v>7869.0077084473505</v>
      </c>
      <c r="AV94" s="100">
        <v>7.9240896098116291</v>
      </c>
      <c r="AW94" s="100">
        <v>9451.8540865833111</v>
      </c>
      <c r="AX94" s="100">
        <v>6.719257271477697</v>
      </c>
      <c r="AY94" s="100">
        <v>8014.7300734185965</v>
      </c>
      <c r="AZ94" s="100">
        <v>5.9785001283782053</v>
      </c>
      <c r="BA94" s="100">
        <v>7131.1549531295232</v>
      </c>
      <c r="BB94" s="100">
        <v>8.3563126794377176</v>
      </c>
      <c r="BC94" s="100">
        <v>9967.4097640333093</v>
      </c>
      <c r="BD94" s="100">
        <v>5.0347110822903316</v>
      </c>
      <c r="BE94" s="100">
        <v>6005.4033789559071</v>
      </c>
      <c r="BF94" s="100">
        <v>4.6897673200925967</v>
      </c>
      <c r="BG94" s="100">
        <v>5593.9544594064491</v>
      </c>
      <c r="BH94" s="100">
        <v>6.0672897342452083</v>
      </c>
      <c r="BI94" s="100">
        <v>7237.063195007684</v>
      </c>
      <c r="BJ94" s="100">
        <v>5.2311876123309293</v>
      </c>
      <c r="BK94" s="100">
        <v>6239.7605839883327</v>
      </c>
      <c r="BL94" s="100">
        <v>4.8967737923645682</v>
      </c>
      <c r="BM94" s="100">
        <v>5840.8717795324565</v>
      </c>
      <c r="BN94" s="100">
        <v>5.1066355263230498</v>
      </c>
      <c r="BO94" s="100">
        <v>6091.1948557981332</v>
      </c>
      <c r="BP94" s="100">
        <v>6.6248244665812548</v>
      </c>
      <c r="BQ94" s="100">
        <v>7902.0906237381205</v>
      </c>
      <c r="BR94" s="100">
        <v>0</v>
      </c>
      <c r="BS94" s="100">
        <v>0</v>
      </c>
      <c r="BT94" s="100">
        <v>5.058459719470946</v>
      </c>
      <c r="BU94" s="100">
        <v>6033.7307533849444</v>
      </c>
      <c r="BV94" s="100">
        <v>5.9175604811468823</v>
      </c>
      <c r="BW94" s="100">
        <v>7058.4661419120011</v>
      </c>
      <c r="BX94" s="100">
        <v>5.8922717611419815</v>
      </c>
      <c r="BY94" s="100">
        <v>7028.3017566901553</v>
      </c>
      <c r="BZ94" s="100">
        <v>6.2107729374199261</v>
      </c>
      <c r="CA94" s="100">
        <v>7408.2099597544875</v>
      </c>
      <c r="CB94" s="100">
        <v>6.6288057312847286</v>
      </c>
      <c r="CC94" s="100">
        <v>7906.8394762764237</v>
      </c>
      <c r="CD94" s="100">
        <v>0.39019707661594794</v>
      </c>
      <c r="CE94" s="100">
        <v>465.4270729875027</v>
      </c>
      <c r="CF94" s="100">
        <v>9</v>
      </c>
      <c r="CG94" s="100">
        <v>10735.199999999999</v>
      </c>
      <c r="CH94" s="100">
        <v>10.428305645528249</v>
      </c>
      <c r="CI94" s="100">
        <v>12438.882973986096</v>
      </c>
      <c r="CJ94" s="100">
        <v>6</v>
      </c>
      <c r="CK94" s="100">
        <v>7156.7999999999993</v>
      </c>
      <c r="CL94" s="100">
        <v>7.1140398453958422</v>
      </c>
      <c r="CM94" s="100">
        <v>8485.6267275881601</v>
      </c>
      <c r="CN94" s="100">
        <v>7.9377754295176937</v>
      </c>
      <c r="CO94" s="100">
        <v>9468.178532328704</v>
      </c>
      <c r="CP94" s="100">
        <v>0.57629106700201549</v>
      </c>
      <c r="CQ94" s="100">
        <v>687.399984720004</v>
      </c>
      <c r="CR94" s="100">
        <v>7.6599532894845757</v>
      </c>
      <c r="CS94" s="100">
        <v>9136.7922836972011</v>
      </c>
      <c r="CT94" s="100">
        <v>8.8384076417129727</v>
      </c>
      <c r="CU94" s="100">
        <v>10542.452635035233</v>
      </c>
    </row>
    <row r="95" spans="2:99">
      <c r="B95" s="99" t="s">
        <v>132</v>
      </c>
      <c r="C95" s="99" t="s">
        <v>261</v>
      </c>
      <c r="D95" s="100">
        <v>11</v>
      </c>
      <c r="E95" s="100">
        <v>3616.8</v>
      </c>
      <c r="F95" s="100">
        <v>6.457502894806562</v>
      </c>
      <c r="G95" s="100">
        <v>2123.2269518123976</v>
      </c>
      <c r="H95" s="100">
        <v>8</v>
      </c>
      <c r="I95" s="100">
        <v>2630.4</v>
      </c>
      <c r="J95" s="100">
        <v>11</v>
      </c>
      <c r="K95" s="100">
        <v>3616.8</v>
      </c>
      <c r="L95" s="100">
        <v>3.5115380742988163</v>
      </c>
      <c r="M95" s="100">
        <v>1154.5937188294508</v>
      </c>
      <c r="N95" s="100">
        <v>8.2562370784863681</v>
      </c>
      <c r="O95" s="100">
        <v>2714.6507514063178</v>
      </c>
      <c r="P95" s="100">
        <v>9.3319227892197869</v>
      </c>
      <c r="Q95" s="100">
        <v>3068.3362130954661</v>
      </c>
      <c r="R95" s="100">
        <v>5.5041580523242457</v>
      </c>
      <c r="S95" s="100">
        <v>1809.7671676042121</v>
      </c>
      <c r="T95" s="100">
        <v>0.67860361150599635</v>
      </c>
      <c r="U95" s="100">
        <v>223.1248674631716</v>
      </c>
      <c r="V95" s="100">
        <v>8</v>
      </c>
      <c r="W95" s="100">
        <v>2630.4</v>
      </c>
      <c r="X95" s="100">
        <v>7.6799094099094791</v>
      </c>
      <c r="Y95" s="100">
        <v>2525.1542139782368</v>
      </c>
      <c r="Z95" s="100">
        <v>6.6197127193076568</v>
      </c>
      <c r="AA95" s="100">
        <v>2176.5615421083576</v>
      </c>
      <c r="AB95" s="100">
        <v>9</v>
      </c>
      <c r="AC95" s="100">
        <v>2959.2000000000003</v>
      </c>
      <c r="AD95" s="100">
        <v>11</v>
      </c>
      <c r="AE95" s="100">
        <v>3616.8</v>
      </c>
      <c r="AF95" s="100">
        <v>8</v>
      </c>
      <c r="AG95" s="100">
        <v>2630.4</v>
      </c>
      <c r="AH95" s="100">
        <v>2.7394420392808709</v>
      </c>
      <c r="AI95" s="100">
        <v>900.72854251555043</v>
      </c>
      <c r="AJ95" s="100">
        <v>5.4070258514008769</v>
      </c>
      <c r="AK95" s="100">
        <v>1777.8300999406083</v>
      </c>
      <c r="AL95" s="100">
        <v>7.6176331055647708</v>
      </c>
      <c r="AM95" s="100">
        <v>2504.6777651096968</v>
      </c>
      <c r="AN95" s="100">
        <v>7.1924444032719013</v>
      </c>
      <c r="AO95" s="100">
        <v>2364.8757197958012</v>
      </c>
      <c r="AP95" s="100">
        <v>7.6599532894845757</v>
      </c>
      <c r="AQ95" s="100">
        <v>2518.5926415825284</v>
      </c>
      <c r="AR95" s="100">
        <v>9.1009346013678112</v>
      </c>
      <c r="AS95" s="100">
        <v>2992.3872969297363</v>
      </c>
      <c r="AT95" s="100">
        <v>8.0631087257732368</v>
      </c>
      <c r="AU95" s="100">
        <v>2651.1501490342403</v>
      </c>
      <c r="AV95" s="100">
        <v>7.0436352087214482</v>
      </c>
      <c r="AW95" s="100">
        <v>2315.9472566276122</v>
      </c>
      <c r="AX95" s="100">
        <v>9.4069601800687757</v>
      </c>
      <c r="AY95" s="100">
        <v>3093.0085072066136</v>
      </c>
      <c r="AZ95" s="100">
        <v>8.9677501925673084</v>
      </c>
      <c r="BA95" s="100">
        <v>2948.5962633161312</v>
      </c>
      <c r="BB95" s="100">
        <v>7.4278334928335275</v>
      </c>
      <c r="BC95" s="100">
        <v>2442.2716524436637</v>
      </c>
      <c r="BD95" s="100">
        <v>10.788666604907853</v>
      </c>
      <c r="BE95" s="100">
        <v>3547.3135796937022</v>
      </c>
      <c r="BF95" s="100">
        <v>8.5979067535030946</v>
      </c>
      <c r="BG95" s="100">
        <v>2826.9917405518177</v>
      </c>
      <c r="BH95" s="100">
        <v>9.1009346013678112</v>
      </c>
      <c r="BI95" s="100">
        <v>2992.3872969297363</v>
      </c>
      <c r="BJ95" s="100">
        <v>9.7150627086145835</v>
      </c>
      <c r="BK95" s="100">
        <v>3194.3126185924752</v>
      </c>
      <c r="BL95" s="100">
        <v>9.0940084715341989</v>
      </c>
      <c r="BM95" s="100">
        <v>2990.1099854404447</v>
      </c>
      <c r="BN95" s="100">
        <v>8.754232330839514</v>
      </c>
      <c r="BO95" s="100">
        <v>2878.3915903800321</v>
      </c>
      <c r="BP95" s="100">
        <v>8.2810305832265687</v>
      </c>
      <c r="BQ95" s="100">
        <v>2722.8028557648959</v>
      </c>
      <c r="BR95" s="100">
        <v>0</v>
      </c>
      <c r="BS95" s="100">
        <v>0</v>
      </c>
      <c r="BT95" s="100">
        <v>9.3942823361603285</v>
      </c>
      <c r="BU95" s="100">
        <v>3088.8400321295162</v>
      </c>
      <c r="BV95" s="100">
        <v>9.2050940817840381</v>
      </c>
      <c r="BW95" s="100">
        <v>3026.6349340905917</v>
      </c>
      <c r="BX95" s="100">
        <v>8.8384076417129727</v>
      </c>
      <c r="BY95" s="100">
        <v>2906.0684325952257</v>
      </c>
      <c r="BZ95" s="100">
        <v>8.2810305832265687</v>
      </c>
      <c r="CA95" s="100">
        <v>2722.8028557648959</v>
      </c>
      <c r="CB95" s="100">
        <v>9.5749416118557189</v>
      </c>
      <c r="CC95" s="100">
        <v>3148.2408019781606</v>
      </c>
      <c r="CD95" s="100">
        <v>0.78039415323189587</v>
      </c>
      <c r="CE95" s="100">
        <v>256.59359758264736</v>
      </c>
      <c r="CF95" s="100">
        <v>11</v>
      </c>
      <c r="CG95" s="100">
        <v>3616.8</v>
      </c>
      <c r="CH95" s="100">
        <v>13.27238900339959</v>
      </c>
      <c r="CI95" s="100">
        <v>4363.9615043177855</v>
      </c>
      <c r="CJ95" s="100">
        <v>8</v>
      </c>
      <c r="CK95" s="100">
        <v>2630.4</v>
      </c>
      <c r="CL95" s="100">
        <v>7.1140398453958422</v>
      </c>
      <c r="CM95" s="100">
        <v>2339.0963011661529</v>
      </c>
      <c r="CN95" s="100">
        <v>6.350220343614156</v>
      </c>
      <c r="CO95" s="100">
        <v>2087.9524489803343</v>
      </c>
      <c r="CP95" s="100">
        <v>0.57629106700201549</v>
      </c>
      <c r="CQ95" s="100">
        <v>189.4845028302627</v>
      </c>
      <c r="CR95" s="100">
        <v>7.6599532894845757</v>
      </c>
      <c r="CS95" s="100">
        <v>2518.5926415825284</v>
      </c>
      <c r="CT95" s="100">
        <v>7.3653397014274766</v>
      </c>
      <c r="CU95" s="100">
        <v>2421.7236938293545</v>
      </c>
    </row>
    <row r="96" spans="2:99">
      <c r="C96" s="99" t="s">
        <v>262</v>
      </c>
      <c r="D96" s="100">
        <v>10</v>
      </c>
      <c r="E96" s="100">
        <v>6948</v>
      </c>
      <c r="F96" s="100">
        <v>6.457502894806562</v>
      </c>
      <c r="G96" s="100">
        <v>4486.6730113115991</v>
      </c>
      <c r="H96" s="100">
        <v>9</v>
      </c>
      <c r="I96" s="100">
        <v>6253.2</v>
      </c>
      <c r="J96" s="100">
        <v>13</v>
      </c>
      <c r="K96" s="100">
        <v>9032.4</v>
      </c>
      <c r="L96" s="100">
        <v>3.5115380742988163</v>
      </c>
      <c r="M96" s="100">
        <v>2439.8166540228176</v>
      </c>
      <c r="N96" s="100">
        <v>8.2562370784863681</v>
      </c>
      <c r="O96" s="100">
        <v>5736.4335221323281</v>
      </c>
      <c r="P96" s="100">
        <v>9.3319227892197869</v>
      </c>
      <c r="Q96" s="100">
        <v>6483.8199539499074</v>
      </c>
      <c r="R96" s="100">
        <v>6.4215177277116195</v>
      </c>
      <c r="S96" s="100">
        <v>4461.6705172140328</v>
      </c>
      <c r="T96" s="100">
        <v>0.67860361150599635</v>
      </c>
      <c r="U96" s="100">
        <v>471.49378927436624</v>
      </c>
      <c r="V96" s="100">
        <v>6</v>
      </c>
      <c r="W96" s="100">
        <v>4168.7999999999993</v>
      </c>
      <c r="X96" s="100">
        <v>7.6799094099094791</v>
      </c>
      <c r="Y96" s="100">
        <v>5336.0010580051057</v>
      </c>
      <c r="Z96" s="100">
        <v>6.6197127193076568</v>
      </c>
      <c r="AA96" s="100">
        <v>4599.3763973749601</v>
      </c>
      <c r="AB96" s="100">
        <v>10</v>
      </c>
      <c r="AC96" s="100">
        <v>6948</v>
      </c>
      <c r="AD96" s="100">
        <v>11</v>
      </c>
      <c r="AE96" s="100">
        <v>7642.7999999999993</v>
      </c>
      <c r="AF96" s="100">
        <v>7</v>
      </c>
      <c r="AG96" s="100">
        <v>4863.5999999999995</v>
      </c>
      <c r="AH96" s="100">
        <v>2.9884822246700411</v>
      </c>
      <c r="AI96" s="100">
        <v>2076.3974497007443</v>
      </c>
      <c r="AJ96" s="100">
        <v>6.3081968266343562</v>
      </c>
      <c r="AK96" s="100">
        <v>4382.9351551455502</v>
      </c>
      <c r="AL96" s="100">
        <v>8.4640367839608555</v>
      </c>
      <c r="AM96" s="100">
        <v>5880.8127574960017</v>
      </c>
      <c r="AN96" s="100">
        <v>7.9116888435990917</v>
      </c>
      <c r="AO96" s="100">
        <v>5497.0414085326483</v>
      </c>
      <c r="AP96" s="100">
        <v>6.7024591282990027</v>
      </c>
      <c r="AQ96" s="100">
        <v>4656.8686023421469</v>
      </c>
      <c r="AR96" s="100">
        <v>9.1009346013678112</v>
      </c>
      <c r="AS96" s="100">
        <v>6323.3293610303544</v>
      </c>
      <c r="AT96" s="100">
        <v>8.7961186099344406</v>
      </c>
      <c r="AU96" s="100">
        <v>6111.543210182449</v>
      </c>
      <c r="AV96" s="100">
        <v>6.1631808076312673</v>
      </c>
      <c r="AW96" s="100">
        <v>4282.1780251422042</v>
      </c>
      <c r="AX96" s="100">
        <v>8.0631087257732368</v>
      </c>
      <c r="AY96" s="100">
        <v>5602.2479426672444</v>
      </c>
      <c r="AZ96" s="100">
        <v>8.9677501925673084</v>
      </c>
      <c r="BA96" s="100">
        <v>6230.7928337957655</v>
      </c>
      <c r="BB96" s="100">
        <v>7.4278334928335275</v>
      </c>
      <c r="BC96" s="100">
        <v>5160.8587108207348</v>
      </c>
      <c r="BD96" s="100">
        <v>10.069422164580663</v>
      </c>
      <c r="BE96" s="100">
        <v>6996.2345199506444</v>
      </c>
      <c r="BF96" s="100">
        <v>8.5979067535030946</v>
      </c>
      <c r="BG96" s="100">
        <v>5973.8256123339497</v>
      </c>
      <c r="BH96" s="100">
        <v>7.5841121678065102</v>
      </c>
      <c r="BI96" s="100">
        <v>5269.4411341919631</v>
      </c>
      <c r="BJ96" s="100">
        <v>9.7150627086145835</v>
      </c>
      <c r="BK96" s="100">
        <v>6750.0255699454119</v>
      </c>
      <c r="BL96" s="100">
        <v>9.7935475847291364</v>
      </c>
      <c r="BM96" s="100">
        <v>6804.5568618698035</v>
      </c>
      <c r="BN96" s="100">
        <v>8.754232330839514</v>
      </c>
      <c r="BO96" s="100">
        <v>6082.4406234672942</v>
      </c>
      <c r="BP96" s="100">
        <v>8.2810305832265687</v>
      </c>
      <c r="BQ96" s="100">
        <v>5753.6600492258194</v>
      </c>
      <c r="BR96" s="100">
        <v>0</v>
      </c>
      <c r="BS96" s="100">
        <v>0</v>
      </c>
      <c r="BT96" s="100">
        <v>10.116919438941892</v>
      </c>
      <c r="BU96" s="100">
        <v>7029.2356261768264</v>
      </c>
      <c r="BV96" s="100">
        <v>8.5475873616566087</v>
      </c>
      <c r="BW96" s="100">
        <v>5938.8636988790113</v>
      </c>
      <c r="BX96" s="100">
        <v>7.8563623481893075</v>
      </c>
      <c r="BY96" s="100">
        <v>5458.6005595219303</v>
      </c>
      <c r="BZ96" s="100">
        <v>8.2810305832265687</v>
      </c>
      <c r="CA96" s="100">
        <v>5753.6600492258194</v>
      </c>
      <c r="CB96" s="100">
        <v>8.8384076417129727</v>
      </c>
      <c r="CC96" s="100">
        <v>6140.9256294621728</v>
      </c>
      <c r="CD96" s="100">
        <v>0.71536130712923784</v>
      </c>
      <c r="CE96" s="100">
        <v>497.03303619339442</v>
      </c>
      <c r="CF96" s="100">
        <v>11</v>
      </c>
      <c r="CG96" s="100">
        <v>7642.7999999999993</v>
      </c>
      <c r="CH96" s="100">
        <v>12.324361217442478</v>
      </c>
      <c r="CI96" s="100">
        <v>8562.9661738790328</v>
      </c>
      <c r="CJ96" s="100">
        <v>8</v>
      </c>
      <c r="CK96" s="100">
        <v>5558.4</v>
      </c>
      <c r="CL96" s="100">
        <v>7.1140398453958422</v>
      </c>
      <c r="CM96" s="100">
        <v>4942.8348845810306</v>
      </c>
      <c r="CN96" s="100">
        <v>6.350220343614156</v>
      </c>
      <c r="CO96" s="100">
        <v>4412.1330947431152</v>
      </c>
      <c r="CP96" s="100">
        <v>0.64032340778001706</v>
      </c>
      <c r="CQ96" s="100">
        <v>444.89670372555582</v>
      </c>
      <c r="CR96" s="100">
        <v>6.808847368430734</v>
      </c>
      <c r="CS96" s="100">
        <v>4730.7871515856741</v>
      </c>
      <c r="CT96" s="100">
        <v>6.6288057312847286</v>
      </c>
      <c r="CU96" s="100">
        <v>4605.6942220966293</v>
      </c>
    </row>
    <row r="97" spans="2:99">
      <c r="C97" s="99" t="s">
        <v>263</v>
      </c>
      <c r="D97" s="100">
        <v>11</v>
      </c>
      <c r="E97" s="100">
        <v>4316.3999999999996</v>
      </c>
      <c r="F97" s="100">
        <v>6.457502894806562</v>
      </c>
      <c r="G97" s="100">
        <v>2533.9241359220946</v>
      </c>
      <c r="H97" s="100">
        <v>9</v>
      </c>
      <c r="I97" s="100">
        <v>3531.6</v>
      </c>
      <c r="J97" s="100">
        <v>14</v>
      </c>
      <c r="K97" s="100">
        <v>5493.5999999999995</v>
      </c>
      <c r="L97" s="100">
        <v>3.2189099014405813</v>
      </c>
      <c r="M97" s="100">
        <v>1263.100245325284</v>
      </c>
      <c r="N97" s="100">
        <v>7.3388774030989943</v>
      </c>
      <c r="O97" s="100">
        <v>2879.7754929760454</v>
      </c>
      <c r="P97" s="100">
        <v>10.887243254089752</v>
      </c>
      <c r="Q97" s="100">
        <v>4272.1542529048183</v>
      </c>
      <c r="R97" s="100">
        <v>6.4215177277116195</v>
      </c>
      <c r="S97" s="100">
        <v>2519.8035563540393</v>
      </c>
      <c r="T97" s="100">
        <v>0.74646397265659603</v>
      </c>
      <c r="U97" s="100">
        <v>292.91246287044828</v>
      </c>
      <c r="V97" s="100">
        <v>7</v>
      </c>
      <c r="W97" s="100">
        <v>2746.7999999999997</v>
      </c>
      <c r="X97" s="100">
        <v>7.6799094099094791</v>
      </c>
      <c r="Y97" s="100">
        <v>3013.5964524484793</v>
      </c>
      <c r="Z97" s="100">
        <v>7.5653859649230366</v>
      </c>
      <c r="AA97" s="100">
        <v>2968.6574526357995</v>
      </c>
      <c r="AB97" s="100">
        <v>9</v>
      </c>
      <c r="AC97" s="100">
        <v>3531.6</v>
      </c>
      <c r="AD97" s="100">
        <v>12</v>
      </c>
      <c r="AE97" s="100">
        <v>4708.7999999999993</v>
      </c>
      <c r="AF97" s="100">
        <v>7</v>
      </c>
      <c r="AG97" s="100">
        <v>2746.7999999999997</v>
      </c>
      <c r="AH97" s="100">
        <v>2.7394420392808709</v>
      </c>
      <c r="AI97" s="100">
        <v>1074.9570562138138</v>
      </c>
      <c r="AJ97" s="100">
        <v>6.3081968266343562</v>
      </c>
      <c r="AK97" s="100">
        <v>2475.3364347713214</v>
      </c>
      <c r="AL97" s="100">
        <v>7.6176331055647708</v>
      </c>
      <c r="AM97" s="100">
        <v>2989.1592306236157</v>
      </c>
      <c r="AN97" s="100">
        <v>7.9116888435990917</v>
      </c>
      <c r="AO97" s="100">
        <v>3104.5467022282833</v>
      </c>
      <c r="AP97" s="100">
        <v>7.6599532894845757</v>
      </c>
      <c r="AQ97" s="100">
        <v>3005.7656707937472</v>
      </c>
      <c r="AR97" s="100">
        <v>9.1009346013678112</v>
      </c>
      <c r="AS97" s="100">
        <v>3571.2067375767288</v>
      </c>
      <c r="AT97" s="100">
        <v>7.3300988416120338</v>
      </c>
      <c r="AU97" s="100">
        <v>2876.330785448562</v>
      </c>
      <c r="AV97" s="100">
        <v>6.1631808076312673</v>
      </c>
      <c r="AW97" s="100">
        <v>2418.4321489145091</v>
      </c>
      <c r="AX97" s="100">
        <v>8.7350344529210062</v>
      </c>
      <c r="AY97" s="100">
        <v>3427.6275193262027</v>
      </c>
      <c r="AZ97" s="100">
        <v>8.2204376765200315</v>
      </c>
      <c r="BA97" s="100">
        <v>3225.6997442664601</v>
      </c>
      <c r="BB97" s="100">
        <v>6.4993543062293373</v>
      </c>
      <c r="BC97" s="100">
        <v>2550.3466297643918</v>
      </c>
      <c r="BD97" s="100">
        <v>10.069422164580663</v>
      </c>
      <c r="BE97" s="100">
        <v>3951.2412573814522</v>
      </c>
      <c r="BF97" s="100">
        <v>9.3795346401851933</v>
      </c>
      <c r="BG97" s="100">
        <v>3680.5293928086699</v>
      </c>
      <c r="BH97" s="100">
        <v>8.3425233845871603</v>
      </c>
      <c r="BI97" s="100">
        <v>3273.6061761120013</v>
      </c>
      <c r="BJ97" s="100">
        <v>9.7150627086145835</v>
      </c>
      <c r="BK97" s="100">
        <v>3812.1906068603625</v>
      </c>
      <c r="BL97" s="100">
        <v>9.7935475847291364</v>
      </c>
      <c r="BM97" s="100">
        <v>3842.9880722477128</v>
      </c>
      <c r="BN97" s="100">
        <v>9.4837516917428069</v>
      </c>
      <c r="BO97" s="100">
        <v>3721.4241638398771</v>
      </c>
      <c r="BP97" s="100">
        <v>8.2810305832265687</v>
      </c>
      <c r="BQ97" s="100">
        <v>3249.4764008581055</v>
      </c>
      <c r="BR97" s="100">
        <v>0</v>
      </c>
      <c r="BS97" s="100">
        <v>0</v>
      </c>
      <c r="BT97" s="100">
        <v>10.116919438941892</v>
      </c>
      <c r="BU97" s="100">
        <v>3969.8791878407983</v>
      </c>
      <c r="BV97" s="100">
        <v>7.8900806415291758</v>
      </c>
      <c r="BW97" s="100">
        <v>3096.0676437360485</v>
      </c>
      <c r="BX97" s="100">
        <v>8.8384076417129727</v>
      </c>
      <c r="BY97" s="100">
        <v>3468.1911586081701</v>
      </c>
      <c r="BZ97" s="100">
        <v>7.5909447012910203</v>
      </c>
      <c r="CA97" s="100">
        <v>2978.6867007865962</v>
      </c>
      <c r="CB97" s="100">
        <v>8.8384076417129727</v>
      </c>
      <c r="CC97" s="100">
        <v>3468.1911586081701</v>
      </c>
      <c r="CD97" s="100">
        <v>0.78039415323189587</v>
      </c>
      <c r="CE97" s="100">
        <v>306.22666572819594</v>
      </c>
      <c r="CF97" s="100">
        <v>10</v>
      </c>
      <c r="CG97" s="100">
        <v>3924</v>
      </c>
      <c r="CH97" s="100">
        <v>12.324361217442478</v>
      </c>
      <c r="CI97" s="100">
        <v>4836.0793417244276</v>
      </c>
      <c r="CJ97" s="100">
        <v>8</v>
      </c>
      <c r="CK97" s="100">
        <v>3139.2</v>
      </c>
      <c r="CL97" s="100">
        <v>8.0032948260703236</v>
      </c>
      <c r="CM97" s="100">
        <v>3140.4928897499949</v>
      </c>
      <c r="CN97" s="100">
        <v>6.350220343614156</v>
      </c>
      <c r="CO97" s="100">
        <v>2491.8264628341944</v>
      </c>
      <c r="CP97" s="100">
        <v>0.64032340778001706</v>
      </c>
      <c r="CQ97" s="100">
        <v>251.26290521287868</v>
      </c>
      <c r="CR97" s="100">
        <v>6.808847368430734</v>
      </c>
      <c r="CS97" s="100">
        <v>2671.7917073722197</v>
      </c>
      <c r="CT97" s="100">
        <v>7.3653397014274766</v>
      </c>
      <c r="CU97" s="100">
        <v>2890.1592988401417</v>
      </c>
    </row>
    <row r="98" spans="2:99">
      <c r="C98" s="99" t="s">
        <v>264</v>
      </c>
      <c r="D98" s="100">
        <v>11</v>
      </c>
      <c r="E98" s="100">
        <v>5781.6</v>
      </c>
      <c r="F98" s="100">
        <v>5.8117526053259061</v>
      </c>
      <c r="G98" s="100">
        <v>3054.6571693592964</v>
      </c>
      <c r="H98" s="100">
        <v>9</v>
      </c>
      <c r="I98" s="100">
        <v>4730.4000000000005</v>
      </c>
      <c r="J98" s="100">
        <v>13</v>
      </c>
      <c r="K98" s="100">
        <v>6832.8</v>
      </c>
      <c r="L98" s="100">
        <v>3.2189099014405813</v>
      </c>
      <c r="M98" s="100">
        <v>1691.8590441971696</v>
      </c>
      <c r="N98" s="100">
        <v>7.3388774030989943</v>
      </c>
      <c r="O98" s="100">
        <v>3857.3139630688315</v>
      </c>
      <c r="P98" s="100">
        <v>10.109583021654769</v>
      </c>
      <c r="Q98" s="100">
        <v>5313.5968361817468</v>
      </c>
      <c r="R98" s="100">
        <v>6.4215177277116195</v>
      </c>
      <c r="S98" s="100">
        <v>3375.1497176852272</v>
      </c>
      <c r="T98" s="100">
        <v>0.74646397265659603</v>
      </c>
      <c r="U98" s="100">
        <v>392.34146402830692</v>
      </c>
      <c r="V98" s="100">
        <v>8</v>
      </c>
      <c r="W98" s="100">
        <v>4204.8</v>
      </c>
      <c r="X98" s="100">
        <v>6.7199207336707945</v>
      </c>
      <c r="Y98" s="100">
        <v>3531.9903376173697</v>
      </c>
      <c r="Z98" s="100">
        <v>7.5653859649230366</v>
      </c>
      <c r="AA98" s="100">
        <v>3976.3668631635483</v>
      </c>
      <c r="AB98" s="100">
        <v>9</v>
      </c>
      <c r="AC98" s="100">
        <v>4730.4000000000005</v>
      </c>
      <c r="AD98" s="100">
        <v>10</v>
      </c>
      <c r="AE98" s="100">
        <v>5256</v>
      </c>
      <c r="AF98" s="100">
        <v>8</v>
      </c>
      <c r="AG98" s="100">
        <v>4204.8</v>
      </c>
      <c r="AH98" s="100">
        <v>2.9884822246700411</v>
      </c>
      <c r="AI98" s="100">
        <v>1570.7462572865736</v>
      </c>
      <c r="AJ98" s="100">
        <v>6.3081968266343562</v>
      </c>
      <c r="AK98" s="100">
        <v>3315.5882520790178</v>
      </c>
      <c r="AL98" s="100">
        <v>7.6176331055647708</v>
      </c>
      <c r="AM98" s="100">
        <v>4003.8279602848438</v>
      </c>
      <c r="AN98" s="100">
        <v>6.4731999629447117</v>
      </c>
      <c r="AO98" s="100">
        <v>3402.3139005237408</v>
      </c>
      <c r="AP98" s="100">
        <v>6.7024591282990027</v>
      </c>
      <c r="AQ98" s="100">
        <v>3522.812517833956</v>
      </c>
      <c r="AR98" s="100">
        <v>9.8593458181484639</v>
      </c>
      <c r="AS98" s="100">
        <v>5182.0721620188333</v>
      </c>
      <c r="AT98" s="100">
        <v>8.7961186099344406</v>
      </c>
      <c r="AU98" s="100">
        <v>4623.2399413815419</v>
      </c>
      <c r="AV98" s="100">
        <v>7.0436352087214482</v>
      </c>
      <c r="AW98" s="100">
        <v>3702.1346657039935</v>
      </c>
      <c r="AX98" s="100">
        <v>8.7350344529210062</v>
      </c>
      <c r="AY98" s="100">
        <v>4591.1341084552814</v>
      </c>
      <c r="AZ98" s="100">
        <v>8.9677501925673084</v>
      </c>
      <c r="BA98" s="100">
        <v>4713.4495012133775</v>
      </c>
      <c r="BB98" s="100">
        <v>7.4278334928335275</v>
      </c>
      <c r="BC98" s="100">
        <v>3904.0692838333021</v>
      </c>
      <c r="BD98" s="100">
        <v>9.3501777242534718</v>
      </c>
      <c r="BE98" s="100">
        <v>4914.4534118676247</v>
      </c>
      <c r="BF98" s="100">
        <v>9.3795346401851933</v>
      </c>
      <c r="BG98" s="100">
        <v>4929.8834068813376</v>
      </c>
      <c r="BH98" s="100">
        <v>8.3425233845871603</v>
      </c>
      <c r="BI98" s="100">
        <v>4384.8302909390113</v>
      </c>
      <c r="BJ98" s="100">
        <v>11.209687740709134</v>
      </c>
      <c r="BK98" s="100">
        <v>5891.811876516721</v>
      </c>
      <c r="BL98" s="100">
        <v>9.7935475847291364</v>
      </c>
      <c r="BM98" s="100">
        <v>5147.4886105336345</v>
      </c>
      <c r="BN98" s="100">
        <v>8.754232330839514</v>
      </c>
      <c r="BO98" s="100">
        <v>4601.2245130892488</v>
      </c>
      <c r="BP98" s="100">
        <v>9.1091336415492243</v>
      </c>
      <c r="BQ98" s="100">
        <v>4787.7606419982721</v>
      </c>
      <c r="BR98" s="100">
        <v>0</v>
      </c>
      <c r="BS98" s="100">
        <v>0</v>
      </c>
      <c r="BT98" s="100">
        <v>10.116919438941892</v>
      </c>
      <c r="BU98" s="100">
        <v>5317.452857107859</v>
      </c>
      <c r="BV98" s="100">
        <v>7.8900806415291758</v>
      </c>
      <c r="BW98" s="100">
        <v>4147.0263851877353</v>
      </c>
      <c r="BX98" s="100">
        <v>7.8563623481893075</v>
      </c>
      <c r="BY98" s="100">
        <v>4129.3040502083004</v>
      </c>
      <c r="BZ98" s="100">
        <v>8.2810305832265687</v>
      </c>
      <c r="CA98" s="100">
        <v>4352.509674543885</v>
      </c>
      <c r="CB98" s="100">
        <v>8.8384076417129727</v>
      </c>
      <c r="CC98" s="100">
        <v>4645.4670564843391</v>
      </c>
      <c r="CD98" s="100">
        <v>0.78039415323189587</v>
      </c>
      <c r="CE98" s="100">
        <v>410.17516693868447</v>
      </c>
      <c r="CF98" s="100">
        <v>10</v>
      </c>
      <c r="CG98" s="100">
        <v>5256</v>
      </c>
      <c r="CH98" s="100">
        <v>11.376333431485364</v>
      </c>
      <c r="CI98" s="100">
        <v>5979.4008515887072</v>
      </c>
      <c r="CJ98" s="100">
        <v>8</v>
      </c>
      <c r="CK98" s="100">
        <v>4204.8</v>
      </c>
      <c r="CL98" s="100">
        <v>7.1140398453958422</v>
      </c>
      <c r="CM98" s="100">
        <v>3739.1393427400549</v>
      </c>
      <c r="CN98" s="100">
        <v>6.350220343614156</v>
      </c>
      <c r="CO98" s="100">
        <v>3337.6758126036007</v>
      </c>
      <c r="CP98" s="100">
        <v>0.70435574855801886</v>
      </c>
      <c r="CQ98" s="100">
        <v>370.20938144209475</v>
      </c>
      <c r="CR98" s="100">
        <v>6.808847368430734</v>
      </c>
      <c r="CS98" s="100">
        <v>3578.7301768471939</v>
      </c>
      <c r="CT98" s="100">
        <v>7.3653397014274766</v>
      </c>
      <c r="CU98" s="100">
        <v>3871.222547070282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5.1660023158452502</v>
      </c>
      <c r="G99" s="100">
        <v>21740.604146003148</v>
      </c>
      <c r="H99" s="100">
        <v>6</v>
      </c>
      <c r="I99" s="100">
        <v>25250.399999999998</v>
      </c>
      <c r="J99" s="100">
        <v>9</v>
      </c>
      <c r="K99" s="100">
        <v>37875.599999999999</v>
      </c>
      <c r="L99" s="100">
        <v>2.6336535557241119</v>
      </c>
      <c r="M99" s="100">
        <v>11083.467623909351</v>
      </c>
      <c r="N99" s="100">
        <v>6.4215177277116195</v>
      </c>
      <c r="O99" s="100">
        <v>27024.315205301576</v>
      </c>
      <c r="P99" s="100">
        <v>7.7766023243498221</v>
      </c>
      <c r="Q99" s="100">
        <v>32727.053221793787</v>
      </c>
      <c r="R99" s="100">
        <v>4.586798376936871</v>
      </c>
      <c r="S99" s="100">
        <v>19303.082289501126</v>
      </c>
      <c r="T99" s="100">
        <v>0.5428828892047971</v>
      </c>
      <c r="U99" s="100">
        <v>2284.668350929468</v>
      </c>
      <c r="V99" s="100">
        <v>6</v>
      </c>
      <c r="W99" s="100">
        <v>25250.399999999998</v>
      </c>
      <c r="X99" s="100">
        <v>6.7199207336707945</v>
      </c>
      <c r="Y99" s="100">
        <v>28280.11441558017</v>
      </c>
      <c r="Z99" s="100">
        <v>6.6197127193076568</v>
      </c>
      <c r="AA99" s="100">
        <v>27858.399007934342</v>
      </c>
      <c r="AB99" s="100">
        <v>8</v>
      </c>
      <c r="AC99" s="100">
        <v>33667.199999999997</v>
      </c>
      <c r="AD99" s="100">
        <v>9</v>
      </c>
      <c r="AE99" s="100">
        <v>37875.599999999999</v>
      </c>
      <c r="AF99" s="100">
        <v>6</v>
      </c>
      <c r="AG99" s="100">
        <v>25250.399999999998</v>
      </c>
      <c r="AH99" s="100">
        <v>2.4904018538917008</v>
      </c>
      <c r="AI99" s="100">
        <v>10480.607161917833</v>
      </c>
      <c r="AJ99" s="100">
        <v>4.5058548761673967</v>
      </c>
      <c r="AK99" s="100">
        <v>18962.43966086287</v>
      </c>
      <c r="AL99" s="100">
        <v>6.7712294271686853</v>
      </c>
      <c r="AM99" s="100">
        <v>28496.041921296692</v>
      </c>
      <c r="AN99" s="100">
        <v>6.4731999629447117</v>
      </c>
      <c r="AO99" s="100">
        <v>27241.814724056523</v>
      </c>
      <c r="AP99" s="100">
        <v>5.7449649671134315</v>
      </c>
      <c r="AQ99" s="100">
        <v>24177.110567600164</v>
      </c>
      <c r="AR99" s="100">
        <v>6.8257009510258584</v>
      </c>
      <c r="AS99" s="100">
        <v>28725.279882297218</v>
      </c>
      <c r="AT99" s="100">
        <v>6.5970889574508309</v>
      </c>
      <c r="AU99" s="100">
        <v>27763.189168536075</v>
      </c>
      <c r="AV99" s="100">
        <v>5.2827264065410864</v>
      </c>
      <c r="AW99" s="100">
        <v>22231.825809287508</v>
      </c>
      <c r="AX99" s="100">
        <v>6.719257271477697</v>
      </c>
      <c r="AY99" s="100">
        <v>28277.322301286738</v>
      </c>
      <c r="AZ99" s="100">
        <v>6.7258126444254804</v>
      </c>
      <c r="BA99" s="100">
        <v>28304.90993280019</v>
      </c>
      <c r="BB99" s="100">
        <v>5.5708751196251454</v>
      </c>
      <c r="BC99" s="100">
        <v>23444.470853430459</v>
      </c>
      <c r="BD99" s="100">
        <v>8.6309332839262822</v>
      </c>
      <c r="BE99" s="100">
        <v>36322.419632075362</v>
      </c>
      <c r="BF99" s="100">
        <v>7.816278866820995</v>
      </c>
      <c r="BG99" s="100">
        <v>32894.027983129476</v>
      </c>
      <c r="BH99" s="100">
        <v>6.8257009510258584</v>
      </c>
      <c r="BI99" s="100">
        <v>28725.279882297218</v>
      </c>
      <c r="BJ99" s="100">
        <v>7.4731251604727564</v>
      </c>
      <c r="BK99" s="100">
        <v>31449.899925333546</v>
      </c>
      <c r="BL99" s="100">
        <v>8.3944693583392596</v>
      </c>
      <c r="BM99" s="100">
        <v>35327.284847634939</v>
      </c>
      <c r="BN99" s="100">
        <v>8.0247129699362212</v>
      </c>
      <c r="BO99" s="100">
        <v>33771.202062679593</v>
      </c>
      <c r="BP99" s="100">
        <v>7.4529275249039113</v>
      </c>
      <c r="BQ99" s="100">
        <v>31364.900195805618</v>
      </c>
      <c r="BR99" s="100">
        <v>0</v>
      </c>
      <c r="BS99" s="100">
        <v>0</v>
      </c>
      <c r="BT99" s="100">
        <v>7.9490081305972007</v>
      </c>
      <c r="BU99" s="100">
        <v>33452.605816805255</v>
      </c>
      <c r="BV99" s="100">
        <v>7.2325739214017455</v>
      </c>
      <c r="BW99" s="100">
        <v>30437.564090827102</v>
      </c>
      <c r="BX99" s="100">
        <v>5.8922717611419815</v>
      </c>
      <c r="BY99" s="100">
        <v>24797.036479589911</v>
      </c>
      <c r="BZ99" s="100">
        <v>6.9008588193554727</v>
      </c>
      <c r="CA99" s="100">
        <v>29041.57425537557</v>
      </c>
      <c r="CB99" s="100">
        <v>6.6288057312847286</v>
      </c>
      <c r="CC99" s="100">
        <v>27896.66603953865</v>
      </c>
      <c r="CD99" s="100">
        <v>0.5852956149239219</v>
      </c>
      <c r="CE99" s="100">
        <v>2463.1580658458329</v>
      </c>
      <c r="CF99" s="100">
        <v>9</v>
      </c>
      <c r="CG99" s="100">
        <v>37875.599999999999</v>
      </c>
      <c r="CH99" s="100">
        <v>9.4802778595711352</v>
      </c>
      <c r="CI99" s="100">
        <v>39896.801344219159</v>
      </c>
      <c r="CJ99" s="100">
        <v>7</v>
      </c>
      <c r="CK99" s="100">
        <v>29458.799999999996</v>
      </c>
      <c r="CL99" s="100">
        <v>6.2247848647213626</v>
      </c>
      <c r="CM99" s="100">
        <v>26196.384624693379</v>
      </c>
      <c r="CN99" s="100">
        <v>5.5564428006623858</v>
      </c>
      <c r="CO99" s="100">
        <v>23383.733882307584</v>
      </c>
      <c r="CP99" s="100">
        <v>0.51225872622401369</v>
      </c>
      <c r="CQ99" s="100">
        <v>2155.7896234411392</v>
      </c>
      <c r="CR99" s="100">
        <v>6.808847368430734</v>
      </c>
      <c r="CS99" s="100">
        <v>28654.3532653039</v>
      </c>
      <c r="CT99" s="100">
        <v>6.6288057312847286</v>
      </c>
      <c r="CU99" s="100">
        <v>27896.66603953865</v>
      </c>
    </row>
    <row r="100" spans="2:99">
      <c r="C100" s="99" t="s">
        <v>266</v>
      </c>
      <c r="D100" s="100">
        <v>12</v>
      </c>
      <c r="E100" s="100">
        <v>3888</v>
      </c>
      <c r="F100" s="100">
        <v>5.8117526053259061</v>
      </c>
      <c r="G100" s="100">
        <v>1883.0078441255935</v>
      </c>
      <c r="H100" s="100">
        <v>8</v>
      </c>
      <c r="I100" s="100">
        <v>2592</v>
      </c>
      <c r="J100" s="100">
        <v>11</v>
      </c>
      <c r="K100" s="100">
        <v>3564</v>
      </c>
      <c r="L100" s="100">
        <v>3.8041662471570508</v>
      </c>
      <c r="M100" s="100">
        <v>1232.5498640788844</v>
      </c>
      <c r="N100" s="100">
        <v>8.2562370784863681</v>
      </c>
      <c r="O100" s="100">
        <v>2675.0208134295831</v>
      </c>
      <c r="P100" s="100">
        <v>9.3319227892197869</v>
      </c>
      <c r="Q100" s="100">
        <v>3023.5429837072111</v>
      </c>
      <c r="R100" s="100">
        <v>6.4215177277116195</v>
      </c>
      <c r="S100" s="100">
        <v>2080.5717437785647</v>
      </c>
      <c r="T100" s="100">
        <v>0.67860361150599635</v>
      </c>
      <c r="U100" s="100">
        <v>219.86757012794283</v>
      </c>
      <c r="V100" s="100">
        <v>8</v>
      </c>
      <c r="W100" s="100">
        <v>2592</v>
      </c>
      <c r="X100" s="100">
        <v>7.6799094099094791</v>
      </c>
      <c r="Y100" s="100">
        <v>2488.2906488106714</v>
      </c>
      <c r="Z100" s="100">
        <v>7.5653859649230366</v>
      </c>
      <c r="AA100" s="100">
        <v>2451.185052635064</v>
      </c>
      <c r="AB100" s="100">
        <v>10</v>
      </c>
      <c r="AC100" s="100">
        <v>3240</v>
      </c>
      <c r="AD100" s="100">
        <v>12</v>
      </c>
      <c r="AE100" s="100">
        <v>3888</v>
      </c>
      <c r="AF100" s="100">
        <v>7</v>
      </c>
      <c r="AG100" s="100">
        <v>2268</v>
      </c>
      <c r="AH100" s="100">
        <v>2.9884822246700411</v>
      </c>
      <c r="AI100" s="100">
        <v>968.26824079309336</v>
      </c>
      <c r="AJ100" s="100">
        <v>7.2093678018678355</v>
      </c>
      <c r="AK100" s="100">
        <v>2335.8351678051786</v>
      </c>
      <c r="AL100" s="100">
        <v>7.6176331055647708</v>
      </c>
      <c r="AM100" s="100">
        <v>2468.1131262029858</v>
      </c>
      <c r="AN100" s="100">
        <v>7.9116888435990917</v>
      </c>
      <c r="AO100" s="100">
        <v>2563.3871853261057</v>
      </c>
      <c r="AP100" s="100">
        <v>7.6599532894845757</v>
      </c>
      <c r="AQ100" s="100">
        <v>2481.8248657930026</v>
      </c>
      <c r="AR100" s="100">
        <v>9.8593458181484639</v>
      </c>
      <c r="AS100" s="100">
        <v>3194.4280450801025</v>
      </c>
      <c r="AT100" s="100">
        <v>8.0631087257732368</v>
      </c>
      <c r="AU100" s="100">
        <v>2612.4472271505288</v>
      </c>
      <c r="AV100" s="100">
        <v>7.0436352087214482</v>
      </c>
      <c r="AW100" s="100">
        <v>2282.1378076257492</v>
      </c>
      <c r="AX100" s="100">
        <v>9.4069601800687757</v>
      </c>
      <c r="AY100" s="100">
        <v>3047.8550983422833</v>
      </c>
      <c r="AZ100" s="100">
        <v>8.2204376765200315</v>
      </c>
      <c r="BA100" s="100">
        <v>2663.4218071924902</v>
      </c>
      <c r="BB100" s="100">
        <v>6.4993543062293373</v>
      </c>
      <c r="BC100" s="100">
        <v>2105.7907952183054</v>
      </c>
      <c r="BD100" s="100">
        <v>9.3501777242534718</v>
      </c>
      <c r="BE100" s="100">
        <v>3029.4575826581249</v>
      </c>
      <c r="BF100" s="100">
        <v>9.3795346401851933</v>
      </c>
      <c r="BG100" s="100">
        <v>3038.9692234200024</v>
      </c>
      <c r="BH100" s="100">
        <v>9.1009346013678112</v>
      </c>
      <c r="BI100" s="100">
        <v>2948.7028108431709</v>
      </c>
      <c r="BJ100" s="100">
        <v>8.9677501925673084</v>
      </c>
      <c r="BK100" s="100">
        <v>2905.551062391808</v>
      </c>
      <c r="BL100" s="100">
        <v>9.0940084715341989</v>
      </c>
      <c r="BM100" s="100">
        <v>2946.4587447770805</v>
      </c>
      <c r="BN100" s="100">
        <v>8.754232330839514</v>
      </c>
      <c r="BO100" s="100">
        <v>2836.3712751920025</v>
      </c>
      <c r="BP100" s="100">
        <v>9.1091336415492243</v>
      </c>
      <c r="BQ100" s="100">
        <v>2951.3592998619488</v>
      </c>
      <c r="BR100" s="100">
        <v>0</v>
      </c>
      <c r="BS100" s="100">
        <v>0</v>
      </c>
      <c r="BT100" s="100">
        <v>10.839556541723455</v>
      </c>
      <c r="BU100" s="100">
        <v>3512.0163195183995</v>
      </c>
      <c r="BV100" s="100">
        <v>8.5475873616566087</v>
      </c>
      <c r="BW100" s="100">
        <v>2769.4183051767413</v>
      </c>
      <c r="BX100" s="100">
        <v>7.8563623481893075</v>
      </c>
      <c r="BY100" s="100">
        <v>2545.4614008133358</v>
      </c>
      <c r="BZ100" s="100">
        <v>8.9711164651621154</v>
      </c>
      <c r="CA100" s="100">
        <v>2906.6417347125252</v>
      </c>
      <c r="CB100" s="100">
        <v>8.8384076417129727</v>
      </c>
      <c r="CC100" s="100">
        <v>2863.6440759150032</v>
      </c>
      <c r="CD100" s="100">
        <v>0.78039415323189587</v>
      </c>
      <c r="CE100" s="100">
        <v>252.84770564713426</v>
      </c>
      <c r="CF100" s="100">
        <v>11</v>
      </c>
      <c r="CG100" s="100">
        <v>3564</v>
      </c>
      <c r="CH100" s="100">
        <v>13.27238900339959</v>
      </c>
      <c r="CI100" s="100">
        <v>4300.2540371014675</v>
      </c>
      <c r="CJ100" s="100">
        <v>8</v>
      </c>
      <c r="CK100" s="100">
        <v>2592</v>
      </c>
      <c r="CL100" s="100">
        <v>8.0032948260703236</v>
      </c>
      <c r="CM100" s="100">
        <v>2593.067523646785</v>
      </c>
      <c r="CN100" s="100">
        <v>7.1439978865659253</v>
      </c>
      <c r="CO100" s="100">
        <v>2314.6553152473598</v>
      </c>
      <c r="CP100" s="100">
        <v>0.57629106700201549</v>
      </c>
      <c r="CQ100" s="100">
        <v>186.71830570865302</v>
      </c>
      <c r="CR100" s="100">
        <v>7.6599532894845757</v>
      </c>
      <c r="CS100" s="100">
        <v>2481.8248657930026</v>
      </c>
      <c r="CT100" s="100">
        <v>7.3653397014274766</v>
      </c>
      <c r="CU100" s="100">
        <v>2386.3700632625023</v>
      </c>
    </row>
    <row r="101" spans="2:99">
      <c r="C101" s="99" t="s">
        <v>267</v>
      </c>
      <c r="D101" s="100">
        <v>10</v>
      </c>
      <c r="E101" s="100">
        <v>7236</v>
      </c>
      <c r="F101" s="100">
        <v>5.8117526053259061</v>
      </c>
      <c r="G101" s="100">
        <v>4205.3841852138257</v>
      </c>
      <c r="H101" s="100">
        <v>9</v>
      </c>
      <c r="I101" s="100">
        <v>6512.4000000000005</v>
      </c>
      <c r="J101" s="100">
        <v>11</v>
      </c>
      <c r="K101" s="100">
        <v>7959.6</v>
      </c>
      <c r="L101" s="100">
        <v>3.2189099014405813</v>
      </c>
      <c r="M101" s="100">
        <v>2329.2032046824047</v>
      </c>
      <c r="N101" s="100">
        <v>7.3388774030989943</v>
      </c>
      <c r="O101" s="100">
        <v>5310.4116888824328</v>
      </c>
      <c r="P101" s="100">
        <v>10.109583021654769</v>
      </c>
      <c r="Q101" s="100">
        <v>7315.294274469391</v>
      </c>
      <c r="R101" s="100">
        <v>5.5041580523242457</v>
      </c>
      <c r="S101" s="100">
        <v>3982.8087666618244</v>
      </c>
      <c r="T101" s="100">
        <v>0.74646397265659603</v>
      </c>
      <c r="U101" s="100">
        <v>540.14133061431289</v>
      </c>
      <c r="V101" s="100">
        <v>7</v>
      </c>
      <c r="W101" s="100">
        <v>5065.2</v>
      </c>
      <c r="X101" s="100">
        <v>6.7199207336707945</v>
      </c>
      <c r="Y101" s="100">
        <v>4862.5346428841867</v>
      </c>
      <c r="Z101" s="100">
        <v>6.6197127193076568</v>
      </c>
      <c r="AA101" s="100">
        <v>4790.0241236910206</v>
      </c>
      <c r="AB101" s="100">
        <v>10</v>
      </c>
      <c r="AC101" s="100">
        <v>7236</v>
      </c>
      <c r="AD101" s="100">
        <v>12</v>
      </c>
      <c r="AE101" s="100">
        <v>8683.2000000000007</v>
      </c>
      <c r="AF101" s="100">
        <v>7</v>
      </c>
      <c r="AG101" s="100">
        <v>5065.2</v>
      </c>
      <c r="AH101" s="100">
        <v>3.2375224100592113</v>
      </c>
      <c r="AI101" s="100">
        <v>2342.6712159188455</v>
      </c>
      <c r="AJ101" s="100">
        <v>5.4070258514008769</v>
      </c>
      <c r="AK101" s="100">
        <v>3912.5239060736744</v>
      </c>
      <c r="AL101" s="100">
        <v>8.4640367839608555</v>
      </c>
      <c r="AM101" s="100">
        <v>6124.5770168740755</v>
      </c>
      <c r="AN101" s="100">
        <v>7.9116888435990917</v>
      </c>
      <c r="AO101" s="100">
        <v>5724.8980472283029</v>
      </c>
      <c r="AP101" s="100">
        <v>7.6599532894845757</v>
      </c>
      <c r="AQ101" s="100">
        <v>5542.7422002710391</v>
      </c>
      <c r="AR101" s="100">
        <v>8.3425233845871603</v>
      </c>
      <c r="AS101" s="100">
        <v>6036.6499210872689</v>
      </c>
      <c r="AT101" s="100">
        <v>7.3300988416120338</v>
      </c>
      <c r="AU101" s="100">
        <v>5304.0595217904674</v>
      </c>
      <c r="AV101" s="100">
        <v>7.0436352087214482</v>
      </c>
      <c r="AW101" s="100">
        <v>5096.7744370308401</v>
      </c>
      <c r="AX101" s="100">
        <v>8.0631087257732368</v>
      </c>
      <c r="AY101" s="100">
        <v>5834.4654739695143</v>
      </c>
      <c r="AZ101" s="100">
        <v>9.7150627086145835</v>
      </c>
      <c r="BA101" s="100">
        <v>7029.8193759535125</v>
      </c>
      <c r="BB101" s="100">
        <v>7.4278334928335275</v>
      </c>
      <c r="BC101" s="100">
        <v>5374.7803154143403</v>
      </c>
      <c r="BD101" s="100">
        <v>10.069422164580663</v>
      </c>
      <c r="BE101" s="100">
        <v>7286.2338782905681</v>
      </c>
      <c r="BF101" s="100">
        <v>8.5979067535030946</v>
      </c>
      <c r="BG101" s="100">
        <v>6221.4453268348398</v>
      </c>
      <c r="BH101" s="100">
        <v>7.5841121678065102</v>
      </c>
      <c r="BI101" s="100">
        <v>5487.8635646247913</v>
      </c>
      <c r="BJ101" s="100">
        <v>9.7150627086145835</v>
      </c>
      <c r="BK101" s="100">
        <v>7029.8193759535125</v>
      </c>
      <c r="BL101" s="100">
        <v>9.7935475847291364</v>
      </c>
      <c r="BM101" s="100">
        <v>7086.6110323100038</v>
      </c>
      <c r="BN101" s="100">
        <v>8.754232330839514</v>
      </c>
      <c r="BO101" s="100">
        <v>6334.5625145954727</v>
      </c>
      <c r="BP101" s="100">
        <v>9.1091336415492243</v>
      </c>
      <c r="BQ101" s="100">
        <v>6591.3691030250193</v>
      </c>
      <c r="BR101" s="100">
        <v>0</v>
      </c>
      <c r="BS101" s="100">
        <v>0</v>
      </c>
      <c r="BT101" s="100">
        <v>10.116919438941892</v>
      </c>
      <c r="BU101" s="100">
        <v>7320.6029060183537</v>
      </c>
      <c r="BV101" s="100">
        <v>7.8900806415291758</v>
      </c>
      <c r="BW101" s="100">
        <v>5709.2623522105114</v>
      </c>
      <c r="BX101" s="100">
        <v>6.874317054665644</v>
      </c>
      <c r="BY101" s="100">
        <v>4974.2558207560605</v>
      </c>
      <c r="BZ101" s="100">
        <v>7.5909447012910203</v>
      </c>
      <c r="CA101" s="100">
        <v>5492.8075858541824</v>
      </c>
      <c r="CB101" s="100">
        <v>9.5749416118557189</v>
      </c>
      <c r="CC101" s="100">
        <v>6928.4277503387984</v>
      </c>
      <c r="CD101" s="100">
        <v>0.71536130712923784</v>
      </c>
      <c r="CE101" s="100">
        <v>517.63544183871647</v>
      </c>
      <c r="CF101" s="100">
        <v>11</v>
      </c>
      <c r="CG101" s="100">
        <v>7959.6</v>
      </c>
      <c r="CH101" s="100">
        <v>13.27238900339959</v>
      </c>
      <c r="CI101" s="100">
        <v>9603.9006828599431</v>
      </c>
      <c r="CJ101" s="100">
        <v>8</v>
      </c>
      <c r="CK101" s="100">
        <v>5788.8</v>
      </c>
      <c r="CL101" s="100">
        <v>7.1140398453958422</v>
      </c>
      <c r="CM101" s="100">
        <v>5147.7192321284319</v>
      </c>
      <c r="CN101" s="100">
        <v>7.1439978865659253</v>
      </c>
      <c r="CO101" s="100">
        <v>5169.3968707191034</v>
      </c>
      <c r="CP101" s="100">
        <v>0.64032340778001706</v>
      </c>
      <c r="CQ101" s="100">
        <v>463.33801786962039</v>
      </c>
      <c r="CR101" s="100">
        <v>6.808847368430734</v>
      </c>
      <c r="CS101" s="100">
        <v>4926.8819557964789</v>
      </c>
      <c r="CT101" s="100">
        <v>6.6288057312847286</v>
      </c>
      <c r="CU101" s="100">
        <v>4796.6038271576299</v>
      </c>
    </row>
    <row r="102" spans="2:99">
      <c r="C102" s="99" t="s">
        <v>268</v>
      </c>
      <c r="D102" s="100">
        <v>10</v>
      </c>
      <c r="E102" s="100">
        <v>5316</v>
      </c>
      <c r="F102" s="100">
        <v>6.457502894806562</v>
      </c>
      <c r="G102" s="100">
        <v>3432.8085388791687</v>
      </c>
      <c r="H102" s="100">
        <v>9</v>
      </c>
      <c r="I102" s="100">
        <v>4784.4000000000005</v>
      </c>
      <c r="J102" s="100">
        <v>13</v>
      </c>
      <c r="K102" s="100">
        <v>6910.8</v>
      </c>
      <c r="L102" s="100">
        <v>3.8041662471570508</v>
      </c>
      <c r="M102" s="100">
        <v>2022.2947769886882</v>
      </c>
      <c r="N102" s="100">
        <v>8.2562370784863681</v>
      </c>
      <c r="O102" s="100">
        <v>4389.0156309233535</v>
      </c>
      <c r="P102" s="100">
        <v>10.109583021654769</v>
      </c>
      <c r="Q102" s="100">
        <v>5374.2543343116758</v>
      </c>
      <c r="R102" s="100">
        <v>6.4215177277116195</v>
      </c>
      <c r="S102" s="100">
        <v>3413.678824051497</v>
      </c>
      <c r="T102" s="100">
        <v>0.74646397265659603</v>
      </c>
      <c r="U102" s="100">
        <v>396.82024786424648</v>
      </c>
      <c r="V102" s="100">
        <v>7</v>
      </c>
      <c r="W102" s="100">
        <v>3721.2000000000003</v>
      </c>
      <c r="X102" s="100">
        <v>6.7199207336707945</v>
      </c>
      <c r="Y102" s="100">
        <v>3572.3098620193946</v>
      </c>
      <c r="Z102" s="100">
        <v>7.5653859649230366</v>
      </c>
      <c r="AA102" s="100">
        <v>4021.7591789530866</v>
      </c>
      <c r="AB102" s="100">
        <v>9</v>
      </c>
      <c r="AC102" s="100">
        <v>4784.4000000000005</v>
      </c>
      <c r="AD102" s="100">
        <v>12</v>
      </c>
      <c r="AE102" s="100">
        <v>6379.2000000000007</v>
      </c>
      <c r="AF102" s="100">
        <v>8</v>
      </c>
      <c r="AG102" s="100">
        <v>4252.8</v>
      </c>
      <c r="AH102" s="100">
        <v>2.7394420392808709</v>
      </c>
      <c r="AI102" s="100">
        <v>1456.287388081711</v>
      </c>
      <c r="AJ102" s="100">
        <v>7.2093678018678355</v>
      </c>
      <c r="AK102" s="100">
        <v>3832.4999234729416</v>
      </c>
      <c r="AL102" s="100">
        <v>8.4640367839608555</v>
      </c>
      <c r="AM102" s="100">
        <v>4499.4819543535914</v>
      </c>
      <c r="AN102" s="100">
        <v>7.1924444032719013</v>
      </c>
      <c r="AO102" s="100">
        <v>3823.5034447793428</v>
      </c>
      <c r="AP102" s="100">
        <v>7.6599532894845757</v>
      </c>
      <c r="AQ102" s="100">
        <v>4072.0311686900004</v>
      </c>
      <c r="AR102" s="100">
        <v>9.8593458181484639</v>
      </c>
      <c r="AS102" s="100">
        <v>5241.2282369277236</v>
      </c>
      <c r="AT102" s="100">
        <v>7.3300988416120338</v>
      </c>
      <c r="AU102" s="100">
        <v>3896.6805442009572</v>
      </c>
      <c r="AV102" s="100">
        <v>6.1631808076312673</v>
      </c>
      <c r="AW102" s="100">
        <v>3276.3469173367816</v>
      </c>
      <c r="AX102" s="100">
        <v>9.4069601800687757</v>
      </c>
      <c r="AY102" s="100">
        <v>5000.740031724561</v>
      </c>
      <c r="AZ102" s="100">
        <v>8.2204376765200315</v>
      </c>
      <c r="BA102" s="100">
        <v>4369.9846688380494</v>
      </c>
      <c r="BB102" s="100">
        <v>6.4993543062293373</v>
      </c>
      <c r="BC102" s="100">
        <v>3455.0567491915158</v>
      </c>
      <c r="BD102" s="100">
        <v>9.3501777242534718</v>
      </c>
      <c r="BE102" s="100">
        <v>4970.5544782131456</v>
      </c>
      <c r="BF102" s="100">
        <v>9.3795346401851933</v>
      </c>
      <c r="BG102" s="100">
        <v>4986.1606147224493</v>
      </c>
      <c r="BH102" s="100">
        <v>9.1009346013678112</v>
      </c>
      <c r="BI102" s="100">
        <v>4838.0568340871287</v>
      </c>
      <c r="BJ102" s="100">
        <v>9.7150627086145835</v>
      </c>
      <c r="BK102" s="100">
        <v>5164.5273358995128</v>
      </c>
      <c r="BL102" s="100">
        <v>9.0940084715341989</v>
      </c>
      <c r="BM102" s="100">
        <v>4834.3749034675802</v>
      </c>
      <c r="BN102" s="100">
        <v>8.0247129699362212</v>
      </c>
      <c r="BO102" s="100">
        <v>4265.937414818095</v>
      </c>
      <c r="BP102" s="100">
        <v>8.2810305832265687</v>
      </c>
      <c r="BQ102" s="100">
        <v>4402.1958580432438</v>
      </c>
      <c r="BR102" s="100">
        <v>0</v>
      </c>
      <c r="BS102" s="100">
        <v>0</v>
      </c>
      <c r="BT102" s="100">
        <v>10.116919438941892</v>
      </c>
      <c r="BU102" s="100">
        <v>5378.1543737415104</v>
      </c>
      <c r="BV102" s="100">
        <v>8.5475873616566087</v>
      </c>
      <c r="BW102" s="100">
        <v>4543.8974414566537</v>
      </c>
      <c r="BX102" s="100">
        <v>8.8384076417129727</v>
      </c>
      <c r="BY102" s="100">
        <v>4698.4975023346169</v>
      </c>
      <c r="BZ102" s="100">
        <v>8.9711164651621154</v>
      </c>
      <c r="CA102" s="100">
        <v>4769.0455128801805</v>
      </c>
      <c r="CB102" s="100">
        <v>8.1018736715702229</v>
      </c>
      <c r="CC102" s="100">
        <v>4306.956043806731</v>
      </c>
      <c r="CD102" s="100">
        <v>0.71536130712923784</v>
      </c>
      <c r="CE102" s="100">
        <v>380.28607086990286</v>
      </c>
      <c r="CF102" s="100">
        <v>12</v>
      </c>
      <c r="CG102" s="100">
        <v>6379.2000000000007</v>
      </c>
      <c r="CH102" s="100">
        <v>13.27238900339959</v>
      </c>
      <c r="CI102" s="100">
        <v>7055.6019942072226</v>
      </c>
      <c r="CJ102" s="100">
        <v>8</v>
      </c>
      <c r="CK102" s="100">
        <v>4252.8</v>
      </c>
      <c r="CL102" s="100">
        <v>8.0032948260703236</v>
      </c>
      <c r="CM102" s="100">
        <v>4254.5515295389841</v>
      </c>
      <c r="CN102" s="100">
        <v>6.350220343614156</v>
      </c>
      <c r="CO102" s="100">
        <v>3375.7771346652853</v>
      </c>
      <c r="CP102" s="100">
        <v>0.64032340778001706</v>
      </c>
      <c r="CQ102" s="100">
        <v>340.39592357585707</v>
      </c>
      <c r="CR102" s="100">
        <v>7.6599532894845757</v>
      </c>
      <c r="CS102" s="100">
        <v>4072.0311686900004</v>
      </c>
      <c r="CT102" s="100">
        <v>6.6288057312847286</v>
      </c>
      <c r="CU102" s="100">
        <v>3523.873126750962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6.457502894806562</v>
      </c>
      <c r="G103" s="100">
        <v>3804.7607056200259</v>
      </c>
      <c r="H103" s="100">
        <v>9</v>
      </c>
      <c r="I103" s="100">
        <v>5302.7999999999993</v>
      </c>
      <c r="J103" s="100">
        <v>12</v>
      </c>
      <c r="K103" s="100">
        <v>7070.4</v>
      </c>
      <c r="L103" s="100">
        <v>3.5115380742988163</v>
      </c>
      <c r="M103" s="100">
        <v>2068.9982333768621</v>
      </c>
      <c r="N103" s="100">
        <v>8.2562370784863681</v>
      </c>
      <c r="O103" s="100">
        <v>4864.5748866441672</v>
      </c>
      <c r="P103" s="100">
        <v>9.3319227892197869</v>
      </c>
      <c r="Q103" s="100">
        <v>5498.3689074082977</v>
      </c>
      <c r="R103" s="100">
        <v>6.4215177277116195</v>
      </c>
      <c r="S103" s="100">
        <v>3783.558245167686</v>
      </c>
      <c r="T103" s="100">
        <v>0.67860361150599635</v>
      </c>
      <c r="U103" s="100">
        <v>399.833247899333</v>
      </c>
      <c r="V103" s="100">
        <v>7</v>
      </c>
      <c r="W103" s="100">
        <v>4124.3999999999996</v>
      </c>
      <c r="X103" s="100">
        <v>6.7199207336707945</v>
      </c>
      <c r="Y103" s="100">
        <v>3959.3772962788316</v>
      </c>
      <c r="Z103" s="100">
        <v>7.5653859649230366</v>
      </c>
      <c r="AA103" s="100">
        <v>4457.525410532653</v>
      </c>
      <c r="AB103" s="100">
        <v>9</v>
      </c>
      <c r="AC103" s="100">
        <v>5302.7999999999993</v>
      </c>
      <c r="AD103" s="100">
        <v>11</v>
      </c>
      <c r="AE103" s="100">
        <v>6481.1999999999989</v>
      </c>
      <c r="AF103" s="100">
        <v>8</v>
      </c>
      <c r="AG103" s="100">
        <v>4713.5999999999995</v>
      </c>
      <c r="AH103" s="100">
        <v>2.9884822246700411</v>
      </c>
      <c r="AI103" s="100">
        <v>1760.8137267755881</v>
      </c>
      <c r="AJ103" s="100">
        <v>6.3081968266343562</v>
      </c>
      <c r="AK103" s="100">
        <v>3716.7895702529622</v>
      </c>
      <c r="AL103" s="100">
        <v>7.6176331055647708</v>
      </c>
      <c r="AM103" s="100">
        <v>4488.3094257987623</v>
      </c>
      <c r="AN103" s="100">
        <v>7.9116888435990917</v>
      </c>
      <c r="AO103" s="100">
        <v>4661.5670666485839</v>
      </c>
      <c r="AP103" s="100">
        <v>7.6599532894845757</v>
      </c>
      <c r="AQ103" s="100">
        <v>4513.2444781643117</v>
      </c>
      <c r="AR103" s="100">
        <v>9.8593458181484639</v>
      </c>
      <c r="AS103" s="100">
        <v>5809.1265560530746</v>
      </c>
      <c r="AT103" s="100">
        <v>7.3300988416120338</v>
      </c>
      <c r="AU103" s="100">
        <v>4318.8942374778098</v>
      </c>
      <c r="AV103" s="100">
        <v>6.1631808076312673</v>
      </c>
      <c r="AW103" s="100">
        <v>3631.3461318563423</v>
      </c>
      <c r="AX103" s="100">
        <v>9.4069601800687757</v>
      </c>
      <c r="AY103" s="100">
        <v>5542.580938096522</v>
      </c>
      <c r="AZ103" s="100">
        <v>8.2204376765200315</v>
      </c>
      <c r="BA103" s="100">
        <v>4843.4818790056024</v>
      </c>
      <c r="BB103" s="100">
        <v>7.4278334928335275</v>
      </c>
      <c r="BC103" s="100">
        <v>4376.4794939775138</v>
      </c>
      <c r="BD103" s="100">
        <v>8.6309332839262822</v>
      </c>
      <c r="BE103" s="100">
        <v>5085.3458908893645</v>
      </c>
      <c r="BF103" s="100">
        <v>8.5979067535030946</v>
      </c>
      <c r="BG103" s="100">
        <v>5065.8866591640226</v>
      </c>
      <c r="BH103" s="100">
        <v>8.3425233845871603</v>
      </c>
      <c r="BI103" s="100">
        <v>4915.414778198754</v>
      </c>
      <c r="BJ103" s="100">
        <v>8.9677501925673084</v>
      </c>
      <c r="BK103" s="100">
        <v>5283.7984134606577</v>
      </c>
      <c r="BL103" s="100">
        <v>9.0940084715341989</v>
      </c>
      <c r="BM103" s="100">
        <v>5358.1897914279498</v>
      </c>
      <c r="BN103" s="100">
        <v>7.2951936090329284</v>
      </c>
      <c r="BO103" s="100">
        <v>4298.3280744422009</v>
      </c>
      <c r="BP103" s="100">
        <v>7.4529275249039113</v>
      </c>
      <c r="BQ103" s="100">
        <v>4391.2648976733844</v>
      </c>
      <c r="BR103" s="100">
        <v>0</v>
      </c>
      <c r="BS103" s="100">
        <v>0</v>
      </c>
      <c r="BT103" s="100">
        <v>8.671645233378765</v>
      </c>
      <c r="BU103" s="100">
        <v>5109.3333715067674</v>
      </c>
      <c r="BV103" s="100">
        <v>7.8900806415291758</v>
      </c>
      <c r="BW103" s="100">
        <v>4648.83551398899</v>
      </c>
      <c r="BX103" s="100">
        <v>7.8563623481893075</v>
      </c>
      <c r="BY103" s="100">
        <v>4628.9686955531397</v>
      </c>
      <c r="BZ103" s="100">
        <v>8.9711164651621154</v>
      </c>
      <c r="CA103" s="100">
        <v>5285.7818212735174</v>
      </c>
      <c r="CB103" s="100">
        <v>8.8384076417129727</v>
      </c>
      <c r="CC103" s="100">
        <v>5207.5897824972826</v>
      </c>
      <c r="CD103" s="100">
        <v>0.71536130712923784</v>
      </c>
      <c r="CE103" s="100">
        <v>421.4908821605469</v>
      </c>
      <c r="CF103" s="100">
        <v>11</v>
      </c>
      <c r="CG103" s="100">
        <v>6481.1999999999989</v>
      </c>
      <c r="CH103" s="100">
        <v>12.324361217442478</v>
      </c>
      <c r="CI103" s="100">
        <v>7261.5136293171072</v>
      </c>
      <c r="CJ103" s="100">
        <v>7</v>
      </c>
      <c r="CK103" s="100">
        <v>4124.3999999999996</v>
      </c>
      <c r="CL103" s="100">
        <v>8.0032948260703236</v>
      </c>
      <c r="CM103" s="100">
        <v>4715.5413115206338</v>
      </c>
      <c r="CN103" s="100">
        <v>6.350220343614156</v>
      </c>
      <c r="CO103" s="100">
        <v>3741.5498264574603</v>
      </c>
      <c r="CP103" s="100">
        <v>0.64032340778001706</v>
      </c>
      <c r="CQ103" s="100">
        <v>377.27855186398602</v>
      </c>
      <c r="CR103" s="100">
        <v>7.6599532894845757</v>
      </c>
      <c r="CS103" s="100">
        <v>4513.2444781643117</v>
      </c>
      <c r="CT103" s="100">
        <v>6.6288057312847286</v>
      </c>
      <c r="CU103" s="100">
        <v>3905.6923368729617</v>
      </c>
    </row>
    <row r="104" spans="2:99">
      <c r="C104" s="99" t="s">
        <v>270</v>
      </c>
      <c r="D104" s="100">
        <v>10</v>
      </c>
      <c r="E104" s="100">
        <v>6324</v>
      </c>
      <c r="F104" s="100">
        <v>6.457502894806562</v>
      </c>
      <c r="G104" s="100">
        <v>4083.7248306756696</v>
      </c>
      <c r="H104" s="100">
        <v>8</v>
      </c>
      <c r="I104" s="100">
        <v>5059.2</v>
      </c>
      <c r="J104" s="100">
        <v>11</v>
      </c>
      <c r="K104" s="100">
        <v>6956.4</v>
      </c>
      <c r="L104" s="100">
        <v>3.8041662471570508</v>
      </c>
      <c r="M104" s="100">
        <v>2405.7547347021186</v>
      </c>
      <c r="N104" s="100">
        <v>8.2562370784863681</v>
      </c>
      <c r="O104" s="100">
        <v>5221.2443284347792</v>
      </c>
      <c r="P104" s="100">
        <v>9.3319227892197869</v>
      </c>
      <c r="Q104" s="100">
        <v>5901.5079719025935</v>
      </c>
      <c r="R104" s="100">
        <v>6.4215177277116195</v>
      </c>
      <c r="S104" s="100">
        <v>4060.967811004828</v>
      </c>
      <c r="T104" s="100">
        <v>0.67860361150599635</v>
      </c>
      <c r="U104" s="100">
        <v>429.14892391639205</v>
      </c>
      <c r="V104" s="100">
        <v>8</v>
      </c>
      <c r="W104" s="100">
        <v>5059.2</v>
      </c>
      <c r="X104" s="100">
        <v>7.6799094099094791</v>
      </c>
      <c r="Y104" s="100">
        <v>4856.774710826754</v>
      </c>
      <c r="Z104" s="100">
        <v>6.6197127193076568</v>
      </c>
      <c r="AA104" s="100">
        <v>4186.3063236901617</v>
      </c>
      <c r="AB104" s="100">
        <v>9</v>
      </c>
      <c r="AC104" s="100">
        <v>5691.5999999999995</v>
      </c>
      <c r="AD104" s="100">
        <v>12</v>
      </c>
      <c r="AE104" s="100">
        <v>7588.7999999999993</v>
      </c>
      <c r="AF104" s="100">
        <v>8</v>
      </c>
      <c r="AG104" s="100">
        <v>5059.2</v>
      </c>
      <c r="AH104" s="100">
        <v>3.2375224100592113</v>
      </c>
      <c r="AI104" s="100">
        <v>2047.4091721214452</v>
      </c>
      <c r="AJ104" s="100">
        <v>6.3081968266343562</v>
      </c>
      <c r="AK104" s="100">
        <v>3989.3036731635666</v>
      </c>
      <c r="AL104" s="100">
        <v>8.4640367839608555</v>
      </c>
      <c r="AM104" s="100">
        <v>5352.6568621768447</v>
      </c>
      <c r="AN104" s="100">
        <v>7.1924444032719013</v>
      </c>
      <c r="AO104" s="100">
        <v>4548.5018406291501</v>
      </c>
      <c r="AP104" s="100">
        <v>6.7024591282990027</v>
      </c>
      <c r="AQ104" s="100">
        <v>4238.6351527362895</v>
      </c>
      <c r="AR104" s="100">
        <v>9.8593458181484639</v>
      </c>
      <c r="AS104" s="100">
        <v>6235.0502953970881</v>
      </c>
      <c r="AT104" s="100">
        <v>8.0631087257732368</v>
      </c>
      <c r="AU104" s="100">
        <v>5099.1099581789949</v>
      </c>
      <c r="AV104" s="100">
        <v>6.1631808076312673</v>
      </c>
      <c r="AW104" s="100">
        <v>3897.5955427460135</v>
      </c>
      <c r="AX104" s="100">
        <v>8.7350344529210062</v>
      </c>
      <c r="AY104" s="100">
        <v>5524.0357880272441</v>
      </c>
      <c r="AZ104" s="100">
        <v>8.9677501925673084</v>
      </c>
      <c r="BA104" s="100">
        <v>5671.2052217795654</v>
      </c>
      <c r="BB104" s="100">
        <v>6.4993543062293373</v>
      </c>
      <c r="BC104" s="100">
        <v>4110.191663259433</v>
      </c>
      <c r="BD104" s="100">
        <v>10.069422164580663</v>
      </c>
      <c r="BE104" s="100">
        <v>6367.9025768808115</v>
      </c>
      <c r="BF104" s="100">
        <v>9.3795346401851933</v>
      </c>
      <c r="BG104" s="100">
        <v>5931.6177064531157</v>
      </c>
      <c r="BH104" s="100">
        <v>8.3425233845871603</v>
      </c>
      <c r="BI104" s="100">
        <v>5275.8117884129197</v>
      </c>
      <c r="BJ104" s="100">
        <v>9.7150627086145835</v>
      </c>
      <c r="BK104" s="100">
        <v>6143.8056569278624</v>
      </c>
      <c r="BL104" s="100">
        <v>9.0940084715341989</v>
      </c>
      <c r="BM104" s="100">
        <v>5751.0509573982272</v>
      </c>
      <c r="BN104" s="100">
        <v>8.754232330839514</v>
      </c>
      <c r="BO104" s="100">
        <v>5536.1765260229085</v>
      </c>
      <c r="BP104" s="100">
        <v>8.2810305832265687</v>
      </c>
      <c r="BQ104" s="100">
        <v>5236.9237408324816</v>
      </c>
      <c r="BR104" s="100">
        <v>0</v>
      </c>
      <c r="BS104" s="100">
        <v>0</v>
      </c>
      <c r="BT104" s="100">
        <v>8.671645233378765</v>
      </c>
      <c r="BU104" s="100">
        <v>5483.9484455887305</v>
      </c>
      <c r="BV104" s="100">
        <v>9.2050940817840381</v>
      </c>
      <c r="BW104" s="100">
        <v>5821.3014973202253</v>
      </c>
      <c r="BX104" s="100">
        <v>7.8563623481893075</v>
      </c>
      <c r="BY104" s="100">
        <v>4968.3635489949174</v>
      </c>
      <c r="BZ104" s="100">
        <v>7.5909447012910203</v>
      </c>
      <c r="CA104" s="100">
        <v>4800.5134290964406</v>
      </c>
      <c r="CB104" s="100">
        <v>8.1018736715702229</v>
      </c>
      <c r="CC104" s="100">
        <v>5123.6249099010083</v>
      </c>
      <c r="CD104" s="100">
        <v>0.65032846102657993</v>
      </c>
      <c r="CE104" s="100">
        <v>411.26771875320912</v>
      </c>
      <c r="CF104" s="100">
        <v>11</v>
      </c>
      <c r="CG104" s="100">
        <v>6956.4</v>
      </c>
      <c r="CH104" s="100">
        <v>13.27238900339959</v>
      </c>
      <c r="CI104" s="100">
        <v>8393.4588057499004</v>
      </c>
      <c r="CJ104" s="100">
        <v>8</v>
      </c>
      <c r="CK104" s="100">
        <v>5059.2</v>
      </c>
      <c r="CL104" s="100">
        <v>8.0032948260703236</v>
      </c>
      <c r="CM104" s="100">
        <v>5061.2836480068727</v>
      </c>
      <c r="CN104" s="100">
        <v>7.1439978865659253</v>
      </c>
      <c r="CO104" s="100">
        <v>4517.8642634642911</v>
      </c>
      <c r="CP104" s="100">
        <v>0.64032340778001706</v>
      </c>
      <c r="CQ104" s="100">
        <v>404.94052308008276</v>
      </c>
      <c r="CR104" s="100">
        <v>6.808847368430734</v>
      </c>
      <c r="CS104" s="100">
        <v>4305.9150757955958</v>
      </c>
      <c r="CT104" s="100">
        <v>6.6288057312847286</v>
      </c>
      <c r="CU104" s="100">
        <v>4192.0567444644621</v>
      </c>
    </row>
    <row r="105" spans="2:99">
      <c r="C105" s="99" t="s">
        <v>271</v>
      </c>
      <c r="D105" s="100">
        <v>11</v>
      </c>
      <c r="E105" s="100">
        <v>6124.7999999999993</v>
      </c>
      <c r="F105" s="100">
        <v>5.8117526053259061</v>
      </c>
      <c r="G105" s="100">
        <v>3235.9838506454644</v>
      </c>
      <c r="H105" s="100">
        <v>8</v>
      </c>
      <c r="I105" s="100">
        <v>4454.3999999999996</v>
      </c>
      <c r="J105" s="100">
        <v>13</v>
      </c>
      <c r="K105" s="100">
        <v>7238.4</v>
      </c>
      <c r="L105" s="100">
        <v>3.8041662471570508</v>
      </c>
      <c r="M105" s="100">
        <v>2118.1597664170458</v>
      </c>
      <c r="N105" s="100">
        <v>8.2562370784863681</v>
      </c>
      <c r="O105" s="100">
        <v>4597.072805301209</v>
      </c>
      <c r="P105" s="100">
        <v>10.887243254089752</v>
      </c>
      <c r="Q105" s="100">
        <v>6062.0170438771729</v>
      </c>
      <c r="R105" s="100">
        <v>5.5041580523242457</v>
      </c>
      <c r="S105" s="100">
        <v>3064.7152035341396</v>
      </c>
      <c r="T105" s="100">
        <v>0.74646397265659603</v>
      </c>
      <c r="U105" s="100">
        <v>415.63113997519264</v>
      </c>
      <c r="V105" s="100">
        <v>7</v>
      </c>
      <c r="W105" s="100">
        <v>3897.5999999999995</v>
      </c>
      <c r="X105" s="100">
        <v>6.7199207336707945</v>
      </c>
      <c r="Y105" s="100">
        <v>3741.6518645078982</v>
      </c>
      <c r="Z105" s="100">
        <v>7.5653859649230366</v>
      </c>
      <c r="AA105" s="100">
        <v>4212.4069052691466</v>
      </c>
      <c r="AB105" s="100">
        <v>10</v>
      </c>
      <c r="AC105" s="100">
        <v>5568</v>
      </c>
      <c r="AD105" s="100">
        <v>12</v>
      </c>
      <c r="AE105" s="100">
        <v>6681.5999999999995</v>
      </c>
      <c r="AF105" s="100">
        <v>8</v>
      </c>
      <c r="AG105" s="100">
        <v>4454.3999999999996</v>
      </c>
      <c r="AH105" s="100">
        <v>2.9884822246700411</v>
      </c>
      <c r="AI105" s="100">
        <v>1663.9869026962788</v>
      </c>
      <c r="AJ105" s="100">
        <v>6.3081968266343562</v>
      </c>
      <c r="AK105" s="100">
        <v>3512.4039930700092</v>
      </c>
      <c r="AL105" s="100">
        <v>7.6176331055647708</v>
      </c>
      <c r="AM105" s="100">
        <v>4241.4981131784643</v>
      </c>
      <c r="AN105" s="100">
        <v>7.9116888435990917</v>
      </c>
      <c r="AO105" s="100">
        <v>4405.2283481159739</v>
      </c>
      <c r="AP105" s="100">
        <v>6.7024591282990027</v>
      </c>
      <c r="AQ105" s="100">
        <v>3731.9292426368843</v>
      </c>
      <c r="AR105" s="100">
        <v>8.3425233845871603</v>
      </c>
      <c r="AS105" s="100">
        <v>4645.1170205381304</v>
      </c>
      <c r="AT105" s="100">
        <v>8.0631087257732368</v>
      </c>
      <c r="AU105" s="100">
        <v>4489.5389385105382</v>
      </c>
      <c r="AV105" s="100">
        <v>6.1631808076312673</v>
      </c>
      <c r="AW105" s="100">
        <v>3431.6590736890894</v>
      </c>
      <c r="AX105" s="100">
        <v>8.7350344529210062</v>
      </c>
      <c r="AY105" s="100">
        <v>4863.6671833864157</v>
      </c>
      <c r="AZ105" s="100">
        <v>8.9677501925673084</v>
      </c>
      <c r="BA105" s="100">
        <v>4993.2433072214772</v>
      </c>
      <c r="BB105" s="100">
        <v>6.4993543062293373</v>
      </c>
      <c r="BC105" s="100">
        <v>3618.8404777084947</v>
      </c>
      <c r="BD105" s="100">
        <v>10.788666604907853</v>
      </c>
      <c r="BE105" s="100">
        <v>6007.1295656126922</v>
      </c>
      <c r="BF105" s="100">
        <v>8.5979067535030946</v>
      </c>
      <c r="BG105" s="100">
        <v>4787.3144803505229</v>
      </c>
      <c r="BH105" s="100">
        <v>7.5841121678065102</v>
      </c>
      <c r="BI105" s="100">
        <v>4222.8336550346648</v>
      </c>
      <c r="BJ105" s="100">
        <v>8.9677501925673084</v>
      </c>
      <c r="BK105" s="100">
        <v>4993.2433072214772</v>
      </c>
      <c r="BL105" s="100">
        <v>9.7935475847291364</v>
      </c>
      <c r="BM105" s="100">
        <v>5453.0472951771826</v>
      </c>
      <c r="BN105" s="100">
        <v>8.0247129699362212</v>
      </c>
      <c r="BO105" s="100">
        <v>4468.160181660488</v>
      </c>
      <c r="BP105" s="100">
        <v>7.4529275249039113</v>
      </c>
      <c r="BQ105" s="100">
        <v>4149.7900458664972</v>
      </c>
      <c r="BR105" s="100">
        <v>0</v>
      </c>
      <c r="BS105" s="100">
        <v>0</v>
      </c>
      <c r="BT105" s="100">
        <v>9.3942823361603285</v>
      </c>
      <c r="BU105" s="100">
        <v>5230.7364047740703</v>
      </c>
      <c r="BV105" s="100">
        <v>7.8900806415291758</v>
      </c>
      <c r="BW105" s="100">
        <v>4393.1969012034451</v>
      </c>
      <c r="BX105" s="100">
        <v>7.8563623481893075</v>
      </c>
      <c r="BY105" s="100">
        <v>4374.4225554718059</v>
      </c>
      <c r="BZ105" s="100">
        <v>8.2810305832265687</v>
      </c>
      <c r="CA105" s="100">
        <v>4610.877828740553</v>
      </c>
      <c r="CB105" s="100">
        <v>8.8384076417129727</v>
      </c>
      <c r="CC105" s="100">
        <v>4921.2253749057827</v>
      </c>
      <c r="CD105" s="100">
        <v>0.71536130712923784</v>
      </c>
      <c r="CE105" s="100">
        <v>398.3131758095596</v>
      </c>
      <c r="CF105" s="100">
        <v>11</v>
      </c>
      <c r="CG105" s="100">
        <v>6124.7999999999993</v>
      </c>
      <c r="CH105" s="100">
        <v>12.324361217442478</v>
      </c>
      <c r="CI105" s="100">
        <v>6862.2043258719714</v>
      </c>
      <c r="CJ105" s="100">
        <v>7</v>
      </c>
      <c r="CK105" s="100">
        <v>3897.5999999999995</v>
      </c>
      <c r="CL105" s="100">
        <v>8.8925498067448032</v>
      </c>
      <c r="CM105" s="100">
        <v>4951.3717323955061</v>
      </c>
      <c r="CN105" s="100">
        <v>6.350220343614156</v>
      </c>
      <c r="CO105" s="100">
        <v>3535.8026873243616</v>
      </c>
      <c r="CP105" s="100">
        <v>0.64032340778001706</v>
      </c>
      <c r="CQ105" s="100">
        <v>356.53207345191345</v>
      </c>
      <c r="CR105" s="100">
        <v>7.6599532894845757</v>
      </c>
      <c r="CS105" s="100">
        <v>4265.0619915850111</v>
      </c>
      <c r="CT105" s="100">
        <v>7.3653397014274766</v>
      </c>
      <c r="CU105" s="100">
        <v>4101.0211457548185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429</v>
      </c>
      <c r="E109" s="100">
        <f>SUM(L$6:L$19)+SUM(N$6:N$19)+SUM(P$6:P$19)+SUM(R$6:R$19)</f>
        <v>546</v>
      </c>
      <c r="F109" s="100">
        <f>SUM(T$6:T$19)+SUM(V$6:V$19)+SUM(X$6:X$19)+SUM(Z$6:Z$19)</f>
        <v>433</v>
      </c>
      <c r="G109" s="100">
        <f>SUM(AB$6:AB$19)+SUM(AD$6:AD$19)+SUM(AF$6:AF$19)+SUM(AH$6:AH$19)</f>
        <v>437.69768337954531</v>
      </c>
      <c r="H109" s="100">
        <f>SUM(AJ$6:AJ$19)+SUM(AL$6:AL$19)+SUM(AN$6:AN$19)+SUM(AP$6:AP$19)</f>
        <v>305.99769186208454</v>
      </c>
      <c r="I109" s="100">
        <f>SUM(AR$6:AR$19)+SUM(AT$6:AT$19)+SUM(AV$6:AV$19)+SUM(AX$6:AX$19)</f>
        <v>113.22389738488224</v>
      </c>
      <c r="J109" s="100">
        <f>SUM(AZ$6:AZ$19)+SUM(BB$6:BB$19)+SUM(BD$6:BD$19)+SUM(BF$6:BF$19)</f>
        <v>529</v>
      </c>
      <c r="K109" s="100">
        <f>SUM(BH$6:BH$19)+SUM(BJ$6:BJ$19)+SUM(BL$6:BL$19)+SUM(BN$6:BN$19)</f>
        <v>477.04951370185188</v>
      </c>
      <c r="L109" s="100">
        <f>SUM(BP$6:BP$19)+SUM(BR$6:BR$19)+SUM(BT$6:BT$19)+SUM(BV$6:BV$19)</f>
        <v>359.05539336764946</v>
      </c>
      <c r="M109" s="100">
        <f>SUM(BX$6:BX$19)+SUM(BZ$6:BZ$19)+SUM(CB$6:CB$19)+SUM(CD$6:CD$19)</f>
        <v>563</v>
      </c>
      <c r="N109" s="100">
        <f>SUM(CF$6:CF$19)+SUM(CH$6:CH$19)+SUM(CJ$6:CJ$19)+SUM(CL$6:CL$19)</f>
        <v>465.39600494575984</v>
      </c>
      <c r="O109" s="100">
        <f>SUM(CN$6:CN$19)+SUM(CP$6:CP$19)+SUM(CR$6:CR$19)+SUM(CT$6:CT$19)</f>
        <v>456.58521727076038</v>
      </c>
    </row>
    <row r="110" spans="2:99">
      <c r="C110" s="99" t="s">
        <v>127</v>
      </c>
      <c r="D110" s="100">
        <f>SUM(D$20:D$36)+SUM(F$20:F$36)+SUM(H$20:H$36)+SUM(J$20:J$36)</f>
        <v>1199</v>
      </c>
      <c r="E110" s="100">
        <f>SUM(L$20:L$36)+SUM(N$20:N$36)+SUM(P$20:P$36)+SUM(R$20:R$36)</f>
        <v>1085</v>
      </c>
      <c r="F110" s="100">
        <f>SUM(T$20:T$36)+SUM(V$20:V$36)+SUM(X$20:X$36)+SUM(Z$20:Z$36)</f>
        <v>1101</v>
      </c>
      <c r="G110" s="100">
        <f>SUM(AB$20:AB$36)+SUM(AD$20:AD$36)+SUM(AF$20:AF$36)+SUM(AH$20:AH$36)</f>
        <v>1029.4639596057484</v>
      </c>
      <c r="H110" s="100">
        <f>SUM(AJ$20:AJ$36)+SUM(AL$20:AL$36)+SUM(AN$20:AN$36)+SUM(AP$20:AP$36)</f>
        <v>953.63396111934651</v>
      </c>
      <c r="I110" s="100">
        <f>SUM(AR$20:AR$36)+SUM(AT$20:AT$36)+SUM(AV$20:AV$36)+SUM(AX$20:AX$36)</f>
        <v>346.54784371375104</v>
      </c>
      <c r="J110" s="100">
        <f>SUM(AZ$20:AZ$36)+SUM(BB$20:BB$36)+SUM(BD$20:BD$36)+SUM(BF$20:BF$36)</f>
        <v>1010</v>
      </c>
      <c r="K110" s="100">
        <f>SUM(BH$20:BH$36)+SUM(BJ$20:BJ$36)+SUM(BL$20:BL$36)+SUM(BN$20:BN$36)</f>
        <v>1123.954713365931</v>
      </c>
      <c r="L110" s="100">
        <f>SUM(BP$20:BP$36)+SUM(BR$20:BR$36)+SUM(BT$20:BT$36)+SUM(BV$20:BV$36)</f>
        <v>948.39328142990462</v>
      </c>
      <c r="M110" s="100">
        <f>SUM(BX$20:BX$36)+SUM(BZ$20:BZ$36)+SUM(CB$20:CB$36)+SUM(CD$20:CD$36)</f>
        <v>1213</v>
      </c>
      <c r="N110" s="100">
        <f>SUM(CF$20:CF$36)+SUM(CH$20:CH$36)+SUM(CJ$20:CJ$36)+SUM(CL$20:CL$36)</f>
        <v>1124.6171915166369</v>
      </c>
      <c r="O110" s="100">
        <f>SUM(CN$20:CN$36)+SUM(CP$20:CP$36)+SUM(CR$20:CR$36)+SUM(CT$20:CT$36)</f>
        <v>1359.7102042264241</v>
      </c>
    </row>
    <row r="111" spans="2:99">
      <c r="C111" s="99" t="s">
        <v>128</v>
      </c>
      <c r="D111" s="100">
        <f>SUM(D$37:D$48)+SUM(F$37:F$48)+SUM(H$37:H$48)+SUM(J$37:J$48)</f>
        <v>555</v>
      </c>
      <c r="E111" s="100">
        <f>SUM(L$37:L$48)+SUM(N$37:N$48)+SUM(P$37:P$48)+SUM(R$37:R$48)</f>
        <v>580</v>
      </c>
      <c r="F111" s="100">
        <f>SUM(T$37:T$48)+SUM(V$37:V$48)+SUM(X$37:X$48)+SUM(Z$37:Z$48)</f>
        <v>556</v>
      </c>
      <c r="G111" s="100">
        <f>SUM(AB$37:AB$48)+SUM(AD$37:AD$48)+SUM(AF$37:AF$48)+SUM(AH$37:AH$48)</f>
        <v>530.70022385534742</v>
      </c>
      <c r="H111" s="100">
        <f>SUM(AJ$37:AJ$48)+SUM(AL$37:AL$48)+SUM(AN$37:AN$48)+SUM(AP$37:AP$48)</f>
        <v>392.92405713636612</v>
      </c>
      <c r="I111" s="100">
        <f>SUM(AR$37:AR$48)+SUM(AT$37:AT$48)+SUM(AV$37:AV$48)+SUM(AX$37:AX$48)</f>
        <v>136.38367344544218</v>
      </c>
      <c r="J111" s="100">
        <f>SUM(AZ$37:AZ$48)+SUM(BB$37:BB$48)+SUM(BD$37:BD$48)+SUM(BF$37:BF$48)</f>
        <v>547</v>
      </c>
      <c r="K111" s="100">
        <f>SUM(BH$37:BH$48)+SUM(BJ$37:BJ$48)+SUM(BL$37:BL$48)+SUM(BN$37:BN$48)</f>
        <v>392.32022818751904</v>
      </c>
      <c r="L111" s="100">
        <f>SUM(BP$37:BP$48)+SUM(BR$37:BR$48)+SUM(BT$37:BT$48)+SUM(BV$37:BV$48)</f>
        <v>334.17403262513733</v>
      </c>
      <c r="M111" s="100">
        <f>SUM(BX$37:BX$48)+SUM(BZ$37:BZ$48)+SUM(CB$37:CB$48)+SUM(CD$37:CD$48)</f>
        <v>586</v>
      </c>
      <c r="N111" s="100">
        <f>SUM(CF$37:CF$48)+SUM(CH$37:CH$48)+SUM(CJ$37:CJ$48)+SUM(CL$37:CL$48)</f>
        <v>430.01489116459788</v>
      </c>
      <c r="O111" s="100">
        <f>SUM(CN$37:CN$48)+SUM(CP$37:CP$48)+SUM(CR$37:CR$48)+SUM(CT$37:CT$48)</f>
        <v>531.57908208124786</v>
      </c>
    </row>
    <row r="112" spans="2:99">
      <c r="C112" s="99" t="s">
        <v>129</v>
      </c>
      <c r="D112" s="100">
        <f>SUM(D$49:D$70)+SUM(F$49:F$70)+SUM(H$49:H$70)+SUM(J$49:J$70)</f>
        <v>566.10325318428727</v>
      </c>
      <c r="E112" s="100">
        <f>SUM(L$49:L$70)+SUM(N$49:N$70)+SUM(P$49:P$70)+SUM(R$49:R$70)</f>
        <v>701.30609998875093</v>
      </c>
      <c r="F112" s="100">
        <f>SUM(T$49:T$70)+SUM(V$49:V$70)+SUM(X$49:X$70)+SUM(Z$49:Z$70)</f>
        <v>692.36137479571642</v>
      </c>
      <c r="G112" s="100">
        <f>SUM(AB$49:AB$70)+SUM(AD$49:AD$70)+SUM(AF$49:AF$70)+SUM(AH$49:AH$70)</f>
        <v>806.96922868166473</v>
      </c>
      <c r="H112" s="100">
        <f>SUM(AJ$49:AJ$70)+SUM(AL$49:AL$70)+SUM(AN$49:AN$70)+SUM(AP$49:AP$70)</f>
        <v>586.45999793071485</v>
      </c>
      <c r="I112" s="100">
        <f>SUM(AR$49:AR$70)+SUM(AT$49:AT$70)+SUM(AV$49:AV$70)+SUM(AX$49:AX$70)</f>
        <v>258.17319268591405</v>
      </c>
      <c r="J112" s="100">
        <f>SUM(AZ$49:AZ$70)+SUM(BB$49:BB$70)+SUM(BD$49:BD$70)+SUM(BF$49:BF$70)</f>
        <v>719.08681865726578</v>
      </c>
      <c r="K112" s="100">
        <f>SUM(BH$49:BH$70)+SUM(BJ$49:BJ$70)+SUM(BL$49:BL$70)+SUM(BN$49:BN$70)</f>
        <v>621.96583792060369</v>
      </c>
      <c r="L112" s="100">
        <f>SUM(BP$49:BP$70)+SUM(BR$49:BR$70)+SUM(BT$49:BT$70)+SUM(BV$49:BV$70)</f>
        <v>458.33323570456997</v>
      </c>
      <c r="M112" s="100">
        <f>SUM(BX$49:BX$70)+SUM(BZ$49:BZ$70)+SUM(CB$49:CB$70)+SUM(CD$49:CD$70)</f>
        <v>632.44189907181885</v>
      </c>
      <c r="N112" s="100">
        <f>SUM(CF$49:CF$70)+SUM(CH$49:CH$70)+SUM(CJ$49:CJ$70)+SUM(CL$49:CL$70)</f>
        <v>693.96977200672086</v>
      </c>
      <c r="O112" s="100">
        <f>SUM(CN$49:CN$70)+SUM(CP$49:CP$70)+SUM(CR$49:CR$70)+SUM(CT$49:CT$70)</f>
        <v>604.66668224684611</v>
      </c>
    </row>
    <row r="113" spans="2:15">
      <c r="C113" s="99" t="s">
        <v>130</v>
      </c>
      <c r="D113" s="100">
        <f>SUM(D$71:D$86)+SUM(F$71:F$86)+SUM(H$71:H$86)+SUM(J$71:J$86)</f>
        <v>532</v>
      </c>
      <c r="E113" s="100">
        <f>SUM(L$71:L$86)+SUM(N$71:N$86)+SUM(P$71:P$86)+SUM(R$71:R$86)</f>
        <v>690.29038527426951</v>
      </c>
      <c r="F113" s="100">
        <f>SUM(T$71:T$86)+SUM(V$71:V$86)+SUM(X$71:X$86)+SUM(Z$71:Z$86)</f>
        <v>565.60466435701244</v>
      </c>
      <c r="G113" s="100">
        <f>SUM(AB$71:AB$86)+SUM(AD$71:AD$86)+SUM(AF$71:AF$86)+SUM(AH$71:AH$86)</f>
        <v>668.59346933857046</v>
      </c>
      <c r="H113" s="100">
        <f>SUM(AJ$71:AJ$86)+SUM(AL$71:AL$86)+SUM(AN$71:AN$86)+SUM(AP$71:AP$86)</f>
        <v>505.69715734159723</v>
      </c>
      <c r="I113" s="100">
        <f>SUM(AR$71:AR$86)+SUM(AT$71:AT$86)+SUM(AV$71:AV$86)+SUM(AX$71:AX$86)</f>
        <v>503.86620669736067</v>
      </c>
      <c r="J113" s="100">
        <f>SUM(AZ$71:AZ$86)+SUM(BB$71:BB$86)+SUM(BD$71:BD$86)+SUM(BF$71:BF$86)</f>
        <v>550.12169455865524</v>
      </c>
      <c r="K113" s="100">
        <f>SUM(BH$71:BH$86)+SUM(BJ$71:BJ$86)+SUM(BL$71:BL$86)+SUM(BN$71:BN$86)</f>
        <v>650</v>
      </c>
      <c r="L113" s="100">
        <f>SUM(BP$71:BP$86)+SUM(BR$71:BR$86)+SUM(BT$71:BT$86)+SUM(BV$71:BV$86)</f>
        <v>613.20930739314997</v>
      </c>
      <c r="M113" s="100">
        <f>SUM(BX$71:BX$86)+SUM(BZ$71:BZ$86)+SUM(CB$71:CB$86)+SUM(CD$71:CD$86)</f>
        <v>610.12654648794251</v>
      </c>
      <c r="N113" s="100">
        <f>SUM(CF$71:CF$86)+SUM(CH$71:CH$86)+SUM(CJ$71:CJ$86)+SUM(CL$71:CL$86)</f>
        <v>665.05752267145567</v>
      </c>
      <c r="O113" s="100">
        <f>SUM(CN$71:CN$86)+SUM(CP$71:CP$86)+SUM(CR$71:CR$86)+SUM(CT$71:CT$86)</f>
        <v>704.32329392018721</v>
      </c>
    </row>
    <row r="114" spans="2:15">
      <c r="C114" s="99" t="s">
        <v>131</v>
      </c>
      <c r="D114" s="100">
        <f>SUM(D$87:D$94)+SUM(F$87:F$94)+SUM(H$87:H$94)+SUM(J$87:J$94)</f>
        <v>243.32801852676201</v>
      </c>
      <c r="E114" s="100">
        <f>SUM(L$87:L$94)+SUM(N$87:N$94)+SUM(P$87:P$94)+SUM(R$87:R$94)</f>
        <v>175.97664597545889</v>
      </c>
      <c r="F114" s="100">
        <f>SUM(T$87:T$94)+SUM(V$87:V$94)+SUM(X$87:X$94)+SUM(Z$87:Z$94)</f>
        <v>182.44049181607261</v>
      </c>
      <c r="G114" s="100">
        <f>SUM(AB$87:AB$94)+SUM(AD$87:AD$94)+SUM(AF$87:AF$94)+SUM(AH$87:AH$94)</f>
        <v>201.20296908406934</v>
      </c>
      <c r="H114" s="100">
        <f>SUM(AJ$87:AJ$94)+SUM(AL$87:AL$94)+SUM(AN$87:AN$94)+SUM(AP$87:AP$94)</f>
        <v>239.28607449235827</v>
      </c>
      <c r="I114" s="100">
        <f>SUM(AR$87:AR$94)+SUM(AT$87:AT$94)+SUM(AV$87:AV$94)+SUM(AX$87:AX$94)</f>
        <v>214.52117781559465</v>
      </c>
      <c r="J114" s="100">
        <f>SUM(AZ$87:AZ$94)+SUM(BB$87:BB$94)+SUM(BD$87:BD$94)+SUM(BF$87:BF$94)</f>
        <v>188.20025075819149</v>
      </c>
      <c r="K114" s="100">
        <f>SUM(BH$87:BH$94)+SUM(BJ$87:BJ$94)+SUM(BL$87:BL$94)+SUM(BN$87:BN$94)</f>
        <v>173.85609356816104</v>
      </c>
      <c r="L114" s="100">
        <f>SUM(BP$87:BP$94)+SUM(BR$87:BR$94)+SUM(BT$87:BT$94)+SUM(BV$87:BV$94)</f>
        <v>140.22983794035287</v>
      </c>
      <c r="M114" s="100">
        <f>SUM(BX$87:BX$94)+SUM(BZ$87:BZ$94)+SUM(CB$87:CB$94)+SUM(CD$87:CD$94)</f>
        <v>159.23495025601258</v>
      </c>
      <c r="N114" s="100">
        <f>SUM(CF$87:CF$94)+SUM(CH$87:CH$94)+SUM(CJ$87:CJ$94)+SUM(CL$87:CL$94)</f>
        <v>265.94095547289379</v>
      </c>
      <c r="O114" s="100">
        <f>SUM(CN$87:CN$94)+SUM(CP$87:CP$94)+SUM(CR$87:CR$94)+SUM(CT$87:CT$94)</f>
        <v>205.06398870410192</v>
      </c>
    </row>
    <row r="115" spans="2:15">
      <c r="C115" s="99" t="s">
        <v>132</v>
      </c>
      <c r="D115" s="100">
        <f>SUM(D$95:D$105)+SUM(F$95:F$105)+SUM(H$95:H$105)+SUM(J$95:J$105)</f>
        <v>404.15803010598825</v>
      </c>
      <c r="E115" s="100">
        <f>SUM(L$95:L$105)+SUM(N$95:N$105)+SUM(P$95:P$105)+SUM(R$95:R$105)</f>
        <v>296.86282042946715</v>
      </c>
      <c r="F115" s="100">
        <f>SUM(T$95:T$105)+SUM(V$95:V$105)+SUM(X$95:X$105)+SUM(Z$95:Z$105)</f>
        <v>243.87817164766642</v>
      </c>
      <c r="G115" s="100">
        <f>SUM(AB$95:AB$105)+SUM(AD$95:AD$105)+SUM(AF$95:AF$105)+SUM(AH$95:AH$105)</f>
        <v>340.12618391520294</v>
      </c>
      <c r="H115" s="100">
        <f>SUM(AJ$95:AJ$105)+SUM(AL$95:AL$105)+SUM(AN$95:AN$105)+SUM(AP$95:AP$105)</f>
        <v>314.42938575342828</v>
      </c>
      <c r="I115" s="100">
        <f>SUM(AR$95:AR$105)+SUM(AT$95:AT$105)+SUM(AV$95:AV$105)+SUM(AX$95:AX$105)</f>
        <v>351.72224240410446</v>
      </c>
      <c r="J115" s="100">
        <f>SUM(AZ$95:AZ$105)+SUM(BB$95:BB$105)+SUM(BD$95:BD$105)+SUM(BF$95:BF$105)</f>
        <v>374.23909858090997</v>
      </c>
      <c r="K115" s="100">
        <f>SUM(BH$95:BH$105)+SUM(BJ$95:BJ$105)+SUM(BL$95:BL$105)+SUM(BN$95:BN$105)</f>
        <v>390.33810236274621</v>
      </c>
      <c r="L115" s="100">
        <f>SUM(BP$95:BP$105)+SUM(BR$95:BR$105)+SUM(BT$95:BT$105)+SUM(BV$95:BV$105)</f>
        <v>287.33228079918609</v>
      </c>
      <c r="M115" s="100">
        <f>SUM(BX$95:BX$105)+SUM(BZ$95:BZ$105)+SUM(CB$95:CB$105)+SUM(CD$95:CD$105)</f>
        <v>279.07803985464227</v>
      </c>
      <c r="N115" s="100">
        <f>SUM(CF$95:CF$105)+SUM(CH$95:CH$105)+SUM(CJ$95:CJ$105)+SUM(CL$95:CL$105)</f>
        <v>423.1059693612255</v>
      </c>
      <c r="O115" s="100">
        <f>SUM(CN$95:CN$105)+SUM(CP$95:CP$105)+SUM(CR$95:CR$105)+SUM(CT$95:CT$105)</f>
        <v>234.04382288175844</v>
      </c>
    </row>
    <row r="116" spans="2:15">
      <c r="C116" s="99" t="s">
        <v>278</v>
      </c>
      <c r="D116" s="100">
        <f t="shared" ref="D116:O116" si="0">SUM(D$109:D$115)</f>
        <v>3928.5893018170382</v>
      </c>
      <c r="E116" s="100">
        <f t="shared" si="0"/>
        <v>4075.4359516679465</v>
      </c>
      <c r="F116" s="100">
        <f t="shared" si="0"/>
        <v>3774.2847026164682</v>
      </c>
      <c r="G116" s="100">
        <f t="shared" si="0"/>
        <v>4014.7537178601492</v>
      </c>
      <c r="H116" s="100">
        <f t="shared" si="0"/>
        <v>3298.4283256358958</v>
      </c>
      <c r="I116" s="100">
        <f t="shared" si="0"/>
        <v>1924.4382341470493</v>
      </c>
      <c r="J116" s="100">
        <f t="shared" si="0"/>
        <v>3917.6478625550226</v>
      </c>
      <c r="K116" s="100">
        <f t="shared" si="0"/>
        <v>3829.4844891068128</v>
      </c>
      <c r="L116" s="100">
        <f t="shared" si="0"/>
        <v>3140.7273692599506</v>
      </c>
      <c r="M116" s="100">
        <f t="shared" si="0"/>
        <v>4042.8814356704161</v>
      </c>
      <c r="N116" s="100">
        <f t="shared" si="0"/>
        <v>4068.1023071392906</v>
      </c>
      <c r="O116" s="100">
        <f t="shared" si="0"/>
        <v>4095.9722913313258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3003000</v>
      </c>
      <c r="E120" s="100">
        <f>E109*pricing!E15*2000</f>
        <v>3822000</v>
      </c>
      <c r="F120" s="100">
        <f>F109*pricing!F15*2000</f>
        <v>3031000</v>
      </c>
      <c r="G120" s="100">
        <f>G109*pricing!G15*2000</f>
        <v>3063883.7836568174</v>
      </c>
      <c r="H120" s="100">
        <f>H109*pricing!H15*2000</f>
        <v>2141983.8430345915</v>
      </c>
      <c r="I120" s="100">
        <f>I109*pricing!I15*2000</f>
        <v>792567.28169417568</v>
      </c>
      <c r="J120" s="100">
        <f>J109*pricing!J15*2000</f>
        <v>3703000</v>
      </c>
      <c r="K120" s="100">
        <f>K109*pricing!K15*2000</f>
        <v>3339346.5959129632</v>
      </c>
      <c r="L120" s="100">
        <f>L109*pricing!L15*2000</f>
        <v>2513387.7535735467</v>
      </c>
      <c r="M120" s="100">
        <f>M109*pricing!M15*2000</f>
        <v>3941000</v>
      </c>
      <c r="N120" s="100">
        <f>N109*pricing!N15*2000</f>
        <v>3257772.0346203186</v>
      </c>
      <c r="O120" s="100">
        <f>O109*pricing!O15*2000</f>
        <v>3196096.5208953228</v>
      </c>
    </row>
    <row r="121" spans="2:15">
      <c r="C121" s="99" t="s">
        <v>127</v>
      </c>
      <c r="D121" s="100">
        <f>D110*pricing!D16*2000</f>
        <v>8393000</v>
      </c>
      <c r="E121" s="100">
        <f>E110*pricing!E16*2000</f>
        <v>7595000</v>
      </c>
      <c r="F121" s="100">
        <f>F110*pricing!F16*2000</f>
        <v>7707000</v>
      </c>
      <c r="G121" s="100">
        <f>G110*pricing!G16*2000</f>
        <v>7206247.7172402386</v>
      </c>
      <c r="H121" s="100">
        <f>H110*pricing!H16*2000</f>
        <v>6675437.7278354261</v>
      </c>
      <c r="I121" s="100">
        <f>I110*pricing!I16*2000</f>
        <v>2425834.9059962574</v>
      </c>
      <c r="J121" s="100">
        <f>J110*pricing!J16*2000</f>
        <v>7070000</v>
      </c>
      <c r="K121" s="100">
        <f>K110*pricing!K16*2000</f>
        <v>7867682.9935615165</v>
      </c>
      <c r="L121" s="100">
        <f>L110*pricing!L16*2000</f>
        <v>6638752.9700093325</v>
      </c>
      <c r="M121" s="100">
        <f>M110*pricing!M16*2000</f>
        <v>8491000</v>
      </c>
      <c r="N121" s="100">
        <f>N110*pricing!N16*2000</f>
        <v>7872320.3406164581</v>
      </c>
      <c r="O121" s="100">
        <f>O110*pricing!O16*2000</f>
        <v>9517971.4295849707</v>
      </c>
    </row>
    <row r="122" spans="2:15">
      <c r="C122" s="99" t="s">
        <v>128</v>
      </c>
      <c r="D122" s="100">
        <f>D111*pricing!D17*2000</f>
        <v>3885000</v>
      </c>
      <c r="E122" s="100">
        <f>E111*pricing!E17*2000</f>
        <v>4060000</v>
      </c>
      <c r="F122" s="100">
        <f>F111*pricing!F17*2000</f>
        <v>3892000</v>
      </c>
      <c r="G122" s="100">
        <f>G111*pricing!G17*2000</f>
        <v>3714901.5669874321</v>
      </c>
      <c r="H122" s="100">
        <f>H111*pricing!H17*2000</f>
        <v>2750468.3999545625</v>
      </c>
      <c r="I122" s="100">
        <f>I111*pricing!I17*2000</f>
        <v>954685.71411809535</v>
      </c>
      <c r="J122" s="100">
        <f>J111*pricing!J17*2000</f>
        <v>3829000</v>
      </c>
      <c r="K122" s="100">
        <f>K111*pricing!K17*2000</f>
        <v>2746241.5973126329</v>
      </c>
      <c r="L122" s="100">
        <f>L111*pricing!L17*2000</f>
        <v>2339218.2283759611</v>
      </c>
      <c r="M122" s="100">
        <f>M111*pricing!M17*2000</f>
        <v>4102000</v>
      </c>
      <c r="N122" s="100">
        <f>N111*pricing!N17*2000</f>
        <v>3010104.238152185</v>
      </c>
      <c r="O122" s="100">
        <f>O111*pricing!O17*2000</f>
        <v>3721053.574568735</v>
      </c>
    </row>
    <row r="123" spans="2:15">
      <c r="C123" s="99" t="s">
        <v>129</v>
      </c>
      <c r="D123" s="100">
        <f>D112*pricing!D18*2000</f>
        <v>3962722.7722900105</v>
      </c>
      <c r="E123" s="100">
        <f>E112*pricing!E18*2000</f>
        <v>4909142.6999212559</v>
      </c>
      <c r="F123" s="100">
        <f>F112*pricing!F18*2000</f>
        <v>4846529.6235700157</v>
      </c>
      <c r="G123" s="100">
        <f>G112*pricing!G18*2000</f>
        <v>5648784.6007716535</v>
      </c>
      <c r="H123" s="100">
        <f>H112*pricing!H18*2000</f>
        <v>4105219.985515004</v>
      </c>
      <c r="I123" s="100">
        <f>I112*pricing!I18*2000</f>
        <v>1807212.3488013984</v>
      </c>
      <c r="J123" s="100">
        <f>J112*pricing!J18*2000</f>
        <v>5033607.73060086</v>
      </c>
      <c r="K123" s="100">
        <f>K112*pricing!K18*2000</f>
        <v>4353760.8654442253</v>
      </c>
      <c r="L123" s="100">
        <f>L112*pricing!L18*2000</f>
        <v>3208332.6499319896</v>
      </c>
      <c r="M123" s="100">
        <f>M112*pricing!M18*2000</f>
        <v>4427093.2935027322</v>
      </c>
      <c r="N123" s="100">
        <f>N112*pricing!N18*2000</f>
        <v>4857788.4040470459</v>
      </c>
      <c r="O123" s="100">
        <f>O112*pricing!O18*2000</f>
        <v>4232666.775727923</v>
      </c>
    </row>
    <row r="124" spans="2:15">
      <c r="C124" s="99" t="s">
        <v>130</v>
      </c>
      <c r="D124" s="100">
        <f>D113*pricing!D19*2000</f>
        <v>3724000</v>
      </c>
      <c r="E124" s="100">
        <f>E113*pricing!E19*2000</f>
        <v>4832032.6969198864</v>
      </c>
      <c r="F124" s="100">
        <f>F113*pricing!F19*2000</f>
        <v>3959232.6504990868</v>
      </c>
      <c r="G124" s="100">
        <f>G113*pricing!G19*2000</f>
        <v>4680154.2853699932</v>
      </c>
      <c r="H124" s="100">
        <f>H113*pricing!H19*2000</f>
        <v>3539880.1013911809</v>
      </c>
      <c r="I124" s="100">
        <f>I113*pricing!I19*2000</f>
        <v>3527063.4468815248</v>
      </c>
      <c r="J124" s="100">
        <f>J113*pricing!J19*2000</f>
        <v>3850851.8619105867</v>
      </c>
      <c r="K124" s="100">
        <f>K113*pricing!K19*2000</f>
        <v>4550000</v>
      </c>
      <c r="L124" s="100">
        <f>L113*pricing!L19*2000</f>
        <v>4292465.15175205</v>
      </c>
      <c r="M124" s="100">
        <f>M113*pricing!M19*2000</f>
        <v>4270885.8254155973</v>
      </c>
      <c r="N124" s="100">
        <f>N113*pricing!N19*2000</f>
        <v>4655402.6587001896</v>
      </c>
      <c r="O124" s="100">
        <f>O113*pricing!O19*2000</f>
        <v>4930263.057441311</v>
      </c>
    </row>
    <row r="125" spans="2:15">
      <c r="C125" s="99" t="s">
        <v>131</v>
      </c>
      <c r="D125" s="100">
        <f>D114*pricing!D20*2000</f>
        <v>1703296.1296873342</v>
      </c>
      <c r="E125" s="100">
        <f>E114*pricing!E20*2000</f>
        <v>1231836.5218282123</v>
      </c>
      <c r="F125" s="100">
        <f>F114*pricing!F20*2000</f>
        <v>1277083.4427125081</v>
      </c>
      <c r="G125" s="100">
        <f>G114*pricing!G20*2000</f>
        <v>1408420.7835884853</v>
      </c>
      <c r="H125" s="100">
        <f>H114*pricing!H20*2000</f>
        <v>1675002.5214465079</v>
      </c>
      <c r="I125" s="100">
        <f>I114*pricing!I20*2000</f>
        <v>1501648.2447091625</v>
      </c>
      <c r="J125" s="100">
        <f>J114*pricing!J20*2000</f>
        <v>1317401.7553073403</v>
      </c>
      <c r="K125" s="100">
        <f>K114*pricing!K20*2000</f>
        <v>1216992.6549771274</v>
      </c>
      <c r="L125" s="100">
        <f>L114*pricing!L20*2000</f>
        <v>981608.86558247008</v>
      </c>
      <c r="M125" s="100">
        <f>M114*pricing!M20*2000</f>
        <v>1114644.6517920881</v>
      </c>
      <c r="N125" s="100">
        <f>N114*pricing!N20*2000</f>
        <v>1861586.6883102565</v>
      </c>
      <c r="O125" s="100">
        <f>O114*pricing!O20*2000</f>
        <v>1435447.9209287134</v>
      </c>
    </row>
    <row r="126" spans="2:15">
      <c r="C126" s="99" t="s">
        <v>132</v>
      </c>
      <c r="D126" s="100">
        <f>D115*pricing!D21*2000</f>
        <v>2829106.2107419176</v>
      </c>
      <c r="E126" s="100">
        <f>E115*pricing!E21*2000</f>
        <v>2078039.7430062699</v>
      </c>
      <c r="F126" s="100">
        <f>F115*pricing!F21*2000</f>
        <v>1707147.2015336649</v>
      </c>
      <c r="G126" s="100">
        <f>G115*pricing!G21*2000</f>
        <v>2380883.2874064203</v>
      </c>
      <c r="H126" s="100">
        <f>H115*pricing!H21*2000</f>
        <v>2201005.7002739976</v>
      </c>
      <c r="I126" s="100">
        <f>I115*pricing!I21*2000</f>
        <v>2462055.6968287309</v>
      </c>
      <c r="J126" s="100">
        <f>J115*pricing!J21*2000</f>
        <v>2619673.6900663702</v>
      </c>
      <c r="K126" s="100">
        <f>K115*pricing!K21*2000</f>
        <v>2732366.7165392237</v>
      </c>
      <c r="L126" s="100">
        <f>L115*pricing!L21*2000</f>
        <v>2011325.9655943026</v>
      </c>
      <c r="M126" s="100">
        <f>M115*pricing!M21*2000</f>
        <v>1953546.2789824959</v>
      </c>
      <c r="N126" s="100">
        <f>N115*pricing!N21*2000</f>
        <v>2961741.7855285783</v>
      </c>
      <c r="O126" s="100">
        <f>O115*pricing!O21*2000</f>
        <v>1638306.7601723091</v>
      </c>
    </row>
    <row r="127" spans="2:15">
      <c r="C127" s="99" t="s">
        <v>278</v>
      </c>
      <c r="D127" s="100">
        <f t="shared" ref="D127:O127" si="1">SUM(D$120:D$126)</f>
        <v>27500125.112719264</v>
      </c>
      <c r="E127" s="100">
        <f t="shared" si="1"/>
        <v>28528051.661675628</v>
      </c>
      <c r="F127" s="100">
        <f t="shared" si="1"/>
        <v>26419992.918315277</v>
      </c>
      <c r="G127" s="100">
        <f t="shared" si="1"/>
        <v>28103276.025021039</v>
      </c>
      <c r="H127" s="100">
        <f t="shared" si="1"/>
        <v>23088998.27945127</v>
      </c>
      <c r="I127" s="100">
        <f t="shared" si="1"/>
        <v>13471067.639029345</v>
      </c>
      <c r="J127" s="100">
        <f t="shared" si="1"/>
        <v>27423535.037885156</v>
      </c>
      <c r="K127" s="100">
        <f t="shared" si="1"/>
        <v>26806391.423747689</v>
      </c>
      <c r="L127" s="100">
        <f t="shared" si="1"/>
        <v>21985091.584819652</v>
      </c>
      <c r="M127" s="100">
        <f t="shared" si="1"/>
        <v>28300170.049692914</v>
      </c>
      <c r="N127" s="100">
        <f t="shared" si="1"/>
        <v>28476716.149975032</v>
      </c>
      <c r="O127" s="100">
        <f t="shared" si="1"/>
        <v>28671806.039319281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216286.8</v>
      </c>
      <c r="E131" s="106">
        <f>SUM(M$6:M$19)+SUM(O$6:O$19)+SUM(Q$6:Q$19)+SUM(S$6:S$19)</f>
        <v>277200</v>
      </c>
      <c r="F131" s="106">
        <f>SUM(U$6:U$19)+SUM(W$6:W$19)+SUM(Y$6:Y$19)+SUM(AA$6:AA$19)</f>
        <v>218379.59999999998</v>
      </c>
      <c r="G131" s="106">
        <f>SUM(AC$6:AC$19)+SUM(AE$6:AE$19)+SUM(AG$6:AG$19)+SUM(AI$6:AI$19)</f>
        <v>222636.58002910484</v>
      </c>
      <c r="H131" s="106">
        <f>SUM(AK$6:AK$19)+SUM(AM$6:AM$19)+SUM(AO$6:AO$19)+SUM(AQ$6:AQ$19)</f>
        <v>153651.5340287321</v>
      </c>
      <c r="I131" s="106">
        <f>SUM(AS$6:AS$19)+SUM(AU$6:AU$19)+SUM(AW$6:AW$19)+SUM(AY$6:AY$19)</f>
        <v>57477.876474124692</v>
      </c>
      <c r="J131" s="106">
        <f>SUM(BA$6:BA$19)+SUM(BC$6:BC$19)+SUM(BE$6:BE$19)+SUM(BG$6:BG$19)</f>
        <v>267469.2</v>
      </c>
      <c r="K131" s="106">
        <f>SUM(BI$6:BI$19)+SUM(BK$6:BK$19)+SUM(BM$6:BM$19)+SUM(BO$6:BO$19)</f>
        <v>239407.81781043322</v>
      </c>
      <c r="L131" s="106">
        <f>SUM(BQ$6:BQ$19)+SUM(BS$6:BS$19)+SUM(BU$6:BU$19)+SUM(BW$6:BW$19)</f>
        <v>182092.58141262271</v>
      </c>
      <c r="M131" s="106">
        <f>SUM(BY$6:BY$19)+SUM(CA$6:CA$19)+SUM(CC$6:CC$19)+SUM(CE$6:CE$19)</f>
        <v>285361.2</v>
      </c>
      <c r="N131" s="106">
        <f>SUM(CG$6:CG$19)+SUM(CI$6:CI$19)+SUM(CK$6:CK$19)+SUM(CM$6:CM$19)</f>
        <v>235564.27181958818</v>
      </c>
      <c r="O131" s="106">
        <f>SUM(CO$6:CO$19)+SUM(CQ$6:CQ$19)+SUM(CS$6:CS$19)+SUM(CU$6:CU$19)</f>
        <v>231244.30414130457</v>
      </c>
    </row>
    <row r="132" spans="2:15">
      <c r="C132" s="105" t="s">
        <v>127</v>
      </c>
      <c r="D132" s="106">
        <f>SUM(E$20:E$36)+SUM(G$20:G$36)+SUM(I$20:I$36)+SUM(K$20:K$36)</f>
        <v>515047.19999999995</v>
      </c>
      <c r="E132" s="106">
        <f>SUM(M$20:M$36)+SUM(O$20:O$36)+SUM(Q$20:Q$36)+SUM(S$20:S$36)</f>
        <v>465874.79999999993</v>
      </c>
      <c r="F132" s="106">
        <f>SUM(U$20:U$36)+SUM(W$20:W$36)+SUM(Y$20:Y$36)+SUM(AA$20:AA$36)</f>
        <v>472206</v>
      </c>
      <c r="G132" s="106">
        <f>SUM(AC$20:AC$36)+SUM(AE$20:AE$36)+SUM(AG$20:AG$36)+SUM(AI$20:AI$36)</f>
        <v>437763.79134929186</v>
      </c>
      <c r="H132" s="106">
        <f>SUM(AK$20:AK$36)+SUM(AM$20:AM$36)+SUM(AO$20:AO$36)+SUM(AQ$20:AQ$36)</f>
        <v>408690.02233109169</v>
      </c>
      <c r="I132" s="106">
        <f>SUM(AS$20:AS$36)+SUM(AU$20:AU$36)+SUM(AW$20:AW$36)+SUM(AY$20:AY$36)</f>
        <v>147964.0687490702</v>
      </c>
      <c r="J132" s="106">
        <f>SUM(BA$20:BA$36)+SUM(BC$20:BC$36)+SUM(BE$20:BE$36)+SUM(BG$20:BG$36)</f>
        <v>429913.19999999995</v>
      </c>
      <c r="K132" s="106">
        <f>SUM(BI$20:BI$36)+SUM(BK$20:BK$36)+SUM(BM$20:BM$36)+SUM(BO$20:BO$36)</f>
        <v>483320.08037308045</v>
      </c>
      <c r="L132" s="106">
        <f>SUM(BQ$20:BQ$36)+SUM(BS$20:BS$36)+SUM(BU$20:BU$36)+SUM(BW$20:BW$36)</f>
        <v>404982.83541985939</v>
      </c>
      <c r="M132" s="106">
        <f>SUM(BY$20:BY$36)+SUM(CA$20:CA$36)+SUM(CC$20:CC$36)+SUM(CE$20:CE$36)</f>
        <v>519757.19999999995</v>
      </c>
      <c r="N132" s="106">
        <f>SUM(CG$20:CG$36)+SUM(CI$20:CI$36)+SUM(CK$20:CK$36)+SUM(CM$20:CM$36)</f>
        <v>481399.45324756589</v>
      </c>
      <c r="O132" s="106">
        <f>SUM(CO$20:CO$36)+SUM(CQ$20:CQ$36)+SUM(CS$20:CS$36)+SUM(CU$20:CU$36)</f>
        <v>584502.04912430816</v>
      </c>
    </row>
    <row r="133" spans="2:15">
      <c r="C133" s="105" t="s">
        <v>128</v>
      </c>
      <c r="D133" s="106">
        <f>SUM(E$37:E$48)+SUM(G$37:G$48)+SUM(I$37:I$48)+SUM(K$37:K$48)</f>
        <v>583387.19999999995</v>
      </c>
      <c r="E133" s="106">
        <f>SUM(M$37:M$48)+SUM(O$37:O$48)+SUM(Q$37:Q$48)+SUM(S$37:S$48)</f>
        <v>609541.19999999995</v>
      </c>
      <c r="F133" s="106">
        <f>SUM(U$37:U$48)+SUM(W$37:W$48)+SUM(Y$37:Y$48)+SUM(AA$37:AA$48)</f>
        <v>583473.6</v>
      </c>
      <c r="G133" s="106">
        <f>SUM(AC$37:AC$48)+SUM(AE$37:AE$48)+SUM(AG$37:AG$48)+SUM(AI$37:AI$48)</f>
        <v>558625.02101094357</v>
      </c>
      <c r="H133" s="106">
        <f>SUM(AK$37:AK$48)+SUM(AM$37:AM$48)+SUM(AO$37:AO$48)+SUM(AQ$37:AQ$48)</f>
        <v>413240.55089097476</v>
      </c>
      <c r="I133" s="106">
        <f>SUM(AS$37:AS$48)+SUM(AU$37:AU$48)+SUM(AW$37:AW$48)+SUM(AY$37:AY$48)</f>
        <v>143276.50391196588</v>
      </c>
      <c r="J133" s="106">
        <f>SUM(BA$37:BA$48)+SUM(BC$37:BC$48)+SUM(BE$37:BE$48)+SUM(BG$37:BG$48)</f>
        <v>576097.19999999995</v>
      </c>
      <c r="K133" s="106">
        <f>SUM(BI$37:BI$48)+SUM(BK$37:BK$48)+SUM(BM$37:BM$48)+SUM(BO$37:BO$48)</f>
        <v>411526.55903297063</v>
      </c>
      <c r="L133" s="106">
        <f>SUM(BQ$37:BQ$48)+SUM(BS$37:BS$48)+SUM(BU$37:BU$48)+SUM(BW$37:BW$48)</f>
        <v>350474.88761161419</v>
      </c>
      <c r="M133" s="106">
        <f>SUM(BY$37:BY$48)+SUM(CA$37:CA$48)+SUM(CC$37:CC$48)+SUM(CE$37:CE$48)</f>
        <v>614869.20000000007</v>
      </c>
      <c r="N133" s="106">
        <f>SUM(CG$37:CG$48)+SUM(CI$37:CI$48)+SUM(CK$37:CK$48)+SUM(CM$37:CM$48)</f>
        <v>450959.87700691714</v>
      </c>
      <c r="O133" s="106">
        <f>SUM(CO$37:CO$48)+SUM(CQ$37:CQ$48)+SUM(CS$37:CS$48)+SUM(CU$37:CU$48)</f>
        <v>558398.10600037989</v>
      </c>
    </row>
    <row r="134" spans="2:15">
      <c r="C134" s="105" t="s">
        <v>129</v>
      </c>
      <c r="D134" s="106">
        <f>SUM(E$49:E$70)+SUM(G$49:G$70)+SUM(I$49:I$70)+SUM(K$49:K$70)</f>
        <v>473693.46071997762</v>
      </c>
      <c r="E134" s="106">
        <f>SUM(M$49:M$70)+SUM(O$49:O$70)+SUM(Q$49:Q$70)+SUM(S$49:S$70)</f>
        <v>581829.4610277008</v>
      </c>
      <c r="F134" s="106">
        <f>SUM(U$49:U$70)+SUM(W$49:W$70)+SUM(Y$49:Y$70)+SUM(AA$49:AA$70)</f>
        <v>575504.76998247649</v>
      </c>
      <c r="G134" s="106">
        <f>SUM(AC$49:AC$70)+SUM(AE$49:AE$70)+SUM(AG$49:AG$70)+SUM(AI$49:AI$70)</f>
        <v>671222.94909698307</v>
      </c>
      <c r="H134" s="106">
        <f>SUM(AK$49:AK$70)+SUM(AM$49:AM$70)+SUM(AO$49:AO$70)+SUM(AQ$49:AQ$70)</f>
        <v>498058.35311719228</v>
      </c>
      <c r="I134" s="106">
        <f>SUM(AS$49:AS$70)+SUM(AU$49:AU$70)+SUM(AW$49:AW$70)+SUM(AY$49:AY$70)</f>
        <v>239497.22095527523</v>
      </c>
      <c r="J134" s="106">
        <f>SUM(BA$49:BA$70)+SUM(BC$49:BC$70)+SUM(BE$49:BE$70)+SUM(BG$49:BG$70)</f>
        <v>596408.30311353062</v>
      </c>
      <c r="K134" s="106">
        <f>SUM(BI$49:BI$70)+SUM(BK$49:BK$70)+SUM(BM$49:BM$70)+SUM(BO$49:BO$70)</f>
        <v>525179.6083012037</v>
      </c>
      <c r="L134" s="106">
        <f>SUM(BQ$49:BQ$70)+SUM(BS$49:BS$70)+SUM(BU$49:BU$70)+SUM(BW$49:BW$70)</f>
        <v>382459.88934643049</v>
      </c>
      <c r="M134" s="106">
        <f>SUM(BY$49:BY$70)+SUM(CA$49:CA$70)+SUM(CC$49:CC$70)+SUM(CE$49:CE$70)</f>
        <v>516336.94469982514</v>
      </c>
      <c r="N134" s="106">
        <f>SUM(CG$49:CG$70)+SUM(CI$49:CI$70)+SUM(CK$49:CK$70)+SUM(CM$49:CM$70)</f>
        <v>586483.5153265585</v>
      </c>
      <c r="O134" s="106">
        <f>SUM(CO$49:CO$70)+SUM(CQ$49:CQ$70)+SUM(CS$49:CS$70)+SUM(CU$49:CU$70)</f>
        <v>496933.17959859467</v>
      </c>
    </row>
    <row r="135" spans="2:15">
      <c r="C135" s="105" t="s">
        <v>130</v>
      </c>
      <c r="D135" s="106">
        <f>SUM(E$71:E$86)+SUM(G$71:G$86)+SUM(I$71:I$86)+SUM(K$71:K$86)</f>
        <v>299276.40000000002</v>
      </c>
      <c r="E135" s="106">
        <f>SUM(M$71:M$86)+SUM(O$71:O$86)+SUM(Q$71:Q$86)+SUM(S$71:S$86)</f>
        <v>388189.20108460949</v>
      </c>
      <c r="F135" s="106">
        <f>SUM(U$71:U$86)+SUM(W$71:W$86)+SUM(Y$71:Y$86)+SUM(AA$71:AA$86)</f>
        <v>316556.57152116095</v>
      </c>
      <c r="G135" s="106">
        <f>SUM(AC$71:AC$86)+SUM(AE$71:AE$86)+SUM(AG$71:AG$86)+SUM(AI$71:AI$86)</f>
        <v>374830.9898287541</v>
      </c>
      <c r="H135" s="106">
        <f>SUM(AK$71:AK$86)+SUM(AM$71:AM$86)+SUM(AO$71:AO$86)+SUM(AQ$71:AQ$86)</f>
        <v>283193.63273655577</v>
      </c>
      <c r="I135" s="106">
        <f>SUM(AS$71:AS$86)+SUM(AU$71:AU$86)+SUM(AW$71:AW$86)+SUM(AY$71:AY$86)</f>
        <v>281032.91845439083</v>
      </c>
      <c r="J135" s="106">
        <f>SUM(BA$71:BA$86)+SUM(BC$71:BC$86)+SUM(BE$71:BE$86)+SUM(BG$71:BG$86)</f>
        <v>307780.03545938636</v>
      </c>
      <c r="K135" s="106">
        <f>SUM(BI$71:BI$86)+SUM(BK$71:BK$86)+SUM(BM$71:BM$86)+SUM(BO$71:BO$86)</f>
        <v>363751.19999999995</v>
      </c>
      <c r="L135" s="106">
        <f>SUM(BQ$71:BQ$86)+SUM(BS$71:BS$86)+SUM(BU$71:BU$86)+SUM(BW$71:BW$86)</f>
        <v>343931.59104514762</v>
      </c>
      <c r="M135" s="106">
        <f>SUM(BY$71:BY$86)+SUM(CA$71:CA$86)+SUM(CC$71:CC$86)+SUM(CE$71:CE$86)</f>
        <v>342515.70001867507</v>
      </c>
      <c r="N135" s="106">
        <f>SUM(CG$71:CG$86)+SUM(CI$71:CI$86)+SUM(CK$71:CK$86)+SUM(CM$71:CM$86)</f>
        <v>373638.10431805358</v>
      </c>
      <c r="O135" s="106">
        <f>SUM(CO$71:CO$86)+SUM(CQ$71:CQ$86)+SUM(CS$71:CS$86)+SUM(CU$71:CU$86)</f>
        <v>394856.23255855788</v>
      </c>
    </row>
    <row r="136" spans="2:15">
      <c r="C136" s="105" t="s">
        <v>131</v>
      </c>
      <c r="D136" s="106">
        <f>SUM(E$87:E$94)+SUM(G$87:G$94)+SUM(I$87:I$94)+SUM(K$87:K$94)</f>
        <v>243265.05543051189</v>
      </c>
      <c r="E136" s="106">
        <f>SUM(M$87:M$94)+SUM(O$87:O$94)+SUM(Q$87:Q$94)+SUM(S$87:S$94)</f>
        <v>176634.79389661504</v>
      </c>
      <c r="F136" s="106">
        <f>SUM(U$87:U$94)+SUM(W$87:W$94)+SUM(Y$87:Y$94)+SUM(AA$87:AA$94)</f>
        <v>183541.02619506264</v>
      </c>
      <c r="G136" s="106">
        <f>SUM(AC$87:AC$94)+SUM(AE$87:AE$94)+SUM(AG$87:AG$94)+SUM(AI$87:AI$94)</f>
        <v>202007.14005962072</v>
      </c>
      <c r="H136" s="106">
        <f>SUM(AK$87:AK$94)+SUM(AM$87:AM$94)+SUM(AO$87:AO$94)+SUM(AQ$87:AQ$94)</f>
        <v>239589.06888143579</v>
      </c>
      <c r="I136" s="106">
        <f>SUM(AS$87:AS$94)+SUM(AU$87:AU$94)+SUM(AW$87:AW$94)+SUM(AY$87:AY$94)</f>
        <v>215619.30756431128</v>
      </c>
      <c r="J136" s="106">
        <f>SUM(BA$87:BA$94)+SUM(BC$87:BC$94)+SUM(BE$87:BE$94)+SUM(BG$87:BG$94)</f>
        <v>188769.37434271057</v>
      </c>
      <c r="K136" s="106">
        <f>SUM(BI$87:BI$94)+SUM(BK$87:BK$94)+SUM(BM$87:BM$94)+SUM(BO$87:BO$94)</f>
        <v>174443.02301260227</v>
      </c>
      <c r="L136" s="106">
        <f>SUM(BQ$87:BQ$94)+SUM(BS$87:BS$94)+SUM(BU$87:BU$94)+SUM(BW$87:BW$94)</f>
        <v>140709.92615192081</v>
      </c>
      <c r="M136" s="106">
        <f>SUM(BY$87:BY$94)+SUM(CA$87:CA$94)+SUM(CC$87:CC$94)+SUM(CE$87:CE$94)</f>
        <v>159744.37905636948</v>
      </c>
      <c r="N136" s="106">
        <f>SUM(CG$87:CG$94)+SUM(CI$87:CI$94)+SUM(CK$87:CK$94)+SUM(CM$87:CM$94)</f>
        <v>266786.74140902294</v>
      </c>
      <c r="O136" s="106">
        <f>SUM(CO$87:CO$94)+SUM(CQ$87:CQ$94)+SUM(CS$87:CS$94)+SUM(CU$87:CU$94)</f>
        <v>205215.19386259094</v>
      </c>
    </row>
    <row r="137" spans="2:15">
      <c r="C137" s="105" t="s">
        <v>132</v>
      </c>
      <c r="D137" s="106">
        <f>SUM(E$95:E$105)+SUM(G$95:G$105)+SUM(I$95:I$105)+SUM(K$95:K$105)</f>
        <v>317347.55536956829</v>
      </c>
      <c r="E137" s="106">
        <f>SUM(M$95:M$105)+SUM(O$95:O$105)+SUM(Q$95:Q$105)+SUM(S$95:S$105)</f>
        <v>235975.34679118995</v>
      </c>
      <c r="F137" s="106">
        <f>SUM(U$95:U$105)+SUM(W$95:W$105)+SUM(Y$95:Y$105)+SUM(AA$95:AA$105)</f>
        <v>201393.1471559084</v>
      </c>
      <c r="G137" s="106">
        <f>SUM(AC$95:AC$105)+SUM(AE$95:AE$105)+SUM(AG$95:AG$105)+SUM(AI$95:AI$105)</f>
        <v>274313.27311402152</v>
      </c>
      <c r="H137" s="106">
        <f>SUM(AK$95:AK$105)+SUM(AM$95:AM$105)+SUM(AO$95:AO$105)+SUM(AQ$95:AQ$105)</f>
        <v>253061.8774663418</v>
      </c>
      <c r="I137" s="106">
        <f>SUM(AS$95:AS$105)+SUM(AU$95:AU$105)+SUM(AW$95:AW$105)+SUM(AY$95:AY$105)</f>
        <v>279073.12190527772</v>
      </c>
      <c r="J137" s="106">
        <f>SUM(BA$95:BA$105)+SUM(BC$95:BC$105)+SUM(BE$95:BE$105)+SUM(BG$95:BG$105)</f>
        <v>304352.69968060846</v>
      </c>
      <c r="K137" s="106">
        <f>SUM(BI$95:BI$105)+SUM(BK$95:BK$105)+SUM(BM$95:BM$105)+SUM(BO$95:BO$105)</f>
        <v>319289.59400324652</v>
      </c>
      <c r="L137" s="106">
        <f>SUM(BQ$95:BQ$105)+SUM(BS$95:BS$105)+SUM(BU$95:BU$105)+SUM(BW$95:BW$105)</f>
        <v>235026.3771942404</v>
      </c>
      <c r="M137" s="106">
        <f>SUM(BY$95:BY$105)+SUM(CA$95:CA$105)+SUM(CC$95:CC$105)+SUM(CE$95:CE$105)</f>
        <v>220630.05780350551</v>
      </c>
      <c r="N137" s="106">
        <f>SUM(CG$95:CG$105)+SUM(CI$95:CI$105)+SUM(CK$95:CK$105)+SUM(CM$95:CM$105)</f>
        <v>340684.42571100453</v>
      </c>
      <c r="O137" s="106">
        <f>SUM(CO$95:CO$105)+SUM(CQ$95:CQ$105)+SUM(CS$95:CS$105)+SUM(CU$95:CU$105)</f>
        <v>195219.51183570304</v>
      </c>
    </row>
    <row r="138" spans="2:15">
      <c r="C138" s="105" t="s">
        <v>278</v>
      </c>
      <c r="D138" s="100">
        <f t="shared" ref="D138:O138" si="2">SUM(D$131:D$137)</f>
        <v>2648303.6715200581</v>
      </c>
      <c r="E138" s="100">
        <f t="shared" si="2"/>
        <v>2735244.8028001157</v>
      </c>
      <c r="F138" s="100">
        <f t="shared" si="2"/>
        <v>2551054.7148546088</v>
      </c>
      <c r="G138" s="100">
        <f t="shared" si="2"/>
        <v>2741399.7444887194</v>
      </c>
      <c r="H138" s="100">
        <f t="shared" si="2"/>
        <v>2249485.0394523242</v>
      </c>
      <c r="I138" s="100">
        <f t="shared" si="2"/>
        <v>1363941.0180144159</v>
      </c>
      <c r="J138" s="100">
        <f t="shared" si="2"/>
        <v>2670790.0125962356</v>
      </c>
      <c r="K138" s="100">
        <f t="shared" si="2"/>
        <v>2516917.8825335368</v>
      </c>
      <c r="L138" s="100">
        <f t="shared" si="2"/>
        <v>2039678.0881818356</v>
      </c>
      <c r="M138" s="100">
        <f t="shared" si="2"/>
        <v>2659214.6815783754</v>
      </c>
      <c r="N138" s="100">
        <f t="shared" si="2"/>
        <v>2735516.3888387107</v>
      </c>
      <c r="O138" s="100">
        <f t="shared" si="2"/>
        <v>2666368.5771214389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1.6145248172869948</v>
      </c>
      <c r="E6" s="100">
        <v>933.84115431879775</v>
      </c>
      <c r="F6" s="100">
        <v>9</v>
      </c>
      <c r="G6" s="100">
        <v>5205.5999999999995</v>
      </c>
      <c r="H6" s="100">
        <v>6</v>
      </c>
      <c r="I6" s="100">
        <v>3470.3999999999996</v>
      </c>
      <c r="J6" s="100">
        <v>5</v>
      </c>
      <c r="K6" s="100">
        <v>2892</v>
      </c>
      <c r="L6" s="100">
        <v>7</v>
      </c>
      <c r="M6" s="100">
        <v>4048.7999999999997</v>
      </c>
      <c r="N6" s="100">
        <v>8</v>
      </c>
      <c r="O6" s="100">
        <v>4627.2</v>
      </c>
      <c r="P6" s="100">
        <v>5</v>
      </c>
      <c r="Q6" s="100">
        <v>2892</v>
      </c>
      <c r="R6" s="100">
        <v>5</v>
      </c>
      <c r="S6" s="100">
        <v>2892</v>
      </c>
      <c r="T6" s="100">
        <v>10</v>
      </c>
      <c r="U6" s="100">
        <v>5784</v>
      </c>
      <c r="V6" s="100">
        <v>5</v>
      </c>
      <c r="W6" s="100">
        <v>2892</v>
      </c>
      <c r="X6" s="100">
        <v>9</v>
      </c>
      <c r="Y6" s="100">
        <v>5205.5999999999995</v>
      </c>
      <c r="Z6" s="100">
        <v>7</v>
      </c>
      <c r="AA6" s="100">
        <v>4048.7999999999997</v>
      </c>
      <c r="AB6" s="100">
        <v>7</v>
      </c>
      <c r="AC6" s="100">
        <v>4048.7999999999997</v>
      </c>
      <c r="AD6" s="100">
        <v>7</v>
      </c>
      <c r="AE6" s="100">
        <v>4048.7999999999997</v>
      </c>
      <c r="AF6" s="100">
        <v>6.0040544348557425</v>
      </c>
      <c r="AG6" s="100">
        <v>3472.7450851205613</v>
      </c>
      <c r="AH6" s="100">
        <v>5</v>
      </c>
      <c r="AI6" s="100">
        <v>2892</v>
      </c>
      <c r="AJ6" s="100">
        <v>8.1151833615806641</v>
      </c>
      <c r="AK6" s="100">
        <v>4693.8220563382556</v>
      </c>
      <c r="AL6" s="100">
        <v>5</v>
      </c>
      <c r="AM6" s="100">
        <v>2892</v>
      </c>
      <c r="AN6" s="100">
        <v>9</v>
      </c>
      <c r="AO6" s="100">
        <v>5205.5999999999995</v>
      </c>
      <c r="AP6" s="100">
        <v>9</v>
      </c>
      <c r="AQ6" s="100">
        <v>5205.5999999999995</v>
      </c>
      <c r="AR6" s="100">
        <v>3.4342056586789291</v>
      </c>
      <c r="AS6" s="100">
        <v>1986.3445529798926</v>
      </c>
      <c r="AT6" s="100">
        <v>7.6134053764893828E-4</v>
      </c>
      <c r="AU6" s="100">
        <v>0.44035936697614586</v>
      </c>
      <c r="AV6" s="100">
        <v>5.8686372275873889E-4</v>
      </c>
      <c r="AW6" s="100">
        <v>0.33944197724365455</v>
      </c>
      <c r="AX6" s="100">
        <v>6.2541927762090879</v>
      </c>
      <c r="AY6" s="100">
        <v>3617.4251017593365</v>
      </c>
      <c r="AZ6" s="100">
        <v>0.55601948432054416</v>
      </c>
      <c r="BA6" s="100">
        <v>321.60166973100274</v>
      </c>
      <c r="BB6" s="100">
        <v>8</v>
      </c>
      <c r="BC6" s="100">
        <v>4627.2</v>
      </c>
      <c r="BD6" s="100">
        <v>4.8822670962029617</v>
      </c>
      <c r="BE6" s="100">
        <v>2823.9032884437929</v>
      </c>
      <c r="BF6" s="100">
        <v>6.7087800654931877</v>
      </c>
      <c r="BG6" s="100">
        <v>3880.3583898812594</v>
      </c>
      <c r="BH6" s="100">
        <v>9</v>
      </c>
      <c r="BI6" s="100">
        <v>5205.5999999999995</v>
      </c>
      <c r="BJ6" s="100">
        <v>5</v>
      </c>
      <c r="BK6" s="100">
        <v>2892</v>
      </c>
      <c r="BL6" s="100">
        <v>7</v>
      </c>
      <c r="BM6" s="100">
        <v>4048.7999999999997</v>
      </c>
      <c r="BN6" s="100">
        <v>5.3866331048205494</v>
      </c>
      <c r="BO6" s="100">
        <v>3115.6285878282056</v>
      </c>
      <c r="BP6" s="100">
        <v>3.5998966749119883E-4</v>
      </c>
      <c r="BQ6" s="100">
        <v>0.20821802367690939</v>
      </c>
      <c r="BR6" s="100">
        <v>6</v>
      </c>
      <c r="BS6" s="100">
        <v>3470.3999999999996</v>
      </c>
      <c r="BT6" s="100">
        <v>7.2235553784167745</v>
      </c>
      <c r="BU6" s="100">
        <v>4178.1044308762621</v>
      </c>
      <c r="BV6" s="100">
        <v>5.9974149059577799</v>
      </c>
      <c r="BW6" s="100">
        <v>3468.9047816059797</v>
      </c>
      <c r="BX6" s="100">
        <v>5.2860820438534477E-4</v>
      </c>
      <c r="BY6" s="100">
        <v>0.30574698541648337</v>
      </c>
      <c r="BZ6" s="100">
        <v>8</v>
      </c>
      <c r="CA6" s="100">
        <v>4627.2</v>
      </c>
      <c r="CB6" s="100">
        <v>6</v>
      </c>
      <c r="CC6" s="100">
        <v>3470.3999999999996</v>
      </c>
      <c r="CD6" s="100">
        <v>8</v>
      </c>
      <c r="CE6" s="100">
        <v>4627.2</v>
      </c>
      <c r="CF6" s="100">
        <v>6</v>
      </c>
      <c r="CG6" s="100">
        <v>3470.3999999999996</v>
      </c>
      <c r="CH6" s="100">
        <v>5</v>
      </c>
      <c r="CI6" s="100">
        <v>2892</v>
      </c>
      <c r="CJ6" s="100">
        <v>8.4090739454222003</v>
      </c>
      <c r="CK6" s="100">
        <v>4863.8083700322004</v>
      </c>
      <c r="CL6" s="100">
        <v>5.7989250061172672</v>
      </c>
      <c r="CM6" s="100">
        <v>3354.0982235382271</v>
      </c>
      <c r="CN6" s="100">
        <v>7</v>
      </c>
      <c r="CO6" s="100">
        <v>4048.7999999999997</v>
      </c>
      <c r="CP6" s="100">
        <v>10.212332221988929</v>
      </c>
      <c r="CQ6" s="100">
        <v>5906.8129571983964</v>
      </c>
      <c r="CR6" s="100">
        <v>9.3947678524865275</v>
      </c>
      <c r="CS6" s="100">
        <v>5433.933725878207</v>
      </c>
      <c r="CT6" s="100">
        <v>7.4713815234243102</v>
      </c>
      <c r="CU6" s="100">
        <v>4321.4470731486208</v>
      </c>
    </row>
    <row r="7" spans="1:99">
      <c r="C7" s="99" t="s">
        <v>173</v>
      </c>
      <c r="D7" s="100">
        <v>1.8451712197565657</v>
      </c>
      <c r="E7" s="100">
        <v>1454.7329896560764</v>
      </c>
      <c r="F7" s="100">
        <v>9</v>
      </c>
      <c r="G7" s="100">
        <v>7095.5999999999995</v>
      </c>
      <c r="H7" s="100">
        <v>6</v>
      </c>
      <c r="I7" s="100">
        <v>4730.3999999999996</v>
      </c>
      <c r="J7" s="100">
        <v>5</v>
      </c>
      <c r="K7" s="100">
        <v>3942</v>
      </c>
      <c r="L7" s="100">
        <v>6</v>
      </c>
      <c r="M7" s="100">
        <v>4730.3999999999996</v>
      </c>
      <c r="N7" s="100">
        <v>9</v>
      </c>
      <c r="O7" s="100">
        <v>7095.5999999999995</v>
      </c>
      <c r="P7" s="100">
        <v>5</v>
      </c>
      <c r="Q7" s="100">
        <v>3942</v>
      </c>
      <c r="R7" s="100">
        <v>5</v>
      </c>
      <c r="S7" s="100">
        <v>3942</v>
      </c>
      <c r="T7" s="100">
        <v>9</v>
      </c>
      <c r="U7" s="100">
        <v>7095.5999999999995</v>
      </c>
      <c r="V7" s="100">
        <v>5</v>
      </c>
      <c r="W7" s="100">
        <v>3942</v>
      </c>
      <c r="X7" s="100">
        <v>8</v>
      </c>
      <c r="Y7" s="100">
        <v>6307.2</v>
      </c>
      <c r="Z7" s="100">
        <v>7</v>
      </c>
      <c r="AA7" s="100">
        <v>5518.8</v>
      </c>
      <c r="AB7" s="100">
        <v>7</v>
      </c>
      <c r="AC7" s="100">
        <v>5518.8</v>
      </c>
      <c r="AD7" s="100">
        <v>6</v>
      </c>
      <c r="AE7" s="100">
        <v>4730.3999999999996</v>
      </c>
      <c r="AF7" s="100">
        <v>6.0040544348557425</v>
      </c>
      <c r="AG7" s="100">
        <v>4733.5965164402669</v>
      </c>
      <c r="AH7" s="100">
        <v>6</v>
      </c>
      <c r="AI7" s="100">
        <v>4730.3999999999996</v>
      </c>
      <c r="AJ7" s="100">
        <v>9.1151833615806641</v>
      </c>
      <c r="AK7" s="100">
        <v>7186.4105622701954</v>
      </c>
      <c r="AL7" s="100">
        <v>6</v>
      </c>
      <c r="AM7" s="100">
        <v>4730.3999999999996</v>
      </c>
      <c r="AN7" s="100">
        <v>9</v>
      </c>
      <c r="AO7" s="100">
        <v>7095.5999999999995</v>
      </c>
      <c r="AP7" s="100">
        <v>9</v>
      </c>
      <c r="AQ7" s="100">
        <v>7095.5999999999995</v>
      </c>
      <c r="AR7" s="100">
        <v>3.4342056586789291</v>
      </c>
      <c r="AS7" s="100">
        <v>2707.5277413024678</v>
      </c>
      <c r="AT7" s="100">
        <v>7.6133991890043869E-4</v>
      </c>
      <c r="AU7" s="100">
        <v>0.6002403920611058</v>
      </c>
      <c r="AV7" s="100">
        <v>6.8467434321852871E-4</v>
      </c>
      <c r="AW7" s="100">
        <v>0.53979725219348806</v>
      </c>
      <c r="AX7" s="100">
        <v>6.2178795224649326</v>
      </c>
      <c r="AY7" s="100">
        <v>4902.1762155113529</v>
      </c>
      <c r="AZ7" s="100">
        <v>0.47658812941760925</v>
      </c>
      <c r="BA7" s="100">
        <v>375.74208123284313</v>
      </c>
      <c r="BB7" s="100">
        <v>9</v>
      </c>
      <c r="BC7" s="100">
        <v>7095.5999999999995</v>
      </c>
      <c r="BD7" s="100">
        <v>5.8587205154435544</v>
      </c>
      <c r="BE7" s="100">
        <v>4619.0152543756985</v>
      </c>
      <c r="BF7" s="100">
        <v>7.6671772177065005</v>
      </c>
      <c r="BG7" s="100">
        <v>6044.8025184398048</v>
      </c>
      <c r="BH7" s="100">
        <v>9</v>
      </c>
      <c r="BI7" s="100">
        <v>7095.5999999999995</v>
      </c>
      <c r="BJ7" s="100">
        <v>5</v>
      </c>
      <c r="BK7" s="100">
        <v>3942</v>
      </c>
      <c r="BL7" s="100">
        <v>8</v>
      </c>
      <c r="BM7" s="100">
        <v>6307.2</v>
      </c>
      <c r="BN7" s="100">
        <v>5.435389401141661</v>
      </c>
      <c r="BO7" s="100">
        <v>4285.2610038600851</v>
      </c>
      <c r="BP7" s="100">
        <v>4.3198760098943855E-4</v>
      </c>
      <c r="BQ7" s="100">
        <v>0.34057902462007333</v>
      </c>
      <c r="BR7" s="100">
        <v>5</v>
      </c>
      <c r="BS7" s="100">
        <v>3942</v>
      </c>
      <c r="BT7" s="100">
        <v>7.2235553784167745</v>
      </c>
      <c r="BU7" s="100">
        <v>5695.0510603437851</v>
      </c>
      <c r="BV7" s="100">
        <v>5.9974149059577799</v>
      </c>
      <c r="BW7" s="100">
        <v>4728.3619118571132</v>
      </c>
      <c r="BX7" s="100">
        <v>5.2860820438534477E-4</v>
      </c>
      <c r="BY7" s="100">
        <v>0.4167547083374058</v>
      </c>
      <c r="BZ7" s="100">
        <v>7</v>
      </c>
      <c r="CA7" s="100">
        <v>5518.8</v>
      </c>
      <c r="CB7" s="100">
        <v>6</v>
      </c>
      <c r="CC7" s="100">
        <v>4730.3999999999996</v>
      </c>
      <c r="CD7" s="100">
        <v>8</v>
      </c>
      <c r="CE7" s="100">
        <v>6307.2</v>
      </c>
      <c r="CF7" s="100">
        <v>5</v>
      </c>
      <c r="CG7" s="100">
        <v>3942</v>
      </c>
      <c r="CH7" s="100">
        <v>6</v>
      </c>
      <c r="CI7" s="100">
        <v>4730.3999999999996</v>
      </c>
      <c r="CJ7" s="100">
        <v>7.4090739454222012</v>
      </c>
      <c r="CK7" s="100">
        <v>5841.3138985708629</v>
      </c>
      <c r="CL7" s="100">
        <v>4.8324375050977224</v>
      </c>
      <c r="CM7" s="100">
        <v>3809.8937290190443</v>
      </c>
      <c r="CN7" s="100">
        <v>9</v>
      </c>
      <c r="CO7" s="100">
        <v>7095.5999999999995</v>
      </c>
      <c r="CP7" s="100">
        <v>11.212332221988929</v>
      </c>
      <c r="CQ7" s="100">
        <v>8839.8027238160703</v>
      </c>
      <c r="CR7" s="100">
        <v>8.358879865896844</v>
      </c>
      <c r="CS7" s="100">
        <v>6590.1408862730714</v>
      </c>
      <c r="CT7" s="100">
        <v>7.4713815234243102</v>
      </c>
      <c r="CU7" s="100">
        <v>5890.4371930677262</v>
      </c>
    </row>
    <row r="8" spans="1:99">
      <c r="C8" s="99" t="s">
        <v>174</v>
      </c>
      <c r="D8" s="100">
        <v>1.8451712197565657</v>
      </c>
      <c r="E8" s="100">
        <v>571.26500963663273</v>
      </c>
      <c r="F8" s="100">
        <v>8</v>
      </c>
      <c r="G8" s="100">
        <v>2476.7999999999997</v>
      </c>
      <c r="H8" s="100">
        <v>5</v>
      </c>
      <c r="I8" s="100">
        <v>1547.9999999999998</v>
      </c>
      <c r="J8" s="100">
        <v>4</v>
      </c>
      <c r="K8" s="100">
        <v>1238.3999999999999</v>
      </c>
      <c r="L8" s="100">
        <v>6</v>
      </c>
      <c r="M8" s="100">
        <v>1857.6</v>
      </c>
      <c r="N8" s="100">
        <v>10</v>
      </c>
      <c r="O8" s="100">
        <v>3095.9999999999995</v>
      </c>
      <c r="P8" s="100">
        <v>5</v>
      </c>
      <c r="Q8" s="100">
        <v>1547.9999999999998</v>
      </c>
      <c r="R8" s="100">
        <v>6</v>
      </c>
      <c r="S8" s="100">
        <v>1857.6</v>
      </c>
      <c r="T8" s="100">
        <v>9</v>
      </c>
      <c r="U8" s="100">
        <v>2786.3999999999996</v>
      </c>
      <c r="V8" s="100">
        <v>5</v>
      </c>
      <c r="W8" s="100">
        <v>1547.9999999999998</v>
      </c>
      <c r="X8" s="100">
        <v>8</v>
      </c>
      <c r="Y8" s="100">
        <v>2476.7999999999997</v>
      </c>
      <c r="Z8" s="100">
        <v>7</v>
      </c>
      <c r="AA8" s="100">
        <v>2167.1999999999998</v>
      </c>
      <c r="AB8" s="100">
        <v>7</v>
      </c>
      <c r="AC8" s="100">
        <v>2167.1999999999998</v>
      </c>
      <c r="AD8" s="100">
        <v>7</v>
      </c>
      <c r="AE8" s="100">
        <v>2167.1999999999998</v>
      </c>
      <c r="AF8" s="100">
        <v>6.0045612392127108</v>
      </c>
      <c r="AG8" s="100">
        <v>1859.0121596602551</v>
      </c>
      <c r="AH8" s="100">
        <v>5</v>
      </c>
      <c r="AI8" s="100">
        <v>1547.9999999999998</v>
      </c>
      <c r="AJ8" s="100">
        <v>9.1151833615806641</v>
      </c>
      <c r="AK8" s="100">
        <v>2822.0607687453735</v>
      </c>
      <c r="AL8" s="100">
        <v>6</v>
      </c>
      <c r="AM8" s="100">
        <v>1857.6</v>
      </c>
      <c r="AN8" s="100">
        <v>9</v>
      </c>
      <c r="AO8" s="100">
        <v>2786.3999999999996</v>
      </c>
      <c r="AP8" s="100">
        <v>10</v>
      </c>
      <c r="AQ8" s="100">
        <v>3095.9999999999995</v>
      </c>
      <c r="AR8" s="100">
        <v>3.4342056586789291</v>
      </c>
      <c r="AS8" s="100">
        <v>1063.2300719269963</v>
      </c>
      <c r="AT8" s="100">
        <v>7.6134053764893828E-4</v>
      </c>
      <c r="AU8" s="100">
        <v>0.23571103045611128</v>
      </c>
      <c r="AV8" s="100">
        <v>6.8467434321852871E-4</v>
      </c>
      <c r="AW8" s="100">
        <v>0.21197517666045645</v>
      </c>
      <c r="AX8" s="100">
        <v>6.2178795224649326</v>
      </c>
      <c r="AY8" s="100">
        <v>1925.0555001551429</v>
      </c>
      <c r="AZ8" s="100">
        <v>0.47658812941760925</v>
      </c>
      <c r="BA8" s="100">
        <v>147.55168486769182</v>
      </c>
      <c r="BB8" s="100">
        <v>9</v>
      </c>
      <c r="BC8" s="100">
        <v>2786.3999999999996</v>
      </c>
      <c r="BD8" s="100">
        <v>4.8822670962029617</v>
      </c>
      <c r="BE8" s="100">
        <v>1511.5498929844368</v>
      </c>
      <c r="BF8" s="100">
        <v>7.6671772177065005</v>
      </c>
      <c r="BG8" s="100">
        <v>2373.7580666019321</v>
      </c>
      <c r="BH8" s="100">
        <v>10</v>
      </c>
      <c r="BI8" s="100">
        <v>3095.9999999999995</v>
      </c>
      <c r="BJ8" s="100">
        <v>5</v>
      </c>
      <c r="BK8" s="100">
        <v>1547.9999999999998</v>
      </c>
      <c r="BL8" s="100">
        <v>8</v>
      </c>
      <c r="BM8" s="100">
        <v>2476.7999999999997</v>
      </c>
      <c r="BN8" s="100">
        <v>5.3866331048205494</v>
      </c>
      <c r="BO8" s="100">
        <v>1667.7016092524418</v>
      </c>
      <c r="BP8" s="100">
        <v>3.5998966749119883E-4</v>
      </c>
      <c r="BQ8" s="100">
        <v>0.11145280105527515</v>
      </c>
      <c r="BR8" s="100">
        <v>6</v>
      </c>
      <c r="BS8" s="100">
        <v>1857.6</v>
      </c>
      <c r="BT8" s="100">
        <v>6.2235553784167745</v>
      </c>
      <c r="BU8" s="100">
        <v>1926.8127451578332</v>
      </c>
      <c r="BV8" s="100">
        <v>5.9974149059577799</v>
      </c>
      <c r="BW8" s="100">
        <v>1856.7996548845285</v>
      </c>
      <c r="BX8" s="100">
        <v>5.2860820438534477E-4</v>
      </c>
      <c r="BY8" s="100">
        <v>0.16365710007770273</v>
      </c>
      <c r="BZ8" s="100">
        <v>8</v>
      </c>
      <c r="CA8" s="100">
        <v>2476.7999999999997</v>
      </c>
      <c r="CB8" s="100">
        <v>6</v>
      </c>
      <c r="CC8" s="100">
        <v>1857.6</v>
      </c>
      <c r="CD8" s="100">
        <v>9</v>
      </c>
      <c r="CE8" s="100">
        <v>2786.3999999999996</v>
      </c>
      <c r="CF8" s="100">
        <v>5</v>
      </c>
      <c r="CG8" s="100">
        <v>1547.9999999999998</v>
      </c>
      <c r="CH8" s="100">
        <v>5</v>
      </c>
      <c r="CI8" s="100">
        <v>1547.9999999999998</v>
      </c>
      <c r="CJ8" s="100">
        <v>8.4090739454222003</v>
      </c>
      <c r="CK8" s="100">
        <v>2603.4492935027129</v>
      </c>
      <c r="CL8" s="100">
        <v>5.7989250061172672</v>
      </c>
      <c r="CM8" s="100">
        <v>1795.3471818939058</v>
      </c>
      <c r="CN8" s="100">
        <v>8</v>
      </c>
      <c r="CO8" s="100">
        <v>2476.7999999999997</v>
      </c>
      <c r="CP8" s="100">
        <v>11.212332221988929</v>
      </c>
      <c r="CQ8" s="100">
        <v>3471.3380559277721</v>
      </c>
      <c r="CR8" s="100">
        <v>10.394767852486527</v>
      </c>
      <c r="CS8" s="100">
        <v>3218.2201271298286</v>
      </c>
      <c r="CT8" s="100">
        <v>7.4713815234243102</v>
      </c>
      <c r="CU8" s="100">
        <v>2313.1397196521661</v>
      </c>
    </row>
    <row r="9" spans="1:99">
      <c r="C9" s="99" t="s">
        <v>175</v>
      </c>
      <c r="D9" s="100">
        <v>1.6145248172869948</v>
      </c>
      <c r="E9" s="100">
        <v>1133.3964217354703</v>
      </c>
      <c r="F9" s="100">
        <v>8</v>
      </c>
      <c r="G9" s="100">
        <v>5616</v>
      </c>
      <c r="H9" s="100">
        <v>6</v>
      </c>
      <c r="I9" s="100">
        <v>4212</v>
      </c>
      <c r="J9" s="100">
        <v>5</v>
      </c>
      <c r="K9" s="100">
        <v>3510</v>
      </c>
      <c r="L9" s="100">
        <v>6</v>
      </c>
      <c r="M9" s="100">
        <v>4212</v>
      </c>
      <c r="N9" s="100">
        <v>8</v>
      </c>
      <c r="O9" s="100">
        <v>5616</v>
      </c>
      <c r="P9" s="100">
        <v>5</v>
      </c>
      <c r="Q9" s="100">
        <v>3510</v>
      </c>
      <c r="R9" s="100">
        <v>5</v>
      </c>
      <c r="S9" s="100">
        <v>3510</v>
      </c>
      <c r="T9" s="100">
        <v>8</v>
      </c>
      <c r="U9" s="100">
        <v>5616</v>
      </c>
      <c r="V9" s="100">
        <v>6</v>
      </c>
      <c r="W9" s="100">
        <v>4212</v>
      </c>
      <c r="X9" s="100">
        <v>9</v>
      </c>
      <c r="Y9" s="100">
        <v>6318</v>
      </c>
      <c r="Z9" s="100">
        <v>6</v>
      </c>
      <c r="AA9" s="100">
        <v>4212</v>
      </c>
      <c r="AB9" s="100">
        <v>7</v>
      </c>
      <c r="AC9" s="100">
        <v>4914</v>
      </c>
      <c r="AD9" s="100">
        <v>7</v>
      </c>
      <c r="AE9" s="100">
        <v>4914</v>
      </c>
      <c r="AF9" s="100">
        <v>6.0040544348557425</v>
      </c>
      <c r="AG9" s="100">
        <v>4214.8462132687309</v>
      </c>
      <c r="AH9" s="100">
        <v>6</v>
      </c>
      <c r="AI9" s="100">
        <v>4212</v>
      </c>
      <c r="AJ9" s="100">
        <v>9.1151833615806641</v>
      </c>
      <c r="AK9" s="100">
        <v>6398.8587198296264</v>
      </c>
      <c r="AL9" s="100">
        <v>5</v>
      </c>
      <c r="AM9" s="100">
        <v>3510</v>
      </c>
      <c r="AN9" s="100">
        <v>8</v>
      </c>
      <c r="AO9" s="100">
        <v>5616</v>
      </c>
      <c r="AP9" s="100">
        <v>10</v>
      </c>
      <c r="AQ9" s="100">
        <v>7020</v>
      </c>
      <c r="AR9" s="100">
        <v>3.0049324428511315</v>
      </c>
      <c r="AS9" s="100">
        <v>2109.4625748814942</v>
      </c>
      <c r="AT9" s="100">
        <v>7.6133991890043869E-4</v>
      </c>
      <c r="AU9" s="100">
        <v>0.53446062306810793</v>
      </c>
      <c r="AV9" s="100">
        <v>5.8686372275873889E-4</v>
      </c>
      <c r="AW9" s="100">
        <v>0.4119783333766347</v>
      </c>
      <c r="AX9" s="100">
        <v>6.2178795224649326</v>
      </c>
      <c r="AY9" s="100">
        <v>4364.9514247703828</v>
      </c>
      <c r="AZ9" s="100">
        <v>0.47658812941760925</v>
      </c>
      <c r="BA9" s="100">
        <v>334.5648668511617</v>
      </c>
      <c r="BB9" s="100">
        <v>8</v>
      </c>
      <c r="BC9" s="100">
        <v>5616</v>
      </c>
      <c r="BD9" s="100">
        <v>5.8587205154435544</v>
      </c>
      <c r="BE9" s="100">
        <v>4112.8218018413754</v>
      </c>
      <c r="BF9" s="100">
        <v>7.6671772177065005</v>
      </c>
      <c r="BG9" s="100">
        <v>5382.3584068299633</v>
      </c>
      <c r="BH9" s="100">
        <v>9</v>
      </c>
      <c r="BI9" s="100">
        <v>6318</v>
      </c>
      <c r="BJ9" s="100">
        <v>5</v>
      </c>
      <c r="BK9" s="100">
        <v>3510</v>
      </c>
      <c r="BL9" s="100">
        <v>7</v>
      </c>
      <c r="BM9" s="100">
        <v>4914</v>
      </c>
      <c r="BN9" s="100">
        <v>6.3664471331424375</v>
      </c>
      <c r="BO9" s="100">
        <v>4469.2458874659915</v>
      </c>
      <c r="BP9" s="100">
        <v>4.3198760098943855E-4</v>
      </c>
      <c r="BQ9" s="100">
        <v>0.30325529589458589</v>
      </c>
      <c r="BR9" s="100">
        <v>6</v>
      </c>
      <c r="BS9" s="100">
        <v>4212</v>
      </c>
      <c r="BT9" s="100">
        <v>6.2235553784167745</v>
      </c>
      <c r="BU9" s="100">
        <v>4368.9358756485753</v>
      </c>
      <c r="BV9" s="100">
        <v>4.9978457549648159</v>
      </c>
      <c r="BW9" s="100">
        <v>3508.4877199853008</v>
      </c>
      <c r="BX9" s="100">
        <v>5.2860820438534477E-4</v>
      </c>
      <c r="BY9" s="100">
        <v>0.37108295947851205</v>
      </c>
      <c r="BZ9" s="100">
        <v>7</v>
      </c>
      <c r="CA9" s="100">
        <v>4914</v>
      </c>
      <c r="CB9" s="100">
        <v>7</v>
      </c>
      <c r="CC9" s="100">
        <v>4914</v>
      </c>
      <c r="CD9" s="100">
        <v>8</v>
      </c>
      <c r="CE9" s="100">
        <v>5616</v>
      </c>
      <c r="CF9" s="100">
        <v>6</v>
      </c>
      <c r="CG9" s="100">
        <v>4212</v>
      </c>
      <c r="CH9" s="100">
        <v>6</v>
      </c>
      <c r="CI9" s="100">
        <v>4212</v>
      </c>
      <c r="CJ9" s="100">
        <v>7.3636212848197342</v>
      </c>
      <c r="CK9" s="100">
        <v>5169.2621419434536</v>
      </c>
      <c r="CL9" s="100">
        <v>4.8324375050977224</v>
      </c>
      <c r="CM9" s="100">
        <v>3392.3711285786012</v>
      </c>
      <c r="CN9" s="100">
        <v>7</v>
      </c>
      <c r="CO9" s="100">
        <v>4914</v>
      </c>
      <c r="CP9" s="100">
        <v>10.233565444187821</v>
      </c>
      <c r="CQ9" s="100">
        <v>7183.9629418198501</v>
      </c>
      <c r="CR9" s="100">
        <v>9.3947678524865275</v>
      </c>
      <c r="CS9" s="100">
        <v>6595.1270324455427</v>
      </c>
      <c r="CT9" s="100">
        <v>7.4713815234243102</v>
      </c>
      <c r="CU9" s="100">
        <v>5244.9098294438654</v>
      </c>
    </row>
    <row r="10" spans="1:99">
      <c r="C10" s="99" t="s">
        <v>176</v>
      </c>
      <c r="D10" s="100">
        <v>1.6145248172869948</v>
      </c>
      <c r="E10" s="100">
        <v>879.59312045795468</v>
      </c>
      <c r="F10" s="100">
        <v>8</v>
      </c>
      <c r="G10" s="100">
        <v>4358.3999999999996</v>
      </c>
      <c r="H10" s="100">
        <v>5</v>
      </c>
      <c r="I10" s="100">
        <v>2724</v>
      </c>
      <c r="J10" s="100">
        <v>5</v>
      </c>
      <c r="K10" s="100">
        <v>2724</v>
      </c>
      <c r="L10" s="100">
        <v>6</v>
      </c>
      <c r="M10" s="100">
        <v>3268.7999999999997</v>
      </c>
      <c r="N10" s="100">
        <v>9</v>
      </c>
      <c r="O10" s="100">
        <v>4903.2</v>
      </c>
      <c r="P10" s="100">
        <v>6</v>
      </c>
      <c r="Q10" s="100">
        <v>3268.7999999999997</v>
      </c>
      <c r="R10" s="100">
        <v>5</v>
      </c>
      <c r="S10" s="100">
        <v>2724</v>
      </c>
      <c r="T10" s="100">
        <v>8</v>
      </c>
      <c r="U10" s="100">
        <v>4358.3999999999996</v>
      </c>
      <c r="V10" s="100">
        <v>5</v>
      </c>
      <c r="W10" s="100">
        <v>2724</v>
      </c>
      <c r="X10" s="100">
        <v>8</v>
      </c>
      <c r="Y10" s="100">
        <v>4358.3999999999996</v>
      </c>
      <c r="Z10" s="100">
        <v>6</v>
      </c>
      <c r="AA10" s="100">
        <v>3268.7999999999997</v>
      </c>
      <c r="AB10" s="100">
        <v>7</v>
      </c>
      <c r="AC10" s="100">
        <v>3813.5999999999995</v>
      </c>
      <c r="AD10" s="100">
        <v>7</v>
      </c>
      <c r="AE10" s="100">
        <v>3813.5999999999995</v>
      </c>
      <c r="AF10" s="100">
        <v>6.0040544348557425</v>
      </c>
      <c r="AG10" s="100">
        <v>3271.008856109408</v>
      </c>
      <c r="AH10" s="100">
        <v>6</v>
      </c>
      <c r="AI10" s="100">
        <v>3268.7999999999997</v>
      </c>
      <c r="AJ10" s="100">
        <v>8.1151833615806641</v>
      </c>
      <c r="AK10" s="100">
        <v>4421.1518953891455</v>
      </c>
      <c r="AL10" s="100">
        <v>5</v>
      </c>
      <c r="AM10" s="100">
        <v>2724</v>
      </c>
      <c r="AN10" s="100">
        <v>8</v>
      </c>
      <c r="AO10" s="100">
        <v>4358.3999999999996</v>
      </c>
      <c r="AP10" s="100">
        <v>10</v>
      </c>
      <c r="AQ10" s="100">
        <v>5448</v>
      </c>
      <c r="AR10" s="100">
        <v>3.0049324428511315</v>
      </c>
      <c r="AS10" s="100">
        <v>1637.0871948652964</v>
      </c>
      <c r="AT10" s="100">
        <v>6.5257822244758955E-4</v>
      </c>
      <c r="AU10" s="100">
        <v>0.35552461558944676</v>
      </c>
      <c r="AV10" s="100">
        <v>6.8467434321852871E-4</v>
      </c>
      <c r="AW10" s="100">
        <v>0.37301058218545441</v>
      </c>
      <c r="AX10" s="100">
        <v>7.2541927762090879</v>
      </c>
      <c r="AY10" s="100">
        <v>3952.0842244787109</v>
      </c>
      <c r="AZ10" s="100">
        <v>0.55601948432054416</v>
      </c>
      <c r="BA10" s="100">
        <v>302.91941505783245</v>
      </c>
      <c r="BB10" s="100">
        <v>9</v>
      </c>
      <c r="BC10" s="100">
        <v>4903.2</v>
      </c>
      <c r="BD10" s="100">
        <v>5.8587205154435544</v>
      </c>
      <c r="BE10" s="100">
        <v>3191.8309368136483</v>
      </c>
      <c r="BF10" s="100">
        <v>8.6255743699198124</v>
      </c>
      <c r="BG10" s="100">
        <v>4699.2129167323137</v>
      </c>
      <c r="BH10" s="100">
        <v>9</v>
      </c>
      <c r="BI10" s="100">
        <v>4903.2</v>
      </c>
      <c r="BJ10" s="100">
        <v>6</v>
      </c>
      <c r="BK10" s="100">
        <v>3268.7999999999997</v>
      </c>
      <c r="BL10" s="100">
        <v>7</v>
      </c>
      <c r="BM10" s="100">
        <v>3813.5999999999995</v>
      </c>
      <c r="BN10" s="100">
        <v>6.3664471331424375</v>
      </c>
      <c r="BO10" s="100">
        <v>3468.4403981359997</v>
      </c>
      <c r="BP10" s="100">
        <v>3.5998966749119883E-4</v>
      </c>
      <c r="BQ10" s="100">
        <v>0.19612237084920511</v>
      </c>
      <c r="BR10" s="100">
        <v>6</v>
      </c>
      <c r="BS10" s="100">
        <v>3268.7999999999997</v>
      </c>
      <c r="BT10" s="100">
        <v>6.2049257635487098</v>
      </c>
      <c r="BU10" s="100">
        <v>3380.4435559813369</v>
      </c>
      <c r="BV10" s="100">
        <v>4.9978457549648159</v>
      </c>
      <c r="BW10" s="100">
        <v>2722.8263673048314</v>
      </c>
      <c r="BX10" s="100">
        <v>5.2860820438534477E-4</v>
      </c>
      <c r="BY10" s="100">
        <v>0.28798574974913582</v>
      </c>
      <c r="BZ10" s="100">
        <v>7</v>
      </c>
      <c r="CA10" s="100">
        <v>3813.5999999999995</v>
      </c>
      <c r="CB10" s="100">
        <v>7</v>
      </c>
      <c r="CC10" s="100">
        <v>3813.5999999999995</v>
      </c>
      <c r="CD10" s="100">
        <v>8</v>
      </c>
      <c r="CE10" s="100">
        <v>4358.3999999999996</v>
      </c>
      <c r="CF10" s="100">
        <v>6</v>
      </c>
      <c r="CG10" s="100">
        <v>3268.7999999999997</v>
      </c>
      <c r="CH10" s="100">
        <v>5</v>
      </c>
      <c r="CI10" s="100">
        <v>2724</v>
      </c>
      <c r="CJ10" s="100">
        <v>8.4090739454222003</v>
      </c>
      <c r="CK10" s="100">
        <v>4581.2634854660146</v>
      </c>
      <c r="CL10" s="100">
        <v>5.7989250061172672</v>
      </c>
      <c r="CM10" s="100">
        <v>3159.2543433326869</v>
      </c>
      <c r="CN10" s="100">
        <v>8</v>
      </c>
      <c r="CO10" s="100">
        <v>4358.3999999999996</v>
      </c>
      <c r="CP10" s="100">
        <v>11.212332221988929</v>
      </c>
      <c r="CQ10" s="100">
        <v>6108.4785945395679</v>
      </c>
      <c r="CR10" s="100">
        <v>9.4306558390762127</v>
      </c>
      <c r="CS10" s="100">
        <v>5137.8213011287198</v>
      </c>
      <c r="CT10" s="100">
        <v>7.4713815234243102</v>
      </c>
      <c r="CU10" s="100">
        <v>4070.4086539615637</v>
      </c>
    </row>
    <row r="11" spans="1:99">
      <c r="C11" s="99" t="s">
        <v>177</v>
      </c>
      <c r="D11" s="100">
        <v>1.6145248172869948</v>
      </c>
      <c r="E11" s="100">
        <v>860.21882265051079</v>
      </c>
      <c r="F11" s="100">
        <v>9</v>
      </c>
      <c r="G11" s="100">
        <v>4795.2</v>
      </c>
      <c r="H11" s="100">
        <v>5</v>
      </c>
      <c r="I11" s="100">
        <v>2664</v>
      </c>
      <c r="J11" s="100">
        <v>4</v>
      </c>
      <c r="K11" s="100">
        <v>2131.1999999999998</v>
      </c>
      <c r="L11" s="100">
        <v>6</v>
      </c>
      <c r="M11" s="100">
        <v>3196.7999999999997</v>
      </c>
      <c r="N11" s="100">
        <v>8</v>
      </c>
      <c r="O11" s="100">
        <v>4262.3999999999996</v>
      </c>
      <c r="P11" s="100">
        <v>6</v>
      </c>
      <c r="Q11" s="100">
        <v>3196.7999999999997</v>
      </c>
      <c r="R11" s="100">
        <v>5</v>
      </c>
      <c r="S11" s="100">
        <v>2664</v>
      </c>
      <c r="T11" s="100">
        <v>10</v>
      </c>
      <c r="U11" s="100">
        <v>5328</v>
      </c>
      <c r="V11" s="100">
        <v>5</v>
      </c>
      <c r="W11" s="100">
        <v>2664</v>
      </c>
      <c r="X11" s="100">
        <v>8</v>
      </c>
      <c r="Y11" s="100">
        <v>4262.3999999999996</v>
      </c>
      <c r="Z11" s="100">
        <v>6</v>
      </c>
      <c r="AA11" s="100">
        <v>3196.7999999999997</v>
      </c>
      <c r="AB11" s="100">
        <v>7</v>
      </c>
      <c r="AC11" s="100">
        <v>3729.5999999999995</v>
      </c>
      <c r="AD11" s="100">
        <v>7</v>
      </c>
      <c r="AE11" s="100">
        <v>3729.5999999999995</v>
      </c>
      <c r="AF11" s="100">
        <v>7.0045612392127108</v>
      </c>
      <c r="AG11" s="100">
        <v>3732.0302282525322</v>
      </c>
      <c r="AH11" s="100">
        <v>5</v>
      </c>
      <c r="AI11" s="100">
        <v>2664</v>
      </c>
      <c r="AJ11" s="100">
        <v>9.1151833615806641</v>
      </c>
      <c r="AK11" s="100">
        <v>4856.5696950501779</v>
      </c>
      <c r="AL11" s="100">
        <v>6</v>
      </c>
      <c r="AM11" s="100">
        <v>3196.7999999999997</v>
      </c>
      <c r="AN11" s="100">
        <v>9</v>
      </c>
      <c r="AO11" s="100">
        <v>4795.2</v>
      </c>
      <c r="AP11" s="100">
        <v>9</v>
      </c>
      <c r="AQ11" s="100">
        <v>4795.2</v>
      </c>
      <c r="AR11" s="100">
        <v>3.0049349343582001</v>
      </c>
      <c r="AS11" s="100">
        <v>1601.0293330260488</v>
      </c>
      <c r="AT11" s="100">
        <v>7.6133991890043869E-4</v>
      </c>
      <c r="AU11" s="100">
        <v>0.40564190879015372</v>
      </c>
      <c r="AV11" s="100">
        <v>6.8467434321852871E-4</v>
      </c>
      <c r="AW11" s="100">
        <v>0.36479449006683207</v>
      </c>
      <c r="AX11" s="100">
        <v>7.2541927762090879</v>
      </c>
      <c r="AY11" s="100">
        <v>3865.0339111642015</v>
      </c>
      <c r="AZ11" s="100">
        <v>0.55601948432054416</v>
      </c>
      <c r="BA11" s="100">
        <v>296.24718124598593</v>
      </c>
      <c r="BB11" s="100">
        <v>8</v>
      </c>
      <c r="BC11" s="100">
        <v>4262.3999999999996</v>
      </c>
      <c r="BD11" s="100">
        <v>5.8587205154435544</v>
      </c>
      <c r="BE11" s="100">
        <v>3121.5262906283256</v>
      </c>
      <c r="BF11" s="100">
        <v>6.7087800654931877</v>
      </c>
      <c r="BG11" s="100">
        <v>3574.4380188947703</v>
      </c>
      <c r="BH11" s="100">
        <v>10</v>
      </c>
      <c r="BI11" s="100">
        <v>5328</v>
      </c>
      <c r="BJ11" s="100">
        <v>5</v>
      </c>
      <c r="BK11" s="100">
        <v>2664</v>
      </c>
      <c r="BL11" s="100">
        <v>8</v>
      </c>
      <c r="BM11" s="100">
        <v>4262.3999999999996</v>
      </c>
      <c r="BN11" s="100">
        <v>5.3866331048205494</v>
      </c>
      <c r="BO11" s="100">
        <v>2869.9981182483884</v>
      </c>
      <c r="BP11" s="100">
        <v>4.3198760098943855E-4</v>
      </c>
      <c r="BQ11" s="100">
        <v>0.23016299380717284</v>
      </c>
      <c r="BR11" s="100">
        <v>6</v>
      </c>
      <c r="BS11" s="100">
        <v>3196.7999999999997</v>
      </c>
      <c r="BT11" s="100">
        <v>7.2235553784167745</v>
      </c>
      <c r="BU11" s="100">
        <v>3848.7103056204573</v>
      </c>
      <c r="BV11" s="100">
        <v>4.9978457549648159</v>
      </c>
      <c r="BW11" s="100">
        <v>2662.8522182452539</v>
      </c>
      <c r="BX11" s="100">
        <v>5.2860820438534477E-4</v>
      </c>
      <c r="BY11" s="100">
        <v>0.28164245129651166</v>
      </c>
      <c r="BZ11" s="100">
        <v>8</v>
      </c>
      <c r="CA11" s="100">
        <v>4262.3999999999996</v>
      </c>
      <c r="CB11" s="100">
        <v>6</v>
      </c>
      <c r="CC11" s="100">
        <v>3196.7999999999997</v>
      </c>
      <c r="CD11" s="100">
        <v>9</v>
      </c>
      <c r="CE11" s="100">
        <v>4795.2</v>
      </c>
      <c r="CF11" s="100">
        <v>6</v>
      </c>
      <c r="CG11" s="100">
        <v>3196.7999999999997</v>
      </c>
      <c r="CH11" s="100">
        <v>6</v>
      </c>
      <c r="CI11" s="100">
        <v>3196.7999999999997</v>
      </c>
      <c r="CJ11" s="100">
        <v>7.4090739454222012</v>
      </c>
      <c r="CK11" s="100">
        <v>3947.5545981209484</v>
      </c>
      <c r="CL11" s="100">
        <v>4.8324375050977224</v>
      </c>
      <c r="CM11" s="100">
        <v>2574.7227027160661</v>
      </c>
      <c r="CN11" s="100">
        <v>7</v>
      </c>
      <c r="CO11" s="100">
        <v>3729.5999999999995</v>
      </c>
      <c r="CP11" s="100">
        <v>12.191098999790034</v>
      </c>
      <c r="CQ11" s="100">
        <v>6495.41754708813</v>
      </c>
      <c r="CR11" s="100">
        <v>9.3947678524865275</v>
      </c>
      <c r="CS11" s="100">
        <v>5005.5323118048218</v>
      </c>
      <c r="CT11" s="100">
        <v>7.4713815234243102</v>
      </c>
      <c r="CU11" s="100">
        <v>3980.752075680472</v>
      </c>
    </row>
    <row r="12" spans="1:99">
      <c r="C12" s="99" t="s">
        <v>178</v>
      </c>
      <c r="D12" s="100">
        <v>1.6145248172869948</v>
      </c>
      <c r="E12" s="100">
        <v>908.65456716912058</v>
      </c>
      <c r="F12" s="100">
        <v>8</v>
      </c>
      <c r="G12" s="100">
        <v>4502.3999999999996</v>
      </c>
      <c r="H12" s="100">
        <v>6</v>
      </c>
      <c r="I12" s="100">
        <v>3376.7999999999997</v>
      </c>
      <c r="J12" s="100">
        <v>4</v>
      </c>
      <c r="K12" s="100">
        <v>2251.1999999999998</v>
      </c>
      <c r="L12" s="100">
        <v>7</v>
      </c>
      <c r="M12" s="100">
        <v>3939.5999999999995</v>
      </c>
      <c r="N12" s="100">
        <v>9</v>
      </c>
      <c r="O12" s="100">
        <v>5065.2</v>
      </c>
      <c r="P12" s="100">
        <v>5</v>
      </c>
      <c r="Q12" s="100">
        <v>2814</v>
      </c>
      <c r="R12" s="100">
        <v>5</v>
      </c>
      <c r="S12" s="100">
        <v>2814</v>
      </c>
      <c r="T12" s="100">
        <v>9</v>
      </c>
      <c r="U12" s="100">
        <v>5065.2</v>
      </c>
      <c r="V12" s="100">
        <v>5</v>
      </c>
      <c r="W12" s="100">
        <v>2814</v>
      </c>
      <c r="X12" s="100">
        <v>8</v>
      </c>
      <c r="Y12" s="100">
        <v>4502.3999999999996</v>
      </c>
      <c r="Z12" s="100">
        <v>7</v>
      </c>
      <c r="AA12" s="100">
        <v>3939.5999999999995</v>
      </c>
      <c r="AB12" s="100">
        <v>7</v>
      </c>
      <c r="AC12" s="100">
        <v>3939.5999999999995</v>
      </c>
      <c r="AD12" s="100">
        <v>7</v>
      </c>
      <c r="AE12" s="100">
        <v>3939.5999999999995</v>
      </c>
      <c r="AF12" s="100">
        <v>6.0045612392127108</v>
      </c>
      <c r="AG12" s="100">
        <v>3379.3670654289135</v>
      </c>
      <c r="AH12" s="100">
        <v>6</v>
      </c>
      <c r="AI12" s="100">
        <v>3376.7999999999997</v>
      </c>
      <c r="AJ12" s="100">
        <v>9.1151833615806641</v>
      </c>
      <c r="AK12" s="100">
        <v>5130.0251958975978</v>
      </c>
      <c r="AL12" s="100">
        <v>5</v>
      </c>
      <c r="AM12" s="100">
        <v>2814</v>
      </c>
      <c r="AN12" s="100">
        <v>9</v>
      </c>
      <c r="AO12" s="100">
        <v>5065.2</v>
      </c>
      <c r="AP12" s="100">
        <v>10</v>
      </c>
      <c r="AQ12" s="100">
        <v>5628</v>
      </c>
      <c r="AR12" s="100">
        <v>3.4342081501859973</v>
      </c>
      <c r="AS12" s="100">
        <v>1932.7723469246791</v>
      </c>
      <c r="AT12" s="100">
        <v>6.5257822244758955E-4</v>
      </c>
      <c r="AU12" s="100">
        <v>0.36727102359350339</v>
      </c>
      <c r="AV12" s="100">
        <v>6.8467434321852871E-4</v>
      </c>
      <c r="AW12" s="100">
        <v>0.38533472036338795</v>
      </c>
      <c r="AX12" s="100">
        <v>6.2178795224649326</v>
      </c>
      <c r="AY12" s="100">
        <v>3499.4225952432639</v>
      </c>
      <c r="AZ12" s="100">
        <v>0.47658812941760925</v>
      </c>
      <c r="BA12" s="100">
        <v>268.22379923623049</v>
      </c>
      <c r="BB12" s="100">
        <v>8</v>
      </c>
      <c r="BC12" s="100">
        <v>4502.3999999999996</v>
      </c>
      <c r="BD12" s="100">
        <v>5.8587205154435544</v>
      </c>
      <c r="BE12" s="100">
        <v>3297.2879060916321</v>
      </c>
      <c r="BF12" s="100">
        <v>7.6671772177065005</v>
      </c>
      <c r="BG12" s="100">
        <v>4315.0873381252186</v>
      </c>
      <c r="BH12" s="100">
        <v>9</v>
      </c>
      <c r="BI12" s="100">
        <v>5065.2</v>
      </c>
      <c r="BJ12" s="100">
        <v>5</v>
      </c>
      <c r="BK12" s="100">
        <v>2814</v>
      </c>
      <c r="BL12" s="100">
        <v>7</v>
      </c>
      <c r="BM12" s="100">
        <v>3939.5999999999995</v>
      </c>
      <c r="BN12" s="100">
        <v>5.3866331048205494</v>
      </c>
      <c r="BO12" s="100">
        <v>3031.597111393005</v>
      </c>
      <c r="BP12" s="100">
        <v>3.5998966749119883E-4</v>
      </c>
      <c r="BQ12" s="100">
        <v>0.20260218486404669</v>
      </c>
      <c r="BR12" s="100">
        <v>6</v>
      </c>
      <c r="BS12" s="100">
        <v>3376.7999999999997</v>
      </c>
      <c r="BT12" s="100">
        <v>7.2049257635487098</v>
      </c>
      <c r="BU12" s="100">
        <v>4054.9322197252136</v>
      </c>
      <c r="BV12" s="100">
        <v>5.9974149059577799</v>
      </c>
      <c r="BW12" s="100">
        <v>3375.3451090730382</v>
      </c>
      <c r="BX12" s="100">
        <v>5.2860820438534477E-4</v>
      </c>
      <c r="BY12" s="100">
        <v>0.297500697428072</v>
      </c>
      <c r="BZ12" s="100">
        <v>8</v>
      </c>
      <c r="CA12" s="100">
        <v>4502.3999999999996</v>
      </c>
      <c r="CB12" s="100">
        <v>7</v>
      </c>
      <c r="CC12" s="100">
        <v>3939.5999999999995</v>
      </c>
      <c r="CD12" s="100">
        <v>8</v>
      </c>
      <c r="CE12" s="100">
        <v>4502.3999999999996</v>
      </c>
      <c r="CF12" s="100">
        <v>6</v>
      </c>
      <c r="CG12" s="100">
        <v>3376.7999999999997</v>
      </c>
      <c r="CH12" s="100">
        <v>6</v>
      </c>
      <c r="CI12" s="100">
        <v>3376.7999999999997</v>
      </c>
      <c r="CJ12" s="100">
        <v>7.3636212848197342</v>
      </c>
      <c r="CK12" s="100">
        <v>4144.2460590965457</v>
      </c>
      <c r="CL12" s="100">
        <v>4.8324375050977224</v>
      </c>
      <c r="CM12" s="100">
        <v>2719.6958278689981</v>
      </c>
      <c r="CN12" s="100">
        <v>7</v>
      </c>
      <c r="CO12" s="100">
        <v>3939.5999999999995</v>
      </c>
      <c r="CP12" s="100">
        <v>11.233565444187821</v>
      </c>
      <c r="CQ12" s="100">
        <v>6322.2506319889053</v>
      </c>
      <c r="CR12" s="100">
        <v>9.3947678524865275</v>
      </c>
      <c r="CS12" s="100">
        <v>5287.3753473794168</v>
      </c>
      <c r="CT12" s="100">
        <v>8.4053042138523484</v>
      </c>
      <c r="CU12" s="100">
        <v>4730.5052115561011</v>
      </c>
    </row>
    <row r="13" spans="1:99">
      <c r="C13" s="99" t="s">
        <v>179</v>
      </c>
      <c r="D13" s="100">
        <v>1.6145248172869948</v>
      </c>
      <c r="E13" s="100">
        <v>137.55751443285197</v>
      </c>
      <c r="F13" s="100">
        <v>8</v>
      </c>
      <c r="G13" s="100">
        <v>681.6</v>
      </c>
      <c r="H13" s="100">
        <v>6</v>
      </c>
      <c r="I13" s="100">
        <v>511.20000000000005</v>
      </c>
      <c r="J13" s="100">
        <v>5</v>
      </c>
      <c r="K13" s="100">
        <v>426</v>
      </c>
      <c r="L13" s="100">
        <v>6</v>
      </c>
      <c r="M13" s="100">
        <v>511.20000000000005</v>
      </c>
      <c r="N13" s="100">
        <v>9</v>
      </c>
      <c r="O13" s="100">
        <v>766.80000000000007</v>
      </c>
      <c r="P13" s="100">
        <v>5</v>
      </c>
      <c r="Q13" s="100">
        <v>426</v>
      </c>
      <c r="R13" s="100">
        <v>5</v>
      </c>
      <c r="S13" s="100">
        <v>426</v>
      </c>
      <c r="T13" s="100">
        <v>9</v>
      </c>
      <c r="U13" s="100">
        <v>766.80000000000007</v>
      </c>
      <c r="V13" s="100">
        <v>6</v>
      </c>
      <c r="W13" s="100">
        <v>511.20000000000005</v>
      </c>
      <c r="X13" s="100">
        <v>8</v>
      </c>
      <c r="Y13" s="100">
        <v>681.6</v>
      </c>
      <c r="Z13" s="100">
        <v>7</v>
      </c>
      <c r="AA13" s="100">
        <v>596.4</v>
      </c>
      <c r="AB13" s="100">
        <v>7</v>
      </c>
      <c r="AC13" s="100">
        <v>596.4</v>
      </c>
      <c r="AD13" s="100">
        <v>6</v>
      </c>
      <c r="AE13" s="100">
        <v>511.20000000000005</v>
      </c>
      <c r="AF13" s="100">
        <v>6.0040544348557425</v>
      </c>
      <c r="AG13" s="100">
        <v>511.54543784970929</v>
      </c>
      <c r="AH13" s="100">
        <v>6</v>
      </c>
      <c r="AI13" s="100">
        <v>511.20000000000005</v>
      </c>
      <c r="AJ13" s="100">
        <v>8.1343805885107745</v>
      </c>
      <c r="AK13" s="100">
        <v>693.04922614111797</v>
      </c>
      <c r="AL13" s="100">
        <v>5</v>
      </c>
      <c r="AM13" s="100">
        <v>426</v>
      </c>
      <c r="AN13" s="100">
        <v>8</v>
      </c>
      <c r="AO13" s="100">
        <v>681.6</v>
      </c>
      <c r="AP13" s="100">
        <v>9</v>
      </c>
      <c r="AQ13" s="100">
        <v>766.80000000000007</v>
      </c>
      <c r="AR13" s="100">
        <v>3.4342081501859973</v>
      </c>
      <c r="AS13" s="100">
        <v>292.59453439584701</v>
      </c>
      <c r="AT13" s="100">
        <v>7.6134053764893828E-4</v>
      </c>
      <c r="AU13" s="100">
        <v>6.4866213807689546E-2</v>
      </c>
      <c r="AV13" s="100">
        <v>6.8467434321852871E-4</v>
      </c>
      <c r="AW13" s="100">
        <v>5.8334254042218647E-2</v>
      </c>
      <c r="AX13" s="100">
        <v>6.2541927762090879</v>
      </c>
      <c r="AY13" s="100">
        <v>532.85722453301435</v>
      </c>
      <c r="AZ13" s="100">
        <v>0.55601948432054416</v>
      </c>
      <c r="BA13" s="100">
        <v>47.372860064110363</v>
      </c>
      <c r="BB13" s="100">
        <v>8</v>
      </c>
      <c r="BC13" s="100">
        <v>681.6</v>
      </c>
      <c r="BD13" s="100">
        <v>5.8587205154435544</v>
      </c>
      <c r="BE13" s="100">
        <v>499.16298791579084</v>
      </c>
      <c r="BF13" s="100">
        <v>7.6671772177065005</v>
      </c>
      <c r="BG13" s="100">
        <v>653.24349894859381</v>
      </c>
      <c r="BH13" s="100">
        <v>9</v>
      </c>
      <c r="BI13" s="100">
        <v>766.80000000000007</v>
      </c>
      <c r="BJ13" s="100">
        <v>6</v>
      </c>
      <c r="BK13" s="100">
        <v>511.20000000000005</v>
      </c>
      <c r="BL13" s="100">
        <v>8</v>
      </c>
      <c r="BM13" s="100">
        <v>681.6</v>
      </c>
      <c r="BN13" s="100">
        <v>6.4639597257846599</v>
      </c>
      <c r="BO13" s="100">
        <v>550.729368636853</v>
      </c>
      <c r="BP13" s="100">
        <v>4.3198760098943855E-4</v>
      </c>
      <c r="BQ13" s="100">
        <v>3.6805343604300163E-2</v>
      </c>
      <c r="BR13" s="100">
        <v>6</v>
      </c>
      <c r="BS13" s="100">
        <v>511.20000000000005</v>
      </c>
      <c r="BT13" s="100">
        <v>7.2049257635487098</v>
      </c>
      <c r="BU13" s="100">
        <v>613.85967505435008</v>
      </c>
      <c r="BV13" s="100">
        <v>5.9974149059577799</v>
      </c>
      <c r="BW13" s="100">
        <v>510.97974998760287</v>
      </c>
      <c r="BX13" s="100">
        <v>5.2860820438534477E-4</v>
      </c>
      <c r="BY13" s="100">
        <v>4.5037419013631376E-2</v>
      </c>
      <c r="BZ13" s="100">
        <v>8</v>
      </c>
      <c r="CA13" s="100">
        <v>681.6</v>
      </c>
      <c r="CB13" s="100">
        <v>7</v>
      </c>
      <c r="CC13" s="100">
        <v>596.4</v>
      </c>
      <c r="CD13" s="100">
        <v>8</v>
      </c>
      <c r="CE13" s="100">
        <v>681.6</v>
      </c>
      <c r="CF13" s="100">
        <v>6</v>
      </c>
      <c r="CG13" s="100">
        <v>511.20000000000005</v>
      </c>
      <c r="CH13" s="100">
        <v>6</v>
      </c>
      <c r="CI13" s="100">
        <v>511.20000000000005</v>
      </c>
      <c r="CJ13" s="100">
        <v>7.4090739454222012</v>
      </c>
      <c r="CK13" s="100">
        <v>631.2531001499716</v>
      </c>
      <c r="CL13" s="100">
        <v>4.8324375050977224</v>
      </c>
      <c r="CM13" s="100">
        <v>411.72367543432597</v>
      </c>
      <c r="CN13" s="100">
        <v>8</v>
      </c>
      <c r="CO13" s="100">
        <v>681.6</v>
      </c>
      <c r="CP13" s="100">
        <v>12.212332221988929</v>
      </c>
      <c r="CQ13" s="100">
        <v>1040.4907053134568</v>
      </c>
      <c r="CR13" s="100">
        <v>9.358879865896844</v>
      </c>
      <c r="CS13" s="100">
        <v>797.37656457441108</v>
      </c>
      <c r="CT13" s="100">
        <v>8.4053042138523484</v>
      </c>
      <c r="CU13" s="100">
        <v>716.13191902022015</v>
      </c>
    </row>
    <row r="14" spans="1:99">
      <c r="C14" s="99" t="s">
        <v>180</v>
      </c>
      <c r="D14" s="100">
        <v>1.6145248172869948</v>
      </c>
      <c r="E14" s="100">
        <v>788.53392076296825</v>
      </c>
      <c r="F14" s="100">
        <v>9</v>
      </c>
      <c r="G14" s="100">
        <v>4395.5999999999995</v>
      </c>
      <c r="H14" s="100">
        <v>6</v>
      </c>
      <c r="I14" s="100">
        <v>2930.3999999999996</v>
      </c>
      <c r="J14" s="100">
        <v>4</v>
      </c>
      <c r="K14" s="100">
        <v>1953.6</v>
      </c>
      <c r="L14" s="100">
        <v>6</v>
      </c>
      <c r="M14" s="100">
        <v>2930.3999999999996</v>
      </c>
      <c r="N14" s="100">
        <v>9</v>
      </c>
      <c r="O14" s="100">
        <v>4395.5999999999995</v>
      </c>
      <c r="P14" s="100">
        <v>6</v>
      </c>
      <c r="Q14" s="100">
        <v>2930.3999999999996</v>
      </c>
      <c r="R14" s="100">
        <v>5</v>
      </c>
      <c r="S14" s="100">
        <v>2442</v>
      </c>
      <c r="T14" s="100">
        <v>9</v>
      </c>
      <c r="U14" s="100">
        <v>4395.5999999999995</v>
      </c>
      <c r="V14" s="100">
        <v>5</v>
      </c>
      <c r="W14" s="100">
        <v>2442</v>
      </c>
      <c r="X14" s="100">
        <v>8</v>
      </c>
      <c r="Y14" s="100">
        <v>3907.2</v>
      </c>
      <c r="Z14" s="100">
        <v>6</v>
      </c>
      <c r="AA14" s="100">
        <v>2930.3999999999996</v>
      </c>
      <c r="AB14" s="100">
        <v>8</v>
      </c>
      <c r="AC14" s="100">
        <v>3907.2</v>
      </c>
      <c r="AD14" s="100">
        <v>7</v>
      </c>
      <c r="AE14" s="100">
        <v>3418.7999999999997</v>
      </c>
      <c r="AF14" s="100">
        <v>7.0045612392127108</v>
      </c>
      <c r="AG14" s="100">
        <v>3421.0277092314877</v>
      </c>
      <c r="AH14" s="100">
        <v>5</v>
      </c>
      <c r="AI14" s="100">
        <v>2442</v>
      </c>
      <c r="AJ14" s="100">
        <v>8.1343805885107745</v>
      </c>
      <c r="AK14" s="100">
        <v>3972.8314794286621</v>
      </c>
      <c r="AL14" s="100">
        <v>6</v>
      </c>
      <c r="AM14" s="100">
        <v>2930.3999999999996</v>
      </c>
      <c r="AN14" s="100">
        <v>9</v>
      </c>
      <c r="AO14" s="100">
        <v>4395.5999999999995</v>
      </c>
      <c r="AP14" s="100">
        <v>10</v>
      </c>
      <c r="AQ14" s="100">
        <v>4884</v>
      </c>
      <c r="AR14" s="100">
        <v>3.0049324428511315</v>
      </c>
      <c r="AS14" s="100">
        <v>1467.6090050884925</v>
      </c>
      <c r="AT14" s="100">
        <v>7.6134053764893828E-4</v>
      </c>
      <c r="AU14" s="100">
        <v>0.37183871858774142</v>
      </c>
      <c r="AV14" s="100">
        <v>6.8467434321852871E-4</v>
      </c>
      <c r="AW14" s="100">
        <v>0.33439494922792939</v>
      </c>
      <c r="AX14" s="100">
        <v>7.2178795224649326</v>
      </c>
      <c r="AY14" s="100">
        <v>3525.2123587718729</v>
      </c>
      <c r="AZ14" s="100">
        <v>0.47658812941760925</v>
      </c>
      <c r="BA14" s="100">
        <v>232.76564240756034</v>
      </c>
      <c r="BB14" s="100">
        <v>8</v>
      </c>
      <c r="BC14" s="100">
        <v>3907.2</v>
      </c>
      <c r="BD14" s="100">
        <v>4.8822670962029617</v>
      </c>
      <c r="BE14" s="100">
        <v>2384.4992497855264</v>
      </c>
      <c r="BF14" s="100">
        <v>7.6671772177065005</v>
      </c>
      <c r="BG14" s="100">
        <v>3744.6493531278547</v>
      </c>
      <c r="BH14" s="100">
        <v>8</v>
      </c>
      <c r="BI14" s="100">
        <v>3907.2</v>
      </c>
      <c r="BJ14" s="100">
        <v>6</v>
      </c>
      <c r="BK14" s="100">
        <v>2930.3999999999996</v>
      </c>
      <c r="BL14" s="100">
        <v>8</v>
      </c>
      <c r="BM14" s="100">
        <v>3907.2</v>
      </c>
      <c r="BN14" s="100">
        <v>6.4152034294635492</v>
      </c>
      <c r="BO14" s="100">
        <v>3133.1853549499974</v>
      </c>
      <c r="BP14" s="100">
        <v>3.5998966749119883E-4</v>
      </c>
      <c r="BQ14" s="100">
        <v>0.1758189536027015</v>
      </c>
      <c r="BR14" s="100">
        <v>6</v>
      </c>
      <c r="BS14" s="100">
        <v>2930.3999999999996</v>
      </c>
      <c r="BT14" s="100">
        <v>6.2049257635487098</v>
      </c>
      <c r="BU14" s="100">
        <v>3030.4857429171898</v>
      </c>
      <c r="BV14" s="100">
        <v>5.9974149059577799</v>
      </c>
      <c r="BW14" s="100">
        <v>2929.1374400697796</v>
      </c>
      <c r="BX14" s="100">
        <v>5.2860820438534477E-4</v>
      </c>
      <c r="BY14" s="100">
        <v>0.25817224702180236</v>
      </c>
      <c r="BZ14" s="100">
        <v>8</v>
      </c>
      <c r="CA14" s="100">
        <v>3907.2</v>
      </c>
      <c r="CB14" s="100">
        <v>7</v>
      </c>
      <c r="CC14" s="100">
        <v>3418.7999999999997</v>
      </c>
      <c r="CD14" s="100">
        <v>8</v>
      </c>
      <c r="CE14" s="100">
        <v>3907.2</v>
      </c>
      <c r="CF14" s="100">
        <v>6</v>
      </c>
      <c r="CG14" s="100">
        <v>2930.3999999999996</v>
      </c>
      <c r="CH14" s="100">
        <v>6</v>
      </c>
      <c r="CI14" s="100">
        <v>2930.3999999999996</v>
      </c>
      <c r="CJ14" s="100">
        <v>7.4090739454222012</v>
      </c>
      <c r="CK14" s="100">
        <v>3618.591714944203</v>
      </c>
      <c r="CL14" s="100">
        <v>5.7989250061172672</v>
      </c>
      <c r="CM14" s="100">
        <v>2832.1949729876733</v>
      </c>
      <c r="CN14" s="100">
        <v>8</v>
      </c>
      <c r="CO14" s="100">
        <v>3907.2</v>
      </c>
      <c r="CP14" s="100">
        <v>11.212332221988929</v>
      </c>
      <c r="CQ14" s="100">
        <v>5476.1030572193922</v>
      </c>
      <c r="CR14" s="100">
        <v>9.358879865896844</v>
      </c>
      <c r="CS14" s="100">
        <v>4570.8769265040182</v>
      </c>
      <c r="CT14" s="100">
        <v>7.4713815234243102</v>
      </c>
      <c r="CU14" s="100">
        <v>3649.0227360404328</v>
      </c>
    </row>
    <row r="15" spans="1:99">
      <c r="C15" s="99" t="s">
        <v>181</v>
      </c>
      <c r="D15" s="100">
        <v>1.6145248172869948</v>
      </c>
      <c r="E15" s="100">
        <v>1232.2053405534343</v>
      </c>
      <c r="F15" s="100">
        <v>9</v>
      </c>
      <c r="G15" s="100">
        <v>6868.7999999999993</v>
      </c>
      <c r="H15" s="100">
        <v>6</v>
      </c>
      <c r="I15" s="100">
        <v>4579.2</v>
      </c>
      <c r="J15" s="100">
        <v>4</v>
      </c>
      <c r="K15" s="100">
        <v>3052.7999999999997</v>
      </c>
      <c r="L15" s="100">
        <v>6</v>
      </c>
      <c r="M15" s="100">
        <v>4579.2</v>
      </c>
      <c r="N15" s="100">
        <v>9</v>
      </c>
      <c r="O15" s="100">
        <v>6868.7999999999993</v>
      </c>
      <c r="P15" s="100">
        <v>5</v>
      </c>
      <c r="Q15" s="100">
        <v>3815.9999999999995</v>
      </c>
      <c r="R15" s="100">
        <v>5</v>
      </c>
      <c r="S15" s="100">
        <v>3815.9999999999995</v>
      </c>
      <c r="T15" s="100">
        <v>9</v>
      </c>
      <c r="U15" s="100">
        <v>6868.7999999999993</v>
      </c>
      <c r="V15" s="100">
        <v>5</v>
      </c>
      <c r="W15" s="100">
        <v>3815.9999999999995</v>
      </c>
      <c r="X15" s="100">
        <v>8</v>
      </c>
      <c r="Y15" s="100">
        <v>6105.5999999999995</v>
      </c>
      <c r="Z15" s="100">
        <v>7</v>
      </c>
      <c r="AA15" s="100">
        <v>5342.4</v>
      </c>
      <c r="AB15" s="100">
        <v>7</v>
      </c>
      <c r="AC15" s="100">
        <v>5342.4</v>
      </c>
      <c r="AD15" s="100">
        <v>6</v>
      </c>
      <c r="AE15" s="100">
        <v>4579.2</v>
      </c>
      <c r="AF15" s="100">
        <v>6.0045612392127108</v>
      </c>
      <c r="AG15" s="100">
        <v>4582.6811377671402</v>
      </c>
      <c r="AH15" s="100">
        <v>5</v>
      </c>
      <c r="AI15" s="100">
        <v>3815.9999999999995</v>
      </c>
      <c r="AJ15" s="100">
        <v>8.1343805885107745</v>
      </c>
      <c r="AK15" s="100">
        <v>6208.1592651514229</v>
      </c>
      <c r="AL15" s="100">
        <v>6</v>
      </c>
      <c r="AM15" s="100">
        <v>4579.2</v>
      </c>
      <c r="AN15" s="100">
        <v>9</v>
      </c>
      <c r="AO15" s="100">
        <v>6868.7999999999993</v>
      </c>
      <c r="AP15" s="100">
        <v>10</v>
      </c>
      <c r="AQ15" s="100">
        <v>7631.9999999999991</v>
      </c>
      <c r="AR15" s="100">
        <v>3.4342081501859973</v>
      </c>
      <c r="AS15" s="100">
        <v>2620.9876602219529</v>
      </c>
      <c r="AT15" s="100">
        <v>6.5257822244758955E-4</v>
      </c>
      <c r="AU15" s="100">
        <v>0.49804769937200027</v>
      </c>
      <c r="AV15" s="100">
        <v>6.8467434321852871E-4</v>
      </c>
      <c r="AW15" s="100">
        <v>0.52254345874438102</v>
      </c>
      <c r="AX15" s="100">
        <v>6.2178795224649326</v>
      </c>
      <c r="AY15" s="100">
        <v>4745.4856515452366</v>
      </c>
      <c r="AZ15" s="100">
        <v>0.47658812941760925</v>
      </c>
      <c r="BA15" s="100">
        <v>363.73206037151937</v>
      </c>
      <c r="BB15" s="100">
        <v>8</v>
      </c>
      <c r="BC15" s="100">
        <v>6105.5999999999995</v>
      </c>
      <c r="BD15" s="100">
        <v>5.8587205154435544</v>
      </c>
      <c r="BE15" s="100">
        <v>4471.3754973865207</v>
      </c>
      <c r="BF15" s="100">
        <v>7.6671772177065005</v>
      </c>
      <c r="BG15" s="100">
        <v>5851.5896525536009</v>
      </c>
      <c r="BH15" s="100">
        <v>10</v>
      </c>
      <c r="BI15" s="100">
        <v>7631.9999999999991</v>
      </c>
      <c r="BJ15" s="100">
        <v>6</v>
      </c>
      <c r="BK15" s="100">
        <v>4579.2</v>
      </c>
      <c r="BL15" s="100">
        <v>8</v>
      </c>
      <c r="BM15" s="100">
        <v>6105.5999999999995</v>
      </c>
      <c r="BN15" s="100">
        <v>6.3664471331424375</v>
      </c>
      <c r="BO15" s="100">
        <v>4858.8724520143078</v>
      </c>
      <c r="BP15" s="100">
        <v>4.3198760098943855E-4</v>
      </c>
      <c r="BQ15" s="100">
        <v>0.32969293707513947</v>
      </c>
      <c r="BR15" s="100">
        <v>6</v>
      </c>
      <c r="BS15" s="100">
        <v>4579.2</v>
      </c>
      <c r="BT15" s="100">
        <v>6.2235553784167745</v>
      </c>
      <c r="BU15" s="100">
        <v>4749.817464807682</v>
      </c>
      <c r="BV15" s="100">
        <v>4.9978457549648159</v>
      </c>
      <c r="BW15" s="100">
        <v>3814.3558801891472</v>
      </c>
      <c r="BX15" s="100">
        <v>5.2860820438534477E-4</v>
      </c>
      <c r="BY15" s="100">
        <v>0.40343378158689508</v>
      </c>
      <c r="BZ15" s="100">
        <v>7</v>
      </c>
      <c r="CA15" s="100">
        <v>5342.4</v>
      </c>
      <c r="CB15" s="100">
        <v>7</v>
      </c>
      <c r="CC15" s="100">
        <v>5342.4</v>
      </c>
      <c r="CD15" s="100">
        <v>9</v>
      </c>
      <c r="CE15" s="100">
        <v>6868.7999999999993</v>
      </c>
      <c r="CF15" s="100">
        <v>5</v>
      </c>
      <c r="CG15" s="100">
        <v>3815.9999999999995</v>
      </c>
      <c r="CH15" s="100">
        <v>6</v>
      </c>
      <c r="CI15" s="100">
        <v>4579.2</v>
      </c>
      <c r="CJ15" s="100">
        <v>7.3636212848197342</v>
      </c>
      <c r="CK15" s="100">
        <v>5619.9157645744208</v>
      </c>
      <c r="CL15" s="100">
        <v>4.8324375050977224</v>
      </c>
      <c r="CM15" s="100">
        <v>3688.1163038905815</v>
      </c>
      <c r="CN15" s="100">
        <v>8</v>
      </c>
      <c r="CO15" s="100">
        <v>6105.5999999999995</v>
      </c>
      <c r="CP15" s="100">
        <v>11.191098999790034</v>
      </c>
      <c r="CQ15" s="100">
        <v>8541.0467566397529</v>
      </c>
      <c r="CR15" s="100">
        <v>10.358879865896844</v>
      </c>
      <c r="CS15" s="100">
        <v>7905.8971136524706</v>
      </c>
      <c r="CT15" s="100">
        <v>8.4053042138523484</v>
      </c>
      <c r="CU15" s="100">
        <v>6414.9281760121121</v>
      </c>
    </row>
    <row r="16" spans="1:99">
      <c r="C16" s="99" t="s">
        <v>182</v>
      </c>
      <c r="D16" s="100">
        <v>1.6145248172869948</v>
      </c>
      <c r="E16" s="100">
        <v>550.2300577314079</v>
      </c>
      <c r="F16" s="100">
        <v>9</v>
      </c>
      <c r="G16" s="100">
        <v>3067.2000000000003</v>
      </c>
      <c r="H16" s="100">
        <v>5</v>
      </c>
      <c r="I16" s="100">
        <v>1704</v>
      </c>
      <c r="J16" s="100">
        <v>5</v>
      </c>
      <c r="K16" s="100">
        <v>1704</v>
      </c>
      <c r="L16" s="100">
        <v>6</v>
      </c>
      <c r="M16" s="100">
        <v>2044.8000000000002</v>
      </c>
      <c r="N16" s="100">
        <v>9</v>
      </c>
      <c r="O16" s="100">
        <v>3067.2000000000003</v>
      </c>
      <c r="P16" s="100">
        <v>5</v>
      </c>
      <c r="Q16" s="100">
        <v>1704</v>
      </c>
      <c r="R16" s="100">
        <v>5</v>
      </c>
      <c r="S16" s="100">
        <v>1704</v>
      </c>
      <c r="T16" s="100">
        <v>9</v>
      </c>
      <c r="U16" s="100">
        <v>3067.2000000000003</v>
      </c>
      <c r="V16" s="100">
        <v>5</v>
      </c>
      <c r="W16" s="100">
        <v>1704</v>
      </c>
      <c r="X16" s="100">
        <v>8</v>
      </c>
      <c r="Y16" s="100">
        <v>2726.4</v>
      </c>
      <c r="Z16" s="100">
        <v>6</v>
      </c>
      <c r="AA16" s="100">
        <v>2044.8000000000002</v>
      </c>
      <c r="AB16" s="100">
        <v>7</v>
      </c>
      <c r="AC16" s="100">
        <v>2385.6</v>
      </c>
      <c r="AD16" s="100">
        <v>7</v>
      </c>
      <c r="AE16" s="100">
        <v>2385.6</v>
      </c>
      <c r="AF16" s="100">
        <v>7.0045612392127108</v>
      </c>
      <c r="AG16" s="100">
        <v>2387.1544703236918</v>
      </c>
      <c r="AH16" s="100">
        <v>6</v>
      </c>
      <c r="AI16" s="100">
        <v>2044.8000000000002</v>
      </c>
      <c r="AJ16" s="100">
        <v>8.1343805885107745</v>
      </c>
      <c r="AK16" s="100">
        <v>2772.1969045644719</v>
      </c>
      <c r="AL16" s="100">
        <v>6</v>
      </c>
      <c r="AM16" s="100">
        <v>2044.8000000000002</v>
      </c>
      <c r="AN16" s="100">
        <v>9</v>
      </c>
      <c r="AO16" s="100">
        <v>3067.2000000000003</v>
      </c>
      <c r="AP16" s="100">
        <v>10</v>
      </c>
      <c r="AQ16" s="100">
        <v>3408</v>
      </c>
      <c r="AR16" s="100">
        <v>3.4342081501859973</v>
      </c>
      <c r="AS16" s="100">
        <v>1170.378137583388</v>
      </c>
      <c r="AT16" s="100">
        <v>7.6134053764893828E-4</v>
      </c>
      <c r="AU16" s="100">
        <v>0.25946485523075818</v>
      </c>
      <c r="AV16" s="100">
        <v>6.8467434321852871E-4</v>
      </c>
      <c r="AW16" s="100">
        <v>0.23333701616887459</v>
      </c>
      <c r="AX16" s="100">
        <v>7.2178795224649326</v>
      </c>
      <c r="AY16" s="100">
        <v>2459.8533412560491</v>
      </c>
      <c r="AZ16" s="100">
        <v>0.55601948432054416</v>
      </c>
      <c r="BA16" s="100">
        <v>189.49144025644145</v>
      </c>
      <c r="BB16" s="100">
        <v>9</v>
      </c>
      <c r="BC16" s="100">
        <v>3067.2000000000003</v>
      </c>
      <c r="BD16" s="100">
        <v>4.8822670962029617</v>
      </c>
      <c r="BE16" s="100">
        <v>1663.8766263859693</v>
      </c>
      <c r="BF16" s="100">
        <v>6.7087800654931877</v>
      </c>
      <c r="BG16" s="100">
        <v>2286.3522463200784</v>
      </c>
      <c r="BH16" s="100">
        <v>9</v>
      </c>
      <c r="BI16" s="100">
        <v>3067.2000000000003</v>
      </c>
      <c r="BJ16" s="100">
        <v>6</v>
      </c>
      <c r="BK16" s="100">
        <v>2044.8000000000002</v>
      </c>
      <c r="BL16" s="100">
        <v>8</v>
      </c>
      <c r="BM16" s="100">
        <v>2726.4</v>
      </c>
      <c r="BN16" s="100">
        <v>5.3866331048205494</v>
      </c>
      <c r="BO16" s="100">
        <v>1835.7645621228432</v>
      </c>
      <c r="BP16" s="100">
        <v>3.5998966749119883E-4</v>
      </c>
      <c r="BQ16" s="100">
        <v>0.12268447868100056</v>
      </c>
      <c r="BR16" s="100">
        <v>6</v>
      </c>
      <c r="BS16" s="100">
        <v>2044.8000000000002</v>
      </c>
      <c r="BT16" s="100">
        <v>7.2421849932848392</v>
      </c>
      <c r="BU16" s="100">
        <v>2468.1366457114732</v>
      </c>
      <c r="BV16" s="100">
        <v>4.9978457549648159</v>
      </c>
      <c r="BW16" s="100">
        <v>1703.2658332920093</v>
      </c>
      <c r="BX16" s="100">
        <v>5.2860820438534477E-4</v>
      </c>
      <c r="BY16" s="100">
        <v>0.1801496760545255</v>
      </c>
      <c r="BZ16" s="100">
        <v>8</v>
      </c>
      <c r="CA16" s="100">
        <v>2726.4</v>
      </c>
      <c r="CB16" s="100">
        <v>6</v>
      </c>
      <c r="CC16" s="100">
        <v>2044.8000000000002</v>
      </c>
      <c r="CD16" s="100">
        <v>9</v>
      </c>
      <c r="CE16" s="100">
        <v>3067.2000000000003</v>
      </c>
      <c r="CF16" s="100">
        <v>6</v>
      </c>
      <c r="CG16" s="100">
        <v>2044.8000000000002</v>
      </c>
      <c r="CH16" s="100">
        <v>6</v>
      </c>
      <c r="CI16" s="100">
        <v>2044.8000000000002</v>
      </c>
      <c r="CJ16" s="100">
        <v>8.3636212848197342</v>
      </c>
      <c r="CK16" s="100">
        <v>2850.3221338665653</v>
      </c>
      <c r="CL16" s="100">
        <v>4.8324375050977224</v>
      </c>
      <c r="CM16" s="100">
        <v>1646.8947017373039</v>
      </c>
      <c r="CN16" s="100">
        <v>7</v>
      </c>
      <c r="CO16" s="100">
        <v>2385.6</v>
      </c>
      <c r="CP16" s="100">
        <v>11.212332221988929</v>
      </c>
      <c r="CQ16" s="100">
        <v>3821.1628212538271</v>
      </c>
      <c r="CR16" s="100">
        <v>9.4306558390762127</v>
      </c>
      <c r="CS16" s="100">
        <v>3213.9675099571732</v>
      </c>
      <c r="CT16" s="100">
        <v>7.4713815234243102</v>
      </c>
      <c r="CU16" s="100">
        <v>2546.2468231830048</v>
      </c>
    </row>
    <row r="17" spans="2:99">
      <c r="C17" s="99" t="s">
        <v>183</v>
      </c>
      <c r="D17" s="100">
        <v>1.6145248172869948</v>
      </c>
      <c r="E17" s="100">
        <v>681.97528282202654</v>
      </c>
      <c r="F17" s="100">
        <v>8</v>
      </c>
      <c r="G17" s="100">
        <v>3379.2</v>
      </c>
      <c r="H17" s="100">
        <v>5</v>
      </c>
      <c r="I17" s="100">
        <v>2112</v>
      </c>
      <c r="J17" s="100">
        <v>5</v>
      </c>
      <c r="K17" s="100">
        <v>2112</v>
      </c>
      <c r="L17" s="100">
        <v>7</v>
      </c>
      <c r="M17" s="100">
        <v>2956.7999999999997</v>
      </c>
      <c r="N17" s="100">
        <v>9</v>
      </c>
      <c r="O17" s="100">
        <v>3801.6</v>
      </c>
      <c r="P17" s="100">
        <v>6</v>
      </c>
      <c r="Q17" s="100">
        <v>2534.3999999999996</v>
      </c>
      <c r="R17" s="100">
        <v>5</v>
      </c>
      <c r="S17" s="100">
        <v>2112</v>
      </c>
      <c r="T17" s="100">
        <v>10</v>
      </c>
      <c r="U17" s="100">
        <v>4224</v>
      </c>
      <c r="V17" s="100">
        <v>5</v>
      </c>
      <c r="W17" s="100">
        <v>2112</v>
      </c>
      <c r="X17" s="100">
        <v>9</v>
      </c>
      <c r="Y17" s="100">
        <v>3801.6</v>
      </c>
      <c r="Z17" s="100">
        <v>7</v>
      </c>
      <c r="AA17" s="100">
        <v>2956.7999999999997</v>
      </c>
      <c r="AB17" s="100">
        <v>7</v>
      </c>
      <c r="AC17" s="100">
        <v>2956.7999999999997</v>
      </c>
      <c r="AD17" s="100">
        <v>6</v>
      </c>
      <c r="AE17" s="100">
        <v>2534.3999999999996</v>
      </c>
      <c r="AF17" s="100">
        <v>6.0045612392127108</v>
      </c>
      <c r="AG17" s="100">
        <v>2536.326667443449</v>
      </c>
      <c r="AH17" s="100">
        <v>5</v>
      </c>
      <c r="AI17" s="100">
        <v>2112</v>
      </c>
      <c r="AJ17" s="100">
        <v>9.1151833615806641</v>
      </c>
      <c r="AK17" s="100">
        <v>3850.2534519316723</v>
      </c>
      <c r="AL17" s="100">
        <v>5</v>
      </c>
      <c r="AM17" s="100">
        <v>2112</v>
      </c>
      <c r="AN17" s="100">
        <v>8</v>
      </c>
      <c r="AO17" s="100">
        <v>3379.2</v>
      </c>
      <c r="AP17" s="100">
        <v>10</v>
      </c>
      <c r="AQ17" s="100">
        <v>4224</v>
      </c>
      <c r="AR17" s="100">
        <v>3.4342081501859973</v>
      </c>
      <c r="AS17" s="100">
        <v>1450.6095226385653</v>
      </c>
      <c r="AT17" s="100">
        <v>7.6134053764893828E-4</v>
      </c>
      <c r="AU17" s="100">
        <v>0.32159024310291151</v>
      </c>
      <c r="AV17" s="100">
        <v>6.8467434321852871E-4</v>
      </c>
      <c r="AW17" s="100">
        <v>0.28920644257550648</v>
      </c>
      <c r="AX17" s="100">
        <v>6.2178795224649326</v>
      </c>
      <c r="AY17" s="100">
        <v>2626.4323102891872</v>
      </c>
      <c r="AZ17" s="100">
        <v>0.55601948432054416</v>
      </c>
      <c r="BA17" s="100">
        <v>234.86263017699784</v>
      </c>
      <c r="BB17" s="100">
        <v>9</v>
      </c>
      <c r="BC17" s="100">
        <v>3801.6</v>
      </c>
      <c r="BD17" s="100">
        <v>5.8587205154435544</v>
      </c>
      <c r="BE17" s="100">
        <v>2474.7235457233573</v>
      </c>
      <c r="BF17" s="100">
        <v>7.6671772177065005</v>
      </c>
      <c r="BG17" s="100">
        <v>3238.6156567592257</v>
      </c>
      <c r="BH17" s="100">
        <v>9</v>
      </c>
      <c r="BI17" s="100">
        <v>3801.6</v>
      </c>
      <c r="BJ17" s="100">
        <v>5</v>
      </c>
      <c r="BK17" s="100">
        <v>2112</v>
      </c>
      <c r="BL17" s="100">
        <v>8</v>
      </c>
      <c r="BM17" s="100">
        <v>3379.2</v>
      </c>
      <c r="BN17" s="100">
        <v>5.3866331048205494</v>
      </c>
      <c r="BO17" s="100">
        <v>2275.3138234762</v>
      </c>
      <c r="BP17" s="100">
        <v>4.3198760098943855E-4</v>
      </c>
      <c r="BQ17" s="100">
        <v>0.18247156265793885</v>
      </c>
      <c r="BR17" s="100">
        <v>6</v>
      </c>
      <c r="BS17" s="100">
        <v>2534.3999999999996</v>
      </c>
      <c r="BT17" s="100">
        <v>6.2049257635487098</v>
      </c>
      <c r="BU17" s="100">
        <v>2620.9606425229749</v>
      </c>
      <c r="BV17" s="100">
        <v>4.9978457549648159</v>
      </c>
      <c r="BW17" s="100">
        <v>2111.0900468971381</v>
      </c>
      <c r="BX17" s="100">
        <v>5.2860820438534477E-4</v>
      </c>
      <c r="BY17" s="100">
        <v>0.22328410553236963</v>
      </c>
      <c r="BZ17" s="100">
        <v>8</v>
      </c>
      <c r="CA17" s="100">
        <v>3379.2</v>
      </c>
      <c r="CB17" s="100">
        <v>7</v>
      </c>
      <c r="CC17" s="100">
        <v>2956.7999999999997</v>
      </c>
      <c r="CD17" s="100">
        <v>8</v>
      </c>
      <c r="CE17" s="100">
        <v>3379.2</v>
      </c>
      <c r="CF17" s="100">
        <v>6</v>
      </c>
      <c r="CG17" s="100">
        <v>2534.3999999999996</v>
      </c>
      <c r="CH17" s="100">
        <v>6</v>
      </c>
      <c r="CI17" s="100">
        <v>2534.3999999999996</v>
      </c>
      <c r="CJ17" s="100">
        <v>7.4090739454222012</v>
      </c>
      <c r="CK17" s="100">
        <v>3129.5928345463376</v>
      </c>
      <c r="CL17" s="100">
        <v>4.8324375050977224</v>
      </c>
      <c r="CM17" s="100">
        <v>2041.2216021532779</v>
      </c>
      <c r="CN17" s="100">
        <v>9</v>
      </c>
      <c r="CO17" s="100">
        <v>3801.6</v>
      </c>
      <c r="CP17" s="100">
        <v>12.233565444187821</v>
      </c>
      <c r="CQ17" s="100">
        <v>5167.4580436249353</v>
      </c>
      <c r="CR17" s="100">
        <v>10.394767852486527</v>
      </c>
      <c r="CS17" s="100">
        <v>4390.7499408903086</v>
      </c>
      <c r="CT17" s="100">
        <v>8.4053042138523484</v>
      </c>
      <c r="CU17" s="100">
        <v>3550.4004999312319</v>
      </c>
    </row>
    <row r="18" spans="2:99">
      <c r="C18" s="99" t="s">
        <v>184</v>
      </c>
      <c r="D18" s="100">
        <v>1.6145248172869948</v>
      </c>
      <c r="E18" s="100">
        <v>1053.9618007249501</v>
      </c>
      <c r="F18" s="100">
        <v>9</v>
      </c>
      <c r="G18" s="100">
        <v>5875.2</v>
      </c>
      <c r="H18" s="100">
        <v>5</v>
      </c>
      <c r="I18" s="100">
        <v>3264</v>
      </c>
      <c r="J18" s="100">
        <v>5</v>
      </c>
      <c r="K18" s="100">
        <v>3264</v>
      </c>
      <c r="L18" s="100">
        <v>6</v>
      </c>
      <c r="M18" s="100">
        <v>3916.7999999999997</v>
      </c>
      <c r="N18" s="100">
        <v>8</v>
      </c>
      <c r="O18" s="100">
        <v>5222.3999999999996</v>
      </c>
      <c r="P18" s="100">
        <v>6</v>
      </c>
      <c r="Q18" s="100">
        <v>3916.7999999999997</v>
      </c>
      <c r="R18" s="100">
        <v>5</v>
      </c>
      <c r="S18" s="100">
        <v>3264</v>
      </c>
      <c r="T18" s="100">
        <v>8</v>
      </c>
      <c r="U18" s="100">
        <v>5222.3999999999996</v>
      </c>
      <c r="V18" s="100">
        <v>5</v>
      </c>
      <c r="W18" s="100">
        <v>3264</v>
      </c>
      <c r="X18" s="100">
        <v>9</v>
      </c>
      <c r="Y18" s="100">
        <v>5875.2</v>
      </c>
      <c r="Z18" s="100">
        <v>6</v>
      </c>
      <c r="AA18" s="100">
        <v>3916.7999999999997</v>
      </c>
      <c r="AB18" s="100">
        <v>7</v>
      </c>
      <c r="AC18" s="100">
        <v>4569.5999999999995</v>
      </c>
      <c r="AD18" s="100">
        <v>7</v>
      </c>
      <c r="AE18" s="100">
        <v>4569.5999999999995</v>
      </c>
      <c r="AF18" s="100">
        <v>6.0040544348557425</v>
      </c>
      <c r="AG18" s="100">
        <v>3919.4467350738282</v>
      </c>
      <c r="AH18" s="100">
        <v>6</v>
      </c>
      <c r="AI18" s="100">
        <v>3916.7999999999997</v>
      </c>
      <c r="AJ18" s="100">
        <v>9.1343805885107745</v>
      </c>
      <c r="AK18" s="100">
        <v>5962.9236481798334</v>
      </c>
      <c r="AL18" s="100">
        <v>6</v>
      </c>
      <c r="AM18" s="100">
        <v>3916.7999999999997</v>
      </c>
      <c r="AN18" s="100">
        <v>8</v>
      </c>
      <c r="AO18" s="100">
        <v>5222.3999999999996</v>
      </c>
      <c r="AP18" s="100">
        <v>10</v>
      </c>
      <c r="AQ18" s="100">
        <v>6528</v>
      </c>
      <c r="AR18" s="100">
        <v>3.0049349343582001</v>
      </c>
      <c r="AS18" s="100">
        <v>1961.621525149033</v>
      </c>
      <c r="AT18" s="100">
        <v>6.5257822244758955E-4</v>
      </c>
      <c r="AU18" s="100">
        <v>0.42600306361378643</v>
      </c>
      <c r="AV18" s="100">
        <v>6.8467434321852871E-4</v>
      </c>
      <c r="AW18" s="100">
        <v>0.44695541125305549</v>
      </c>
      <c r="AX18" s="100">
        <v>6.2178795224649326</v>
      </c>
      <c r="AY18" s="100">
        <v>4059.0317522651076</v>
      </c>
      <c r="AZ18" s="100">
        <v>0.55601948432054416</v>
      </c>
      <c r="BA18" s="100">
        <v>362.96951936445117</v>
      </c>
      <c r="BB18" s="100">
        <v>8</v>
      </c>
      <c r="BC18" s="100">
        <v>5222.3999999999996</v>
      </c>
      <c r="BD18" s="100">
        <v>5.8587205154435544</v>
      </c>
      <c r="BE18" s="100">
        <v>3824.572752481552</v>
      </c>
      <c r="BF18" s="100">
        <v>7.6671772177065005</v>
      </c>
      <c r="BG18" s="100">
        <v>5005.1332877188033</v>
      </c>
      <c r="BH18" s="100">
        <v>8</v>
      </c>
      <c r="BI18" s="100">
        <v>5222.3999999999996</v>
      </c>
      <c r="BJ18" s="100">
        <v>6</v>
      </c>
      <c r="BK18" s="100">
        <v>3916.7999999999997</v>
      </c>
      <c r="BL18" s="100">
        <v>7</v>
      </c>
      <c r="BM18" s="100">
        <v>4569.5999999999995</v>
      </c>
      <c r="BN18" s="100">
        <v>5.3866331048205494</v>
      </c>
      <c r="BO18" s="100">
        <v>3516.3940908268542</v>
      </c>
      <c r="BP18" s="100">
        <v>4.3198760098943855E-4</v>
      </c>
      <c r="BQ18" s="100">
        <v>0.28200150592590545</v>
      </c>
      <c r="BR18" s="100">
        <v>6</v>
      </c>
      <c r="BS18" s="100">
        <v>3916.7999999999997</v>
      </c>
      <c r="BT18" s="100">
        <v>6.2049257635487098</v>
      </c>
      <c r="BU18" s="100">
        <v>4050.5755384445974</v>
      </c>
      <c r="BV18" s="100">
        <v>5.9974149059577799</v>
      </c>
      <c r="BW18" s="100">
        <v>3915.1124506092383</v>
      </c>
      <c r="BX18" s="100">
        <v>5.2860820438534477E-4</v>
      </c>
      <c r="BY18" s="100">
        <v>0.34507543582275302</v>
      </c>
      <c r="BZ18" s="100">
        <v>7</v>
      </c>
      <c r="CA18" s="100">
        <v>4569.5999999999995</v>
      </c>
      <c r="CB18" s="100">
        <v>6</v>
      </c>
      <c r="CC18" s="100">
        <v>3916.7999999999997</v>
      </c>
      <c r="CD18" s="100">
        <v>8</v>
      </c>
      <c r="CE18" s="100">
        <v>5222.3999999999996</v>
      </c>
      <c r="CF18" s="100">
        <v>6</v>
      </c>
      <c r="CG18" s="100">
        <v>3916.7999999999997</v>
      </c>
      <c r="CH18" s="100">
        <v>6</v>
      </c>
      <c r="CI18" s="100">
        <v>3916.7999999999997</v>
      </c>
      <c r="CJ18" s="100">
        <v>8.4090739454222003</v>
      </c>
      <c r="CK18" s="100">
        <v>5489.4434715716116</v>
      </c>
      <c r="CL18" s="100">
        <v>4.8324375050977224</v>
      </c>
      <c r="CM18" s="100">
        <v>3154.6152033277931</v>
      </c>
      <c r="CN18" s="100">
        <v>8</v>
      </c>
      <c r="CO18" s="100">
        <v>5222.3999999999996</v>
      </c>
      <c r="CP18" s="100">
        <v>11.212332221988929</v>
      </c>
      <c r="CQ18" s="100">
        <v>7319.4104745143723</v>
      </c>
      <c r="CR18" s="100">
        <v>9.358879865896844</v>
      </c>
      <c r="CS18" s="100">
        <v>6109.476776457459</v>
      </c>
      <c r="CT18" s="100">
        <v>8.4053042138523484</v>
      </c>
      <c r="CU18" s="100">
        <v>5486.9825908028124</v>
      </c>
    </row>
    <row r="19" spans="2:99">
      <c r="C19" s="99" t="s">
        <v>185</v>
      </c>
      <c r="D19" s="100">
        <v>1.6145248172869948</v>
      </c>
      <c r="E19" s="100">
        <v>532.79318970470831</v>
      </c>
      <c r="F19" s="100">
        <v>9</v>
      </c>
      <c r="G19" s="100">
        <v>2970</v>
      </c>
      <c r="H19" s="100">
        <v>6</v>
      </c>
      <c r="I19" s="100">
        <v>1980</v>
      </c>
      <c r="J19" s="100">
        <v>5</v>
      </c>
      <c r="K19" s="100">
        <v>1650</v>
      </c>
      <c r="L19" s="100">
        <v>7</v>
      </c>
      <c r="M19" s="100">
        <v>2310</v>
      </c>
      <c r="N19" s="100">
        <v>9</v>
      </c>
      <c r="O19" s="100">
        <v>2970</v>
      </c>
      <c r="P19" s="100">
        <v>6</v>
      </c>
      <c r="Q19" s="100">
        <v>1980</v>
      </c>
      <c r="R19" s="100">
        <v>5</v>
      </c>
      <c r="S19" s="100">
        <v>1650</v>
      </c>
      <c r="T19" s="100">
        <v>8</v>
      </c>
      <c r="U19" s="100">
        <v>2640</v>
      </c>
      <c r="V19" s="100">
        <v>5</v>
      </c>
      <c r="W19" s="100">
        <v>1650</v>
      </c>
      <c r="X19" s="100">
        <v>8</v>
      </c>
      <c r="Y19" s="100">
        <v>2640</v>
      </c>
      <c r="Z19" s="100">
        <v>7</v>
      </c>
      <c r="AA19" s="100">
        <v>2310</v>
      </c>
      <c r="AB19" s="100">
        <v>7</v>
      </c>
      <c r="AC19" s="100">
        <v>2310</v>
      </c>
      <c r="AD19" s="100">
        <v>6</v>
      </c>
      <c r="AE19" s="100">
        <v>1980</v>
      </c>
      <c r="AF19" s="100">
        <v>7.0040544348557425</v>
      </c>
      <c r="AG19" s="100">
        <v>2311.3379635023948</v>
      </c>
      <c r="AH19" s="100">
        <v>6</v>
      </c>
      <c r="AI19" s="100">
        <v>1980</v>
      </c>
      <c r="AJ19" s="100">
        <v>9.1343805885107745</v>
      </c>
      <c r="AK19" s="100">
        <v>3014.3455942085557</v>
      </c>
      <c r="AL19" s="100">
        <v>5</v>
      </c>
      <c r="AM19" s="100">
        <v>1650</v>
      </c>
      <c r="AN19" s="100">
        <v>9</v>
      </c>
      <c r="AO19" s="100">
        <v>2970</v>
      </c>
      <c r="AP19" s="100">
        <v>10</v>
      </c>
      <c r="AQ19" s="100">
        <v>3300</v>
      </c>
      <c r="AR19" s="100">
        <v>3.4342081501859973</v>
      </c>
      <c r="AS19" s="100">
        <v>1133.2886895613792</v>
      </c>
      <c r="AT19" s="100">
        <v>7.6133991890043869E-4</v>
      </c>
      <c r="AU19" s="100">
        <v>0.25124217323714476</v>
      </c>
      <c r="AV19" s="100">
        <v>5.8686372275873889E-4</v>
      </c>
      <c r="AW19" s="100">
        <v>0.19366502851038384</v>
      </c>
      <c r="AX19" s="100">
        <v>6.2541927762090879</v>
      </c>
      <c r="AY19" s="100">
        <v>2063.883616148999</v>
      </c>
      <c r="AZ19" s="100">
        <v>0.55601948432054416</v>
      </c>
      <c r="BA19" s="100">
        <v>183.48642982577957</v>
      </c>
      <c r="BB19" s="100">
        <v>9</v>
      </c>
      <c r="BC19" s="100">
        <v>2970</v>
      </c>
      <c r="BD19" s="100">
        <v>5.8587205154435544</v>
      </c>
      <c r="BE19" s="100">
        <v>1933.3777700963731</v>
      </c>
      <c r="BF19" s="100">
        <v>7.6671772177065005</v>
      </c>
      <c r="BG19" s="100">
        <v>2530.1684818431449</v>
      </c>
      <c r="BH19" s="100">
        <v>9</v>
      </c>
      <c r="BI19" s="100">
        <v>2970</v>
      </c>
      <c r="BJ19" s="100">
        <v>5</v>
      </c>
      <c r="BK19" s="100">
        <v>1650</v>
      </c>
      <c r="BL19" s="100">
        <v>7</v>
      </c>
      <c r="BM19" s="100">
        <v>2310</v>
      </c>
      <c r="BN19" s="100">
        <v>6.4639597257846599</v>
      </c>
      <c r="BO19" s="100">
        <v>2133.1067095089379</v>
      </c>
      <c r="BP19" s="100">
        <v>4.3198760098943855E-4</v>
      </c>
      <c r="BQ19" s="100">
        <v>0.14255590832651471</v>
      </c>
      <c r="BR19" s="100">
        <v>6</v>
      </c>
      <c r="BS19" s="100">
        <v>1980</v>
      </c>
      <c r="BT19" s="100">
        <v>7.2235553784167745</v>
      </c>
      <c r="BU19" s="100">
        <v>2383.7732748775356</v>
      </c>
      <c r="BV19" s="100">
        <v>4.9978457549648159</v>
      </c>
      <c r="BW19" s="100">
        <v>1649.2890991383892</v>
      </c>
      <c r="BX19" s="100">
        <v>5.2860820438534477E-4</v>
      </c>
      <c r="BY19" s="100">
        <v>0.17444070744716378</v>
      </c>
      <c r="BZ19" s="100">
        <v>7</v>
      </c>
      <c r="CA19" s="100">
        <v>2310</v>
      </c>
      <c r="CB19" s="100">
        <v>7</v>
      </c>
      <c r="CC19" s="100">
        <v>2310</v>
      </c>
      <c r="CD19" s="100">
        <v>8</v>
      </c>
      <c r="CE19" s="100">
        <v>2640</v>
      </c>
      <c r="CF19" s="100">
        <v>6</v>
      </c>
      <c r="CG19" s="100">
        <v>1980</v>
      </c>
      <c r="CH19" s="100">
        <v>6</v>
      </c>
      <c r="CI19" s="100">
        <v>1980</v>
      </c>
      <c r="CJ19" s="100">
        <v>8.4090739454222003</v>
      </c>
      <c r="CK19" s="100">
        <v>2774.994401989326</v>
      </c>
      <c r="CL19" s="100">
        <v>5.7989250061172672</v>
      </c>
      <c r="CM19" s="100">
        <v>1913.6452520186981</v>
      </c>
      <c r="CN19" s="100">
        <v>8</v>
      </c>
      <c r="CO19" s="100">
        <v>2640</v>
      </c>
      <c r="CP19" s="100">
        <v>11.212332221988929</v>
      </c>
      <c r="CQ19" s="100">
        <v>3700.0696332563466</v>
      </c>
      <c r="CR19" s="100">
        <v>9.3947678524865275</v>
      </c>
      <c r="CS19" s="100">
        <v>3100.2733913205539</v>
      </c>
      <c r="CT19" s="100">
        <v>7.4713815234243102</v>
      </c>
      <c r="CU19" s="100">
        <v>2465.5559027300224</v>
      </c>
    </row>
    <row r="20" spans="2:99">
      <c r="B20" s="99" t="s">
        <v>127</v>
      </c>
      <c r="C20" s="99" t="s">
        <v>186</v>
      </c>
      <c r="D20" s="100">
        <v>2.3064640246957069</v>
      </c>
      <c r="E20" s="100">
        <v>661.4938822827288</v>
      </c>
      <c r="F20" s="100">
        <v>14</v>
      </c>
      <c r="G20" s="100">
        <v>4015.2000000000003</v>
      </c>
      <c r="H20" s="100">
        <v>7</v>
      </c>
      <c r="I20" s="100">
        <v>2007.6000000000001</v>
      </c>
      <c r="J20" s="100">
        <v>13</v>
      </c>
      <c r="K20" s="100">
        <v>3728.4</v>
      </c>
      <c r="L20" s="100">
        <v>8</v>
      </c>
      <c r="M20" s="100">
        <v>2294.4</v>
      </c>
      <c r="N20" s="100">
        <v>8</v>
      </c>
      <c r="O20" s="100">
        <v>2294.4</v>
      </c>
      <c r="P20" s="100">
        <v>13</v>
      </c>
      <c r="Q20" s="100">
        <v>3728.4</v>
      </c>
      <c r="R20" s="100">
        <v>7</v>
      </c>
      <c r="S20" s="100">
        <v>2007.6000000000001</v>
      </c>
      <c r="T20" s="100">
        <v>14</v>
      </c>
      <c r="U20" s="100">
        <v>4015.2000000000003</v>
      </c>
      <c r="V20" s="100">
        <v>9</v>
      </c>
      <c r="W20" s="100">
        <v>2581.2000000000003</v>
      </c>
      <c r="X20" s="100">
        <v>13</v>
      </c>
      <c r="Y20" s="100">
        <v>3728.4</v>
      </c>
      <c r="Z20" s="100">
        <v>10</v>
      </c>
      <c r="AA20" s="100">
        <v>2868</v>
      </c>
      <c r="AB20" s="100">
        <v>13</v>
      </c>
      <c r="AC20" s="100">
        <v>3728.4</v>
      </c>
      <c r="AD20" s="100">
        <v>8</v>
      </c>
      <c r="AE20" s="100">
        <v>2294.4</v>
      </c>
      <c r="AF20" s="100">
        <v>9.0065884566405821</v>
      </c>
      <c r="AG20" s="100">
        <v>2583.0895693645189</v>
      </c>
      <c r="AH20" s="100">
        <v>14</v>
      </c>
      <c r="AI20" s="100">
        <v>4015.2000000000003</v>
      </c>
      <c r="AJ20" s="100">
        <v>12</v>
      </c>
      <c r="AK20" s="100">
        <v>3441.6000000000004</v>
      </c>
      <c r="AL20" s="100">
        <v>9</v>
      </c>
      <c r="AM20" s="100">
        <v>2581.2000000000003</v>
      </c>
      <c r="AN20" s="100">
        <v>8</v>
      </c>
      <c r="AO20" s="100">
        <v>2294.4</v>
      </c>
      <c r="AP20" s="100">
        <v>13</v>
      </c>
      <c r="AQ20" s="100">
        <v>3728.4</v>
      </c>
      <c r="AR20" s="100">
        <v>3.8634938235491387</v>
      </c>
      <c r="AS20" s="100">
        <v>1108.0500285938931</v>
      </c>
      <c r="AT20" s="100">
        <v>8.7010780283828452E-4</v>
      </c>
      <c r="AU20" s="100">
        <v>0.24954691785402</v>
      </c>
      <c r="AV20" s="100">
        <v>1.0759168250576881E-3</v>
      </c>
      <c r="AW20" s="100">
        <v>0.30857294542654495</v>
      </c>
      <c r="AX20" s="100">
        <v>8.6899518211389513</v>
      </c>
      <c r="AY20" s="100">
        <v>2492.2781823026512</v>
      </c>
      <c r="AZ20" s="100">
        <v>1.1120389686410883</v>
      </c>
      <c r="BA20" s="100">
        <v>318.93277620626412</v>
      </c>
      <c r="BB20" s="100">
        <v>10</v>
      </c>
      <c r="BC20" s="100">
        <v>2868</v>
      </c>
      <c r="BD20" s="100">
        <v>9.7645341924059235</v>
      </c>
      <c r="BE20" s="100">
        <v>2800.4684063820191</v>
      </c>
      <c r="BF20" s="100">
        <v>12.459162978773062</v>
      </c>
      <c r="BG20" s="100">
        <v>3573.2879423121144</v>
      </c>
      <c r="BH20" s="100">
        <v>10</v>
      </c>
      <c r="BI20" s="100">
        <v>2868</v>
      </c>
      <c r="BJ20" s="100">
        <v>9</v>
      </c>
      <c r="BK20" s="100">
        <v>2581.2000000000003</v>
      </c>
      <c r="BL20" s="100">
        <v>16</v>
      </c>
      <c r="BM20" s="100">
        <v>4588.8</v>
      </c>
      <c r="BN20" s="100">
        <v>14.399984545001988</v>
      </c>
      <c r="BO20" s="100">
        <v>4129.9155675065704</v>
      </c>
      <c r="BP20" s="100">
        <v>7.1997933498239765E-4</v>
      </c>
      <c r="BQ20" s="100">
        <v>0.20649007327295166</v>
      </c>
      <c r="BR20" s="100">
        <v>10</v>
      </c>
      <c r="BS20" s="100">
        <v>2868</v>
      </c>
      <c r="BT20" s="100">
        <v>9</v>
      </c>
      <c r="BU20" s="100">
        <v>2581.2000000000003</v>
      </c>
      <c r="BV20" s="100">
        <v>14.993537264894448</v>
      </c>
      <c r="BW20" s="100">
        <v>4300.1464875717274</v>
      </c>
      <c r="BX20" s="100">
        <v>5.9468422993351282E-4</v>
      </c>
      <c r="BY20" s="100">
        <v>0.17055543714493149</v>
      </c>
      <c r="BZ20" s="100">
        <v>14</v>
      </c>
      <c r="CA20" s="100">
        <v>4015.2000000000003</v>
      </c>
      <c r="CB20" s="100">
        <v>13</v>
      </c>
      <c r="CC20" s="100">
        <v>3728.4</v>
      </c>
      <c r="CD20" s="100">
        <v>15</v>
      </c>
      <c r="CE20" s="100">
        <v>4302</v>
      </c>
      <c r="CF20" s="100">
        <v>11</v>
      </c>
      <c r="CG20" s="100">
        <v>3154.8</v>
      </c>
      <c r="CH20" s="100">
        <v>15</v>
      </c>
      <c r="CI20" s="100">
        <v>4302</v>
      </c>
      <c r="CJ20" s="100">
        <v>17.818147890844401</v>
      </c>
      <c r="CK20" s="100">
        <v>5110.2448150941746</v>
      </c>
      <c r="CL20" s="100">
        <v>9.6648750101954448</v>
      </c>
      <c r="CM20" s="100">
        <v>2771.8861529240535</v>
      </c>
      <c r="CN20" s="100">
        <v>16</v>
      </c>
      <c r="CO20" s="100">
        <v>4588.8</v>
      </c>
      <c r="CP20" s="100">
        <v>16</v>
      </c>
      <c r="CQ20" s="100">
        <v>4588.8</v>
      </c>
      <c r="CR20" s="100">
        <v>12.82542369156274</v>
      </c>
      <c r="CS20" s="100">
        <v>3678.3315147401941</v>
      </c>
      <c r="CT20" s="100">
        <v>13.074917665992542</v>
      </c>
      <c r="CU20" s="100">
        <v>3749.8863866066613</v>
      </c>
    </row>
    <row r="21" spans="2:99">
      <c r="C21" s="99" t="s">
        <v>187</v>
      </c>
      <c r="D21" s="100">
        <v>2.3064640246957069</v>
      </c>
      <c r="E21" s="100">
        <v>143.92335514101211</v>
      </c>
      <c r="F21" s="100">
        <v>14</v>
      </c>
      <c r="G21" s="100">
        <v>873.6</v>
      </c>
      <c r="H21" s="100">
        <v>9</v>
      </c>
      <c r="I21" s="100">
        <v>561.6</v>
      </c>
      <c r="J21" s="100">
        <v>13</v>
      </c>
      <c r="K21" s="100">
        <v>811.19999999999993</v>
      </c>
      <c r="L21" s="100">
        <v>9</v>
      </c>
      <c r="M21" s="100">
        <v>561.6</v>
      </c>
      <c r="N21" s="100">
        <v>8</v>
      </c>
      <c r="O21" s="100">
        <v>499.2</v>
      </c>
      <c r="P21" s="100">
        <v>14</v>
      </c>
      <c r="Q21" s="100">
        <v>873.6</v>
      </c>
      <c r="R21" s="100">
        <v>8</v>
      </c>
      <c r="S21" s="100">
        <v>499.2</v>
      </c>
      <c r="T21" s="100">
        <v>14</v>
      </c>
      <c r="U21" s="100">
        <v>873.6</v>
      </c>
      <c r="V21" s="100">
        <v>10</v>
      </c>
      <c r="W21" s="100">
        <v>624</v>
      </c>
      <c r="X21" s="100">
        <v>12</v>
      </c>
      <c r="Y21" s="100">
        <v>748.8</v>
      </c>
      <c r="Z21" s="100">
        <v>10</v>
      </c>
      <c r="AA21" s="100">
        <v>624</v>
      </c>
      <c r="AB21" s="100">
        <v>12</v>
      </c>
      <c r="AC21" s="100">
        <v>748.8</v>
      </c>
      <c r="AD21" s="100">
        <v>9</v>
      </c>
      <c r="AE21" s="100">
        <v>561.6</v>
      </c>
      <c r="AF21" s="100">
        <v>8.0060816522836138</v>
      </c>
      <c r="AG21" s="100">
        <v>499.5794951024975</v>
      </c>
      <c r="AH21" s="100">
        <v>15</v>
      </c>
      <c r="AI21" s="100">
        <v>936</v>
      </c>
      <c r="AJ21" s="100">
        <v>14</v>
      </c>
      <c r="AK21" s="100">
        <v>873.6</v>
      </c>
      <c r="AL21" s="100">
        <v>9</v>
      </c>
      <c r="AM21" s="100">
        <v>561.6</v>
      </c>
      <c r="AN21" s="100">
        <v>9</v>
      </c>
      <c r="AO21" s="100">
        <v>561.6</v>
      </c>
      <c r="AP21" s="100">
        <v>15</v>
      </c>
      <c r="AQ21" s="100">
        <v>936</v>
      </c>
      <c r="AR21" s="100">
        <v>4.292769530884005</v>
      </c>
      <c r="AS21" s="100">
        <v>267.86881872716191</v>
      </c>
      <c r="AT21" s="100">
        <v>7.6134610638543549E-4</v>
      </c>
      <c r="AU21" s="100">
        <v>4.7507997038451176E-2</v>
      </c>
      <c r="AV21" s="100">
        <v>9.7810620459789816E-4</v>
      </c>
      <c r="AW21" s="100">
        <v>6.1033827166908847E-2</v>
      </c>
      <c r="AX21" s="100">
        <v>9.7625783286272636</v>
      </c>
      <c r="AY21" s="100">
        <v>609.18488770634121</v>
      </c>
      <c r="AZ21" s="100">
        <v>1.1914703235440232</v>
      </c>
      <c r="BA21" s="100">
        <v>74.34774818914704</v>
      </c>
      <c r="BB21" s="100">
        <v>8</v>
      </c>
      <c r="BC21" s="100">
        <v>499.2</v>
      </c>
      <c r="BD21" s="100">
        <v>11.717441030887109</v>
      </c>
      <c r="BE21" s="100">
        <v>731.16832032735556</v>
      </c>
      <c r="BF21" s="100">
        <v>13.417560130986375</v>
      </c>
      <c r="BG21" s="100">
        <v>837.25575217354981</v>
      </c>
      <c r="BH21" s="100">
        <v>9</v>
      </c>
      <c r="BI21" s="100">
        <v>561.6</v>
      </c>
      <c r="BJ21" s="100">
        <v>10</v>
      </c>
      <c r="BK21" s="100">
        <v>624</v>
      </c>
      <c r="BL21" s="100">
        <v>16</v>
      </c>
      <c r="BM21" s="100">
        <v>998.4</v>
      </c>
      <c r="BN21" s="100">
        <v>12.489112784679323</v>
      </c>
      <c r="BO21" s="100">
        <v>779.32063776398968</v>
      </c>
      <c r="BP21" s="100">
        <v>7.9197726848063738E-4</v>
      </c>
      <c r="BQ21" s="100">
        <v>4.9419381553191769E-2</v>
      </c>
      <c r="BR21" s="100">
        <v>9</v>
      </c>
      <c r="BS21" s="100">
        <v>561.6</v>
      </c>
      <c r="BT21" s="100">
        <v>8</v>
      </c>
      <c r="BU21" s="100">
        <v>499.2</v>
      </c>
      <c r="BV21" s="100">
        <v>15.993106415887413</v>
      </c>
      <c r="BW21" s="100">
        <v>997.9698403513745</v>
      </c>
      <c r="BX21" s="100">
        <v>5.9468422993351282E-4</v>
      </c>
      <c r="BY21" s="100">
        <v>3.71082959478512E-2</v>
      </c>
      <c r="BZ21" s="100">
        <v>12</v>
      </c>
      <c r="CA21" s="100">
        <v>748.8</v>
      </c>
      <c r="CB21" s="100">
        <v>12</v>
      </c>
      <c r="CC21" s="100">
        <v>748.8</v>
      </c>
      <c r="CD21" s="100">
        <v>15</v>
      </c>
      <c r="CE21" s="100">
        <v>936</v>
      </c>
      <c r="CF21" s="100">
        <v>11</v>
      </c>
      <c r="CG21" s="100">
        <v>686.4</v>
      </c>
      <c r="CH21" s="100">
        <v>15</v>
      </c>
      <c r="CI21" s="100">
        <v>936</v>
      </c>
      <c r="CJ21" s="100">
        <v>17.727242569639468</v>
      </c>
      <c r="CK21" s="100">
        <v>1106.1799363455027</v>
      </c>
      <c r="CL21" s="100">
        <v>9.6648750101954448</v>
      </c>
      <c r="CM21" s="100">
        <v>603.08820063619578</v>
      </c>
      <c r="CN21" s="100">
        <v>14</v>
      </c>
      <c r="CO21" s="100">
        <v>873.6</v>
      </c>
      <c r="CP21" s="100">
        <v>15</v>
      </c>
      <c r="CQ21" s="100">
        <v>936</v>
      </c>
      <c r="CR21" s="100">
        <v>11.789535704973055</v>
      </c>
      <c r="CS21" s="100">
        <v>735.66702799031862</v>
      </c>
      <c r="CT21" s="100">
        <v>13.074917665992542</v>
      </c>
      <c r="CU21" s="100">
        <v>815.8748623579346</v>
      </c>
    </row>
    <row r="22" spans="2:99">
      <c r="C22" s="99" t="s">
        <v>188</v>
      </c>
      <c r="D22" s="100">
        <v>2.3064640246957069</v>
      </c>
      <c r="E22" s="100">
        <v>431.77006542303633</v>
      </c>
      <c r="F22" s="100">
        <v>14</v>
      </c>
      <c r="G22" s="100">
        <v>2620.7999999999997</v>
      </c>
      <c r="H22" s="100">
        <v>8</v>
      </c>
      <c r="I22" s="100">
        <v>1497.6</v>
      </c>
      <c r="J22" s="100">
        <v>15</v>
      </c>
      <c r="K22" s="100">
        <v>2808</v>
      </c>
      <c r="L22" s="100">
        <v>9</v>
      </c>
      <c r="M22" s="100">
        <v>1684.8</v>
      </c>
      <c r="N22" s="100">
        <v>9</v>
      </c>
      <c r="O22" s="100">
        <v>1684.8</v>
      </c>
      <c r="P22" s="100">
        <v>13</v>
      </c>
      <c r="Q22" s="100">
        <v>2433.6</v>
      </c>
      <c r="R22" s="100">
        <v>8</v>
      </c>
      <c r="S22" s="100">
        <v>1497.6</v>
      </c>
      <c r="T22" s="100">
        <v>13</v>
      </c>
      <c r="U22" s="100">
        <v>2433.6</v>
      </c>
      <c r="V22" s="100">
        <v>9</v>
      </c>
      <c r="W22" s="100">
        <v>1684.8</v>
      </c>
      <c r="X22" s="100">
        <v>11</v>
      </c>
      <c r="Y22" s="100">
        <v>2059.1999999999998</v>
      </c>
      <c r="Z22" s="100">
        <v>10</v>
      </c>
      <c r="AA22" s="100">
        <v>1872</v>
      </c>
      <c r="AB22" s="100">
        <v>14</v>
      </c>
      <c r="AC22" s="100">
        <v>2620.7999999999997</v>
      </c>
      <c r="AD22" s="100">
        <v>8</v>
      </c>
      <c r="AE22" s="100">
        <v>1497.6</v>
      </c>
      <c r="AF22" s="100">
        <v>9.0070952609975503</v>
      </c>
      <c r="AG22" s="100">
        <v>1686.1282328587413</v>
      </c>
      <c r="AH22" s="100">
        <v>13</v>
      </c>
      <c r="AI22" s="100">
        <v>2433.6</v>
      </c>
      <c r="AJ22" s="100">
        <v>14</v>
      </c>
      <c r="AK22" s="100">
        <v>2620.7999999999997</v>
      </c>
      <c r="AL22" s="100">
        <v>9</v>
      </c>
      <c r="AM22" s="100">
        <v>1684.8</v>
      </c>
      <c r="AN22" s="100">
        <v>8</v>
      </c>
      <c r="AO22" s="100">
        <v>1497.6</v>
      </c>
      <c r="AP22" s="100">
        <v>13</v>
      </c>
      <c r="AQ22" s="100">
        <v>2433.6</v>
      </c>
      <c r="AR22" s="100">
        <v>3.8634938235491387</v>
      </c>
      <c r="AS22" s="100">
        <v>723.24604376839875</v>
      </c>
      <c r="AT22" s="100">
        <v>8.7010904033528393E-4</v>
      </c>
      <c r="AU22" s="100">
        <v>0.16288441235076515</v>
      </c>
      <c r="AV22" s="100">
        <v>1.1737274455174778E-3</v>
      </c>
      <c r="AW22" s="100">
        <v>0.21972177780087182</v>
      </c>
      <c r="AX22" s="100">
        <v>8.7625783286272636</v>
      </c>
      <c r="AY22" s="100">
        <v>1640.3546631190236</v>
      </c>
      <c r="AZ22" s="100">
        <v>1.1120389686410883</v>
      </c>
      <c r="BA22" s="100">
        <v>208.17369492961171</v>
      </c>
      <c r="BB22" s="100">
        <v>9</v>
      </c>
      <c r="BC22" s="100">
        <v>1684.8</v>
      </c>
      <c r="BD22" s="100">
        <v>9.7645341924059235</v>
      </c>
      <c r="BE22" s="100">
        <v>1827.9208008183887</v>
      </c>
      <c r="BF22" s="100">
        <v>13.417560130986375</v>
      </c>
      <c r="BG22" s="100">
        <v>2511.7672565206494</v>
      </c>
      <c r="BH22" s="100">
        <v>8</v>
      </c>
      <c r="BI22" s="100">
        <v>1497.6</v>
      </c>
      <c r="BJ22" s="100">
        <v>10</v>
      </c>
      <c r="BK22" s="100">
        <v>1872</v>
      </c>
      <c r="BL22" s="100">
        <v>13</v>
      </c>
      <c r="BM22" s="100">
        <v>2433.6</v>
      </c>
      <c r="BN22" s="100">
        <v>14.351228248680876</v>
      </c>
      <c r="BO22" s="100">
        <v>2686.5499281530597</v>
      </c>
      <c r="BP22" s="100">
        <v>7.9197726848063738E-4</v>
      </c>
      <c r="BQ22" s="100">
        <v>0.14825814465957532</v>
      </c>
      <c r="BR22" s="100">
        <v>9</v>
      </c>
      <c r="BS22" s="100">
        <v>1684.8</v>
      </c>
      <c r="BT22" s="100">
        <v>8</v>
      </c>
      <c r="BU22" s="100">
        <v>1497.6</v>
      </c>
      <c r="BV22" s="100">
        <v>15.993106415887413</v>
      </c>
      <c r="BW22" s="100">
        <v>2993.9095210541236</v>
      </c>
      <c r="BX22" s="100">
        <v>6.6076025548168088E-4</v>
      </c>
      <c r="BY22" s="100">
        <v>0.12369431982617066</v>
      </c>
      <c r="BZ22" s="100">
        <v>13</v>
      </c>
      <c r="CA22" s="100">
        <v>2433.6</v>
      </c>
      <c r="CB22" s="100">
        <v>11</v>
      </c>
      <c r="CC22" s="100">
        <v>2059.1999999999998</v>
      </c>
      <c r="CD22" s="100">
        <v>14</v>
      </c>
      <c r="CE22" s="100">
        <v>2620.7999999999997</v>
      </c>
      <c r="CF22" s="100">
        <v>11</v>
      </c>
      <c r="CG22" s="100">
        <v>2059.1999999999998</v>
      </c>
      <c r="CH22" s="100">
        <v>16</v>
      </c>
      <c r="CI22" s="100">
        <v>2995.2</v>
      </c>
      <c r="CJ22" s="100">
        <v>16.727242569639468</v>
      </c>
      <c r="CK22" s="100">
        <v>3131.3398090365081</v>
      </c>
      <c r="CL22" s="100">
        <v>10.63136251121499</v>
      </c>
      <c r="CM22" s="100">
        <v>1990.1910620994458</v>
      </c>
      <c r="CN22" s="100">
        <v>16</v>
      </c>
      <c r="CO22" s="100">
        <v>2995.2</v>
      </c>
      <c r="CP22" s="100">
        <v>15</v>
      </c>
      <c r="CQ22" s="100">
        <v>2808</v>
      </c>
      <c r="CR22" s="100">
        <v>11.753647718383371</v>
      </c>
      <c r="CS22" s="100">
        <v>2200.282852881367</v>
      </c>
      <c r="CT22" s="100">
        <v>14.008840356420581</v>
      </c>
      <c r="CU22" s="100">
        <v>2622.4549147219327</v>
      </c>
    </row>
    <row r="23" spans="2:99">
      <c r="C23" s="99" t="s">
        <v>189</v>
      </c>
      <c r="D23" s="100">
        <v>2.3064640246957069</v>
      </c>
      <c r="E23" s="100">
        <v>678.10042326053781</v>
      </c>
      <c r="F23" s="100">
        <v>13</v>
      </c>
      <c r="G23" s="100">
        <v>3822</v>
      </c>
      <c r="H23" s="100">
        <v>9</v>
      </c>
      <c r="I23" s="100">
        <v>2646</v>
      </c>
      <c r="J23" s="100">
        <v>14</v>
      </c>
      <c r="K23" s="100">
        <v>4116</v>
      </c>
      <c r="L23" s="100">
        <v>8</v>
      </c>
      <c r="M23" s="100">
        <v>2352</v>
      </c>
      <c r="N23" s="100">
        <v>9</v>
      </c>
      <c r="O23" s="100">
        <v>2646</v>
      </c>
      <c r="P23" s="100">
        <v>14</v>
      </c>
      <c r="Q23" s="100">
        <v>4116</v>
      </c>
      <c r="R23" s="100">
        <v>8</v>
      </c>
      <c r="S23" s="100">
        <v>2352</v>
      </c>
      <c r="T23" s="100">
        <v>15</v>
      </c>
      <c r="U23" s="100">
        <v>4410</v>
      </c>
      <c r="V23" s="100">
        <v>10</v>
      </c>
      <c r="W23" s="100">
        <v>2940</v>
      </c>
      <c r="X23" s="100">
        <v>11</v>
      </c>
      <c r="Y23" s="100">
        <v>3234</v>
      </c>
      <c r="Z23" s="100">
        <v>10</v>
      </c>
      <c r="AA23" s="100">
        <v>2940</v>
      </c>
      <c r="AB23" s="100">
        <v>13</v>
      </c>
      <c r="AC23" s="100">
        <v>3822</v>
      </c>
      <c r="AD23" s="100">
        <v>8</v>
      </c>
      <c r="AE23" s="100">
        <v>2352</v>
      </c>
      <c r="AF23" s="100">
        <v>9.0065884566405821</v>
      </c>
      <c r="AG23" s="100">
        <v>2647.9370062523312</v>
      </c>
      <c r="AH23" s="100">
        <v>15</v>
      </c>
      <c r="AI23" s="100">
        <v>4410</v>
      </c>
      <c r="AJ23" s="100">
        <v>14</v>
      </c>
      <c r="AK23" s="100">
        <v>4116</v>
      </c>
      <c r="AL23" s="100">
        <v>9</v>
      </c>
      <c r="AM23" s="100">
        <v>2646</v>
      </c>
      <c r="AN23" s="100">
        <v>9</v>
      </c>
      <c r="AO23" s="100">
        <v>2646</v>
      </c>
      <c r="AP23" s="100">
        <v>15</v>
      </c>
      <c r="AQ23" s="100">
        <v>4410</v>
      </c>
      <c r="AR23" s="100">
        <v>3.434220607721342</v>
      </c>
      <c r="AS23" s="100">
        <v>1009.6608586700745</v>
      </c>
      <c r="AT23" s="100">
        <v>7.6134610638543549E-4</v>
      </c>
      <c r="AU23" s="100">
        <v>0.22383575527731803</v>
      </c>
      <c r="AV23" s="100">
        <v>9.7810620459789816E-4</v>
      </c>
      <c r="AW23" s="100">
        <v>0.28756322415178204</v>
      </c>
      <c r="AX23" s="100">
        <v>7.6899518211389521</v>
      </c>
      <c r="AY23" s="100">
        <v>2260.845835414852</v>
      </c>
      <c r="AZ23" s="100">
        <v>1.1120389686410883</v>
      </c>
      <c r="BA23" s="100">
        <v>326.93945678047999</v>
      </c>
      <c r="BB23" s="100">
        <v>9</v>
      </c>
      <c r="BC23" s="100">
        <v>2646</v>
      </c>
      <c r="BD23" s="100">
        <v>11.717441030887109</v>
      </c>
      <c r="BE23" s="100">
        <v>3444.9276630808099</v>
      </c>
      <c r="BF23" s="100">
        <v>13.417560130986375</v>
      </c>
      <c r="BG23" s="100">
        <v>3944.7626785099942</v>
      </c>
      <c r="BH23" s="100">
        <v>10</v>
      </c>
      <c r="BI23" s="100">
        <v>2940</v>
      </c>
      <c r="BJ23" s="100">
        <v>11</v>
      </c>
      <c r="BK23" s="100">
        <v>3234</v>
      </c>
      <c r="BL23" s="100">
        <v>15</v>
      </c>
      <c r="BM23" s="100">
        <v>4410</v>
      </c>
      <c r="BN23" s="100">
        <v>14.351228248680876</v>
      </c>
      <c r="BO23" s="100">
        <v>4219.2611051121776</v>
      </c>
      <c r="BP23" s="100">
        <v>7.9197726848063738E-4</v>
      </c>
      <c r="BQ23" s="100">
        <v>0.2328413169333074</v>
      </c>
      <c r="BR23" s="100">
        <v>10</v>
      </c>
      <c r="BS23" s="100">
        <v>2940</v>
      </c>
      <c r="BT23" s="100">
        <v>8</v>
      </c>
      <c r="BU23" s="100">
        <v>2352</v>
      </c>
      <c r="BV23" s="100">
        <v>15.993106415887413</v>
      </c>
      <c r="BW23" s="100">
        <v>4701.9732862708997</v>
      </c>
      <c r="BX23" s="100">
        <v>5.9468422993351282E-4</v>
      </c>
      <c r="BY23" s="100">
        <v>0.17483716360045276</v>
      </c>
      <c r="BZ23" s="100">
        <v>13</v>
      </c>
      <c r="CA23" s="100">
        <v>3822</v>
      </c>
      <c r="CB23" s="100">
        <v>13</v>
      </c>
      <c r="CC23" s="100">
        <v>3822</v>
      </c>
      <c r="CD23" s="100">
        <v>13</v>
      </c>
      <c r="CE23" s="100">
        <v>3822</v>
      </c>
      <c r="CF23" s="100">
        <v>10</v>
      </c>
      <c r="CG23" s="100">
        <v>2940</v>
      </c>
      <c r="CH23" s="100">
        <v>14</v>
      </c>
      <c r="CI23" s="100">
        <v>4116</v>
      </c>
      <c r="CJ23" s="100">
        <v>14.727242569639468</v>
      </c>
      <c r="CK23" s="100">
        <v>4329.8093154740036</v>
      </c>
      <c r="CL23" s="100">
        <v>11.597850012234534</v>
      </c>
      <c r="CM23" s="100">
        <v>3409.7679035969531</v>
      </c>
      <c r="CN23" s="100">
        <v>15</v>
      </c>
      <c r="CO23" s="100">
        <v>4410</v>
      </c>
      <c r="CP23" s="100">
        <v>16</v>
      </c>
      <c r="CQ23" s="100">
        <v>4704</v>
      </c>
      <c r="CR23" s="100">
        <v>11.753647718383371</v>
      </c>
      <c r="CS23" s="100">
        <v>3455.5724292047112</v>
      </c>
      <c r="CT23" s="100">
        <v>13.074917665992542</v>
      </c>
      <c r="CU23" s="100">
        <v>3844.0257938018076</v>
      </c>
    </row>
    <row r="24" spans="2:99">
      <c r="C24" s="99" t="s">
        <v>190</v>
      </c>
      <c r="D24" s="100">
        <v>2.5371104271652776</v>
      </c>
      <c r="E24" s="100">
        <v>931.62694885508995</v>
      </c>
      <c r="F24" s="100">
        <v>14</v>
      </c>
      <c r="G24" s="100">
        <v>5140.8</v>
      </c>
      <c r="H24" s="100">
        <v>8</v>
      </c>
      <c r="I24" s="100">
        <v>2937.6</v>
      </c>
      <c r="J24" s="100">
        <v>13</v>
      </c>
      <c r="K24" s="100">
        <v>4773.5999999999995</v>
      </c>
      <c r="L24" s="100">
        <v>8</v>
      </c>
      <c r="M24" s="100">
        <v>2937.6</v>
      </c>
      <c r="N24" s="100">
        <v>7</v>
      </c>
      <c r="O24" s="100">
        <v>2570.4</v>
      </c>
      <c r="P24" s="100">
        <v>14</v>
      </c>
      <c r="Q24" s="100">
        <v>5140.8</v>
      </c>
      <c r="R24" s="100">
        <v>8</v>
      </c>
      <c r="S24" s="100">
        <v>2937.6</v>
      </c>
      <c r="T24" s="100">
        <v>14</v>
      </c>
      <c r="U24" s="100">
        <v>5140.8</v>
      </c>
      <c r="V24" s="100">
        <v>9</v>
      </c>
      <c r="W24" s="100">
        <v>3304.7999999999997</v>
      </c>
      <c r="X24" s="100">
        <v>11</v>
      </c>
      <c r="Y24" s="100">
        <v>4039.2</v>
      </c>
      <c r="Z24" s="100">
        <v>9</v>
      </c>
      <c r="AA24" s="100">
        <v>3304.7999999999997</v>
      </c>
      <c r="AB24" s="100">
        <v>14</v>
      </c>
      <c r="AC24" s="100">
        <v>5140.8</v>
      </c>
      <c r="AD24" s="100">
        <v>7</v>
      </c>
      <c r="AE24" s="100">
        <v>2570.4</v>
      </c>
      <c r="AF24" s="100">
        <v>8.0055748479266455</v>
      </c>
      <c r="AG24" s="100">
        <v>2939.6470841586643</v>
      </c>
      <c r="AH24" s="100">
        <v>15</v>
      </c>
      <c r="AI24" s="100">
        <v>5508</v>
      </c>
      <c r="AJ24" s="100">
        <v>14</v>
      </c>
      <c r="AK24" s="100">
        <v>5140.8</v>
      </c>
      <c r="AL24" s="100">
        <v>10</v>
      </c>
      <c r="AM24" s="100">
        <v>3672</v>
      </c>
      <c r="AN24" s="100">
        <v>9</v>
      </c>
      <c r="AO24" s="100">
        <v>3304.7999999999997</v>
      </c>
      <c r="AP24" s="100">
        <v>14</v>
      </c>
      <c r="AQ24" s="100">
        <v>5140.8</v>
      </c>
      <c r="AR24" s="100">
        <v>3.8634913320420696</v>
      </c>
      <c r="AS24" s="100">
        <v>1418.674017125848</v>
      </c>
      <c r="AT24" s="100">
        <v>7.6134610638543549E-4</v>
      </c>
      <c r="AU24" s="100">
        <v>0.2795662902647319</v>
      </c>
      <c r="AV24" s="100">
        <v>9.7810620459789816E-4</v>
      </c>
      <c r="AW24" s="100">
        <v>0.35916059832834818</v>
      </c>
      <c r="AX24" s="100">
        <v>8.7625783286272636</v>
      </c>
      <c r="AY24" s="100">
        <v>3217.6187622719312</v>
      </c>
      <c r="AZ24" s="100">
        <v>1.270901678446958</v>
      </c>
      <c r="BA24" s="100">
        <v>466.67509632572296</v>
      </c>
      <c r="BB24" s="100">
        <v>9</v>
      </c>
      <c r="BC24" s="100">
        <v>3304.7999999999997</v>
      </c>
      <c r="BD24" s="100">
        <v>11.717441030887109</v>
      </c>
      <c r="BE24" s="100">
        <v>4302.644346541746</v>
      </c>
      <c r="BF24" s="100">
        <v>11.500765826559752</v>
      </c>
      <c r="BG24" s="100">
        <v>4223.081211512741</v>
      </c>
      <c r="BH24" s="100">
        <v>10</v>
      </c>
      <c r="BI24" s="100">
        <v>3672</v>
      </c>
      <c r="BJ24" s="100">
        <v>9</v>
      </c>
      <c r="BK24" s="100">
        <v>3304.7999999999997</v>
      </c>
      <c r="BL24" s="100">
        <v>13</v>
      </c>
      <c r="BM24" s="100">
        <v>4773.5999999999995</v>
      </c>
      <c r="BN24" s="100">
        <v>13.371414220358988</v>
      </c>
      <c r="BO24" s="100">
        <v>4909.9833017158198</v>
      </c>
      <c r="BP24" s="100">
        <v>7.9197726848063738E-4</v>
      </c>
      <c r="BQ24" s="100">
        <v>0.29081405298609003</v>
      </c>
      <c r="BR24" s="100">
        <v>9</v>
      </c>
      <c r="BS24" s="100">
        <v>3304.7999999999997</v>
      </c>
      <c r="BT24" s="100">
        <v>9</v>
      </c>
      <c r="BU24" s="100">
        <v>3304.7999999999997</v>
      </c>
      <c r="BV24" s="100">
        <v>15.993106415887413</v>
      </c>
      <c r="BW24" s="100">
        <v>5872.6686759138574</v>
      </c>
      <c r="BX24" s="100">
        <v>5.9468422993351282E-4</v>
      </c>
      <c r="BY24" s="100">
        <v>0.2183680492315859</v>
      </c>
      <c r="BZ24" s="100">
        <v>12</v>
      </c>
      <c r="CA24" s="100">
        <v>4406.3999999999996</v>
      </c>
      <c r="CB24" s="100">
        <v>10</v>
      </c>
      <c r="CC24" s="100">
        <v>3672</v>
      </c>
      <c r="CD24" s="100">
        <v>13</v>
      </c>
      <c r="CE24" s="100">
        <v>4773.5999999999995</v>
      </c>
      <c r="CF24" s="100">
        <v>11</v>
      </c>
      <c r="CG24" s="100">
        <v>4039.2</v>
      </c>
      <c r="CH24" s="100">
        <v>15</v>
      </c>
      <c r="CI24" s="100">
        <v>5508</v>
      </c>
      <c r="CJ24" s="100">
        <v>16.681789909037001</v>
      </c>
      <c r="CK24" s="100">
        <v>6125.553254598386</v>
      </c>
      <c r="CL24" s="100">
        <v>9.6648750101954448</v>
      </c>
      <c r="CM24" s="100">
        <v>3548.9421037437673</v>
      </c>
      <c r="CN24" s="100">
        <v>16</v>
      </c>
      <c r="CO24" s="100">
        <v>5875.2</v>
      </c>
      <c r="CP24" s="100">
        <v>16.445897666176748</v>
      </c>
      <c r="CQ24" s="100">
        <v>6038.9336230201015</v>
      </c>
      <c r="CR24" s="100">
        <v>11.861311678152424</v>
      </c>
      <c r="CS24" s="100">
        <v>4355.4736482175695</v>
      </c>
      <c r="CT24" s="100">
        <v>12.140994975564505</v>
      </c>
      <c r="CU24" s="100">
        <v>4458.1733550272857</v>
      </c>
    </row>
    <row r="25" spans="2:99">
      <c r="C25" s="99" t="s">
        <v>191</v>
      </c>
      <c r="D25" s="100">
        <v>2.5371104271652776</v>
      </c>
      <c r="E25" s="100">
        <v>1345.6833705684633</v>
      </c>
      <c r="F25" s="100">
        <v>15</v>
      </c>
      <c r="G25" s="100">
        <v>7956</v>
      </c>
      <c r="H25" s="100">
        <v>8</v>
      </c>
      <c r="I25" s="100">
        <v>4243.2</v>
      </c>
      <c r="J25" s="100">
        <v>13</v>
      </c>
      <c r="K25" s="100">
        <v>6895.2</v>
      </c>
      <c r="L25" s="100">
        <v>8</v>
      </c>
      <c r="M25" s="100">
        <v>4243.2</v>
      </c>
      <c r="N25" s="100">
        <v>8</v>
      </c>
      <c r="O25" s="100">
        <v>4243.2</v>
      </c>
      <c r="P25" s="100">
        <v>14</v>
      </c>
      <c r="Q25" s="100">
        <v>7425.5999999999995</v>
      </c>
      <c r="R25" s="100">
        <v>8</v>
      </c>
      <c r="S25" s="100">
        <v>4243.2</v>
      </c>
      <c r="T25" s="100">
        <v>15</v>
      </c>
      <c r="U25" s="100">
        <v>7956</v>
      </c>
      <c r="V25" s="100">
        <v>9</v>
      </c>
      <c r="W25" s="100">
        <v>4773.5999999999995</v>
      </c>
      <c r="X25" s="100">
        <v>11</v>
      </c>
      <c r="Y25" s="100">
        <v>5834.4</v>
      </c>
      <c r="Z25" s="100">
        <v>10</v>
      </c>
      <c r="AA25" s="100">
        <v>5304</v>
      </c>
      <c r="AB25" s="100">
        <v>13</v>
      </c>
      <c r="AC25" s="100">
        <v>6895.2</v>
      </c>
      <c r="AD25" s="100">
        <v>9</v>
      </c>
      <c r="AE25" s="100">
        <v>4773.5999999999995</v>
      </c>
      <c r="AF25" s="100">
        <v>10.006081652283614</v>
      </c>
      <c r="AG25" s="100">
        <v>5307.2257083712284</v>
      </c>
      <c r="AH25" s="100">
        <v>14</v>
      </c>
      <c r="AI25" s="100">
        <v>7425.5999999999995</v>
      </c>
      <c r="AJ25" s="100">
        <v>14</v>
      </c>
      <c r="AK25" s="100">
        <v>7425.5999999999995</v>
      </c>
      <c r="AL25" s="100">
        <v>10</v>
      </c>
      <c r="AM25" s="100">
        <v>5304</v>
      </c>
      <c r="AN25" s="100">
        <v>8</v>
      </c>
      <c r="AO25" s="100">
        <v>4243.2</v>
      </c>
      <c r="AP25" s="100">
        <v>13</v>
      </c>
      <c r="AQ25" s="100">
        <v>6895.2</v>
      </c>
      <c r="AR25" s="100">
        <v>4.292769530884005</v>
      </c>
      <c r="AS25" s="100">
        <v>2276.8849591808762</v>
      </c>
      <c r="AT25" s="100">
        <v>8.7010842158678423E-4</v>
      </c>
      <c r="AU25" s="100">
        <v>0.46150550680963032</v>
      </c>
      <c r="AV25" s="100">
        <v>1.0759168250576881E-3</v>
      </c>
      <c r="AW25" s="100">
        <v>0.57066628401059771</v>
      </c>
      <c r="AX25" s="100">
        <v>8.798891582371418</v>
      </c>
      <c r="AY25" s="100">
        <v>4666.9320952897997</v>
      </c>
      <c r="AZ25" s="100">
        <v>1.270901678446958</v>
      </c>
      <c r="BA25" s="100">
        <v>674.08625024826654</v>
      </c>
      <c r="BB25" s="100">
        <v>9</v>
      </c>
      <c r="BC25" s="100">
        <v>4773.5999999999995</v>
      </c>
      <c r="BD25" s="100">
        <v>11.717441030887109</v>
      </c>
      <c r="BE25" s="100">
        <v>6214.930722782522</v>
      </c>
      <c r="BF25" s="100">
        <v>12.459162978773062</v>
      </c>
      <c r="BG25" s="100">
        <v>6608.3400439412317</v>
      </c>
      <c r="BH25" s="100">
        <v>9</v>
      </c>
      <c r="BI25" s="100">
        <v>4773.5999999999995</v>
      </c>
      <c r="BJ25" s="100">
        <v>10</v>
      </c>
      <c r="BK25" s="100">
        <v>5304</v>
      </c>
      <c r="BL25" s="100">
        <v>15</v>
      </c>
      <c r="BM25" s="100">
        <v>7956</v>
      </c>
      <c r="BN25" s="100">
        <v>14.302471952359765</v>
      </c>
      <c r="BO25" s="100">
        <v>7586.0311235316194</v>
      </c>
      <c r="BP25" s="100">
        <v>7.9197726848063738E-4</v>
      </c>
      <c r="BQ25" s="100">
        <v>0.42006474320213005</v>
      </c>
      <c r="BR25" s="100">
        <v>10</v>
      </c>
      <c r="BS25" s="100">
        <v>5304</v>
      </c>
      <c r="BT25" s="100">
        <v>9</v>
      </c>
      <c r="BU25" s="100">
        <v>4773.5999999999995</v>
      </c>
      <c r="BV25" s="100">
        <v>14.993537264894448</v>
      </c>
      <c r="BW25" s="100">
        <v>7952.5721653000146</v>
      </c>
      <c r="BX25" s="100">
        <v>6.6076025548168088E-4</v>
      </c>
      <c r="BY25" s="100">
        <v>0.35046723950748354</v>
      </c>
      <c r="BZ25" s="100">
        <v>14</v>
      </c>
      <c r="CA25" s="100">
        <v>7425.5999999999995</v>
      </c>
      <c r="CB25" s="100">
        <v>10</v>
      </c>
      <c r="CC25" s="100">
        <v>5304</v>
      </c>
      <c r="CD25" s="100">
        <v>14</v>
      </c>
      <c r="CE25" s="100">
        <v>7425.5999999999995</v>
      </c>
      <c r="CF25" s="100">
        <v>11</v>
      </c>
      <c r="CG25" s="100">
        <v>5834.4</v>
      </c>
      <c r="CH25" s="100">
        <v>16</v>
      </c>
      <c r="CI25" s="100">
        <v>8486.4</v>
      </c>
      <c r="CJ25" s="100">
        <v>16.772695230241936</v>
      </c>
      <c r="CK25" s="100">
        <v>8896.2375501203223</v>
      </c>
      <c r="CL25" s="100">
        <v>11.597850012234534</v>
      </c>
      <c r="CM25" s="100">
        <v>6151.4996464891965</v>
      </c>
      <c r="CN25" s="100">
        <v>15</v>
      </c>
      <c r="CO25" s="100">
        <v>7956</v>
      </c>
      <c r="CP25" s="100">
        <v>15</v>
      </c>
      <c r="CQ25" s="100">
        <v>7956</v>
      </c>
      <c r="CR25" s="100">
        <v>10.753647718383371</v>
      </c>
      <c r="CS25" s="100">
        <v>5703.7347498305398</v>
      </c>
      <c r="CT25" s="100">
        <v>13.074917665992542</v>
      </c>
      <c r="CU25" s="100">
        <v>6934.9363300424438</v>
      </c>
    </row>
    <row r="26" spans="2:99">
      <c r="C26" s="99" t="s">
        <v>192</v>
      </c>
      <c r="D26" s="100">
        <v>2.5371104271652776</v>
      </c>
      <c r="E26" s="100">
        <v>1233.0356676023248</v>
      </c>
      <c r="F26" s="100">
        <v>14</v>
      </c>
      <c r="G26" s="100">
        <v>6804</v>
      </c>
      <c r="H26" s="100">
        <v>9</v>
      </c>
      <c r="I26" s="100">
        <v>4374</v>
      </c>
      <c r="J26" s="100">
        <v>14</v>
      </c>
      <c r="K26" s="100">
        <v>6804</v>
      </c>
      <c r="L26" s="100">
        <v>8</v>
      </c>
      <c r="M26" s="100">
        <v>3888</v>
      </c>
      <c r="N26" s="100">
        <v>8</v>
      </c>
      <c r="O26" s="100">
        <v>3888</v>
      </c>
      <c r="P26" s="100">
        <v>13</v>
      </c>
      <c r="Q26" s="100">
        <v>6318</v>
      </c>
      <c r="R26" s="100">
        <v>8</v>
      </c>
      <c r="S26" s="100">
        <v>3888</v>
      </c>
      <c r="T26" s="100">
        <v>15</v>
      </c>
      <c r="U26" s="100">
        <v>7290</v>
      </c>
      <c r="V26" s="100">
        <v>9</v>
      </c>
      <c r="W26" s="100">
        <v>4374</v>
      </c>
      <c r="X26" s="100">
        <v>11</v>
      </c>
      <c r="Y26" s="100">
        <v>5346</v>
      </c>
      <c r="Z26" s="100">
        <v>10</v>
      </c>
      <c r="AA26" s="100">
        <v>4860</v>
      </c>
      <c r="AB26" s="100">
        <v>12</v>
      </c>
      <c r="AC26" s="100">
        <v>5832</v>
      </c>
      <c r="AD26" s="100">
        <v>8</v>
      </c>
      <c r="AE26" s="100">
        <v>3888</v>
      </c>
      <c r="AF26" s="100">
        <v>9.0065884566405821</v>
      </c>
      <c r="AG26" s="100">
        <v>4377.2019899273228</v>
      </c>
      <c r="AH26" s="100">
        <v>15</v>
      </c>
      <c r="AI26" s="100">
        <v>7290</v>
      </c>
      <c r="AJ26" s="100">
        <v>14</v>
      </c>
      <c r="AK26" s="100">
        <v>6804</v>
      </c>
      <c r="AL26" s="100">
        <v>9</v>
      </c>
      <c r="AM26" s="100">
        <v>4374</v>
      </c>
      <c r="AN26" s="100">
        <v>9</v>
      </c>
      <c r="AO26" s="100">
        <v>4374</v>
      </c>
      <c r="AP26" s="100">
        <v>14</v>
      </c>
      <c r="AQ26" s="100">
        <v>6804</v>
      </c>
      <c r="AR26" s="100">
        <v>3.8634938235491387</v>
      </c>
      <c r="AS26" s="100">
        <v>1877.6579982448814</v>
      </c>
      <c r="AT26" s="100">
        <v>8.7010780283828452E-4</v>
      </c>
      <c r="AU26" s="100">
        <v>0.42287239217940625</v>
      </c>
      <c r="AV26" s="100">
        <v>1.0759168250576881E-3</v>
      </c>
      <c r="AW26" s="100">
        <v>0.52289557697803646</v>
      </c>
      <c r="AX26" s="100">
        <v>9.7625783286272636</v>
      </c>
      <c r="AY26" s="100">
        <v>4744.6130677128504</v>
      </c>
      <c r="AZ26" s="100">
        <v>1.1914703235440232</v>
      </c>
      <c r="BA26" s="100">
        <v>579.05457724239523</v>
      </c>
      <c r="BB26" s="100">
        <v>9</v>
      </c>
      <c r="BC26" s="100">
        <v>4374</v>
      </c>
      <c r="BD26" s="100">
        <v>11.717441030887109</v>
      </c>
      <c r="BE26" s="100">
        <v>5694.6763410111353</v>
      </c>
      <c r="BF26" s="100">
        <v>12.459162978773062</v>
      </c>
      <c r="BG26" s="100">
        <v>6055.1532076837084</v>
      </c>
      <c r="BH26" s="100">
        <v>9</v>
      </c>
      <c r="BI26" s="100">
        <v>4374</v>
      </c>
      <c r="BJ26" s="100">
        <v>11</v>
      </c>
      <c r="BK26" s="100">
        <v>5346</v>
      </c>
      <c r="BL26" s="100">
        <v>15</v>
      </c>
      <c r="BM26" s="100">
        <v>7290</v>
      </c>
      <c r="BN26" s="100">
        <v>14.302471952359765</v>
      </c>
      <c r="BO26" s="100">
        <v>6951.0013688468462</v>
      </c>
      <c r="BP26" s="100">
        <v>7.1997933498239765E-4</v>
      </c>
      <c r="BQ26" s="100">
        <v>0.34990995680144527</v>
      </c>
      <c r="BR26" s="100">
        <v>10</v>
      </c>
      <c r="BS26" s="100">
        <v>4860</v>
      </c>
      <c r="BT26" s="100">
        <v>9.3912219122293568</v>
      </c>
      <c r="BU26" s="100">
        <v>4564.1338493434678</v>
      </c>
      <c r="BV26" s="100">
        <v>14.993537264894448</v>
      </c>
      <c r="BW26" s="100">
        <v>7286.8591107387019</v>
      </c>
      <c r="BX26" s="100">
        <v>6.6076025548168088E-4</v>
      </c>
      <c r="BY26" s="100">
        <v>0.32112948416409692</v>
      </c>
      <c r="BZ26" s="100">
        <v>13</v>
      </c>
      <c r="CA26" s="100">
        <v>6318</v>
      </c>
      <c r="CB26" s="100">
        <v>12</v>
      </c>
      <c r="CC26" s="100">
        <v>5832</v>
      </c>
      <c r="CD26" s="100">
        <v>14</v>
      </c>
      <c r="CE26" s="100">
        <v>6804</v>
      </c>
      <c r="CF26" s="100">
        <v>11</v>
      </c>
      <c r="CG26" s="100">
        <v>5346</v>
      </c>
      <c r="CH26" s="100">
        <v>17</v>
      </c>
      <c r="CI26" s="100">
        <v>8262</v>
      </c>
      <c r="CJ26" s="100">
        <v>15.681789909037002</v>
      </c>
      <c r="CK26" s="100">
        <v>7621.3498957919828</v>
      </c>
      <c r="CL26" s="100">
        <v>10.63136251121499</v>
      </c>
      <c r="CM26" s="100">
        <v>5166.8421804504851</v>
      </c>
      <c r="CN26" s="100">
        <v>14</v>
      </c>
      <c r="CO26" s="100">
        <v>6804</v>
      </c>
      <c r="CP26" s="100">
        <v>16</v>
      </c>
      <c r="CQ26" s="100">
        <v>7776</v>
      </c>
      <c r="CR26" s="100">
        <v>11.789535704973055</v>
      </c>
      <c r="CS26" s="100">
        <v>5729.7143526169048</v>
      </c>
      <c r="CT26" s="100">
        <v>13.074917665992542</v>
      </c>
      <c r="CU26" s="100">
        <v>6354.4099856723751</v>
      </c>
    </row>
    <row r="27" spans="2:99">
      <c r="C27" s="99" t="s">
        <v>193</v>
      </c>
      <c r="D27" s="100">
        <v>2.3064640246957069</v>
      </c>
      <c r="E27" s="100">
        <v>985.32143135000592</v>
      </c>
      <c r="F27" s="100">
        <v>14</v>
      </c>
      <c r="G27" s="100">
        <v>5980.8</v>
      </c>
      <c r="H27" s="100">
        <v>7</v>
      </c>
      <c r="I27" s="100">
        <v>2990.4</v>
      </c>
      <c r="J27" s="100">
        <v>14</v>
      </c>
      <c r="K27" s="100">
        <v>5980.8</v>
      </c>
      <c r="L27" s="100">
        <v>8</v>
      </c>
      <c r="M27" s="100">
        <v>3417.6</v>
      </c>
      <c r="N27" s="100">
        <v>8</v>
      </c>
      <c r="O27" s="100">
        <v>3417.6</v>
      </c>
      <c r="P27" s="100">
        <v>13</v>
      </c>
      <c r="Q27" s="100">
        <v>5553.5999999999995</v>
      </c>
      <c r="R27" s="100">
        <v>8</v>
      </c>
      <c r="S27" s="100">
        <v>3417.6</v>
      </c>
      <c r="T27" s="100">
        <v>13</v>
      </c>
      <c r="U27" s="100">
        <v>5553.5999999999995</v>
      </c>
      <c r="V27" s="100">
        <v>9</v>
      </c>
      <c r="W27" s="100">
        <v>3844.7999999999997</v>
      </c>
      <c r="X27" s="100">
        <v>12</v>
      </c>
      <c r="Y27" s="100">
        <v>5126.3999999999996</v>
      </c>
      <c r="Z27" s="100">
        <v>11</v>
      </c>
      <c r="AA27" s="100">
        <v>4699.2</v>
      </c>
      <c r="AB27" s="100">
        <v>12</v>
      </c>
      <c r="AC27" s="100">
        <v>5126.3999999999996</v>
      </c>
      <c r="AD27" s="100">
        <v>7</v>
      </c>
      <c r="AE27" s="100">
        <v>2990.4</v>
      </c>
      <c r="AF27" s="100">
        <v>10.006081652283614</v>
      </c>
      <c r="AG27" s="100">
        <v>4274.5980818555599</v>
      </c>
      <c r="AH27" s="100">
        <v>13</v>
      </c>
      <c r="AI27" s="100">
        <v>5553.5999999999995</v>
      </c>
      <c r="AJ27" s="100">
        <v>13</v>
      </c>
      <c r="AK27" s="100">
        <v>5553.5999999999995</v>
      </c>
      <c r="AL27" s="100">
        <v>9</v>
      </c>
      <c r="AM27" s="100">
        <v>3844.7999999999997</v>
      </c>
      <c r="AN27" s="100">
        <v>8</v>
      </c>
      <c r="AO27" s="100">
        <v>3417.6</v>
      </c>
      <c r="AP27" s="100">
        <v>14</v>
      </c>
      <c r="AQ27" s="100">
        <v>5980.8</v>
      </c>
      <c r="AR27" s="100">
        <v>4.2927670393769368</v>
      </c>
      <c r="AS27" s="100">
        <v>1833.8700792218274</v>
      </c>
      <c r="AT27" s="100">
        <v>9.7887011803963315E-4</v>
      </c>
      <c r="AU27" s="100">
        <v>0.41817331442653127</v>
      </c>
      <c r="AV27" s="100">
        <v>1.1737274455174778E-3</v>
      </c>
      <c r="AW27" s="100">
        <v>0.50141636472506645</v>
      </c>
      <c r="AX27" s="100">
        <v>8.7625783286272636</v>
      </c>
      <c r="AY27" s="100">
        <v>3743.3734619895667</v>
      </c>
      <c r="AZ27" s="100">
        <v>1.1914703235440232</v>
      </c>
      <c r="BA27" s="100">
        <v>508.99612221800669</v>
      </c>
      <c r="BB27" s="100">
        <v>9</v>
      </c>
      <c r="BC27" s="100">
        <v>3844.7999999999997</v>
      </c>
      <c r="BD27" s="100">
        <v>11.717441030887109</v>
      </c>
      <c r="BE27" s="100">
        <v>5005.6908083949729</v>
      </c>
      <c r="BF27" s="100">
        <v>13.417560130986375</v>
      </c>
      <c r="BG27" s="100">
        <v>5731.9816879573791</v>
      </c>
      <c r="BH27" s="100">
        <v>10</v>
      </c>
      <c r="BI27" s="100">
        <v>4272</v>
      </c>
      <c r="BJ27" s="100">
        <v>10</v>
      </c>
      <c r="BK27" s="100">
        <v>4272</v>
      </c>
      <c r="BL27" s="100">
        <v>14</v>
      </c>
      <c r="BM27" s="100">
        <v>5980.8</v>
      </c>
      <c r="BN27" s="100">
        <v>13.371414220358988</v>
      </c>
      <c r="BO27" s="100">
        <v>5712.2681549373592</v>
      </c>
      <c r="BP27" s="100">
        <v>7.1997933498239765E-4</v>
      </c>
      <c r="BQ27" s="100">
        <v>0.30757517190448025</v>
      </c>
      <c r="BR27" s="100">
        <v>11</v>
      </c>
      <c r="BS27" s="100">
        <v>4699.2</v>
      </c>
      <c r="BT27" s="100">
        <v>9.4098515270974197</v>
      </c>
      <c r="BU27" s="100">
        <v>4019.8885723760177</v>
      </c>
      <c r="BV27" s="100">
        <v>14.993537264894448</v>
      </c>
      <c r="BW27" s="100">
        <v>6405.2391195629079</v>
      </c>
      <c r="BX27" s="100">
        <v>5.9468422993351282E-4</v>
      </c>
      <c r="BY27" s="100">
        <v>0.25404910302759665</v>
      </c>
      <c r="BZ27" s="100">
        <v>13</v>
      </c>
      <c r="CA27" s="100">
        <v>5553.5999999999995</v>
      </c>
      <c r="CB27" s="100">
        <v>12</v>
      </c>
      <c r="CC27" s="100">
        <v>5126.3999999999996</v>
      </c>
      <c r="CD27" s="100">
        <v>15</v>
      </c>
      <c r="CE27" s="100">
        <v>6408</v>
      </c>
      <c r="CF27" s="100">
        <v>10</v>
      </c>
      <c r="CG27" s="100">
        <v>4272</v>
      </c>
      <c r="CH27" s="100">
        <v>16</v>
      </c>
      <c r="CI27" s="100">
        <v>6835.2</v>
      </c>
      <c r="CJ27" s="100">
        <v>14.727242569639468</v>
      </c>
      <c r="CK27" s="100">
        <v>6291.4780257499806</v>
      </c>
      <c r="CL27" s="100">
        <v>11.597850012234534</v>
      </c>
      <c r="CM27" s="100">
        <v>4954.6015252265934</v>
      </c>
      <c r="CN27" s="100">
        <v>16</v>
      </c>
      <c r="CO27" s="100">
        <v>6835.2</v>
      </c>
      <c r="CP27" s="100">
        <v>16</v>
      </c>
      <c r="CQ27" s="100">
        <v>6835.2</v>
      </c>
      <c r="CR27" s="100">
        <v>11.82542369156274</v>
      </c>
      <c r="CS27" s="100">
        <v>5051.8210010356024</v>
      </c>
      <c r="CT27" s="100">
        <v>12.140994975564505</v>
      </c>
      <c r="CU27" s="100">
        <v>5186.633053561156</v>
      </c>
    </row>
    <row r="28" spans="2:99">
      <c r="C28" s="99" t="s">
        <v>194</v>
      </c>
      <c r="D28" s="100">
        <v>2.3064640246957069</v>
      </c>
      <c r="E28" s="100">
        <v>1702.1704502254318</v>
      </c>
      <c r="F28" s="100">
        <v>15</v>
      </c>
      <c r="G28" s="100">
        <v>11070</v>
      </c>
      <c r="H28" s="100">
        <v>8</v>
      </c>
      <c r="I28" s="100">
        <v>5904</v>
      </c>
      <c r="J28" s="100">
        <v>12</v>
      </c>
      <c r="K28" s="100">
        <v>8856</v>
      </c>
      <c r="L28" s="100">
        <v>8</v>
      </c>
      <c r="M28" s="100">
        <v>5904</v>
      </c>
      <c r="N28" s="100">
        <v>7</v>
      </c>
      <c r="O28" s="100">
        <v>5166</v>
      </c>
      <c r="P28" s="100">
        <v>12</v>
      </c>
      <c r="Q28" s="100">
        <v>8856</v>
      </c>
      <c r="R28" s="100">
        <v>7</v>
      </c>
      <c r="S28" s="100">
        <v>5166</v>
      </c>
      <c r="T28" s="100">
        <v>14</v>
      </c>
      <c r="U28" s="100">
        <v>10332</v>
      </c>
      <c r="V28" s="100">
        <v>10</v>
      </c>
      <c r="W28" s="100">
        <v>7380</v>
      </c>
      <c r="X28" s="100">
        <v>10</v>
      </c>
      <c r="Y28" s="100">
        <v>7380</v>
      </c>
      <c r="Z28" s="100">
        <v>9</v>
      </c>
      <c r="AA28" s="100">
        <v>6642</v>
      </c>
      <c r="AB28" s="100">
        <v>14</v>
      </c>
      <c r="AC28" s="100">
        <v>10332</v>
      </c>
      <c r="AD28" s="100">
        <v>8</v>
      </c>
      <c r="AE28" s="100">
        <v>5904</v>
      </c>
      <c r="AF28" s="100">
        <v>9.0055748479266455</v>
      </c>
      <c r="AG28" s="100">
        <v>6646.1142377698643</v>
      </c>
      <c r="AH28" s="100">
        <v>15</v>
      </c>
      <c r="AI28" s="100">
        <v>11070</v>
      </c>
      <c r="AJ28" s="100">
        <v>13</v>
      </c>
      <c r="AK28" s="100">
        <v>9594</v>
      </c>
      <c r="AL28" s="100">
        <v>9</v>
      </c>
      <c r="AM28" s="100">
        <v>6642</v>
      </c>
      <c r="AN28" s="100">
        <v>8</v>
      </c>
      <c r="AO28" s="100">
        <v>5904</v>
      </c>
      <c r="AP28" s="100">
        <v>14</v>
      </c>
      <c r="AQ28" s="100">
        <v>10332</v>
      </c>
      <c r="AR28" s="100">
        <v>3.4342181162142724</v>
      </c>
      <c r="AS28" s="100">
        <v>2534.4529697661333</v>
      </c>
      <c r="AT28" s="100">
        <v>8.701071840897846E-4</v>
      </c>
      <c r="AU28" s="100">
        <v>0.64213910185826106</v>
      </c>
      <c r="AV28" s="100">
        <v>1.0759168250576881E-3</v>
      </c>
      <c r="AW28" s="100">
        <v>0.79402661689257381</v>
      </c>
      <c r="AX28" s="100">
        <v>7.6536385673947969</v>
      </c>
      <c r="AY28" s="100">
        <v>5648.3852627373599</v>
      </c>
      <c r="AZ28" s="100">
        <v>1.0326076137381535</v>
      </c>
      <c r="BA28" s="100">
        <v>762.06441893875729</v>
      </c>
      <c r="BB28" s="100">
        <v>9</v>
      </c>
      <c r="BC28" s="100">
        <v>6642</v>
      </c>
      <c r="BD28" s="100">
        <v>11.717441030887109</v>
      </c>
      <c r="BE28" s="100">
        <v>8647.4714807946857</v>
      </c>
      <c r="BF28" s="100">
        <v>11.500765826559752</v>
      </c>
      <c r="BG28" s="100">
        <v>8487.5651800010965</v>
      </c>
      <c r="BH28" s="100">
        <v>9</v>
      </c>
      <c r="BI28" s="100">
        <v>6642</v>
      </c>
      <c r="BJ28" s="100">
        <v>10</v>
      </c>
      <c r="BK28" s="100">
        <v>7380</v>
      </c>
      <c r="BL28" s="100">
        <v>15</v>
      </c>
      <c r="BM28" s="100">
        <v>11070</v>
      </c>
      <c r="BN28" s="100">
        <v>12.440356488358212</v>
      </c>
      <c r="BO28" s="100">
        <v>9180.9830884083603</v>
      </c>
      <c r="BP28" s="100">
        <v>7.1997933498239765E-4</v>
      </c>
      <c r="BQ28" s="100">
        <v>0.53134474921700947</v>
      </c>
      <c r="BR28" s="100">
        <v>9</v>
      </c>
      <c r="BS28" s="100">
        <v>6642</v>
      </c>
      <c r="BT28" s="100">
        <v>8.3725922973612921</v>
      </c>
      <c r="BU28" s="100">
        <v>6178.9731154526335</v>
      </c>
      <c r="BV28" s="100">
        <v>14.993537264894448</v>
      </c>
      <c r="BW28" s="100">
        <v>11065.230501492102</v>
      </c>
      <c r="BX28" s="100">
        <v>6.6076025548168088E-4</v>
      </c>
      <c r="BY28" s="100">
        <v>0.4876410685454805</v>
      </c>
      <c r="BZ28" s="100">
        <v>13</v>
      </c>
      <c r="CA28" s="100">
        <v>9594</v>
      </c>
      <c r="CB28" s="100">
        <v>12</v>
      </c>
      <c r="CC28" s="100">
        <v>8856</v>
      </c>
      <c r="CD28" s="100">
        <v>12</v>
      </c>
      <c r="CE28" s="100">
        <v>8856</v>
      </c>
      <c r="CF28" s="100">
        <v>11</v>
      </c>
      <c r="CG28" s="100">
        <v>8118</v>
      </c>
      <c r="CH28" s="100">
        <v>14</v>
      </c>
      <c r="CI28" s="100">
        <v>10332</v>
      </c>
      <c r="CJ28" s="100">
        <v>15.727242569639468</v>
      </c>
      <c r="CK28" s="100">
        <v>11606.705016393928</v>
      </c>
      <c r="CL28" s="100">
        <v>9.6648750101954448</v>
      </c>
      <c r="CM28" s="100">
        <v>7132.6777575242386</v>
      </c>
      <c r="CN28" s="100">
        <v>15</v>
      </c>
      <c r="CO28" s="100">
        <v>11070</v>
      </c>
      <c r="CP28" s="100">
        <v>15</v>
      </c>
      <c r="CQ28" s="100">
        <v>11070</v>
      </c>
      <c r="CR28" s="100">
        <v>12.789535704973055</v>
      </c>
      <c r="CS28" s="100">
        <v>9438.6773502701144</v>
      </c>
      <c r="CT28" s="100">
        <v>14.008840356420581</v>
      </c>
      <c r="CU28" s="100">
        <v>10338.524183038389</v>
      </c>
    </row>
    <row r="29" spans="2:99">
      <c r="C29" s="99" t="s">
        <v>195</v>
      </c>
      <c r="D29" s="100">
        <v>2.3064640246957069</v>
      </c>
      <c r="E29" s="100">
        <v>780.50742595702718</v>
      </c>
      <c r="F29" s="100">
        <v>14</v>
      </c>
      <c r="G29" s="100">
        <v>4737.5999999999995</v>
      </c>
      <c r="H29" s="100">
        <v>8</v>
      </c>
      <c r="I29" s="100">
        <v>2707.2</v>
      </c>
      <c r="J29" s="100">
        <v>14</v>
      </c>
      <c r="K29" s="100">
        <v>4737.5999999999995</v>
      </c>
      <c r="L29" s="100">
        <v>9</v>
      </c>
      <c r="M29" s="100">
        <v>3045.6</v>
      </c>
      <c r="N29" s="100">
        <v>7</v>
      </c>
      <c r="O29" s="100">
        <v>2368.7999999999997</v>
      </c>
      <c r="P29" s="100">
        <v>12</v>
      </c>
      <c r="Q29" s="100">
        <v>4060.7999999999997</v>
      </c>
      <c r="R29" s="100">
        <v>8</v>
      </c>
      <c r="S29" s="100">
        <v>2707.2</v>
      </c>
      <c r="T29" s="100">
        <v>14</v>
      </c>
      <c r="U29" s="100">
        <v>4737.5999999999995</v>
      </c>
      <c r="V29" s="100">
        <v>10</v>
      </c>
      <c r="W29" s="100">
        <v>3384</v>
      </c>
      <c r="X29" s="100">
        <v>12</v>
      </c>
      <c r="Y29" s="100">
        <v>4060.7999999999997</v>
      </c>
      <c r="Z29" s="100">
        <v>9</v>
      </c>
      <c r="AA29" s="100">
        <v>3045.6</v>
      </c>
      <c r="AB29" s="100">
        <v>14</v>
      </c>
      <c r="AC29" s="100">
        <v>4737.5999999999995</v>
      </c>
      <c r="AD29" s="100">
        <v>9</v>
      </c>
      <c r="AE29" s="100">
        <v>3045.6</v>
      </c>
      <c r="AF29" s="100">
        <v>9.0055748479266455</v>
      </c>
      <c r="AG29" s="100">
        <v>3047.4865285383767</v>
      </c>
      <c r="AH29" s="100">
        <v>14</v>
      </c>
      <c r="AI29" s="100">
        <v>4737.5999999999995</v>
      </c>
      <c r="AJ29" s="100">
        <v>14</v>
      </c>
      <c r="AK29" s="100">
        <v>4737.5999999999995</v>
      </c>
      <c r="AL29" s="100">
        <v>9</v>
      </c>
      <c r="AM29" s="100">
        <v>3045.6</v>
      </c>
      <c r="AN29" s="100">
        <v>9</v>
      </c>
      <c r="AO29" s="100">
        <v>3045.6</v>
      </c>
      <c r="AP29" s="100">
        <v>15</v>
      </c>
      <c r="AQ29" s="100">
        <v>5076</v>
      </c>
      <c r="AR29" s="100">
        <v>4.292769530884005</v>
      </c>
      <c r="AS29" s="100">
        <v>1452.6732092511472</v>
      </c>
      <c r="AT29" s="100">
        <v>8.7010904033528393E-4</v>
      </c>
      <c r="AU29" s="100">
        <v>0.29444489924946005</v>
      </c>
      <c r="AV29" s="100">
        <v>1.0759168250576881E-3</v>
      </c>
      <c r="AW29" s="100">
        <v>0.36409025359952163</v>
      </c>
      <c r="AX29" s="100">
        <v>8.7262650748831074</v>
      </c>
      <c r="AY29" s="100">
        <v>2952.9681013404434</v>
      </c>
      <c r="AZ29" s="100">
        <v>1.1120389686410883</v>
      </c>
      <c r="BA29" s="100">
        <v>376.31398698814428</v>
      </c>
      <c r="BB29" s="100">
        <v>8</v>
      </c>
      <c r="BC29" s="100">
        <v>2707.2</v>
      </c>
      <c r="BD29" s="100">
        <v>10.740987611646517</v>
      </c>
      <c r="BE29" s="100">
        <v>3634.750207781181</v>
      </c>
      <c r="BF29" s="100">
        <v>13.417560130986375</v>
      </c>
      <c r="BG29" s="100">
        <v>4540.5023483257892</v>
      </c>
      <c r="BH29" s="100">
        <v>9</v>
      </c>
      <c r="BI29" s="100">
        <v>3045.6</v>
      </c>
      <c r="BJ29" s="100">
        <v>10</v>
      </c>
      <c r="BK29" s="100">
        <v>3384</v>
      </c>
      <c r="BL29" s="100">
        <v>14</v>
      </c>
      <c r="BM29" s="100">
        <v>4737.5999999999995</v>
      </c>
      <c r="BN29" s="100">
        <v>13.468926813001211</v>
      </c>
      <c r="BO29" s="100">
        <v>4557.8848335196099</v>
      </c>
      <c r="BP29" s="100">
        <v>7.1997933498239765E-4</v>
      </c>
      <c r="BQ29" s="100">
        <v>0.24364100695804336</v>
      </c>
      <c r="BR29" s="100">
        <v>9</v>
      </c>
      <c r="BS29" s="100">
        <v>3045.6</v>
      </c>
      <c r="BT29" s="100">
        <v>8</v>
      </c>
      <c r="BU29" s="100">
        <v>2707.2</v>
      </c>
      <c r="BV29" s="100">
        <v>13.993968113901484</v>
      </c>
      <c r="BW29" s="100">
        <v>4735.5588097442624</v>
      </c>
      <c r="BX29" s="100">
        <v>6.6076025548168088E-4</v>
      </c>
      <c r="BY29" s="100">
        <v>0.22360127045500081</v>
      </c>
      <c r="BZ29" s="100">
        <v>14</v>
      </c>
      <c r="CA29" s="100">
        <v>4737.5999999999995</v>
      </c>
      <c r="CB29" s="100">
        <v>10</v>
      </c>
      <c r="CC29" s="100">
        <v>3384</v>
      </c>
      <c r="CD29" s="100">
        <v>15</v>
      </c>
      <c r="CE29" s="100">
        <v>5076</v>
      </c>
      <c r="CF29" s="100">
        <v>10</v>
      </c>
      <c r="CG29" s="100">
        <v>3384</v>
      </c>
      <c r="CH29" s="100">
        <v>15</v>
      </c>
      <c r="CI29" s="100">
        <v>5076</v>
      </c>
      <c r="CJ29" s="100">
        <v>17.727242569639468</v>
      </c>
      <c r="CK29" s="100">
        <v>5998.8988855659954</v>
      </c>
      <c r="CL29" s="100">
        <v>10.63136251121499</v>
      </c>
      <c r="CM29" s="100">
        <v>3597.6530737951521</v>
      </c>
      <c r="CN29" s="100">
        <v>15</v>
      </c>
      <c r="CO29" s="100">
        <v>5076</v>
      </c>
      <c r="CP29" s="100">
        <v>17</v>
      </c>
      <c r="CQ29" s="100">
        <v>5752.7999999999993</v>
      </c>
      <c r="CR29" s="100">
        <v>11.861311678152424</v>
      </c>
      <c r="CS29" s="100">
        <v>4013.86787188678</v>
      </c>
      <c r="CT29" s="100">
        <v>13.074917665992542</v>
      </c>
      <c r="CU29" s="100">
        <v>4424.5521381718763</v>
      </c>
    </row>
    <row r="30" spans="2:99">
      <c r="C30" s="99" t="s">
        <v>196</v>
      </c>
      <c r="D30" s="100">
        <v>2.3064640246957069</v>
      </c>
      <c r="E30" s="100">
        <v>321.0597922376424</v>
      </c>
      <c r="F30" s="100">
        <v>14</v>
      </c>
      <c r="G30" s="100">
        <v>1948.7999999999997</v>
      </c>
      <c r="H30" s="100">
        <v>7</v>
      </c>
      <c r="I30" s="100">
        <v>974.39999999999986</v>
      </c>
      <c r="J30" s="100">
        <v>14</v>
      </c>
      <c r="K30" s="100">
        <v>1948.7999999999997</v>
      </c>
      <c r="L30" s="100">
        <v>8</v>
      </c>
      <c r="M30" s="100">
        <v>1113.5999999999999</v>
      </c>
      <c r="N30" s="100">
        <v>7</v>
      </c>
      <c r="O30" s="100">
        <v>974.39999999999986</v>
      </c>
      <c r="P30" s="100">
        <v>12</v>
      </c>
      <c r="Q30" s="100">
        <v>1670.3999999999999</v>
      </c>
      <c r="R30" s="100">
        <v>8</v>
      </c>
      <c r="S30" s="100">
        <v>1113.5999999999999</v>
      </c>
      <c r="T30" s="100">
        <v>13</v>
      </c>
      <c r="U30" s="100">
        <v>1809.6</v>
      </c>
      <c r="V30" s="100">
        <v>10</v>
      </c>
      <c r="W30" s="100">
        <v>1392</v>
      </c>
      <c r="X30" s="100">
        <v>13</v>
      </c>
      <c r="Y30" s="100">
        <v>1809.6</v>
      </c>
      <c r="Z30" s="100">
        <v>11</v>
      </c>
      <c r="AA30" s="100">
        <v>1531.1999999999998</v>
      </c>
      <c r="AB30" s="100">
        <v>14</v>
      </c>
      <c r="AC30" s="100">
        <v>1948.7999999999997</v>
      </c>
      <c r="AD30" s="100">
        <v>8</v>
      </c>
      <c r="AE30" s="100">
        <v>1113.5999999999999</v>
      </c>
      <c r="AF30" s="100">
        <v>9.0065884566405821</v>
      </c>
      <c r="AG30" s="100">
        <v>1253.7171131643688</v>
      </c>
      <c r="AH30" s="100">
        <v>14</v>
      </c>
      <c r="AI30" s="100">
        <v>1948.7999999999997</v>
      </c>
      <c r="AJ30" s="100">
        <v>15</v>
      </c>
      <c r="AK30" s="100">
        <v>2088</v>
      </c>
      <c r="AL30" s="100">
        <v>9</v>
      </c>
      <c r="AM30" s="100">
        <v>1252.8</v>
      </c>
      <c r="AN30" s="100">
        <v>8</v>
      </c>
      <c r="AO30" s="100">
        <v>1113.5999999999999</v>
      </c>
      <c r="AP30" s="100">
        <v>13</v>
      </c>
      <c r="AQ30" s="100">
        <v>1809.6</v>
      </c>
      <c r="AR30" s="100">
        <v>3.8634938235491387</v>
      </c>
      <c r="AS30" s="100">
        <v>537.79834023804005</v>
      </c>
      <c r="AT30" s="100">
        <v>9.7887073678813285E-4</v>
      </c>
      <c r="AU30" s="100">
        <v>0.13625880656090808</v>
      </c>
      <c r="AV30" s="100">
        <v>9.7810620459789816E-4</v>
      </c>
      <c r="AW30" s="100">
        <v>0.13615238368002741</v>
      </c>
      <c r="AX30" s="100">
        <v>9.7625783286272636</v>
      </c>
      <c r="AY30" s="100">
        <v>1358.9509033449149</v>
      </c>
      <c r="AZ30" s="100">
        <v>1.1120389686410883</v>
      </c>
      <c r="BA30" s="100">
        <v>154.79582443483949</v>
      </c>
      <c r="BB30" s="100">
        <v>9</v>
      </c>
      <c r="BC30" s="100">
        <v>1252.8</v>
      </c>
      <c r="BD30" s="100">
        <v>10.740987611646517</v>
      </c>
      <c r="BE30" s="100">
        <v>1495.1454755411951</v>
      </c>
      <c r="BF30" s="100">
        <v>12.459162978773062</v>
      </c>
      <c r="BG30" s="100">
        <v>1734.3154866452101</v>
      </c>
      <c r="BH30" s="100">
        <v>10</v>
      </c>
      <c r="BI30" s="100">
        <v>1392</v>
      </c>
      <c r="BJ30" s="100">
        <v>11</v>
      </c>
      <c r="BK30" s="100">
        <v>1531.1999999999998</v>
      </c>
      <c r="BL30" s="100">
        <v>15</v>
      </c>
      <c r="BM30" s="100">
        <v>2088</v>
      </c>
      <c r="BN30" s="100">
        <v>13.468926813001211</v>
      </c>
      <c r="BO30" s="100">
        <v>1874.8746123697683</v>
      </c>
      <c r="BP30" s="100">
        <v>7.1997933498239765E-4</v>
      </c>
      <c r="BQ30" s="100">
        <v>0.10022112342954975</v>
      </c>
      <c r="BR30" s="100">
        <v>10</v>
      </c>
      <c r="BS30" s="100">
        <v>1392</v>
      </c>
      <c r="BT30" s="100">
        <v>8</v>
      </c>
      <c r="BU30" s="100">
        <v>1113.5999999999999</v>
      </c>
      <c r="BV30" s="100">
        <v>14.993537264894448</v>
      </c>
      <c r="BW30" s="100">
        <v>2087.1003872733068</v>
      </c>
      <c r="BX30" s="100">
        <v>6.6076025548168088E-4</v>
      </c>
      <c r="BY30" s="100">
        <v>9.1977827563049966E-2</v>
      </c>
      <c r="BZ30" s="100">
        <v>13</v>
      </c>
      <c r="CA30" s="100">
        <v>1809.6</v>
      </c>
      <c r="CB30" s="100">
        <v>12</v>
      </c>
      <c r="CC30" s="100">
        <v>1670.3999999999999</v>
      </c>
      <c r="CD30" s="100">
        <v>13</v>
      </c>
      <c r="CE30" s="100">
        <v>1809.6</v>
      </c>
      <c r="CF30" s="100">
        <v>10</v>
      </c>
      <c r="CG30" s="100">
        <v>1392</v>
      </c>
      <c r="CH30" s="100">
        <v>16</v>
      </c>
      <c r="CI30" s="100">
        <v>2227.1999999999998</v>
      </c>
      <c r="CJ30" s="100">
        <v>16.818147890844401</v>
      </c>
      <c r="CK30" s="100">
        <v>2341.0861864055405</v>
      </c>
      <c r="CL30" s="100">
        <v>10.63136251121499</v>
      </c>
      <c r="CM30" s="100">
        <v>1479.8856615611264</v>
      </c>
      <c r="CN30" s="100">
        <v>17</v>
      </c>
      <c r="CO30" s="100">
        <v>2366.3999999999996</v>
      </c>
      <c r="CP30" s="100">
        <v>17</v>
      </c>
      <c r="CQ30" s="100">
        <v>2366.3999999999996</v>
      </c>
      <c r="CR30" s="100">
        <v>11.861311678152424</v>
      </c>
      <c r="CS30" s="100">
        <v>1651.0945855988173</v>
      </c>
      <c r="CT30" s="100">
        <v>14.008840356420581</v>
      </c>
      <c r="CU30" s="100">
        <v>1950.0305776137448</v>
      </c>
    </row>
    <row r="31" spans="2:99">
      <c r="C31" s="99" t="s">
        <v>197</v>
      </c>
      <c r="D31" s="100">
        <v>2.3064640246957069</v>
      </c>
      <c r="E31" s="100">
        <v>786.04293961629696</v>
      </c>
      <c r="F31" s="100">
        <v>14</v>
      </c>
      <c r="G31" s="100">
        <v>4771.2</v>
      </c>
      <c r="H31" s="100">
        <v>7</v>
      </c>
      <c r="I31" s="100">
        <v>2385.6</v>
      </c>
      <c r="J31" s="100">
        <v>15</v>
      </c>
      <c r="K31" s="100">
        <v>5112</v>
      </c>
      <c r="L31" s="100">
        <v>9</v>
      </c>
      <c r="M31" s="100">
        <v>3067.2000000000003</v>
      </c>
      <c r="N31" s="100">
        <v>7</v>
      </c>
      <c r="O31" s="100">
        <v>2385.6</v>
      </c>
      <c r="P31" s="100">
        <v>15</v>
      </c>
      <c r="Q31" s="100">
        <v>5112</v>
      </c>
      <c r="R31" s="100">
        <v>8</v>
      </c>
      <c r="S31" s="100">
        <v>2726.4</v>
      </c>
      <c r="T31" s="100">
        <v>13</v>
      </c>
      <c r="U31" s="100">
        <v>4430.4000000000005</v>
      </c>
      <c r="V31" s="100">
        <v>10</v>
      </c>
      <c r="W31" s="100">
        <v>3408</v>
      </c>
      <c r="X31" s="100">
        <v>11</v>
      </c>
      <c r="Y31" s="100">
        <v>3748.8</v>
      </c>
      <c r="Z31" s="100">
        <v>11</v>
      </c>
      <c r="AA31" s="100">
        <v>3748.8</v>
      </c>
      <c r="AB31" s="100">
        <v>13</v>
      </c>
      <c r="AC31" s="100">
        <v>4430.4000000000005</v>
      </c>
      <c r="AD31" s="100">
        <v>8</v>
      </c>
      <c r="AE31" s="100">
        <v>2726.4</v>
      </c>
      <c r="AF31" s="100">
        <v>10.006588456640582</v>
      </c>
      <c r="AG31" s="100">
        <v>3410.2453460231104</v>
      </c>
      <c r="AH31" s="100">
        <v>14</v>
      </c>
      <c r="AI31" s="100">
        <v>4771.2</v>
      </c>
      <c r="AJ31" s="100">
        <v>14</v>
      </c>
      <c r="AK31" s="100">
        <v>4771.2</v>
      </c>
      <c r="AL31" s="100">
        <v>8</v>
      </c>
      <c r="AM31" s="100">
        <v>2726.4</v>
      </c>
      <c r="AN31" s="100">
        <v>8</v>
      </c>
      <c r="AO31" s="100">
        <v>2726.4</v>
      </c>
      <c r="AP31" s="100">
        <v>14</v>
      </c>
      <c r="AQ31" s="100">
        <v>4771.2</v>
      </c>
      <c r="AR31" s="100">
        <v>3.4342230992284106</v>
      </c>
      <c r="AS31" s="100">
        <v>1170.3832322170424</v>
      </c>
      <c r="AT31" s="100">
        <v>7.613467251339352E-4</v>
      </c>
      <c r="AU31" s="100">
        <v>0.25946696392564511</v>
      </c>
      <c r="AV31" s="100">
        <v>1.1737274455174778E-3</v>
      </c>
      <c r="AW31" s="100">
        <v>0.40000631343235643</v>
      </c>
      <c r="AX31" s="100">
        <v>8.7262650748831074</v>
      </c>
      <c r="AY31" s="100">
        <v>2973.9111375201633</v>
      </c>
      <c r="AZ31" s="100">
        <v>1.270901678446958</v>
      </c>
      <c r="BA31" s="100">
        <v>433.12329201472329</v>
      </c>
      <c r="BB31" s="100">
        <v>9</v>
      </c>
      <c r="BC31" s="100">
        <v>3067.2000000000003</v>
      </c>
      <c r="BD31" s="100">
        <v>10.740987611646517</v>
      </c>
      <c r="BE31" s="100">
        <v>3660.5285780491331</v>
      </c>
      <c r="BF31" s="100">
        <v>12.459162978773062</v>
      </c>
      <c r="BG31" s="100">
        <v>4246.0827431658599</v>
      </c>
      <c r="BH31" s="100">
        <v>9</v>
      </c>
      <c r="BI31" s="100">
        <v>3067.2000000000003</v>
      </c>
      <c r="BJ31" s="100">
        <v>10</v>
      </c>
      <c r="BK31" s="100">
        <v>3408</v>
      </c>
      <c r="BL31" s="100">
        <v>14</v>
      </c>
      <c r="BM31" s="100">
        <v>4771.2</v>
      </c>
      <c r="BN31" s="100">
        <v>13.371414220358988</v>
      </c>
      <c r="BO31" s="100">
        <v>4556.9779662983428</v>
      </c>
      <c r="BP31" s="100">
        <v>7.9197726848063738E-4</v>
      </c>
      <c r="BQ31" s="100">
        <v>0.26990585309820125</v>
      </c>
      <c r="BR31" s="100">
        <v>9</v>
      </c>
      <c r="BS31" s="100">
        <v>3067.2000000000003</v>
      </c>
      <c r="BT31" s="100">
        <v>8</v>
      </c>
      <c r="BU31" s="100">
        <v>2726.4</v>
      </c>
      <c r="BV31" s="100">
        <v>15.993106415887413</v>
      </c>
      <c r="BW31" s="100">
        <v>5450.4506665344306</v>
      </c>
      <c r="BX31" s="100">
        <v>5.9468422993351282E-4</v>
      </c>
      <c r="BY31" s="100">
        <v>0.20266838556134117</v>
      </c>
      <c r="BZ31" s="100">
        <v>14</v>
      </c>
      <c r="CA31" s="100">
        <v>4771.2</v>
      </c>
      <c r="CB31" s="100">
        <v>12</v>
      </c>
      <c r="CC31" s="100">
        <v>4089.6000000000004</v>
      </c>
      <c r="CD31" s="100">
        <v>15</v>
      </c>
      <c r="CE31" s="100">
        <v>5112</v>
      </c>
      <c r="CF31" s="100">
        <v>11</v>
      </c>
      <c r="CG31" s="100">
        <v>3748.8</v>
      </c>
      <c r="CH31" s="100">
        <v>16</v>
      </c>
      <c r="CI31" s="100">
        <v>5452.8</v>
      </c>
      <c r="CJ31" s="100">
        <v>17.772695230241936</v>
      </c>
      <c r="CK31" s="100">
        <v>6056.9345344664525</v>
      </c>
      <c r="CL31" s="100">
        <v>11.597850012234534</v>
      </c>
      <c r="CM31" s="100">
        <v>3952.5472841695296</v>
      </c>
      <c r="CN31" s="100">
        <v>14</v>
      </c>
      <c r="CO31" s="100">
        <v>4771.2</v>
      </c>
      <c r="CP31" s="100">
        <v>15</v>
      </c>
      <c r="CQ31" s="100">
        <v>5112</v>
      </c>
      <c r="CR31" s="100">
        <v>12.82542369156274</v>
      </c>
      <c r="CS31" s="100">
        <v>4370.9043940845822</v>
      </c>
      <c r="CT31" s="100">
        <v>13.074917665992542</v>
      </c>
      <c r="CU31" s="100">
        <v>4455.9319405702581</v>
      </c>
    </row>
    <row r="32" spans="2:99">
      <c r="C32" s="99" t="s">
        <v>198</v>
      </c>
      <c r="D32" s="100">
        <v>2.3064640246957069</v>
      </c>
      <c r="E32" s="100">
        <v>1937.4297807443938</v>
      </c>
      <c r="F32" s="100">
        <v>14</v>
      </c>
      <c r="G32" s="100">
        <v>11760</v>
      </c>
      <c r="H32" s="100">
        <v>8</v>
      </c>
      <c r="I32" s="100">
        <v>6720</v>
      </c>
      <c r="J32" s="100">
        <v>14</v>
      </c>
      <c r="K32" s="100">
        <v>11760</v>
      </c>
      <c r="L32" s="100">
        <v>9</v>
      </c>
      <c r="M32" s="100">
        <v>7560</v>
      </c>
      <c r="N32" s="100">
        <v>8</v>
      </c>
      <c r="O32" s="100">
        <v>6720</v>
      </c>
      <c r="P32" s="100">
        <v>14</v>
      </c>
      <c r="Q32" s="100">
        <v>11760</v>
      </c>
      <c r="R32" s="100">
        <v>7</v>
      </c>
      <c r="S32" s="100">
        <v>5880</v>
      </c>
      <c r="T32" s="100">
        <v>14</v>
      </c>
      <c r="U32" s="100">
        <v>11760</v>
      </c>
      <c r="V32" s="100">
        <v>9</v>
      </c>
      <c r="W32" s="100">
        <v>7560</v>
      </c>
      <c r="X32" s="100">
        <v>11</v>
      </c>
      <c r="Y32" s="100">
        <v>9240</v>
      </c>
      <c r="Z32" s="100">
        <v>10</v>
      </c>
      <c r="AA32" s="100">
        <v>8400</v>
      </c>
      <c r="AB32" s="100">
        <v>13</v>
      </c>
      <c r="AC32" s="100">
        <v>10920</v>
      </c>
      <c r="AD32" s="100">
        <v>7</v>
      </c>
      <c r="AE32" s="100">
        <v>5880</v>
      </c>
      <c r="AF32" s="100">
        <v>9.0060816522836138</v>
      </c>
      <c r="AG32" s="100">
        <v>7565.1085879182356</v>
      </c>
      <c r="AH32" s="100">
        <v>15</v>
      </c>
      <c r="AI32" s="100">
        <v>12600</v>
      </c>
      <c r="AJ32" s="100">
        <v>14</v>
      </c>
      <c r="AK32" s="100">
        <v>11760</v>
      </c>
      <c r="AL32" s="100">
        <v>9</v>
      </c>
      <c r="AM32" s="100">
        <v>7560</v>
      </c>
      <c r="AN32" s="100">
        <v>9</v>
      </c>
      <c r="AO32" s="100">
        <v>7560</v>
      </c>
      <c r="AP32" s="100">
        <v>13</v>
      </c>
      <c r="AQ32" s="100">
        <v>10920</v>
      </c>
      <c r="AR32" s="100">
        <v>3.8634938235491387</v>
      </c>
      <c r="AS32" s="100">
        <v>3245.3348117812766</v>
      </c>
      <c r="AT32" s="100">
        <v>8.7010780283828452E-4</v>
      </c>
      <c r="AU32" s="100">
        <v>0.73089055438415895</v>
      </c>
      <c r="AV32" s="100">
        <v>9.7810620459789816E-4</v>
      </c>
      <c r="AW32" s="100">
        <v>0.82160921186223446</v>
      </c>
      <c r="AX32" s="100">
        <v>8.7625783286272636</v>
      </c>
      <c r="AY32" s="100">
        <v>7360.5657960469016</v>
      </c>
      <c r="AZ32" s="100">
        <v>1.1120389686410883</v>
      </c>
      <c r="BA32" s="100">
        <v>934.11273365851423</v>
      </c>
      <c r="BB32" s="100">
        <v>8</v>
      </c>
      <c r="BC32" s="100">
        <v>6720</v>
      </c>
      <c r="BD32" s="100">
        <v>11.717441030887109</v>
      </c>
      <c r="BE32" s="100">
        <v>9842.6504659451712</v>
      </c>
      <c r="BF32" s="100">
        <v>13.417560130986375</v>
      </c>
      <c r="BG32" s="100">
        <v>11270.750510028556</v>
      </c>
      <c r="BH32" s="100">
        <v>8</v>
      </c>
      <c r="BI32" s="100">
        <v>6720</v>
      </c>
      <c r="BJ32" s="100">
        <v>9</v>
      </c>
      <c r="BK32" s="100">
        <v>7560</v>
      </c>
      <c r="BL32" s="100">
        <v>13</v>
      </c>
      <c r="BM32" s="100">
        <v>10920</v>
      </c>
      <c r="BN32" s="100">
        <v>12.3916001920371</v>
      </c>
      <c r="BO32" s="100">
        <v>10408.944161311163</v>
      </c>
      <c r="BP32" s="100">
        <v>7.1997933498239765E-4</v>
      </c>
      <c r="BQ32" s="100">
        <v>0.60478264138521398</v>
      </c>
      <c r="BR32" s="100">
        <v>10</v>
      </c>
      <c r="BS32" s="100">
        <v>8400</v>
      </c>
      <c r="BT32" s="100">
        <v>8</v>
      </c>
      <c r="BU32" s="100">
        <v>6720</v>
      </c>
      <c r="BV32" s="100">
        <v>13.993968113901484</v>
      </c>
      <c r="BW32" s="100">
        <v>11754.933215677247</v>
      </c>
      <c r="BX32" s="100">
        <v>5.9468422993351282E-4</v>
      </c>
      <c r="BY32" s="100">
        <v>0.49953475314415074</v>
      </c>
      <c r="BZ32" s="100">
        <v>12</v>
      </c>
      <c r="CA32" s="100">
        <v>10080</v>
      </c>
      <c r="CB32" s="100">
        <v>11</v>
      </c>
      <c r="CC32" s="100">
        <v>9240</v>
      </c>
      <c r="CD32" s="100">
        <v>12</v>
      </c>
      <c r="CE32" s="100">
        <v>10080</v>
      </c>
      <c r="CF32" s="100">
        <v>10</v>
      </c>
      <c r="CG32" s="100">
        <v>8400</v>
      </c>
      <c r="CH32" s="100">
        <v>16</v>
      </c>
      <c r="CI32" s="100">
        <v>13440</v>
      </c>
      <c r="CJ32" s="100">
        <v>16.727242569639468</v>
      </c>
      <c r="CK32" s="100">
        <v>14050.883758497153</v>
      </c>
      <c r="CL32" s="100">
        <v>10.63136251121499</v>
      </c>
      <c r="CM32" s="100">
        <v>8930.3445094205908</v>
      </c>
      <c r="CN32" s="100">
        <v>15</v>
      </c>
      <c r="CO32" s="100">
        <v>12600</v>
      </c>
      <c r="CP32" s="100">
        <v>16</v>
      </c>
      <c r="CQ32" s="100">
        <v>13440</v>
      </c>
      <c r="CR32" s="100">
        <v>10.861311678152424</v>
      </c>
      <c r="CS32" s="100">
        <v>9123.5018096480362</v>
      </c>
      <c r="CT32" s="100">
        <v>12.140994975564505</v>
      </c>
      <c r="CU32" s="100">
        <v>10198.435779474185</v>
      </c>
    </row>
    <row r="33" spans="2:99">
      <c r="C33" s="99" t="s">
        <v>199</v>
      </c>
      <c r="D33" s="100">
        <v>2.5371104271652776</v>
      </c>
      <c r="E33" s="100">
        <v>1202.5903424763417</v>
      </c>
      <c r="F33" s="100">
        <v>15</v>
      </c>
      <c r="G33" s="100">
        <v>7110</v>
      </c>
      <c r="H33" s="100">
        <v>7</v>
      </c>
      <c r="I33" s="100">
        <v>3318</v>
      </c>
      <c r="J33" s="100">
        <v>14</v>
      </c>
      <c r="K33" s="100">
        <v>6636</v>
      </c>
      <c r="L33" s="100">
        <v>9</v>
      </c>
      <c r="M33" s="100">
        <v>4266</v>
      </c>
      <c r="N33" s="100">
        <v>8</v>
      </c>
      <c r="O33" s="100">
        <v>3792</v>
      </c>
      <c r="P33" s="100">
        <v>13</v>
      </c>
      <c r="Q33" s="100">
        <v>6162</v>
      </c>
      <c r="R33" s="100">
        <v>7</v>
      </c>
      <c r="S33" s="100">
        <v>3318</v>
      </c>
      <c r="T33" s="100">
        <v>13</v>
      </c>
      <c r="U33" s="100">
        <v>6162</v>
      </c>
      <c r="V33" s="100">
        <v>9</v>
      </c>
      <c r="W33" s="100">
        <v>4266</v>
      </c>
      <c r="X33" s="100">
        <v>12</v>
      </c>
      <c r="Y33" s="100">
        <v>5688</v>
      </c>
      <c r="Z33" s="100">
        <v>10</v>
      </c>
      <c r="AA33" s="100">
        <v>4740</v>
      </c>
      <c r="AB33" s="100">
        <v>12</v>
      </c>
      <c r="AC33" s="100">
        <v>5688</v>
      </c>
      <c r="AD33" s="100">
        <v>9</v>
      </c>
      <c r="AE33" s="100">
        <v>4266</v>
      </c>
      <c r="AF33" s="100">
        <v>9.0065884566405821</v>
      </c>
      <c r="AG33" s="100">
        <v>4269.1229284476358</v>
      </c>
      <c r="AH33" s="100">
        <v>15</v>
      </c>
      <c r="AI33" s="100">
        <v>7110</v>
      </c>
      <c r="AJ33" s="100">
        <v>13</v>
      </c>
      <c r="AK33" s="100">
        <v>6162</v>
      </c>
      <c r="AL33" s="100">
        <v>10</v>
      </c>
      <c r="AM33" s="100">
        <v>4740</v>
      </c>
      <c r="AN33" s="100">
        <v>9</v>
      </c>
      <c r="AO33" s="100">
        <v>4266</v>
      </c>
      <c r="AP33" s="100">
        <v>15</v>
      </c>
      <c r="AQ33" s="100">
        <v>7110</v>
      </c>
      <c r="AR33" s="100">
        <v>3.8634938235491387</v>
      </c>
      <c r="AS33" s="100">
        <v>1831.2960723622919</v>
      </c>
      <c r="AT33" s="100">
        <v>9.7887011803963315E-4</v>
      </c>
      <c r="AU33" s="100">
        <v>0.46398443595078609</v>
      </c>
      <c r="AV33" s="100">
        <v>1.0759168250576881E-3</v>
      </c>
      <c r="AW33" s="100">
        <v>0.50998457507734418</v>
      </c>
      <c r="AX33" s="100">
        <v>7.6536385673947969</v>
      </c>
      <c r="AY33" s="100">
        <v>3627.8246809451339</v>
      </c>
      <c r="AZ33" s="100">
        <v>1.270901678446958</v>
      </c>
      <c r="BA33" s="100">
        <v>602.40739558385815</v>
      </c>
      <c r="BB33" s="100">
        <v>8</v>
      </c>
      <c r="BC33" s="100">
        <v>3792</v>
      </c>
      <c r="BD33" s="100">
        <v>10.740987611646517</v>
      </c>
      <c r="BE33" s="100">
        <v>5091.228127920449</v>
      </c>
      <c r="BF33" s="100">
        <v>13.417560130986375</v>
      </c>
      <c r="BG33" s="100">
        <v>6359.9235020875421</v>
      </c>
      <c r="BH33" s="100">
        <v>10</v>
      </c>
      <c r="BI33" s="100">
        <v>4740</v>
      </c>
      <c r="BJ33" s="100">
        <v>11</v>
      </c>
      <c r="BK33" s="100">
        <v>5214</v>
      </c>
      <c r="BL33" s="100">
        <v>13</v>
      </c>
      <c r="BM33" s="100">
        <v>6162</v>
      </c>
      <c r="BN33" s="100">
        <v>14.302471952359765</v>
      </c>
      <c r="BO33" s="100">
        <v>6779.371705418529</v>
      </c>
      <c r="BP33" s="100">
        <v>7.1997933498239765E-4</v>
      </c>
      <c r="BQ33" s="100">
        <v>0.34127020478165648</v>
      </c>
      <c r="BR33" s="100">
        <v>10</v>
      </c>
      <c r="BS33" s="100">
        <v>4740</v>
      </c>
      <c r="BT33" s="100">
        <v>9</v>
      </c>
      <c r="BU33" s="100">
        <v>4266</v>
      </c>
      <c r="BV33" s="100">
        <v>14.993537264894448</v>
      </c>
      <c r="BW33" s="100">
        <v>7106.9366635599681</v>
      </c>
      <c r="BX33" s="100">
        <v>6.6076025548168088E-4</v>
      </c>
      <c r="BY33" s="100">
        <v>0.31320036109831673</v>
      </c>
      <c r="BZ33" s="100">
        <v>13</v>
      </c>
      <c r="CA33" s="100">
        <v>6162</v>
      </c>
      <c r="CB33" s="100">
        <v>12</v>
      </c>
      <c r="CC33" s="100">
        <v>5688</v>
      </c>
      <c r="CD33" s="100">
        <v>13</v>
      </c>
      <c r="CE33" s="100">
        <v>6162</v>
      </c>
      <c r="CF33" s="100">
        <v>10</v>
      </c>
      <c r="CG33" s="100">
        <v>4740</v>
      </c>
      <c r="CH33" s="100">
        <v>17</v>
      </c>
      <c r="CI33" s="100">
        <v>8058</v>
      </c>
      <c r="CJ33" s="100">
        <v>16.681789909037001</v>
      </c>
      <c r="CK33" s="100">
        <v>7907.1684168835382</v>
      </c>
      <c r="CL33" s="100">
        <v>11.597850012234534</v>
      </c>
      <c r="CM33" s="100">
        <v>5497.3809057991693</v>
      </c>
      <c r="CN33" s="100">
        <v>14</v>
      </c>
      <c r="CO33" s="100">
        <v>6636</v>
      </c>
      <c r="CP33" s="100">
        <v>16</v>
      </c>
      <c r="CQ33" s="100">
        <v>7584</v>
      </c>
      <c r="CR33" s="100">
        <v>10.753647718383371</v>
      </c>
      <c r="CS33" s="100">
        <v>5097.2290185137181</v>
      </c>
      <c r="CT33" s="100">
        <v>12.140994975564505</v>
      </c>
      <c r="CU33" s="100">
        <v>5754.8316184175756</v>
      </c>
    </row>
    <row r="34" spans="2:99">
      <c r="C34" s="99" t="s">
        <v>200</v>
      </c>
      <c r="D34" s="100">
        <v>2.3064640246957069</v>
      </c>
      <c r="E34" s="100">
        <v>1264.8648711431256</v>
      </c>
      <c r="F34" s="100">
        <v>15</v>
      </c>
      <c r="G34" s="100">
        <v>8226</v>
      </c>
      <c r="H34" s="100">
        <v>8</v>
      </c>
      <c r="I34" s="100">
        <v>4387.2</v>
      </c>
      <c r="J34" s="100">
        <v>14</v>
      </c>
      <c r="K34" s="100">
        <v>7677.5999999999995</v>
      </c>
      <c r="L34" s="100">
        <v>8</v>
      </c>
      <c r="M34" s="100">
        <v>4387.2</v>
      </c>
      <c r="N34" s="100">
        <v>8</v>
      </c>
      <c r="O34" s="100">
        <v>4387.2</v>
      </c>
      <c r="P34" s="100">
        <v>13</v>
      </c>
      <c r="Q34" s="100">
        <v>7129.2</v>
      </c>
      <c r="R34" s="100">
        <v>8</v>
      </c>
      <c r="S34" s="100">
        <v>4387.2</v>
      </c>
      <c r="T34" s="100">
        <v>14</v>
      </c>
      <c r="U34" s="100">
        <v>7677.5999999999995</v>
      </c>
      <c r="V34" s="100">
        <v>9</v>
      </c>
      <c r="W34" s="100">
        <v>4935.5999999999995</v>
      </c>
      <c r="X34" s="100">
        <v>11</v>
      </c>
      <c r="Y34" s="100">
        <v>6032.4</v>
      </c>
      <c r="Z34" s="100">
        <v>10</v>
      </c>
      <c r="AA34" s="100">
        <v>5484</v>
      </c>
      <c r="AB34" s="100">
        <v>13</v>
      </c>
      <c r="AC34" s="100">
        <v>7129.2</v>
      </c>
      <c r="AD34" s="100">
        <v>9</v>
      </c>
      <c r="AE34" s="100">
        <v>4935.5999999999995</v>
      </c>
      <c r="AF34" s="100">
        <v>9.0065884566405821</v>
      </c>
      <c r="AG34" s="100">
        <v>4939.2131096216954</v>
      </c>
      <c r="AH34" s="100">
        <v>13</v>
      </c>
      <c r="AI34" s="100">
        <v>7129.2</v>
      </c>
      <c r="AJ34" s="100">
        <v>13</v>
      </c>
      <c r="AK34" s="100">
        <v>7129.2</v>
      </c>
      <c r="AL34" s="100">
        <v>8</v>
      </c>
      <c r="AM34" s="100">
        <v>4387.2</v>
      </c>
      <c r="AN34" s="100">
        <v>9</v>
      </c>
      <c r="AO34" s="100">
        <v>4935.5999999999995</v>
      </c>
      <c r="AP34" s="100">
        <v>14</v>
      </c>
      <c r="AQ34" s="100">
        <v>7677.5999999999995</v>
      </c>
      <c r="AR34" s="100">
        <v>3.8634938235491387</v>
      </c>
      <c r="AS34" s="100">
        <v>2118.7400128343475</v>
      </c>
      <c r="AT34" s="100">
        <v>8.7010780283828452E-4</v>
      </c>
      <c r="AU34" s="100">
        <v>0.47716711907651521</v>
      </c>
      <c r="AV34" s="100">
        <v>1.0759168250576881E-3</v>
      </c>
      <c r="AW34" s="100">
        <v>0.59003278686163607</v>
      </c>
      <c r="AX34" s="100">
        <v>7.7625783286272627</v>
      </c>
      <c r="AY34" s="100">
        <v>4256.9979554191905</v>
      </c>
      <c r="AZ34" s="100">
        <v>1.1914703235440232</v>
      </c>
      <c r="BA34" s="100">
        <v>653.40232543154229</v>
      </c>
      <c r="BB34" s="100">
        <v>9</v>
      </c>
      <c r="BC34" s="100">
        <v>4935.5999999999995</v>
      </c>
      <c r="BD34" s="100">
        <v>10.740987611646517</v>
      </c>
      <c r="BE34" s="100">
        <v>5890.3576062269494</v>
      </c>
      <c r="BF34" s="100">
        <v>13.417560130986375</v>
      </c>
      <c r="BG34" s="100">
        <v>7358.1899758329282</v>
      </c>
      <c r="BH34" s="100">
        <v>8</v>
      </c>
      <c r="BI34" s="100">
        <v>4387.2</v>
      </c>
      <c r="BJ34" s="100">
        <v>9</v>
      </c>
      <c r="BK34" s="100">
        <v>4935.5999999999995</v>
      </c>
      <c r="BL34" s="100">
        <v>14</v>
      </c>
      <c r="BM34" s="100">
        <v>7677.5999999999995</v>
      </c>
      <c r="BN34" s="100">
        <v>12.489112784679323</v>
      </c>
      <c r="BO34" s="100">
        <v>6849.0294511181401</v>
      </c>
      <c r="BP34" s="100">
        <v>7.9197726848063738E-4</v>
      </c>
      <c r="BQ34" s="100">
        <v>0.43432033403478154</v>
      </c>
      <c r="BR34" s="100">
        <v>10</v>
      </c>
      <c r="BS34" s="100">
        <v>5484</v>
      </c>
      <c r="BT34" s="100">
        <v>9</v>
      </c>
      <c r="BU34" s="100">
        <v>4935.5999999999995</v>
      </c>
      <c r="BV34" s="100">
        <v>12.994398962908521</v>
      </c>
      <c r="BW34" s="100">
        <v>7126.1283912590325</v>
      </c>
      <c r="BX34" s="100">
        <v>6.6076025548168088E-4</v>
      </c>
      <c r="BY34" s="100">
        <v>0.36236092410615378</v>
      </c>
      <c r="BZ34" s="100">
        <v>12</v>
      </c>
      <c r="CA34" s="100">
        <v>6580.7999999999993</v>
      </c>
      <c r="CB34" s="100">
        <v>12</v>
      </c>
      <c r="CC34" s="100">
        <v>6580.7999999999993</v>
      </c>
      <c r="CD34" s="100">
        <v>14</v>
      </c>
      <c r="CE34" s="100">
        <v>7677.5999999999995</v>
      </c>
      <c r="CF34" s="100">
        <v>11</v>
      </c>
      <c r="CG34" s="100">
        <v>6032.4</v>
      </c>
      <c r="CH34" s="100">
        <v>16</v>
      </c>
      <c r="CI34" s="100">
        <v>8774.4</v>
      </c>
      <c r="CJ34" s="100">
        <v>16.772695230241936</v>
      </c>
      <c r="CK34" s="100">
        <v>9198.146064264678</v>
      </c>
      <c r="CL34" s="100">
        <v>11.597850012234534</v>
      </c>
      <c r="CM34" s="100">
        <v>6360.260946709418</v>
      </c>
      <c r="CN34" s="100">
        <v>14</v>
      </c>
      <c r="CO34" s="100">
        <v>7677.5999999999995</v>
      </c>
      <c r="CP34" s="100">
        <v>17.403431221778963</v>
      </c>
      <c r="CQ34" s="100">
        <v>9544.0416820235823</v>
      </c>
      <c r="CR34" s="100">
        <v>11.82542369156274</v>
      </c>
      <c r="CS34" s="100">
        <v>6485.0623524530065</v>
      </c>
      <c r="CT34" s="100">
        <v>12.140994975564505</v>
      </c>
      <c r="CU34" s="100">
        <v>6658.1216445995742</v>
      </c>
    </row>
    <row r="35" spans="2:99">
      <c r="C35" s="99" t="s">
        <v>201</v>
      </c>
      <c r="D35" s="100">
        <v>2.5371104271652776</v>
      </c>
      <c r="E35" s="100">
        <v>1275.6591227787012</v>
      </c>
      <c r="F35" s="100">
        <v>13</v>
      </c>
      <c r="G35" s="100">
        <v>6536.3999999999987</v>
      </c>
      <c r="H35" s="100">
        <v>8</v>
      </c>
      <c r="I35" s="100">
        <v>4022.3999999999992</v>
      </c>
      <c r="J35" s="100">
        <v>13</v>
      </c>
      <c r="K35" s="100">
        <v>6536.3999999999987</v>
      </c>
      <c r="L35" s="100">
        <v>8</v>
      </c>
      <c r="M35" s="100">
        <v>4022.3999999999992</v>
      </c>
      <c r="N35" s="100">
        <v>8</v>
      </c>
      <c r="O35" s="100">
        <v>4022.3999999999992</v>
      </c>
      <c r="P35" s="100">
        <v>14</v>
      </c>
      <c r="Q35" s="100">
        <v>7039.1999999999989</v>
      </c>
      <c r="R35" s="100">
        <v>8</v>
      </c>
      <c r="S35" s="100">
        <v>4022.3999999999992</v>
      </c>
      <c r="T35" s="100">
        <v>15</v>
      </c>
      <c r="U35" s="100">
        <v>7541.9999999999982</v>
      </c>
      <c r="V35" s="100">
        <v>10</v>
      </c>
      <c r="W35" s="100">
        <v>5027.9999999999991</v>
      </c>
      <c r="X35" s="100">
        <v>12</v>
      </c>
      <c r="Y35" s="100">
        <v>6033.5999999999985</v>
      </c>
      <c r="Z35" s="100">
        <v>11</v>
      </c>
      <c r="AA35" s="100">
        <v>5530.7999999999993</v>
      </c>
      <c r="AB35" s="100">
        <v>14</v>
      </c>
      <c r="AC35" s="100">
        <v>7039.1999999999989</v>
      </c>
      <c r="AD35" s="100">
        <v>9</v>
      </c>
      <c r="AE35" s="100">
        <v>4525.1999999999989</v>
      </c>
      <c r="AF35" s="100">
        <v>8.0060816522836138</v>
      </c>
      <c r="AG35" s="100">
        <v>4025.4578547682004</v>
      </c>
      <c r="AH35" s="100">
        <v>14</v>
      </c>
      <c r="AI35" s="100">
        <v>7039.1999999999989</v>
      </c>
      <c r="AJ35" s="100">
        <v>13</v>
      </c>
      <c r="AK35" s="100">
        <v>6536.3999999999987</v>
      </c>
      <c r="AL35" s="100">
        <v>8</v>
      </c>
      <c r="AM35" s="100">
        <v>4022.3999999999992</v>
      </c>
      <c r="AN35" s="100">
        <v>9</v>
      </c>
      <c r="AO35" s="100">
        <v>4525.1999999999989</v>
      </c>
      <c r="AP35" s="100">
        <v>13</v>
      </c>
      <c r="AQ35" s="100">
        <v>6536.3999999999987</v>
      </c>
      <c r="AR35" s="100">
        <v>4.2927645478698668</v>
      </c>
      <c r="AS35" s="100">
        <v>2158.4020146689686</v>
      </c>
      <c r="AT35" s="100">
        <v>9.7887011803963315E-4</v>
      </c>
      <c r="AU35" s="100">
        <v>0.49217589535032746</v>
      </c>
      <c r="AV35" s="100">
        <v>1.0759168250576881E-3</v>
      </c>
      <c r="AW35" s="100">
        <v>0.54097097963900542</v>
      </c>
      <c r="AX35" s="100">
        <v>8.7262650748831074</v>
      </c>
      <c r="AY35" s="100">
        <v>4387.5660796512257</v>
      </c>
      <c r="AZ35" s="100">
        <v>1.1914703235440232</v>
      </c>
      <c r="BA35" s="100">
        <v>599.07127867793474</v>
      </c>
      <c r="BB35" s="100">
        <v>8</v>
      </c>
      <c r="BC35" s="100">
        <v>4022.3999999999992</v>
      </c>
      <c r="BD35" s="100">
        <v>10.740987611646517</v>
      </c>
      <c r="BE35" s="100">
        <v>5400.5685711358674</v>
      </c>
      <c r="BF35" s="100">
        <v>13.417560130986375</v>
      </c>
      <c r="BG35" s="100">
        <v>6746.3492338599481</v>
      </c>
      <c r="BH35" s="100">
        <v>9</v>
      </c>
      <c r="BI35" s="100">
        <v>4525.1999999999989</v>
      </c>
      <c r="BJ35" s="100">
        <v>10</v>
      </c>
      <c r="BK35" s="100">
        <v>5027.9999999999991</v>
      </c>
      <c r="BL35" s="100">
        <v>15</v>
      </c>
      <c r="BM35" s="100">
        <v>7541.9999999999982</v>
      </c>
      <c r="BN35" s="100">
        <v>14.399984545001988</v>
      </c>
      <c r="BO35" s="100">
        <v>7240.3122292269982</v>
      </c>
      <c r="BP35" s="100">
        <v>7.9197726848063738E-4</v>
      </c>
      <c r="BQ35" s="100">
        <v>0.39820617059206437</v>
      </c>
      <c r="BR35" s="100">
        <v>9</v>
      </c>
      <c r="BS35" s="100">
        <v>4525.1999999999989</v>
      </c>
      <c r="BT35" s="100">
        <v>8</v>
      </c>
      <c r="BU35" s="100">
        <v>4022.3999999999992</v>
      </c>
      <c r="BV35" s="100">
        <v>14.993537264894448</v>
      </c>
      <c r="BW35" s="100">
        <v>7538.7505367889271</v>
      </c>
      <c r="BX35" s="100">
        <v>5.9468422993351282E-4</v>
      </c>
      <c r="BY35" s="100">
        <v>0.29900723081057018</v>
      </c>
      <c r="BZ35" s="100">
        <v>13</v>
      </c>
      <c r="CA35" s="100">
        <v>6536.3999999999987</v>
      </c>
      <c r="CB35" s="100">
        <v>12</v>
      </c>
      <c r="CC35" s="100">
        <v>6033.5999999999985</v>
      </c>
      <c r="CD35" s="100">
        <v>15</v>
      </c>
      <c r="CE35" s="100">
        <v>7541.9999999999982</v>
      </c>
      <c r="CF35" s="100">
        <v>10</v>
      </c>
      <c r="CG35" s="100">
        <v>5027.9999999999991</v>
      </c>
      <c r="CH35" s="100">
        <v>16</v>
      </c>
      <c r="CI35" s="100">
        <v>8044.7999999999984</v>
      </c>
      <c r="CJ35" s="100">
        <v>16.727242569639468</v>
      </c>
      <c r="CK35" s="100">
        <v>8410.4575640147232</v>
      </c>
      <c r="CL35" s="100">
        <v>9.6648750101954448</v>
      </c>
      <c r="CM35" s="100">
        <v>4859.4991551262683</v>
      </c>
      <c r="CN35" s="100">
        <v>16</v>
      </c>
      <c r="CO35" s="100">
        <v>8044.7999999999984</v>
      </c>
      <c r="CP35" s="100">
        <v>15</v>
      </c>
      <c r="CQ35" s="100">
        <v>7541.9999999999982</v>
      </c>
      <c r="CR35" s="100">
        <v>11.861311678152424</v>
      </c>
      <c r="CS35" s="100">
        <v>5963.8675117750372</v>
      </c>
      <c r="CT35" s="100">
        <v>13.074917665992542</v>
      </c>
      <c r="CU35" s="100">
        <v>6574.0686024610486</v>
      </c>
    </row>
    <row r="36" spans="2:99">
      <c r="C36" s="99" t="s">
        <v>202</v>
      </c>
      <c r="D36" s="100">
        <v>2.3064640246957069</v>
      </c>
      <c r="E36" s="100">
        <v>1754.7578299884938</v>
      </c>
      <c r="F36" s="100">
        <v>15</v>
      </c>
      <c r="G36" s="100">
        <v>11412</v>
      </c>
      <c r="H36" s="100">
        <v>8</v>
      </c>
      <c r="I36" s="100">
        <v>6086.4</v>
      </c>
      <c r="J36" s="100">
        <v>12</v>
      </c>
      <c r="K36" s="100">
        <v>9129.5999999999985</v>
      </c>
      <c r="L36" s="100">
        <v>8</v>
      </c>
      <c r="M36" s="100">
        <v>6086.4</v>
      </c>
      <c r="N36" s="100">
        <v>7</v>
      </c>
      <c r="O36" s="100">
        <v>5325.5999999999995</v>
      </c>
      <c r="P36" s="100">
        <v>13</v>
      </c>
      <c r="Q36" s="100">
        <v>9890.4</v>
      </c>
      <c r="R36" s="100">
        <v>7</v>
      </c>
      <c r="S36" s="100">
        <v>5325.5999999999995</v>
      </c>
      <c r="T36" s="100">
        <v>13</v>
      </c>
      <c r="U36" s="100">
        <v>9890.4</v>
      </c>
      <c r="V36" s="100">
        <v>9</v>
      </c>
      <c r="W36" s="100">
        <v>6847.2</v>
      </c>
      <c r="X36" s="100">
        <v>12</v>
      </c>
      <c r="Y36" s="100">
        <v>9129.5999999999985</v>
      </c>
      <c r="Z36" s="100">
        <v>9</v>
      </c>
      <c r="AA36" s="100">
        <v>6847.2</v>
      </c>
      <c r="AB36" s="100">
        <v>14</v>
      </c>
      <c r="AC36" s="100">
        <v>10651.199999999999</v>
      </c>
      <c r="AD36" s="100">
        <v>8</v>
      </c>
      <c r="AE36" s="100">
        <v>6086.4</v>
      </c>
      <c r="AF36" s="100">
        <v>9.0065884566405821</v>
      </c>
      <c r="AG36" s="100">
        <v>6852.2124978121547</v>
      </c>
      <c r="AH36" s="100">
        <v>13</v>
      </c>
      <c r="AI36" s="100">
        <v>9890.4</v>
      </c>
      <c r="AJ36" s="100">
        <v>14</v>
      </c>
      <c r="AK36" s="100">
        <v>10651.199999999999</v>
      </c>
      <c r="AL36" s="100">
        <v>9</v>
      </c>
      <c r="AM36" s="100">
        <v>6847.2</v>
      </c>
      <c r="AN36" s="100">
        <v>7</v>
      </c>
      <c r="AO36" s="100">
        <v>5325.5999999999995</v>
      </c>
      <c r="AP36" s="100">
        <v>14</v>
      </c>
      <c r="AQ36" s="100">
        <v>10651.199999999999</v>
      </c>
      <c r="AR36" s="100">
        <v>3.8634913320420696</v>
      </c>
      <c r="AS36" s="100">
        <v>2939.3442054176062</v>
      </c>
      <c r="AT36" s="100">
        <v>8.7010904033528393E-4</v>
      </c>
      <c r="AU36" s="100">
        <v>0.66197895788708394</v>
      </c>
      <c r="AV36" s="100">
        <v>8.8029558413810834E-4</v>
      </c>
      <c r="AW36" s="100">
        <v>0.66972888041227274</v>
      </c>
      <c r="AX36" s="100">
        <v>7.6536385673947969</v>
      </c>
      <c r="AY36" s="100">
        <v>5822.8882220739615</v>
      </c>
      <c r="AZ36" s="100">
        <v>1.1120389686410883</v>
      </c>
      <c r="BA36" s="100">
        <v>846.0392473421399</v>
      </c>
      <c r="BB36" s="100">
        <v>9</v>
      </c>
      <c r="BC36" s="100">
        <v>6847.2</v>
      </c>
      <c r="BD36" s="100">
        <v>11.717441030887109</v>
      </c>
      <c r="BE36" s="100">
        <v>8914.6291362989123</v>
      </c>
      <c r="BF36" s="100">
        <v>13.417560130986375</v>
      </c>
      <c r="BG36" s="100">
        <v>10208.079747654434</v>
      </c>
      <c r="BH36" s="100">
        <v>9</v>
      </c>
      <c r="BI36" s="100">
        <v>6847.2</v>
      </c>
      <c r="BJ36" s="100">
        <v>10</v>
      </c>
      <c r="BK36" s="100">
        <v>7608</v>
      </c>
      <c r="BL36" s="100">
        <v>13</v>
      </c>
      <c r="BM36" s="100">
        <v>9890.4</v>
      </c>
      <c r="BN36" s="100">
        <v>14.399984545001988</v>
      </c>
      <c r="BO36" s="100">
        <v>10955.508241837511</v>
      </c>
      <c r="BP36" s="100">
        <v>7.1997933498239765E-4</v>
      </c>
      <c r="BQ36" s="100">
        <v>0.54776027805460814</v>
      </c>
      <c r="BR36" s="100">
        <v>10</v>
      </c>
      <c r="BS36" s="100">
        <v>7608</v>
      </c>
      <c r="BT36" s="100">
        <v>9</v>
      </c>
      <c r="BU36" s="100">
        <v>6847.2</v>
      </c>
      <c r="BV36" s="100">
        <v>14.993537264894448</v>
      </c>
      <c r="BW36" s="100">
        <v>11407.083151131696</v>
      </c>
      <c r="BX36" s="100">
        <v>6.6076025548168088E-4</v>
      </c>
      <c r="BY36" s="100">
        <v>0.50270640237046282</v>
      </c>
      <c r="BZ36" s="100">
        <v>13</v>
      </c>
      <c r="CA36" s="100">
        <v>9890.4</v>
      </c>
      <c r="CB36" s="100">
        <v>10</v>
      </c>
      <c r="CC36" s="100">
        <v>7608</v>
      </c>
      <c r="CD36" s="100">
        <v>13</v>
      </c>
      <c r="CE36" s="100">
        <v>9890.4</v>
      </c>
      <c r="CF36" s="100">
        <v>10</v>
      </c>
      <c r="CG36" s="100">
        <v>7608</v>
      </c>
      <c r="CH36" s="100">
        <v>16</v>
      </c>
      <c r="CI36" s="100">
        <v>12172.8</v>
      </c>
      <c r="CJ36" s="100">
        <v>15.727242569639468</v>
      </c>
      <c r="CK36" s="100">
        <v>11965.286146981707</v>
      </c>
      <c r="CL36" s="100">
        <v>10.63136251121499</v>
      </c>
      <c r="CM36" s="100">
        <v>8088.3405985323634</v>
      </c>
      <c r="CN36" s="100">
        <v>16</v>
      </c>
      <c r="CO36" s="100">
        <v>12172.8</v>
      </c>
      <c r="CP36" s="100">
        <v>15</v>
      </c>
      <c r="CQ36" s="100">
        <v>11412</v>
      </c>
      <c r="CR36" s="100">
        <v>11.897199664742107</v>
      </c>
      <c r="CS36" s="100">
        <v>9051.3895049357943</v>
      </c>
      <c r="CT36" s="100">
        <v>13.074917665992542</v>
      </c>
      <c r="CU36" s="100">
        <v>9947.3973602871247</v>
      </c>
    </row>
    <row r="37" spans="2:99">
      <c r="B37" s="99" t="s">
        <v>128</v>
      </c>
      <c r="C37" s="99" t="s">
        <v>203</v>
      </c>
      <c r="D37" s="100">
        <v>1.8451712197565657</v>
      </c>
      <c r="E37" s="100">
        <v>1587.5853174785491</v>
      </c>
      <c r="F37" s="100">
        <v>9</v>
      </c>
      <c r="G37" s="100">
        <v>7743.5999999999995</v>
      </c>
      <c r="H37" s="100">
        <v>8</v>
      </c>
      <c r="I37" s="100">
        <v>6883.2</v>
      </c>
      <c r="J37" s="100">
        <v>5</v>
      </c>
      <c r="K37" s="100">
        <v>4302</v>
      </c>
      <c r="L37" s="100">
        <v>5</v>
      </c>
      <c r="M37" s="100">
        <v>4302</v>
      </c>
      <c r="N37" s="100">
        <v>9</v>
      </c>
      <c r="O37" s="100">
        <v>7743.5999999999995</v>
      </c>
      <c r="P37" s="100">
        <v>8</v>
      </c>
      <c r="Q37" s="100">
        <v>6883.2</v>
      </c>
      <c r="R37" s="100">
        <v>7</v>
      </c>
      <c r="S37" s="100">
        <v>6022.8</v>
      </c>
      <c r="T37" s="100">
        <v>5</v>
      </c>
      <c r="U37" s="100">
        <v>4302</v>
      </c>
      <c r="V37" s="100">
        <v>8</v>
      </c>
      <c r="W37" s="100">
        <v>6883.2</v>
      </c>
      <c r="X37" s="100">
        <v>8</v>
      </c>
      <c r="Y37" s="100">
        <v>6883.2</v>
      </c>
      <c r="Z37" s="100">
        <v>5</v>
      </c>
      <c r="AA37" s="100">
        <v>4302</v>
      </c>
      <c r="AB37" s="100">
        <v>8</v>
      </c>
      <c r="AC37" s="100">
        <v>6883.2</v>
      </c>
      <c r="AD37" s="100">
        <v>10</v>
      </c>
      <c r="AE37" s="100">
        <v>8604</v>
      </c>
      <c r="AF37" s="100">
        <v>6.0050680435696782</v>
      </c>
      <c r="AG37" s="100">
        <v>5166.7605446873513</v>
      </c>
      <c r="AH37" s="100">
        <v>7</v>
      </c>
      <c r="AI37" s="100">
        <v>6022.8</v>
      </c>
      <c r="AJ37" s="100">
        <v>9.1535778154408849</v>
      </c>
      <c r="AK37" s="100">
        <v>7875.7383524053375</v>
      </c>
      <c r="AL37" s="100">
        <v>6</v>
      </c>
      <c r="AM37" s="100">
        <v>5162.3999999999996</v>
      </c>
      <c r="AN37" s="100">
        <v>6</v>
      </c>
      <c r="AO37" s="100">
        <v>5162.3999999999996</v>
      </c>
      <c r="AP37" s="100">
        <v>7</v>
      </c>
      <c r="AQ37" s="100">
        <v>6022.8</v>
      </c>
      <c r="AR37" s="100">
        <v>2.1463860111955366</v>
      </c>
      <c r="AS37" s="100">
        <v>1846.7505240326398</v>
      </c>
      <c r="AT37" s="100">
        <v>6.5258255368708757E-4</v>
      </c>
      <c r="AU37" s="100">
        <v>0.56148202919237011</v>
      </c>
      <c r="AV37" s="100">
        <v>6.8467434321852871E-4</v>
      </c>
      <c r="AW37" s="100">
        <v>0.58909380490522212</v>
      </c>
      <c r="AX37" s="100">
        <v>6.4357590449298643</v>
      </c>
      <c r="AY37" s="100">
        <v>5537.3270822576551</v>
      </c>
      <c r="AZ37" s="100">
        <v>0.47658812941760925</v>
      </c>
      <c r="BA37" s="100">
        <v>410.056426550911</v>
      </c>
      <c r="BB37" s="100">
        <v>8</v>
      </c>
      <c r="BC37" s="100">
        <v>6883.2</v>
      </c>
      <c r="BD37" s="100">
        <v>7.8116273539247381</v>
      </c>
      <c r="BE37" s="100">
        <v>6721.1241753168442</v>
      </c>
      <c r="BF37" s="100">
        <v>8.6255743699198124</v>
      </c>
      <c r="BG37" s="100">
        <v>7421.4441878790067</v>
      </c>
      <c r="BH37" s="100">
        <v>6</v>
      </c>
      <c r="BI37" s="100">
        <v>5162.3999999999996</v>
      </c>
      <c r="BJ37" s="100">
        <v>7</v>
      </c>
      <c r="BK37" s="100">
        <v>6022.8</v>
      </c>
      <c r="BL37" s="100">
        <v>9</v>
      </c>
      <c r="BM37" s="100">
        <v>7743.5999999999995</v>
      </c>
      <c r="BN37" s="100">
        <v>6.220178244179106</v>
      </c>
      <c r="BO37" s="100">
        <v>5351.8413612917029</v>
      </c>
      <c r="BP37" s="100">
        <v>6.4798140148415782E-4</v>
      </c>
      <c r="BQ37" s="100">
        <v>0.55752319783696935</v>
      </c>
      <c r="BR37" s="100">
        <v>6</v>
      </c>
      <c r="BS37" s="100">
        <v>5162.3999999999996</v>
      </c>
      <c r="BT37" s="100">
        <v>9.1862961486806451</v>
      </c>
      <c r="BU37" s="100">
        <v>7903.8892063248268</v>
      </c>
      <c r="BV37" s="100">
        <v>8.9961223589366686</v>
      </c>
      <c r="BW37" s="100">
        <v>7740.2636776291092</v>
      </c>
      <c r="BX37" s="100">
        <v>3.9645615328900855E-4</v>
      </c>
      <c r="BY37" s="100">
        <v>0.34111087428986292</v>
      </c>
      <c r="BZ37" s="100">
        <v>5</v>
      </c>
      <c r="CA37" s="100">
        <v>4302</v>
      </c>
      <c r="CB37" s="100">
        <v>6</v>
      </c>
      <c r="CC37" s="100">
        <v>5162.3999999999996</v>
      </c>
      <c r="CD37" s="100">
        <v>9</v>
      </c>
      <c r="CE37" s="100">
        <v>7743.5999999999995</v>
      </c>
      <c r="CF37" s="100">
        <v>8</v>
      </c>
      <c r="CG37" s="100">
        <v>6883.2</v>
      </c>
      <c r="CH37" s="100">
        <v>7</v>
      </c>
      <c r="CI37" s="100">
        <v>6022.8</v>
      </c>
      <c r="CJ37" s="100">
        <v>6.4999792666271343</v>
      </c>
      <c r="CK37" s="100">
        <v>5592.5821610059866</v>
      </c>
      <c r="CL37" s="100">
        <v>6.7654125071368121</v>
      </c>
      <c r="CM37" s="100">
        <v>5820.9609211405132</v>
      </c>
      <c r="CN37" s="100">
        <v>8</v>
      </c>
      <c r="CO37" s="100">
        <v>6883.2</v>
      </c>
      <c r="CP37" s="100">
        <v>6.3397315551822846</v>
      </c>
      <c r="CQ37" s="100">
        <v>5454.7050300788378</v>
      </c>
      <c r="CR37" s="100">
        <v>8.358879865896844</v>
      </c>
      <c r="CS37" s="100">
        <v>7191.9802366176446</v>
      </c>
      <c r="CT37" s="100">
        <v>7.4713815234243102</v>
      </c>
      <c r="CU37" s="100">
        <v>6428.3766627542764</v>
      </c>
    </row>
    <row r="38" spans="2:99">
      <c r="C38" s="99" t="s">
        <v>204</v>
      </c>
      <c r="D38" s="100">
        <v>2.0758176222261362</v>
      </c>
      <c r="E38" s="100">
        <v>2578.1654868048613</v>
      </c>
      <c r="F38" s="100">
        <v>8</v>
      </c>
      <c r="G38" s="100">
        <v>9936</v>
      </c>
      <c r="H38" s="100">
        <v>7</v>
      </c>
      <c r="I38" s="100">
        <v>8694</v>
      </c>
      <c r="J38" s="100">
        <v>5</v>
      </c>
      <c r="K38" s="100">
        <v>6210</v>
      </c>
      <c r="L38" s="100">
        <v>5</v>
      </c>
      <c r="M38" s="100">
        <v>6210</v>
      </c>
      <c r="N38" s="100">
        <v>8</v>
      </c>
      <c r="O38" s="100">
        <v>9936</v>
      </c>
      <c r="P38" s="100">
        <v>7</v>
      </c>
      <c r="Q38" s="100">
        <v>8694</v>
      </c>
      <c r="R38" s="100">
        <v>7</v>
      </c>
      <c r="S38" s="100">
        <v>8694</v>
      </c>
      <c r="T38" s="100">
        <v>5</v>
      </c>
      <c r="U38" s="100">
        <v>6210</v>
      </c>
      <c r="V38" s="100">
        <v>8</v>
      </c>
      <c r="W38" s="100">
        <v>9936</v>
      </c>
      <c r="X38" s="100">
        <v>9</v>
      </c>
      <c r="Y38" s="100">
        <v>11178</v>
      </c>
      <c r="Z38" s="100">
        <v>5</v>
      </c>
      <c r="AA38" s="100">
        <v>6210</v>
      </c>
      <c r="AB38" s="100">
        <v>8</v>
      </c>
      <c r="AC38" s="100">
        <v>9936</v>
      </c>
      <c r="AD38" s="100">
        <v>8</v>
      </c>
      <c r="AE38" s="100">
        <v>9936</v>
      </c>
      <c r="AF38" s="100">
        <v>5.0045612392127108</v>
      </c>
      <c r="AG38" s="100">
        <v>6215.6650591021871</v>
      </c>
      <c r="AH38" s="100">
        <v>7</v>
      </c>
      <c r="AI38" s="100">
        <v>8694</v>
      </c>
      <c r="AJ38" s="100">
        <v>9</v>
      </c>
      <c r="AK38" s="100">
        <v>11178</v>
      </c>
      <c r="AL38" s="100">
        <v>5</v>
      </c>
      <c r="AM38" s="100">
        <v>6210</v>
      </c>
      <c r="AN38" s="100">
        <v>6</v>
      </c>
      <c r="AO38" s="100">
        <v>7452</v>
      </c>
      <c r="AP38" s="100">
        <v>7</v>
      </c>
      <c r="AQ38" s="100">
        <v>8694</v>
      </c>
      <c r="AR38" s="100">
        <v>2.1463860111955366</v>
      </c>
      <c r="AS38" s="100">
        <v>2665.8114259048566</v>
      </c>
      <c r="AT38" s="100">
        <v>6.5258131619008817E-4</v>
      </c>
      <c r="AU38" s="100">
        <v>0.81050599470808948</v>
      </c>
      <c r="AV38" s="100">
        <v>6.8467434321852871E-4</v>
      </c>
      <c r="AW38" s="100">
        <v>0.85036553427741268</v>
      </c>
      <c r="AX38" s="100">
        <v>6.399445791185709</v>
      </c>
      <c r="AY38" s="100">
        <v>7948.1116726526507</v>
      </c>
      <c r="AZ38" s="100">
        <v>0.55601948432054416</v>
      </c>
      <c r="BA38" s="100">
        <v>690.57619952611583</v>
      </c>
      <c r="BB38" s="100">
        <v>8</v>
      </c>
      <c r="BC38" s="100">
        <v>9936</v>
      </c>
      <c r="BD38" s="100">
        <v>7.8116273539247381</v>
      </c>
      <c r="BE38" s="100">
        <v>9702.0411735745238</v>
      </c>
      <c r="BF38" s="100">
        <v>7.6671772177065005</v>
      </c>
      <c r="BG38" s="100">
        <v>9522.6341043914745</v>
      </c>
      <c r="BH38" s="100">
        <v>7</v>
      </c>
      <c r="BI38" s="100">
        <v>8694</v>
      </c>
      <c r="BJ38" s="100">
        <v>7</v>
      </c>
      <c r="BK38" s="100">
        <v>8694</v>
      </c>
      <c r="BL38" s="100">
        <v>10</v>
      </c>
      <c r="BM38" s="100">
        <v>12420</v>
      </c>
      <c r="BN38" s="100">
        <v>6.3176908368213267</v>
      </c>
      <c r="BO38" s="100">
        <v>7846.5720193320876</v>
      </c>
      <c r="BP38" s="100">
        <v>6.4798140148415782E-4</v>
      </c>
      <c r="BQ38" s="100">
        <v>0.80479290064332398</v>
      </c>
      <c r="BR38" s="100">
        <v>6</v>
      </c>
      <c r="BS38" s="100">
        <v>7452</v>
      </c>
      <c r="BT38" s="100">
        <v>7.186296148680646</v>
      </c>
      <c r="BU38" s="100">
        <v>8925.3798166613615</v>
      </c>
      <c r="BV38" s="100">
        <v>8.9961223589366686</v>
      </c>
      <c r="BW38" s="100">
        <v>11173.183969799342</v>
      </c>
      <c r="BX38" s="100">
        <v>3.9645615328900855E-4</v>
      </c>
      <c r="BY38" s="100">
        <v>0.49239854238494862</v>
      </c>
      <c r="BZ38" s="100">
        <v>5</v>
      </c>
      <c r="CA38" s="100">
        <v>6210</v>
      </c>
      <c r="CB38" s="100">
        <v>7</v>
      </c>
      <c r="CC38" s="100">
        <v>8694</v>
      </c>
      <c r="CD38" s="100">
        <v>9</v>
      </c>
      <c r="CE38" s="100">
        <v>11178</v>
      </c>
      <c r="CF38" s="100">
        <v>9</v>
      </c>
      <c r="CG38" s="100">
        <v>11178</v>
      </c>
      <c r="CH38" s="100">
        <v>7</v>
      </c>
      <c r="CI38" s="100">
        <v>8694</v>
      </c>
      <c r="CJ38" s="100">
        <v>5.4999792666271343</v>
      </c>
      <c r="CK38" s="100">
        <v>6830.9742491509005</v>
      </c>
      <c r="CL38" s="100">
        <v>5.7989250061172672</v>
      </c>
      <c r="CM38" s="100">
        <v>7202.2648575976464</v>
      </c>
      <c r="CN38" s="100">
        <v>9</v>
      </c>
      <c r="CO38" s="100">
        <v>11178</v>
      </c>
      <c r="CP38" s="100">
        <v>6</v>
      </c>
      <c r="CQ38" s="100">
        <v>7452</v>
      </c>
      <c r="CR38" s="100">
        <v>9.3229918793071587</v>
      </c>
      <c r="CS38" s="100">
        <v>11579.15591409949</v>
      </c>
      <c r="CT38" s="100">
        <v>7.4713815234243102</v>
      </c>
      <c r="CU38" s="100">
        <v>9279.4558520929932</v>
      </c>
    </row>
    <row r="39" spans="2:99">
      <c r="C39" s="99" t="s">
        <v>205</v>
      </c>
      <c r="D39" s="100">
        <v>1.8451712197565657</v>
      </c>
      <c r="E39" s="100">
        <v>2626.0476799575445</v>
      </c>
      <c r="F39" s="100">
        <v>9</v>
      </c>
      <c r="G39" s="100">
        <v>12808.800000000001</v>
      </c>
      <c r="H39" s="100">
        <v>7</v>
      </c>
      <c r="I39" s="100">
        <v>9962.4</v>
      </c>
      <c r="J39" s="100">
        <v>5</v>
      </c>
      <c r="K39" s="100">
        <v>7116</v>
      </c>
      <c r="L39" s="100">
        <v>5</v>
      </c>
      <c r="M39" s="100">
        <v>7116</v>
      </c>
      <c r="N39" s="100">
        <v>7</v>
      </c>
      <c r="O39" s="100">
        <v>9962.4</v>
      </c>
      <c r="P39" s="100">
        <v>8</v>
      </c>
      <c r="Q39" s="100">
        <v>11385.6</v>
      </c>
      <c r="R39" s="100">
        <v>7</v>
      </c>
      <c r="S39" s="100">
        <v>9962.4</v>
      </c>
      <c r="T39" s="100">
        <v>6</v>
      </c>
      <c r="U39" s="100">
        <v>8539.2000000000007</v>
      </c>
      <c r="V39" s="100">
        <v>7</v>
      </c>
      <c r="W39" s="100">
        <v>9962.4</v>
      </c>
      <c r="X39" s="100">
        <v>8</v>
      </c>
      <c r="Y39" s="100">
        <v>11385.6</v>
      </c>
      <c r="Z39" s="100">
        <v>5</v>
      </c>
      <c r="AA39" s="100">
        <v>7116</v>
      </c>
      <c r="AB39" s="100">
        <v>8</v>
      </c>
      <c r="AC39" s="100">
        <v>11385.6</v>
      </c>
      <c r="AD39" s="100">
        <v>8</v>
      </c>
      <c r="AE39" s="100">
        <v>11385.6</v>
      </c>
      <c r="AF39" s="100">
        <v>6.0045612392127108</v>
      </c>
      <c r="AG39" s="100">
        <v>8545.6915556475305</v>
      </c>
      <c r="AH39" s="100">
        <v>6</v>
      </c>
      <c r="AI39" s="100">
        <v>8539.2000000000007</v>
      </c>
      <c r="AJ39" s="100">
        <v>8</v>
      </c>
      <c r="AK39" s="100">
        <v>11385.6</v>
      </c>
      <c r="AL39" s="100">
        <v>5</v>
      </c>
      <c r="AM39" s="100">
        <v>7116</v>
      </c>
      <c r="AN39" s="100">
        <v>7</v>
      </c>
      <c r="AO39" s="100">
        <v>9962.4</v>
      </c>
      <c r="AP39" s="100">
        <v>6</v>
      </c>
      <c r="AQ39" s="100">
        <v>8539.2000000000007</v>
      </c>
      <c r="AR39" s="100">
        <v>2.5756567355162656</v>
      </c>
      <c r="AS39" s="100">
        <v>3665.6746659867495</v>
      </c>
      <c r="AT39" s="100">
        <v>6.5258255368708757E-4</v>
      </c>
      <c r="AU39" s="100">
        <v>0.92875549040746308</v>
      </c>
      <c r="AV39" s="100">
        <v>5.8686372275873889E-4</v>
      </c>
      <c r="AW39" s="100">
        <v>0.83522445023023717</v>
      </c>
      <c r="AX39" s="100">
        <v>5.399445791185709</v>
      </c>
      <c r="AY39" s="100">
        <v>7684.4912500155015</v>
      </c>
      <c r="AZ39" s="100">
        <v>0.47658812941760925</v>
      </c>
      <c r="BA39" s="100">
        <v>678.28022578714149</v>
      </c>
      <c r="BB39" s="100">
        <v>7</v>
      </c>
      <c r="BC39" s="100">
        <v>9962.4</v>
      </c>
      <c r="BD39" s="100">
        <v>6.8351739346841471</v>
      </c>
      <c r="BE39" s="100">
        <v>9727.8195438424791</v>
      </c>
      <c r="BF39" s="100">
        <v>8.6255743699198124</v>
      </c>
      <c r="BG39" s="100">
        <v>12275.917443269878</v>
      </c>
      <c r="BH39" s="100">
        <v>7</v>
      </c>
      <c r="BI39" s="100">
        <v>9962.4</v>
      </c>
      <c r="BJ39" s="100">
        <v>8</v>
      </c>
      <c r="BK39" s="100">
        <v>11385.6</v>
      </c>
      <c r="BL39" s="100">
        <v>9</v>
      </c>
      <c r="BM39" s="100">
        <v>12808.800000000001</v>
      </c>
      <c r="BN39" s="100">
        <v>7.1999922725009942</v>
      </c>
      <c r="BO39" s="100">
        <v>10247.029002223415</v>
      </c>
      <c r="BP39" s="100">
        <v>6.4798140148415782E-4</v>
      </c>
      <c r="BQ39" s="100">
        <v>0.92220713059225345</v>
      </c>
      <c r="BR39" s="100">
        <v>6</v>
      </c>
      <c r="BS39" s="100">
        <v>8539.2000000000007</v>
      </c>
      <c r="BT39" s="100">
        <v>9.2235553784167745</v>
      </c>
      <c r="BU39" s="100">
        <v>13126.964014562755</v>
      </c>
      <c r="BV39" s="100">
        <v>7.9965532079437063</v>
      </c>
      <c r="BW39" s="100">
        <v>11380.694525545483</v>
      </c>
      <c r="BX39" s="100">
        <v>3.3038012774084044E-4</v>
      </c>
      <c r="BY39" s="100">
        <v>0.47019699780076413</v>
      </c>
      <c r="BZ39" s="100">
        <v>6</v>
      </c>
      <c r="CA39" s="100">
        <v>8539.2000000000007</v>
      </c>
      <c r="CB39" s="100">
        <v>6</v>
      </c>
      <c r="CC39" s="100">
        <v>8539.2000000000007</v>
      </c>
      <c r="CD39" s="100">
        <v>8</v>
      </c>
      <c r="CE39" s="100">
        <v>11385.6</v>
      </c>
      <c r="CF39" s="100">
        <v>8</v>
      </c>
      <c r="CG39" s="100">
        <v>11385.6</v>
      </c>
      <c r="CH39" s="100">
        <v>8</v>
      </c>
      <c r="CI39" s="100">
        <v>11385.6</v>
      </c>
      <c r="CJ39" s="100">
        <v>6.5454319272296013</v>
      </c>
      <c r="CK39" s="100">
        <v>9315.4587188331698</v>
      </c>
      <c r="CL39" s="100">
        <v>5.7989250061172672</v>
      </c>
      <c r="CM39" s="100">
        <v>8253.0300687060953</v>
      </c>
      <c r="CN39" s="100">
        <v>10</v>
      </c>
      <c r="CO39" s="100">
        <v>14232</v>
      </c>
      <c r="CP39" s="100">
        <v>5.2760318885856057</v>
      </c>
      <c r="CQ39" s="100">
        <v>7508.8485838350343</v>
      </c>
      <c r="CR39" s="100">
        <v>9.2871038927174752</v>
      </c>
      <c r="CS39" s="100">
        <v>13217.406260115511</v>
      </c>
      <c r="CT39" s="100">
        <v>7.4713815234243102</v>
      </c>
      <c r="CU39" s="100">
        <v>10633.270184137478</v>
      </c>
    </row>
    <row r="40" spans="2:99">
      <c r="C40" s="99" t="s">
        <v>206</v>
      </c>
      <c r="D40" s="100">
        <v>1.8451712197565657</v>
      </c>
      <c r="E40" s="100">
        <v>1337.3801000795588</v>
      </c>
      <c r="F40" s="100">
        <v>8</v>
      </c>
      <c r="G40" s="100">
        <v>5798.4</v>
      </c>
      <c r="H40" s="100">
        <v>8</v>
      </c>
      <c r="I40" s="100">
        <v>5798.4</v>
      </c>
      <c r="J40" s="100">
        <v>5</v>
      </c>
      <c r="K40" s="100">
        <v>3624</v>
      </c>
      <c r="L40" s="100">
        <v>5</v>
      </c>
      <c r="M40" s="100">
        <v>3624</v>
      </c>
      <c r="N40" s="100">
        <v>8</v>
      </c>
      <c r="O40" s="100">
        <v>5798.4</v>
      </c>
      <c r="P40" s="100">
        <v>7</v>
      </c>
      <c r="Q40" s="100">
        <v>5073.5999999999995</v>
      </c>
      <c r="R40" s="100">
        <v>8</v>
      </c>
      <c r="S40" s="100">
        <v>5798.4</v>
      </c>
      <c r="T40" s="100">
        <v>6</v>
      </c>
      <c r="U40" s="100">
        <v>4348.7999999999993</v>
      </c>
      <c r="V40" s="100">
        <v>8</v>
      </c>
      <c r="W40" s="100">
        <v>5798.4</v>
      </c>
      <c r="X40" s="100">
        <v>8</v>
      </c>
      <c r="Y40" s="100">
        <v>5798.4</v>
      </c>
      <c r="Z40" s="100">
        <v>5</v>
      </c>
      <c r="AA40" s="100">
        <v>3624</v>
      </c>
      <c r="AB40" s="100">
        <v>8</v>
      </c>
      <c r="AC40" s="100">
        <v>5798.4</v>
      </c>
      <c r="AD40" s="100">
        <v>9</v>
      </c>
      <c r="AE40" s="100">
        <v>6523.2</v>
      </c>
      <c r="AF40" s="100">
        <v>5.0045612392127108</v>
      </c>
      <c r="AG40" s="100">
        <v>3627.3059861813726</v>
      </c>
      <c r="AH40" s="100">
        <v>8</v>
      </c>
      <c r="AI40" s="100">
        <v>5798.4</v>
      </c>
      <c r="AJ40" s="100">
        <v>8.1535778154408849</v>
      </c>
      <c r="AK40" s="100">
        <v>5909.7132006315533</v>
      </c>
      <c r="AL40" s="100">
        <v>6</v>
      </c>
      <c r="AM40" s="100">
        <v>4348.7999999999993</v>
      </c>
      <c r="AN40" s="100">
        <v>6</v>
      </c>
      <c r="AO40" s="100">
        <v>4348.7999999999993</v>
      </c>
      <c r="AP40" s="100">
        <v>7</v>
      </c>
      <c r="AQ40" s="100">
        <v>5073.5999999999995</v>
      </c>
      <c r="AR40" s="100">
        <v>2.5756592270233338</v>
      </c>
      <c r="AS40" s="100">
        <v>1866.8378077465122</v>
      </c>
      <c r="AT40" s="100">
        <v>7.6134425013993639E-4</v>
      </c>
      <c r="AU40" s="100">
        <v>0.55182231250142588</v>
      </c>
      <c r="AV40" s="100">
        <v>5.8686372275873889E-4</v>
      </c>
      <c r="AW40" s="100">
        <v>0.42535882625553395</v>
      </c>
      <c r="AX40" s="100">
        <v>6.4357590449298643</v>
      </c>
      <c r="AY40" s="100">
        <v>4664.6381557651657</v>
      </c>
      <c r="AZ40" s="100">
        <v>0.47658812941760925</v>
      </c>
      <c r="BA40" s="100">
        <v>345.43107620188317</v>
      </c>
      <c r="BB40" s="100">
        <v>8</v>
      </c>
      <c r="BC40" s="100">
        <v>5798.4</v>
      </c>
      <c r="BD40" s="100">
        <v>6.8351739346841471</v>
      </c>
      <c r="BE40" s="100">
        <v>4954.1340678590695</v>
      </c>
      <c r="BF40" s="100">
        <v>8.6255743699198124</v>
      </c>
      <c r="BG40" s="100">
        <v>6251.8163033178798</v>
      </c>
      <c r="BH40" s="100">
        <v>7</v>
      </c>
      <c r="BI40" s="100">
        <v>5073.5999999999995</v>
      </c>
      <c r="BJ40" s="100">
        <v>7</v>
      </c>
      <c r="BK40" s="100">
        <v>5073.5999999999995</v>
      </c>
      <c r="BL40" s="100">
        <v>9</v>
      </c>
      <c r="BM40" s="100">
        <v>6523.2</v>
      </c>
      <c r="BN40" s="100">
        <v>7.2487485688221049</v>
      </c>
      <c r="BO40" s="100">
        <v>5253.892962682261</v>
      </c>
      <c r="BP40" s="100">
        <v>6.4798140148415782E-4</v>
      </c>
      <c r="BQ40" s="100">
        <v>0.46965691979571755</v>
      </c>
      <c r="BR40" s="100">
        <v>7</v>
      </c>
      <c r="BS40" s="100">
        <v>5073.5999999999995</v>
      </c>
      <c r="BT40" s="100">
        <v>9.2235553784167745</v>
      </c>
      <c r="BU40" s="100">
        <v>6685.2329382764774</v>
      </c>
      <c r="BV40" s="100">
        <v>8.9961223589366686</v>
      </c>
      <c r="BW40" s="100">
        <v>6520.3894857572968</v>
      </c>
      <c r="BX40" s="100">
        <v>4.6253217883717666E-4</v>
      </c>
      <c r="BY40" s="100">
        <v>0.33524332322118561</v>
      </c>
      <c r="BZ40" s="100">
        <v>6</v>
      </c>
      <c r="CA40" s="100">
        <v>4348.7999999999993</v>
      </c>
      <c r="CB40" s="100">
        <v>6</v>
      </c>
      <c r="CC40" s="100">
        <v>4348.7999999999993</v>
      </c>
      <c r="CD40" s="100">
        <v>9</v>
      </c>
      <c r="CE40" s="100">
        <v>6523.2</v>
      </c>
      <c r="CF40" s="100">
        <v>8</v>
      </c>
      <c r="CG40" s="100">
        <v>5798.4</v>
      </c>
      <c r="CH40" s="100">
        <v>8</v>
      </c>
      <c r="CI40" s="100">
        <v>5798.4</v>
      </c>
      <c r="CJ40" s="100">
        <v>5.5454319272296013</v>
      </c>
      <c r="CK40" s="100">
        <v>4019.3290608560146</v>
      </c>
      <c r="CL40" s="100">
        <v>6.7654125071368121</v>
      </c>
      <c r="CM40" s="100">
        <v>4903.5709851727615</v>
      </c>
      <c r="CN40" s="100">
        <v>9</v>
      </c>
      <c r="CO40" s="100">
        <v>6523.2</v>
      </c>
      <c r="CP40" s="100">
        <v>6.2972651107844984</v>
      </c>
      <c r="CQ40" s="100">
        <v>4564.2577522966039</v>
      </c>
      <c r="CR40" s="100">
        <v>9.3229918793071587</v>
      </c>
      <c r="CS40" s="100">
        <v>6757.3045141218281</v>
      </c>
      <c r="CT40" s="100">
        <v>7.4713815234243102</v>
      </c>
      <c r="CU40" s="100">
        <v>5415.2573281779396</v>
      </c>
    </row>
    <row r="41" spans="2:99">
      <c r="C41" s="99" t="s">
        <v>207</v>
      </c>
      <c r="D41" s="100">
        <v>2.0758176222261362</v>
      </c>
      <c r="E41" s="100">
        <v>1370.0396306692498</v>
      </c>
      <c r="F41" s="100">
        <v>9</v>
      </c>
      <c r="G41" s="100">
        <v>5940</v>
      </c>
      <c r="H41" s="100">
        <v>8</v>
      </c>
      <c r="I41" s="100">
        <v>5280</v>
      </c>
      <c r="J41" s="100">
        <v>6</v>
      </c>
      <c r="K41" s="100">
        <v>3960</v>
      </c>
      <c r="L41" s="100">
        <v>5</v>
      </c>
      <c r="M41" s="100">
        <v>3300</v>
      </c>
      <c r="N41" s="100">
        <v>9</v>
      </c>
      <c r="O41" s="100">
        <v>5940</v>
      </c>
      <c r="P41" s="100">
        <v>8</v>
      </c>
      <c r="Q41" s="100">
        <v>5280</v>
      </c>
      <c r="R41" s="100">
        <v>7</v>
      </c>
      <c r="S41" s="100">
        <v>4620</v>
      </c>
      <c r="T41" s="100">
        <v>5</v>
      </c>
      <c r="U41" s="100">
        <v>3300</v>
      </c>
      <c r="V41" s="100">
        <v>7</v>
      </c>
      <c r="W41" s="100">
        <v>4620</v>
      </c>
      <c r="X41" s="100">
        <v>8</v>
      </c>
      <c r="Y41" s="100">
        <v>5280</v>
      </c>
      <c r="Z41" s="100">
        <v>6</v>
      </c>
      <c r="AA41" s="100">
        <v>3960</v>
      </c>
      <c r="AB41" s="100">
        <v>9</v>
      </c>
      <c r="AC41" s="100">
        <v>5940</v>
      </c>
      <c r="AD41" s="100">
        <v>8</v>
      </c>
      <c r="AE41" s="100">
        <v>5280</v>
      </c>
      <c r="AF41" s="100">
        <v>5.0050680435696782</v>
      </c>
      <c r="AG41" s="100">
        <v>3303.3449087559875</v>
      </c>
      <c r="AH41" s="100">
        <v>7</v>
      </c>
      <c r="AI41" s="100">
        <v>4620</v>
      </c>
      <c r="AJ41" s="100">
        <v>8.1727750423709953</v>
      </c>
      <c r="AK41" s="100">
        <v>5394.0315279648567</v>
      </c>
      <c r="AL41" s="100">
        <v>6</v>
      </c>
      <c r="AM41" s="100">
        <v>3960</v>
      </c>
      <c r="AN41" s="100">
        <v>6</v>
      </c>
      <c r="AO41" s="100">
        <v>3960</v>
      </c>
      <c r="AP41" s="100">
        <v>6</v>
      </c>
      <c r="AQ41" s="100">
        <v>3960</v>
      </c>
      <c r="AR41" s="100">
        <v>2.1463860111955366</v>
      </c>
      <c r="AS41" s="100">
        <v>1416.6147673890541</v>
      </c>
      <c r="AT41" s="100">
        <v>6.5258317243558717E-4</v>
      </c>
      <c r="AU41" s="100">
        <v>0.43070489380748755</v>
      </c>
      <c r="AV41" s="100">
        <v>5.8686372275873889E-4</v>
      </c>
      <c r="AW41" s="100">
        <v>0.38733005702076767</v>
      </c>
      <c r="AX41" s="100">
        <v>6.4720722986740196</v>
      </c>
      <c r="AY41" s="100">
        <v>4271.5677171248526</v>
      </c>
      <c r="AZ41" s="100">
        <v>0.55601948432054416</v>
      </c>
      <c r="BA41" s="100">
        <v>366.97285965155913</v>
      </c>
      <c r="BB41" s="100">
        <v>8</v>
      </c>
      <c r="BC41" s="100">
        <v>5280</v>
      </c>
      <c r="BD41" s="100">
        <v>8.7880807731653316</v>
      </c>
      <c r="BE41" s="100">
        <v>5800.1333102891185</v>
      </c>
      <c r="BF41" s="100">
        <v>9.5839715221331261</v>
      </c>
      <c r="BG41" s="100">
        <v>6325.4212046078628</v>
      </c>
      <c r="BH41" s="100">
        <v>8</v>
      </c>
      <c r="BI41" s="100">
        <v>5280</v>
      </c>
      <c r="BJ41" s="100">
        <v>7</v>
      </c>
      <c r="BK41" s="100">
        <v>4620</v>
      </c>
      <c r="BL41" s="100">
        <v>10</v>
      </c>
      <c r="BM41" s="100">
        <v>6600</v>
      </c>
      <c r="BN41" s="100">
        <v>7.2975048651432148</v>
      </c>
      <c r="BO41" s="100">
        <v>4816.3532109945218</v>
      </c>
      <c r="BP41" s="100">
        <v>6.4798140148415782E-4</v>
      </c>
      <c r="BQ41" s="100">
        <v>0.42766772497954414</v>
      </c>
      <c r="BR41" s="100">
        <v>6</v>
      </c>
      <c r="BS41" s="100">
        <v>3960</v>
      </c>
      <c r="BT41" s="100">
        <v>8.2049257635487098</v>
      </c>
      <c r="BU41" s="100">
        <v>5415.2510039421486</v>
      </c>
      <c r="BV41" s="100">
        <v>8.9961223589366686</v>
      </c>
      <c r="BW41" s="100">
        <v>5937.4407568982015</v>
      </c>
      <c r="BX41" s="100">
        <v>4.6253217883717666E-4</v>
      </c>
      <c r="BY41" s="100">
        <v>0.30527123803253658</v>
      </c>
      <c r="BZ41" s="100">
        <v>6</v>
      </c>
      <c r="CA41" s="100">
        <v>3960</v>
      </c>
      <c r="CB41" s="100">
        <v>6</v>
      </c>
      <c r="CC41" s="100">
        <v>3960</v>
      </c>
      <c r="CD41" s="100">
        <v>9</v>
      </c>
      <c r="CE41" s="100">
        <v>5940</v>
      </c>
      <c r="CF41" s="100">
        <v>8</v>
      </c>
      <c r="CG41" s="100">
        <v>5280</v>
      </c>
      <c r="CH41" s="100">
        <v>7</v>
      </c>
      <c r="CI41" s="100">
        <v>4620</v>
      </c>
      <c r="CJ41" s="100">
        <v>6.5454319272296013</v>
      </c>
      <c r="CK41" s="100">
        <v>4319.9850719715369</v>
      </c>
      <c r="CL41" s="100">
        <v>6.7654125071368121</v>
      </c>
      <c r="CM41" s="100">
        <v>4465.1722547102963</v>
      </c>
      <c r="CN41" s="100">
        <v>9</v>
      </c>
      <c r="CO41" s="100">
        <v>5940</v>
      </c>
      <c r="CP41" s="100">
        <v>6.3184983329833919</v>
      </c>
      <c r="CQ41" s="100">
        <v>4170.2088997690389</v>
      </c>
      <c r="CR41" s="100">
        <v>9.3229918793071587</v>
      </c>
      <c r="CS41" s="100">
        <v>6153.1746403427251</v>
      </c>
      <c r="CT41" s="100">
        <v>8.4053042138523484</v>
      </c>
      <c r="CU41" s="100">
        <v>5547.5007811425503</v>
      </c>
    </row>
    <row r="42" spans="2:99">
      <c r="C42" s="99" t="s">
        <v>208</v>
      </c>
      <c r="D42" s="100">
        <v>2.0758176222261362</v>
      </c>
      <c r="E42" s="100">
        <v>1756.1417084033112</v>
      </c>
      <c r="F42" s="100">
        <v>9</v>
      </c>
      <c r="G42" s="100">
        <v>7614</v>
      </c>
      <c r="H42" s="100">
        <v>7</v>
      </c>
      <c r="I42" s="100">
        <v>5922</v>
      </c>
      <c r="J42" s="100">
        <v>6</v>
      </c>
      <c r="K42" s="100">
        <v>5076</v>
      </c>
      <c r="L42" s="100">
        <v>5</v>
      </c>
      <c r="M42" s="100">
        <v>4230</v>
      </c>
      <c r="N42" s="100">
        <v>8</v>
      </c>
      <c r="O42" s="100">
        <v>6768</v>
      </c>
      <c r="P42" s="100">
        <v>7</v>
      </c>
      <c r="Q42" s="100">
        <v>5922</v>
      </c>
      <c r="R42" s="100">
        <v>8</v>
      </c>
      <c r="S42" s="100">
        <v>6768</v>
      </c>
      <c r="T42" s="100">
        <v>6</v>
      </c>
      <c r="U42" s="100">
        <v>5076</v>
      </c>
      <c r="V42" s="100">
        <v>7</v>
      </c>
      <c r="W42" s="100">
        <v>5922</v>
      </c>
      <c r="X42" s="100">
        <v>8</v>
      </c>
      <c r="Y42" s="100">
        <v>6768</v>
      </c>
      <c r="Z42" s="100">
        <v>5</v>
      </c>
      <c r="AA42" s="100">
        <v>4230</v>
      </c>
      <c r="AB42" s="100">
        <v>8</v>
      </c>
      <c r="AC42" s="100">
        <v>6768</v>
      </c>
      <c r="AD42" s="100">
        <v>9</v>
      </c>
      <c r="AE42" s="100">
        <v>7614</v>
      </c>
      <c r="AF42" s="100">
        <v>5.0050680435696782</v>
      </c>
      <c r="AG42" s="100">
        <v>4234.2875648599475</v>
      </c>
      <c r="AH42" s="100">
        <v>7</v>
      </c>
      <c r="AI42" s="100">
        <v>5922</v>
      </c>
      <c r="AJ42" s="100">
        <v>8</v>
      </c>
      <c r="AK42" s="100">
        <v>6768</v>
      </c>
      <c r="AL42" s="100">
        <v>5</v>
      </c>
      <c r="AM42" s="100">
        <v>4230</v>
      </c>
      <c r="AN42" s="100">
        <v>7</v>
      </c>
      <c r="AO42" s="100">
        <v>5922</v>
      </c>
      <c r="AP42" s="100">
        <v>6</v>
      </c>
      <c r="AQ42" s="100">
        <v>5076</v>
      </c>
      <c r="AR42" s="100">
        <v>2.1463860111955366</v>
      </c>
      <c r="AS42" s="100">
        <v>1815.842565471424</v>
      </c>
      <c r="AT42" s="100">
        <v>7.6134548763693579E-4</v>
      </c>
      <c r="AU42" s="100">
        <v>0.64409828254084767</v>
      </c>
      <c r="AV42" s="100">
        <v>5.8686372275873889E-4</v>
      </c>
      <c r="AW42" s="100">
        <v>0.49648670945389312</v>
      </c>
      <c r="AX42" s="100">
        <v>5.399445791185709</v>
      </c>
      <c r="AY42" s="100">
        <v>4567.9311393431099</v>
      </c>
      <c r="AZ42" s="100">
        <v>0.47658812941760925</v>
      </c>
      <c r="BA42" s="100">
        <v>403.19355748729743</v>
      </c>
      <c r="BB42" s="100">
        <v>9</v>
      </c>
      <c r="BC42" s="100">
        <v>7614</v>
      </c>
      <c r="BD42" s="100">
        <v>7.8116273539247381</v>
      </c>
      <c r="BE42" s="100">
        <v>6608.6367414203287</v>
      </c>
      <c r="BF42" s="100">
        <v>9.5839715221331261</v>
      </c>
      <c r="BG42" s="100">
        <v>8108.0399077246248</v>
      </c>
      <c r="BH42" s="100">
        <v>7</v>
      </c>
      <c r="BI42" s="100">
        <v>5922</v>
      </c>
      <c r="BJ42" s="100">
        <v>7</v>
      </c>
      <c r="BK42" s="100">
        <v>5922</v>
      </c>
      <c r="BL42" s="100">
        <v>9</v>
      </c>
      <c r="BM42" s="100">
        <v>7614</v>
      </c>
      <c r="BN42" s="100">
        <v>7.2975048651432148</v>
      </c>
      <c r="BO42" s="100">
        <v>6173.6891159111601</v>
      </c>
      <c r="BP42" s="100">
        <v>6.4798140148415782E-4</v>
      </c>
      <c r="BQ42" s="100">
        <v>0.54819226565559753</v>
      </c>
      <c r="BR42" s="100">
        <v>7</v>
      </c>
      <c r="BS42" s="100">
        <v>5922</v>
      </c>
      <c r="BT42" s="100">
        <v>9.2049257635487098</v>
      </c>
      <c r="BU42" s="100">
        <v>7787.3671959622088</v>
      </c>
      <c r="BV42" s="100">
        <v>7.9965532079437063</v>
      </c>
      <c r="BW42" s="100">
        <v>6765.0840139203756</v>
      </c>
      <c r="BX42" s="100">
        <v>3.9645615328900855E-4</v>
      </c>
      <c r="BY42" s="100">
        <v>0.33540190568250122</v>
      </c>
      <c r="BZ42" s="100">
        <v>6</v>
      </c>
      <c r="CA42" s="100">
        <v>5076</v>
      </c>
      <c r="CB42" s="100">
        <v>6</v>
      </c>
      <c r="CC42" s="100">
        <v>5076</v>
      </c>
      <c r="CD42" s="100">
        <v>9</v>
      </c>
      <c r="CE42" s="100">
        <v>7614</v>
      </c>
      <c r="CF42" s="100">
        <v>9</v>
      </c>
      <c r="CG42" s="100">
        <v>7614</v>
      </c>
      <c r="CH42" s="100">
        <v>8</v>
      </c>
      <c r="CI42" s="100">
        <v>6768</v>
      </c>
      <c r="CJ42" s="100">
        <v>6.5908845878320683</v>
      </c>
      <c r="CK42" s="100">
        <v>5575.8883613059297</v>
      </c>
      <c r="CL42" s="100">
        <v>6.7654125071368121</v>
      </c>
      <c r="CM42" s="100">
        <v>5723.5389810377428</v>
      </c>
      <c r="CN42" s="100">
        <v>9</v>
      </c>
      <c r="CO42" s="100">
        <v>7614</v>
      </c>
      <c r="CP42" s="100">
        <v>6.2972651107844984</v>
      </c>
      <c r="CQ42" s="100">
        <v>5327.486283723686</v>
      </c>
      <c r="CR42" s="100">
        <v>9.358879865896844</v>
      </c>
      <c r="CS42" s="100">
        <v>7917.6123665487303</v>
      </c>
      <c r="CT42" s="100">
        <v>7.4713815234243102</v>
      </c>
      <c r="CU42" s="100">
        <v>6320.7887688169667</v>
      </c>
    </row>
    <row r="43" spans="2:99">
      <c r="C43" s="99" t="s">
        <v>209</v>
      </c>
      <c r="D43" s="100">
        <v>1.8451712197565657</v>
      </c>
      <c r="E43" s="100">
        <v>1886.5030550791128</v>
      </c>
      <c r="F43" s="100">
        <v>8</v>
      </c>
      <c r="G43" s="100">
        <v>8179.2</v>
      </c>
      <c r="H43" s="100">
        <v>8</v>
      </c>
      <c r="I43" s="100">
        <v>8179.2</v>
      </c>
      <c r="J43" s="100">
        <v>5</v>
      </c>
      <c r="K43" s="100">
        <v>5112</v>
      </c>
      <c r="L43" s="100">
        <v>5</v>
      </c>
      <c r="M43" s="100">
        <v>5112</v>
      </c>
      <c r="N43" s="100">
        <v>8</v>
      </c>
      <c r="O43" s="100">
        <v>8179.2</v>
      </c>
      <c r="P43" s="100">
        <v>8</v>
      </c>
      <c r="Q43" s="100">
        <v>8179.2</v>
      </c>
      <c r="R43" s="100">
        <v>7</v>
      </c>
      <c r="S43" s="100">
        <v>7156.8</v>
      </c>
      <c r="T43" s="100">
        <v>6</v>
      </c>
      <c r="U43" s="100">
        <v>6134.4</v>
      </c>
      <c r="V43" s="100">
        <v>8</v>
      </c>
      <c r="W43" s="100">
        <v>8179.2</v>
      </c>
      <c r="X43" s="100">
        <v>8</v>
      </c>
      <c r="Y43" s="100">
        <v>8179.2</v>
      </c>
      <c r="Z43" s="100">
        <v>6</v>
      </c>
      <c r="AA43" s="100">
        <v>6134.4</v>
      </c>
      <c r="AB43" s="100">
        <v>9</v>
      </c>
      <c r="AC43" s="100">
        <v>9201.6</v>
      </c>
      <c r="AD43" s="100">
        <v>9</v>
      </c>
      <c r="AE43" s="100">
        <v>9201.6</v>
      </c>
      <c r="AF43" s="100">
        <v>5.0055748479266464</v>
      </c>
      <c r="AG43" s="100">
        <v>5117.6997245202028</v>
      </c>
      <c r="AH43" s="100">
        <v>7</v>
      </c>
      <c r="AI43" s="100">
        <v>7156.8</v>
      </c>
      <c r="AJ43" s="100">
        <v>8</v>
      </c>
      <c r="AK43" s="100">
        <v>8179.2</v>
      </c>
      <c r="AL43" s="100">
        <v>6</v>
      </c>
      <c r="AM43" s="100">
        <v>6134.4</v>
      </c>
      <c r="AN43" s="100">
        <v>6</v>
      </c>
      <c r="AO43" s="100">
        <v>6134.4</v>
      </c>
      <c r="AP43" s="100">
        <v>6</v>
      </c>
      <c r="AQ43" s="100">
        <v>6134.4</v>
      </c>
      <c r="AR43" s="100">
        <v>2.5756592270233338</v>
      </c>
      <c r="AS43" s="100">
        <v>2633.3539937086566</v>
      </c>
      <c r="AT43" s="100">
        <v>6.5258193493858787E-4</v>
      </c>
      <c r="AU43" s="100">
        <v>0.66719977028121225</v>
      </c>
      <c r="AV43" s="100">
        <v>6.8467434321852871E-4</v>
      </c>
      <c r="AW43" s="100">
        <v>0.70001104850662377</v>
      </c>
      <c r="AX43" s="100">
        <v>6.4720722986740196</v>
      </c>
      <c r="AY43" s="100">
        <v>6617.0467181643171</v>
      </c>
      <c r="AZ43" s="100">
        <v>0.47658812941760925</v>
      </c>
      <c r="BA43" s="100">
        <v>487.26370351656368</v>
      </c>
      <c r="BB43" s="100">
        <v>8</v>
      </c>
      <c r="BC43" s="100">
        <v>8179.2</v>
      </c>
      <c r="BD43" s="100">
        <v>7.8116273539247381</v>
      </c>
      <c r="BE43" s="100">
        <v>7986.6078066526516</v>
      </c>
      <c r="BF43" s="100">
        <v>8.6255743699198124</v>
      </c>
      <c r="BG43" s="100">
        <v>8818.7872358060158</v>
      </c>
      <c r="BH43" s="100">
        <v>7</v>
      </c>
      <c r="BI43" s="100">
        <v>7156.8</v>
      </c>
      <c r="BJ43" s="100">
        <v>8</v>
      </c>
      <c r="BK43" s="100">
        <v>8179.2</v>
      </c>
      <c r="BL43" s="100">
        <v>9</v>
      </c>
      <c r="BM43" s="100">
        <v>9201.6</v>
      </c>
      <c r="BN43" s="100">
        <v>6.3176908368213267</v>
      </c>
      <c r="BO43" s="100">
        <v>6459.2071115661247</v>
      </c>
      <c r="BP43" s="100">
        <v>5.759834679859181E-4</v>
      </c>
      <c r="BQ43" s="100">
        <v>0.5888854976688026</v>
      </c>
      <c r="BR43" s="100">
        <v>7</v>
      </c>
      <c r="BS43" s="100">
        <v>7156.8</v>
      </c>
      <c r="BT43" s="100">
        <v>7.2235553784167745</v>
      </c>
      <c r="BU43" s="100">
        <v>7385.3630188933103</v>
      </c>
      <c r="BV43" s="100">
        <v>8.9961223589366686</v>
      </c>
      <c r="BW43" s="100">
        <v>9197.6354997768503</v>
      </c>
      <c r="BX43" s="100">
        <v>3.9645615328900855E-4</v>
      </c>
      <c r="BY43" s="100">
        <v>0.40533677112268235</v>
      </c>
      <c r="BZ43" s="100">
        <v>5</v>
      </c>
      <c r="CA43" s="100">
        <v>5112</v>
      </c>
      <c r="CB43" s="100">
        <v>6</v>
      </c>
      <c r="CC43" s="100">
        <v>6134.4</v>
      </c>
      <c r="CD43" s="100">
        <v>9</v>
      </c>
      <c r="CE43" s="100">
        <v>9201.6</v>
      </c>
      <c r="CF43" s="100">
        <v>9</v>
      </c>
      <c r="CG43" s="100">
        <v>9201.6</v>
      </c>
      <c r="CH43" s="100">
        <v>7</v>
      </c>
      <c r="CI43" s="100">
        <v>7156.8</v>
      </c>
      <c r="CJ43" s="100">
        <v>6.5454319272296013</v>
      </c>
      <c r="CK43" s="100">
        <v>6692.0496023995438</v>
      </c>
      <c r="CL43" s="100">
        <v>5.7989250061172672</v>
      </c>
      <c r="CM43" s="100">
        <v>5928.8209262542941</v>
      </c>
      <c r="CN43" s="100">
        <v>10</v>
      </c>
      <c r="CO43" s="100">
        <v>10224</v>
      </c>
      <c r="CP43" s="100">
        <v>6.2760318885856057</v>
      </c>
      <c r="CQ43" s="100">
        <v>6416.6150028899228</v>
      </c>
      <c r="CR43" s="100">
        <v>8.3229918793071587</v>
      </c>
      <c r="CS43" s="100">
        <v>8509.4268974036386</v>
      </c>
      <c r="CT43" s="100">
        <v>6.5374588329962711</v>
      </c>
      <c r="CU43" s="100">
        <v>6683.8979108553876</v>
      </c>
    </row>
    <row r="44" spans="2:99">
      <c r="C44" s="99" t="s">
        <v>210</v>
      </c>
      <c r="D44" s="100">
        <v>1.8451712197565657</v>
      </c>
      <c r="E44" s="100">
        <v>1886.5030550791128</v>
      </c>
      <c r="F44" s="100">
        <v>9</v>
      </c>
      <c r="G44" s="100">
        <v>9201.6</v>
      </c>
      <c r="H44" s="100">
        <v>7</v>
      </c>
      <c r="I44" s="100">
        <v>7156.8</v>
      </c>
      <c r="J44" s="100">
        <v>5</v>
      </c>
      <c r="K44" s="100">
        <v>5112</v>
      </c>
      <c r="L44" s="100">
        <v>5</v>
      </c>
      <c r="M44" s="100">
        <v>5112</v>
      </c>
      <c r="N44" s="100">
        <v>8</v>
      </c>
      <c r="O44" s="100">
        <v>8179.2</v>
      </c>
      <c r="P44" s="100">
        <v>8</v>
      </c>
      <c r="Q44" s="100">
        <v>8179.2</v>
      </c>
      <c r="R44" s="100">
        <v>7</v>
      </c>
      <c r="S44" s="100">
        <v>7156.8</v>
      </c>
      <c r="T44" s="100">
        <v>5</v>
      </c>
      <c r="U44" s="100">
        <v>5112</v>
      </c>
      <c r="V44" s="100">
        <v>7</v>
      </c>
      <c r="W44" s="100">
        <v>7156.8</v>
      </c>
      <c r="X44" s="100">
        <v>8</v>
      </c>
      <c r="Y44" s="100">
        <v>8179.2</v>
      </c>
      <c r="Z44" s="100">
        <v>6</v>
      </c>
      <c r="AA44" s="100">
        <v>6134.4</v>
      </c>
      <c r="AB44" s="100">
        <v>8</v>
      </c>
      <c r="AC44" s="100">
        <v>8179.2</v>
      </c>
      <c r="AD44" s="100">
        <v>9</v>
      </c>
      <c r="AE44" s="100">
        <v>9201.6</v>
      </c>
      <c r="AF44" s="100">
        <v>5.0050680435696782</v>
      </c>
      <c r="AG44" s="100">
        <v>5117.1815677456389</v>
      </c>
      <c r="AH44" s="100">
        <v>7</v>
      </c>
      <c r="AI44" s="100">
        <v>7156.8</v>
      </c>
      <c r="AJ44" s="100">
        <v>9</v>
      </c>
      <c r="AK44" s="100">
        <v>9201.6</v>
      </c>
      <c r="AL44" s="100">
        <v>6</v>
      </c>
      <c r="AM44" s="100">
        <v>6134.4</v>
      </c>
      <c r="AN44" s="100">
        <v>6</v>
      </c>
      <c r="AO44" s="100">
        <v>6134.4</v>
      </c>
      <c r="AP44" s="100">
        <v>6</v>
      </c>
      <c r="AQ44" s="100">
        <v>6134.4</v>
      </c>
      <c r="AR44" s="100">
        <v>2.1463885027026057</v>
      </c>
      <c r="AS44" s="100">
        <v>2194.4676051631441</v>
      </c>
      <c r="AT44" s="100">
        <v>7.6134486888843609E-4</v>
      </c>
      <c r="AU44" s="100">
        <v>0.778398993951537</v>
      </c>
      <c r="AV44" s="100">
        <v>5.8686372275873889E-4</v>
      </c>
      <c r="AW44" s="100">
        <v>0.60000947014853467</v>
      </c>
      <c r="AX44" s="100">
        <v>6.4357590449298643</v>
      </c>
      <c r="AY44" s="100">
        <v>6579.9200475362932</v>
      </c>
      <c r="AZ44" s="100">
        <v>0.47658812941760925</v>
      </c>
      <c r="BA44" s="100">
        <v>487.26370351656368</v>
      </c>
      <c r="BB44" s="100">
        <v>8</v>
      </c>
      <c r="BC44" s="100">
        <v>8179.2</v>
      </c>
      <c r="BD44" s="100">
        <v>8.7880807731653316</v>
      </c>
      <c r="BE44" s="100">
        <v>8984.9337824842351</v>
      </c>
      <c r="BF44" s="100">
        <v>8.6255743699198124</v>
      </c>
      <c r="BG44" s="100">
        <v>8818.7872358060158</v>
      </c>
      <c r="BH44" s="100">
        <v>7</v>
      </c>
      <c r="BI44" s="100">
        <v>7156.8</v>
      </c>
      <c r="BJ44" s="100">
        <v>8</v>
      </c>
      <c r="BK44" s="100">
        <v>8179.2</v>
      </c>
      <c r="BL44" s="100">
        <v>10</v>
      </c>
      <c r="BM44" s="100">
        <v>10224</v>
      </c>
      <c r="BN44" s="100">
        <v>6.2689345405002168</v>
      </c>
      <c r="BO44" s="100">
        <v>6409.3586742074212</v>
      </c>
      <c r="BP44" s="100">
        <v>6.4798140148415782E-4</v>
      </c>
      <c r="BQ44" s="100">
        <v>0.66249618487740292</v>
      </c>
      <c r="BR44" s="100">
        <v>6</v>
      </c>
      <c r="BS44" s="100">
        <v>6134.4</v>
      </c>
      <c r="BT44" s="100">
        <v>9.1862961486806451</v>
      </c>
      <c r="BU44" s="100">
        <v>9392.0691824110909</v>
      </c>
      <c r="BV44" s="100">
        <v>8.9961223589366686</v>
      </c>
      <c r="BW44" s="100">
        <v>9197.6354997768503</v>
      </c>
      <c r="BX44" s="100">
        <v>3.3038012774084044E-4</v>
      </c>
      <c r="BY44" s="100">
        <v>0.33778064260223528</v>
      </c>
      <c r="BZ44" s="100">
        <v>5</v>
      </c>
      <c r="CA44" s="100">
        <v>5112</v>
      </c>
      <c r="CB44" s="100">
        <v>6</v>
      </c>
      <c r="CC44" s="100">
        <v>6134.4</v>
      </c>
      <c r="CD44" s="100">
        <v>8</v>
      </c>
      <c r="CE44" s="100">
        <v>8179.2</v>
      </c>
      <c r="CF44" s="100">
        <v>9</v>
      </c>
      <c r="CG44" s="100">
        <v>9201.6</v>
      </c>
      <c r="CH44" s="100">
        <v>8</v>
      </c>
      <c r="CI44" s="100">
        <v>8179.2</v>
      </c>
      <c r="CJ44" s="100">
        <v>6.5454319272296013</v>
      </c>
      <c r="CK44" s="100">
        <v>6692.0496023995438</v>
      </c>
      <c r="CL44" s="100">
        <v>6.7654125071368121</v>
      </c>
      <c r="CM44" s="100">
        <v>6916.9577472966766</v>
      </c>
      <c r="CN44" s="100">
        <v>8</v>
      </c>
      <c r="CO44" s="100">
        <v>8179.2</v>
      </c>
      <c r="CP44" s="100">
        <v>6</v>
      </c>
      <c r="CQ44" s="100">
        <v>6134.4</v>
      </c>
      <c r="CR44" s="100">
        <v>9.3229918793071587</v>
      </c>
      <c r="CS44" s="100">
        <v>9531.8268974036382</v>
      </c>
      <c r="CT44" s="100">
        <v>7.4713815234243102</v>
      </c>
      <c r="CU44" s="100">
        <v>7638.740469549015</v>
      </c>
    </row>
    <row r="45" spans="2:99">
      <c r="C45" s="99" t="s">
        <v>211</v>
      </c>
      <c r="D45" s="100">
        <v>1.8451712197565657</v>
      </c>
      <c r="E45" s="100">
        <v>2304.9878877199021</v>
      </c>
      <c r="F45" s="100">
        <v>8</v>
      </c>
      <c r="G45" s="100">
        <v>9993.6</v>
      </c>
      <c r="H45" s="100">
        <v>8</v>
      </c>
      <c r="I45" s="100">
        <v>9993.6</v>
      </c>
      <c r="J45" s="100">
        <v>6</v>
      </c>
      <c r="K45" s="100">
        <v>7495.2000000000007</v>
      </c>
      <c r="L45" s="100">
        <v>5</v>
      </c>
      <c r="M45" s="100">
        <v>6246</v>
      </c>
      <c r="N45" s="100">
        <v>8</v>
      </c>
      <c r="O45" s="100">
        <v>9993.6</v>
      </c>
      <c r="P45" s="100">
        <v>8</v>
      </c>
      <c r="Q45" s="100">
        <v>9993.6</v>
      </c>
      <c r="R45" s="100">
        <v>7</v>
      </c>
      <c r="S45" s="100">
        <v>8744.4</v>
      </c>
      <c r="T45" s="100">
        <v>5</v>
      </c>
      <c r="U45" s="100">
        <v>6246</v>
      </c>
      <c r="V45" s="100">
        <v>8</v>
      </c>
      <c r="W45" s="100">
        <v>9993.6</v>
      </c>
      <c r="X45" s="100">
        <v>9</v>
      </c>
      <c r="Y45" s="100">
        <v>11242.800000000001</v>
      </c>
      <c r="Z45" s="100">
        <v>6</v>
      </c>
      <c r="AA45" s="100">
        <v>7495.2000000000007</v>
      </c>
      <c r="AB45" s="100">
        <v>8</v>
      </c>
      <c r="AC45" s="100">
        <v>9993.6</v>
      </c>
      <c r="AD45" s="100">
        <v>9</v>
      </c>
      <c r="AE45" s="100">
        <v>11242.800000000001</v>
      </c>
      <c r="AF45" s="100">
        <v>5.0045612392127108</v>
      </c>
      <c r="AG45" s="100">
        <v>6251.6979000245183</v>
      </c>
      <c r="AH45" s="100">
        <v>7</v>
      </c>
      <c r="AI45" s="100">
        <v>8744.4</v>
      </c>
      <c r="AJ45" s="100">
        <v>9</v>
      </c>
      <c r="AK45" s="100">
        <v>11242.800000000001</v>
      </c>
      <c r="AL45" s="100">
        <v>5</v>
      </c>
      <c r="AM45" s="100">
        <v>6246</v>
      </c>
      <c r="AN45" s="100">
        <v>6</v>
      </c>
      <c r="AO45" s="100">
        <v>7495.2000000000007</v>
      </c>
      <c r="AP45" s="100">
        <v>6</v>
      </c>
      <c r="AQ45" s="100">
        <v>7495.2000000000007</v>
      </c>
      <c r="AR45" s="100">
        <v>2.1463860111955366</v>
      </c>
      <c r="AS45" s="100">
        <v>2681.2654051854643</v>
      </c>
      <c r="AT45" s="100">
        <v>6.5258193493858787E-4</v>
      </c>
      <c r="AU45" s="100">
        <v>0.81520535312528397</v>
      </c>
      <c r="AV45" s="100">
        <v>5.8686372275873889E-4</v>
      </c>
      <c r="AW45" s="100">
        <v>0.73311016247021665</v>
      </c>
      <c r="AX45" s="100">
        <v>5.399445791185709</v>
      </c>
      <c r="AY45" s="100">
        <v>6744.9876823491877</v>
      </c>
      <c r="AZ45" s="100">
        <v>0.47658812941760925</v>
      </c>
      <c r="BA45" s="100">
        <v>595.35389126847747</v>
      </c>
      <c r="BB45" s="100">
        <v>7</v>
      </c>
      <c r="BC45" s="100">
        <v>8744.4</v>
      </c>
      <c r="BD45" s="100">
        <v>7.8116273539247381</v>
      </c>
      <c r="BE45" s="100">
        <v>9758.2848905227838</v>
      </c>
      <c r="BF45" s="100">
        <v>8.6255743699198124</v>
      </c>
      <c r="BG45" s="100">
        <v>10775.06750290383</v>
      </c>
      <c r="BH45" s="100">
        <v>7</v>
      </c>
      <c r="BI45" s="100">
        <v>8744.4</v>
      </c>
      <c r="BJ45" s="100">
        <v>7</v>
      </c>
      <c r="BK45" s="100">
        <v>8744.4</v>
      </c>
      <c r="BL45" s="100">
        <v>10</v>
      </c>
      <c r="BM45" s="100">
        <v>12492</v>
      </c>
      <c r="BN45" s="100">
        <v>6.2689345405002168</v>
      </c>
      <c r="BO45" s="100">
        <v>7831.1530279928711</v>
      </c>
      <c r="BP45" s="100">
        <v>5.759834679859181E-4</v>
      </c>
      <c r="BQ45" s="100">
        <v>0.71951854820800887</v>
      </c>
      <c r="BR45" s="100">
        <v>7</v>
      </c>
      <c r="BS45" s="100">
        <v>8744.4</v>
      </c>
      <c r="BT45" s="100">
        <v>8.2049257635487098</v>
      </c>
      <c r="BU45" s="100">
        <v>10249.593263825049</v>
      </c>
      <c r="BV45" s="100">
        <v>8.9961223589366686</v>
      </c>
      <c r="BW45" s="100">
        <v>11237.956050783687</v>
      </c>
      <c r="BX45" s="100">
        <v>3.9645615328900855E-4</v>
      </c>
      <c r="BY45" s="100">
        <v>0.49525302668862947</v>
      </c>
      <c r="BZ45" s="100">
        <v>5</v>
      </c>
      <c r="CA45" s="100">
        <v>6246</v>
      </c>
      <c r="CB45" s="100">
        <v>6</v>
      </c>
      <c r="CC45" s="100">
        <v>7495.2000000000007</v>
      </c>
      <c r="CD45" s="100">
        <v>8</v>
      </c>
      <c r="CE45" s="100">
        <v>9993.6</v>
      </c>
      <c r="CF45" s="100">
        <v>9</v>
      </c>
      <c r="CG45" s="100">
        <v>11242.800000000001</v>
      </c>
      <c r="CH45" s="100">
        <v>8</v>
      </c>
      <c r="CI45" s="100">
        <v>9993.6</v>
      </c>
      <c r="CJ45" s="100">
        <v>6.5454319272296013</v>
      </c>
      <c r="CK45" s="100">
        <v>8176.5535634952184</v>
      </c>
      <c r="CL45" s="100">
        <v>5.7989250061172672</v>
      </c>
      <c r="CM45" s="100">
        <v>7244.0171176416907</v>
      </c>
      <c r="CN45" s="100">
        <v>8</v>
      </c>
      <c r="CO45" s="100">
        <v>9993.6</v>
      </c>
      <c r="CP45" s="100">
        <v>6.2760318885856057</v>
      </c>
      <c r="CQ45" s="100">
        <v>7840.0190352211393</v>
      </c>
      <c r="CR45" s="100">
        <v>8.3229918793071587</v>
      </c>
      <c r="CS45" s="100">
        <v>10397.081455630503</v>
      </c>
      <c r="CT45" s="100">
        <v>7.4713815234243102</v>
      </c>
      <c r="CU45" s="100">
        <v>9333.2497990616484</v>
      </c>
    </row>
    <row r="46" spans="2:99">
      <c r="C46" s="99" t="s">
        <v>212</v>
      </c>
      <c r="D46" s="100">
        <v>1.8451712197565657</v>
      </c>
      <c r="E46" s="100">
        <v>2236.3475183449577</v>
      </c>
      <c r="F46" s="100">
        <v>8</v>
      </c>
      <c r="G46" s="100">
        <v>9696</v>
      </c>
      <c r="H46" s="100">
        <v>7</v>
      </c>
      <c r="I46" s="100">
        <v>8484</v>
      </c>
      <c r="J46" s="100">
        <v>5</v>
      </c>
      <c r="K46" s="100">
        <v>6060</v>
      </c>
      <c r="L46" s="100">
        <v>5</v>
      </c>
      <c r="M46" s="100">
        <v>6060</v>
      </c>
      <c r="N46" s="100">
        <v>8</v>
      </c>
      <c r="O46" s="100">
        <v>9696</v>
      </c>
      <c r="P46" s="100">
        <v>8</v>
      </c>
      <c r="Q46" s="100">
        <v>9696</v>
      </c>
      <c r="R46" s="100">
        <v>8</v>
      </c>
      <c r="S46" s="100">
        <v>9696</v>
      </c>
      <c r="T46" s="100">
        <v>6</v>
      </c>
      <c r="U46" s="100">
        <v>7272</v>
      </c>
      <c r="V46" s="100">
        <v>8</v>
      </c>
      <c r="W46" s="100">
        <v>9696</v>
      </c>
      <c r="X46" s="100">
        <v>9</v>
      </c>
      <c r="Y46" s="100">
        <v>10908</v>
      </c>
      <c r="Z46" s="100">
        <v>5</v>
      </c>
      <c r="AA46" s="100">
        <v>6060</v>
      </c>
      <c r="AB46" s="100">
        <v>8</v>
      </c>
      <c r="AC46" s="100">
        <v>9696</v>
      </c>
      <c r="AD46" s="100">
        <v>9</v>
      </c>
      <c r="AE46" s="100">
        <v>10908</v>
      </c>
      <c r="AF46" s="100">
        <v>5.0050680435696782</v>
      </c>
      <c r="AG46" s="100">
        <v>6066.1424688064499</v>
      </c>
      <c r="AH46" s="100">
        <v>7</v>
      </c>
      <c r="AI46" s="100">
        <v>8484</v>
      </c>
      <c r="AJ46" s="100">
        <v>8</v>
      </c>
      <c r="AK46" s="100">
        <v>9696</v>
      </c>
      <c r="AL46" s="100">
        <v>5</v>
      </c>
      <c r="AM46" s="100">
        <v>6060</v>
      </c>
      <c r="AN46" s="100">
        <v>6</v>
      </c>
      <c r="AO46" s="100">
        <v>7272</v>
      </c>
      <c r="AP46" s="100">
        <v>6</v>
      </c>
      <c r="AQ46" s="100">
        <v>7272</v>
      </c>
      <c r="AR46" s="100">
        <v>2.1463860111955366</v>
      </c>
      <c r="AS46" s="100">
        <v>2601.4198455689902</v>
      </c>
      <c r="AT46" s="100">
        <v>7.6134425013993639E-4</v>
      </c>
      <c r="AU46" s="100">
        <v>0.92274923116960295</v>
      </c>
      <c r="AV46" s="100">
        <v>5.8686372275873889E-4</v>
      </c>
      <c r="AW46" s="100">
        <v>0.71127883198359154</v>
      </c>
      <c r="AX46" s="100">
        <v>5.4357590449298643</v>
      </c>
      <c r="AY46" s="100">
        <v>6588.1399624549958</v>
      </c>
      <c r="AZ46" s="100">
        <v>0.47658812941760925</v>
      </c>
      <c r="BA46" s="100">
        <v>577.62481285414242</v>
      </c>
      <c r="BB46" s="100">
        <v>7</v>
      </c>
      <c r="BC46" s="100">
        <v>8484</v>
      </c>
      <c r="BD46" s="100">
        <v>7.8116273539247381</v>
      </c>
      <c r="BE46" s="100">
        <v>9467.692352956783</v>
      </c>
      <c r="BF46" s="100">
        <v>8.6255743699198124</v>
      </c>
      <c r="BG46" s="100">
        <v>10454.196136342813</v>
      </c>
      <c r="BH46" s="100">
        <v>6</v>
      </c>
      <c r="BI46" s="100">
        <v>7272</v>
      </c>
      <c r="BJ46" s="100">
        <v>7</v>
      </c>
      <c r="BK46" s="100">
        <v>8484</v>
      </c>
      <c r="BL46" s="100">
        <v>9</v>
      </c>
      <c r="BM46" s="100">
        <v>10908</v>
      </c>
      <c r="BN46" s="100">
        <v>6.2689345405002168</v>
      </c>
      <c r="BO46" s="100">
        <v>7597.948663086263</v>
      </c>
      <c r="BP46" s="100">
        <v>6.4798140148415782E-4</v>
      </c>
      <c r="BQ46" s="100">
        <v>0.78535345859879924</v>
      </c>
      <c r="BR46" s="100">
        <v>6</v>
      </c>
      <c r="BS46" s="100">
        <v>7272</v>
      </c>
      <c r="BT46" s="100">
        <v>8.2235553784167745</v>
      </c>
      <c r="BU46" s="100">
        <v>9966.9491186411306</v>
      </c>
      <c r="BV46" s="100">
        <v>7.9965532079437063</v>
      </c>
      <c r="BW46" s="100">
        <v>9691.8224880277721</v>
      </c>
      <c r="BX46" s="100">
        <v>3.9645615328900855E-4</v>
      </c>
      <c r="BY46" s="100">
        <v>0.48050485778627838</v>
      </c>
      <c r="BZ46" s="100">
        <v>5</v>
      </c>
      <c r="CA46" s="100">
        <v>6060</v>
      </c>
      <c r="CB46" s="100">
        <v>6</v>
      </c>
      <c r="CC46" s="100">
        <v>7272</v>
      </c>
      <c r="CD46" s="100">
        <v>9</v>
      </c>
      <c r="CE46" s="100">
        <v>10908</v>
      </c>
      <c r="CF46" s="100">
        <v>8</v>
      </c>
      <c r="CG46" s="100">
        <v>9696</v>
      </c>
      <c r="CH46" s="100">
        <v>7</v>
      </c>
      <c r="CI46" s="100">
        <v>8484</v>
      </c>
      <c r="CJ46" s="100">
        <v>6.5908845878320683</v>
      </c>
      <c r="CK46" s="100">
        <v>7988.152120452467</v>
      </c>
      <c r="CL46" s="100">
        <v>6.7654125071368121</v>
      </c>
      <c r="CM46" s="100">
        <v>8199.6799586498164</v>
      </c>
      <c r="CN46" s="100">
        <v>10</v>
      </c>
      <c r="CO46" s="100">
        <v>12120</v>
      </c>
      <c r="CP46" s="100">
        <v>5.3184983329833919</v>
      </c>
      <c r="CQ46" s="100">
        <v>6446.0199795758708</v>
      </c>
      <c r="CR46" s="100">
        <v>8.3229918793071587</v>
      </c>
      <c r="CS46" s="100">
        <v>10087.466157720277</v>
      </c>
      <c r="CT46" s="100">
        <v>7.4713815234243102</v>
      </c>
      <c r="CU46" s="100">
        <v>9055.3144063902637</v>
      </c>
    </row>
    <row r="47" spans="2:99">
      <c r="C47" s="99" t="s">
        <v>213</v>
      </c>
      <c r="D47" s="100">
        <v>2.0758176222261362</v>
      </c>
      <c r="E47" s="100">
        <v>3171.0189997126454</v>
      </c>
      <c r="F47" s="100">
        <v>8</v>
      </c>
      <c r="G47" s="100">
        <v>12220.8</v>
      </c>
      <c r="H47" s="100">
        <v>7</v>
      </c>
      <c r="I47" s="100">
        <v>10693.199999999999</v>
      </c>
      <c r="J47" s="100">
        <v>6</v>
      </c>
      <c r="K47" s="100">
        <v>9165.5999999999985</v>
      </c>
      <c r="L47" s="100">
        <v>5</v>
      </c>
      <c r="M47" s="100">
        <v>7638</v>
      </c>
      <c r="N47" s="100">
        <v>8</v>
      </c>
      <c r="O47" s="100">
        <v>12220.8</v>
      </c>
      <c r="P47" s="100">
        <v>7</v>
      </c>
      <c r="Q47" s="100">
        <v>10693.199999999999</v>
      </c>
      <c r="R47" s="100">
        <v>8</v>
      </c>
      <c r="S47" s="100">
        <v>12220.8</v>
      </c>
      <c r="T47" s="100">
        <v>6</v>
      </c>
      <c r="U47" s="100">
        <v>9165.5999999999985</v>
      </c>
      <c r="V47" s="100">
        <v>7</v>
      </c>
      <c r="W47" s="100">
        <v>10693.199999999999</v>
      </c>
      <c r="X47" s="100">
        <v>8</v>
      </c>
      <c r="Y47" s="100">
        <v>12220.8</v>
      </c>
      <c r="Z47" s="100">
        <v>6</v>
      </c>
      <c r="AA47" s="100">
        <v>9165.5999999999985</v>
      </c>
      <c r="AB47" s="100">
        <v>9</v>
      </c>
      <c r="AC47" s="100">
        <v>13748.4</v>
      </c>
      <c r="AD47" s="100">
        <v>8</v>
      </c>
      <c r="AE47" s="100">
        <v>12220.8</v>
      </c>
      <c r="AF47" s="100">
        <v>6.0050680435696782</v>
      </c>
      <c r="AG47" s="100">
        <v>9173.3419433570398</v>
      </c>
      <c r="AH47" s="100">
        <v>7</v>
      </c>
      <c r="AI47" s="100">
        <v>10693.199999999999</v>
      </c>
      <c r="AJ47" s="100">
        <v>9.1343805885107745</v>
      </c>
      <c r="AK47" s="100">
        <v>13953.679787009058</v>
      </c>
      <c r="AL47" s="100">
        <v>5</v>
      </c>
      <c r="AM47" s="100">
        <v>7638</v>
      </c>
      <c r="AN47" s="100">
        <v>6</v>
      </c>
      <c r="AO47" s="100">
        <v>9165.5999999999985</v>
      </c>
      <c r="AP47" s="100">
        <v>6</v>
      </c>
      <c r="AQ47" s="100">
        <v>9165.5999999999985</v>
      </c>
      <c r="AR47" s="100">
        <v>2.1463860111955366</v>
      </c>
      <c r="AS47" s="100">
        <v>3278.8192707023018</v>
      </c>
      <c r="AT47" s="100">
        <v>6.5258255368708757E-4</v>
      </c>
      <c r="AU47" s="100">
        <v>0.99688510901239491</v>
      </c>
      <c r="AV47" s="100">
        <v>6.8467434321852871E-4</v>
      </c>
      <c r="AW47" s="100">
        <v>1.0459085267006243</v>
      </c>
      <c r="AX47" s="100">
        <v>6.399445791185709</v>
      </c>
      <c r="AY47" s="100">
        <v>9775.7933906152884</v>
      </c>
      <c r="AZ47" s="100">
        <v>0.3971567745146744</v>
      </c>
      <c r="BA47" s="100">
        <v>606.69668874861657</v>
      </c>
      <c r="BB47" s="100">
        <v>8</v>
      </c>
      <c r="BC47" s="100">
        <v>12220.8</v>
      </c>
      <c r="BD47" s="100">
        <v>6.8351739346841471</v>
      </c>
      <c r="BE47" s="100">
        <v>10441.411702623502</v>
      </c>
      <c r="BF47" s="100">
        <v>7.6671772177065005</v>
      </c>
      <c r="BG47" s="100">
        <v>11712.379917768449</v>
      </c>
      <c r="BH47" s="100">
        <v>7</v>
      </c>
      <c r="BI47" s="100">
        <v>10693.199999999999</v>
      </c>
      <c r="BJ47" s="100">
        <v>7</v>
      </c>
      <c r="BK47" s="100">
        <v>10693.199999999999</v>
      </c>
      <c r="BL47" s="100">
        <v>8</v>
      </c>
      <c r="BM47" s="100">
        <v>12220.8</v>
      </c>
      <c r="BN47" s="100">
        <v>7.1999922725009942</v>
      </c>
      <c r="BO47" s="100">
        <v>10998.708195472518</v>
      </c>
      <c r="BP47" s="100">
        <v>6.4798140148415782E-4</v>
      </c>
      <c r="BQ47" s="100">
        <v>0.9898563889071994</v>
      </c>
      <c r="BR47" s="100">
        <v>7</v>
      </c>
      <c r="BS47" s="100">
        <v>10693.199999999999</v>
      </c>
      <c r="BT47" s="100">
        <v>9.2049257635487098</v>
      </c>
      <c r="BU47" s="100">
        <v>14061.444596397008</v>
      </c>
      <c r="BV47" s="100">
        <v>6.9969840569507422</v>
      </c>
      <c r="BW47" s="100">
        <v>10688.592845397954</v>
      </c>
      <c r="BX47" s="100">
        <v>3.9645615328900855E-4</v>
      </c>
      <c r="BY47" s="100">
        <v>0.60562641976428944</v>
      </c>
      <c r="BZ47" s="100">
        <v>5</v>
      </c>
      <c r="CA47" s="100">
        <v>7638</v>
      </c>
      <c r="CB47" s="100">
        <v>6</v>
      </c>
      <c r="CC47" s="100">
        <v>9165.5999999999985</v>
      </c>
      <c r="CD47" s="100">
        <v>8</v>
      </c>
      <c r="CE47" s="100">
        <v>12220.8</v>
      </c>
      <c r="CF47" s="100">
        <v>7</v>
      </c>
      <c r="CG47" s="100">
        <v>10693.199999999999</v>
      </c>
      <c r="CH47" s="100">
        <v>7</v>
      </c>
      <c r="CI47" s="100">
        <v>10693.199999999999</v>
      </c>
      <c r="CJ47" s="100">
        <v>6.5908845878320683</v>
      </c>
      <c r="CK47" s="100">
        <v>10068.235296372268</v>
      </c>
      <c r="CL47" s="100">
        <v>6.7654125071368121</v>
      </c>
      <c r="CM47" s="100">
        <v>10334.844145902194</v>
      </c>
      <c r="CN47" s="100">
        <v>9</v>
      </c>
      <c r="CO47" s="100">
        <v>13748.4</v>
      </c>
      <c r="CP47" s="100">
        <v>6.2972651107844984</v>
      </c>
      <c r="CQ47" s="100">
        <v>9619.7021832343999</v>
      </c>
      <c r="CR47" s="100">
        <v>8.358879865896844</v>
      </c>
      <c r="CS47" s="100">
        <v>12769.024883144019</v>
      </c>
      <c r="CT47" s="100">
        <v>7.4713815234243102</v>
      </c>
      <c r="CU47" s="100">
        <v>11413.282415182975</v>
      </c>
    </row>
    <row r="48" spans="2:99">
      <c r="C48" s="99" t="s">
        <v>214</v>
      </c>
      <c r="D48" s="100">
        <v>1.8451712197565657</v>
      </c>
      <c r="E48" s="100">
        <v>1600.8705502607966</v>
      </c>
      <c r="F48" s="100">
        <v>9</v>
      </c>
      <c r="G48" s="100">
        <v>7808.4000000000005</v>
      </c>
      <c r="H48" s="100">
        <v>8</v>
      </c>
      <c r="I48" s="100">
        <v>6940.8</v>
      </c>
      <c r="J48" s="100">
        <v>5</v>
      </c>
      <c r="K48" s="100">
        <v>4338</v>
      </c>
      <c r="L48" s="100">
        <v>6</v>
      </c>
      <c r="M48" s="100">
        <v>5205.6000000000004</v>
      </c>
      <c r="N48" s="100">
        <v>8</v>
      </c>
      <c r="O48" s="100">
        <v>6940.8</v>
      </c>
      <c r="P48" s="100">
        <v>7</v>
      </c>
      <c r="Q48" s="100">
        <v>6073.2</v>
      </c>
      <c r="R48" s="100">
        <v>8</v>
      </c>
      <c r="S48" s="100">
        <v>6940.8</v>
      </c>
      <c r="T48" s="100">
        <v>6</v>
      </c>
      <c r="U48" s="100">
        <v>5205.6000000000004</v>
      </c>
      <c r="V48" s="100">
        <v>8</v>
      </c>
      <c r="W48" s="100">
        <v>6940.8</v>
      </c>
      <c r="X48" s="100">
        <v>9</v>
      </c>
      <c r="Y48" s="100">
        <v>7808.4000000000005</v>
      </c>
      <c r="Z48" s="100">
        <v>6</v>
      </c>
      <c r="AA48" s="100">
        <v>5205.6000000000004</v>
      </c>
      <c r="AB48" s="100">
        <v>8</v>
      </c>
      <c r="AC48" s="100">
        <v>6940.8</v>
      </c>
      <c r="AD48" s="100">
        <v>9</v>
      </c>
      <c r="AE48" s="100">
        <v>7808.4000000000005</v>
      </c>
      <c r="AF48" s="100">
        <v>5.0055748479266464</v>
      </c>
      <c r="AG48" s="100">
        <v>4342.8367380611589</v>
      </c>
      <c r="AH48" s="100">
        <v>7</v>
      </c>
      <c r="AI48" s="100">
        <v>6073.2</v>
      </c>
      <c r="AJ48" s="100">
        <v>9</v>
      </c>
      <c r="AK48" s="100">
        <v>7808.4000000000005</v>
      </c>
      <c r="AL48" s="100">
        <v>6</v>
      </c>
      <c r="AM48" s="100">
        <v>5205.6000000000004</v>
      </c>
      <c r="AN48" s="100">
        <v>6</v>
      </c>
      <c r="AO48" s="100">
        <v>5205.6000000000004</v>
      </c>
      <c r="AP48" s="100">
        <v>6</v>
      </c>
      <c r="AQ48" s="100">
        <v>5205.6000000000004</v>
      </c>
      <c r="AR48" s="100">
        <v>2.1463885027026057</v>
      </c>
      <c r="AS48" s="100">
        <v>1862.2066649447809</v>
      </c>
      <c r="AT48" s="100">
        <v>6.5258193493858787E-4</v>
      </c>
      <c r="AU48" s="100">
        <v>0.5661800867527188</v>
      </c>
      <c r="AV48" s="100">
        <v>5.8686372275873889E-4</v>
      </c>
      <c r="AW48" s="100">
        <v>0.50916296586548193</v>
      </c>
      <c r="AX48" s="100">
        <v>5.399445791185709</v>
      </c>
      <c r="AY48" s="100">
        <v>4684.559168432721</v>
      </c>
      <c r="AZ48" s="100">
        <v>0.55601948432054416</v>
      </c>
      <c r="BA48" s="100">
        <v>482.40250459650412</v>
      </c>
      <c r="BB48" s="100">
        <v>7</v>
      </c>
      <c r="BC48" s="100">
        <v>6073.2</v>
      </c>
      <c r="BD48" s="100">
        <v>6.8351739346841471</v>
      </c>
      <c r="BE48" s="100">
        <v>5930.1969057319666</v>
      </c>
      <c r="BF48" s="100">
        <v>9.5839715221331261</v>
      </c>
      <c r="BG48" s="100">
        <v>8315.0536926026998</v>
      </c>
      <c r="BH48" s="100">
        <v>8</v>
      </c>
      <c r="BI48" s="100">
        <v>6940.8</v>
      </c>
      <c r="BJ48" s="100">
        <v>7</v>
      </c>
      <c r="BK48" s="100">
        <v>6073.2</v>
      </c>
      <c r="BL48" s="100">
        <v>8</v>
      </c>
      <c r="BM48" s="100">
        <v>6940.8</v>
      </c>
      <c r="BN48" s="100">
        <v>7.1999922725009942</v>
      </c>
      <c r="BO48" s="100">
        <v>6246.7132956218629</v>
      </c>
      <c r="BP48" s="100">
        <v>5.759834679859181E-4</v>
      </c>
      <c r="BQ48" s="100">
        <v>0.49972325682458257</v>
      </c>
      <c r="BR48" s="100">
        <v>6</v>
      </c>
      <c r="BS48" s="100">
        <v>5205.6000000000004</v>
      </c>
      <c r="BT48" s="100">
        <v>9.2049257635487098</v>
      </c>
      <c r="BU48" s="100">
        <v>7986.1935924548607</v>
      </c>
      <c r="BV48" s="100">
        <v>8.9961223589366686</v>
      </c>
      <c r="BW48" s="100">
        <v>7805.0357586134542</v>
      </c>
      <c r="BX48" s="100">
        <v>3.9645615328900855E-4</v>
      </c>
      <c r="BY48" s="100">
        <v>0.34396535859354382</v>
      </c>
      <c r="BZ48" s="100">
        <v>5</v>
      </c>
      <c r="CA48" s="100">
        <v>4338</v>
      </c>
      <c r="CB48" s="100">
        <v>6</v>
      </c>
      <c r="CC48" s="100">
        <v>5205.6000000000004</v>
      </c>
      <c r="CD48" s="100">
        <v>8</v>
      </c>
      <c r="CE48" s="100">
        <v>6940.8</v>
      </c>
      <c r="CF48" s="100">
        <v>9</v>
      </c>
      <c r="CG48" s="100">
        <v>7808.4000000000005</v>
      </c>
      <c r="CH48" s="100">
        <v>7</v>
      </c>
      <c r="CI48" s="100">
        <v>6073.2</v>
      </c>
      <c r="CJ48" s="100">
        <v>5.5908845878320683</v>
      </c>
      <c r="CK48" s="100">
        <v>4850.6514684031026</v>
      </c>
      <c r="CL48" s="100">
        <v>6.7654125071368121</v>
      </c>
      <c r="CM48" s="100">
        <v>5869.6718911918979</v>
      </c>
      <c r="CN48" s="100">
        <v>9</v>
      </c>
      <c r="CO48" s="100">
        <v>7808.4000000000005</v>
      </c>
      <c r="CP48" s="100">
        <v>5.2760318885856057</v>
      </c>
      <c r="CQ48" s="100">
        <v>4577.4852665368717</v>
      </c>
      <c r="CR48" s="100">
        <v>8.358879865896844</v>
      </c>
      <c r="CS48" s="100">
        <v>7252.1641716521017</v>
      </c>
      <c r="CT48" s="100">
        <v>7.4713815234243102</v>
      </c>
      <c r="CU48" s="100">
        <v>6482.1706097229317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4</v>
      </c>
      <c r="G49" s="100">
        <v>3940.7999999999997</v>
      </c>
      <c r="H49" s="100">
        <v>5</v>
      </c>
      <c r="I49" s="100">
        <v>4926</v>
      </c>
      <c r="J49" s="100">
        <v>5</v>
      </c>
      <c r="K49" s="100">
        <v>4926</v>
      </c>
      <c r="L49" s="100">
        <v>6.4990430645284318</v>
      </c>
      <c r="M49" s="100">
        <v>6402.857227173411</v>
      </c>
      <c r="N49" s="100">
        <v>1.7302978492697967</v>
      </c>
      <c r="O49" s="100">
        <v>1704.6894411006035</v>
      </c>
      <c r="P49" s="100">
        <v>4</v>
      </c>
      <c r="Q49" s="100">
        <v>3940.7999999999997</v>
      </c>
      <c r="R49" s="100">
        <v>5</v>
      </c>
      <c r="S49" s="100">
        <v>4926</v>
      </c>
      <c r="T49" s="100">
        <v>7</v>
      </c>
      <c r="U49" s="100">
        <v>6896.4</v>
      </c>
      <c r="V49" s="100">
        <v>5</v>
      </c>
      <c r="W49" s="100">
        <v>4926</v>
      </c>
      <c r="X49" s="100">
        <v>6.1990847939579634</v>
      </c>
      <c r="Y49" s="100">
        <v>6107.338339007385</v>
      </c>
      <c r="Z49" s="100">
        <v>4</v>
      </c>
      <c r="AA49" s="100">
        <v>3940.7999999999997</v>
      </c>
      <c r="AB49" s="100">
        <v>5</v>
      </c>
      <c r="AC49" s="100">
        <v>4926</v>
      </c>
      <c r="AD49" s="100">
        <v>4.0388626766908953</v>
      </c>
      <c r="AE49" s="100">
        <v>3979.0875090758695</v>
      </c>
      <c r="AF49" s="100">
        <v>4</v>
      </c>
      <c r="AG49" s="100">
        <v>3940.7999999999997</v>
      </c>
      <c r="AH49" s="100">
        <v>5.5130579396807793</v>
      </c>
      <c r="AI49" s="100">
        <v>5431.4646821735032</v>
      </c>
      <c r="AJ49" s="100">
        <v>3.7358544952506541</v>
      </c>
      <c r="AK49" s="100">
        <v>3680.563848720944</v>
      </c>
      <c r="AL49" s="100">
        <v>3.1408453359952833</v>
      </c>
      <c r="AM49" s="100">
        <v>3094.3608250225529</v>
      </c>
      <c r="AN49" s="100">
        <v>3.483294571516409E-4</v>
      </c>
      <c r="AO49" s="100">
        <v>0.34317418118579657</v>
      </c>
      <c r="AP49" s="100">
        <v>3.8094411253408134</v>
      </c>
      <c r="AQ49" s="100">
        <v>3753.0613966857691</v>
      </c>
      <c r="AR49" s="100">
        <v>5.0577003807004628</v>
      </c>
      <c r="AS49" s="100">
        <v>4982.8464150660957</v>
      </c>
      <c r="AT49" s="100">
        <v>2.681336676943074</v>
      </c>
      <c r="AU49" s="100">
        <v>2641.6528941243164</v>
      </c>
      <c r="AV49" s="100">
        <v>3.0448301202555013</v>
      </c>
      <c r="AW49" s="100">
        <v>2999.7666344757195</v>
      </c>
      <c r="AX49" s="100">
        <v>4.5771337018405642</v>
      </c>
      <c r="AY49" s="100">
        <v>4509.3921230533233</v>
      </c>
      <c r="AZ49" s="100">
        <v>4.2750394851046902</v>
      </c>
      <c r="BA49" s="100">
        <v>4211.7689007251402</v>
      </c>
      <c r="BB49" s="100">
        <v>4.1704708126329439</v>
      </c>
      <c r="BC49" s="100">
        <v>4108.7478446059758</v>
      </c>
      <c r="BD49" s="100">
        <v>6</v>
      </c>
      <c r="BE49" s="100">
        <v>5911.2</v>
      </c>
      <c r="BF49" s="100">
        <v>6.5235911656536585</v>
      </c>
      <c r="BG49" s="100">
        <v>6427.0420164019843</v>
      </c>
      <c r="BH49" s="100">
        <v>1.9533331717794569</v>
      </c>
      <c r="BI49" s="100">
        <v>1924.4238408371207</v>
      </c>
      <c r="BJ49" s="100">
        <v>6</v>
      </c>
      <c r="BK49" s="100">
        <v>5911.2</v>
      </c>
      <c r="BL49" s="100">
        <v>4</v>
      </c>
      <c r="BM49" s="100">
        <v>3940.7999999999997</v>
      </c>
      <c r="BN49" s="100">
        <v>4</v>
      </c>
      <c r="BO49" s="100">
        <v>3940.7999999999997</v>
      </c>
      <c r="BP49" s="100">
        <v>3</v>
      </c>
      <c r="BQ49" s="100">
        <v>2955.6</v>
      </c>
      <c r="BR49" s="100">
        <v>3.6755869067978049</v>
      </c>
      <c r="BS49" s="100">
        <v>3621.1882205771972</v>
      </c>
      <c r="BT49" s="100">
        <v>2.3258554953237338</v>
      </c>
      <c r="BU49" s="100">
        <v>2291.4328339929425</v>
      </c>
      <c r="BV49" s="100">
        <v>5.2496712176099471</v>
      </c>
      <c r="BW49" s="100">
        <v>5171.9760835893194</v>
      </c>
      <c r="BX49" s="100">
        <v>3.2389278967634376</v>
      </c>
      <c r="BY49" s="100">
        <v>3190.9917638913385</v>
      </c>
      <c r="BZ49" s="100">
        <v>6</v>
      </c>
      <c r="CA49" s="100">
        <v>5911.2</v>
      </c>
      <c r="CB49" s="100">
        <v>3.0438636748102423</v>
      </c>
      <c r="CC49" s="100">
        <v>2998.8144924230505</v>
      </c>
      <c r="CD49" s="100">
        <v>5.3527522979934288</v>
      </c>
      <c r="CE49" s="100">
        <v>5273.531563983126</v>
      </c>
      <c r="CF49" s="100">
        <v>3.8423677475345084</v>
      </c>
      <c r="CG49" s="100">
        <v>3785.5007048709972</v>
      </c>
      <c r="CH49" s="100">
        <v>6.1899282625789809</v>
      </c>
      <c r="CI49" s="100">
        <v>6098.3173242928115</v>
      </c>
      <c r="CJ49" s="100">
        <v>4</v>
      </c>
      <c r="CK49" s="100">
        <v>3940.7999999999997</v>
      </c>
      <c r="CL49" s="100">
        <v>5</v>
      </c>
      <c r="CM49" s="100">
        <v>4926</v>
      </c>
      <c r="CN49" s="100">
        <v>4.1936136168834004</v>
      </c>
      <c r="CO49" s="100">
        <v>4131.548135353526</v>
      </c>
      <c r="CP49" s="100">
        <v>3.6156947564080921</v>
      </c>
      <c r="CQ49" s="100">
        <v>3562.182474013252</v>
      </c>
      <c r="CR49" s="100">
        <v>2.0351235584082676</v>
      </c>
      <c r="CS49" s="100">
        <v>2005.003729743825</v>
      </c>
      <c r="CT49" s="100">
        <v>6.0361554679388023</v>
      </c>
      <c r="CU49" s="100">
        <v>5946.820367013308</v>
      </c>
    </row>
    <row r="50" spans="2:99">
      <c r="C50" s="99" t="s">
        <v>216</v>
      </c>
      <c r="D50" s="100">
        <v>1.6145248172869948</v>
      </c>
      <c r="E50" s="100">
        <v>455.29599847493256</v>
      </c>
      <c r="F50" s="100">
        <v>4</v>
      </c>
      <c r="G50" s="100">
        <v>1128</v>
      </c>
      <c r="H50" s="100">
        <v>5</v>
      </c>
      <c r="I50" s="100">
        <v>1410</v>
      </c>
      <c r="J50" s="100">
        <v>5</v>
      </c>
      <c r="K50" s="100">
        <v>1410</v>
      </c>
      <c r="L50" s="100">
        <v>6</v>
      </c>
      <c r="M50" s="100">
        <v>1692</v>
      </c>
      <c r="N50" s="100">
        <v>4</v>
      </c>
      <c r="O50" s="100">
        <v>1128</v>
      </c>
      <c r="P50" s="100">
        <v>4</v>
      </c>
      <c r="Q50" s="100">
        <v>1128</v>
      </c>
      <c r="R50" s="100">
        <v>5</v>
      </c>
      <c r="S50" s="100">
        <v>1410</v>
      </c>
      <c r="T50" s="100">
        <v>6</v>
      </c>
      <c r="U50" s="100">
        <v>1692</v>
      </c>
      <c r="V50" s="100">
        <v>5</v>
      </c>
      <c r="W50" s="100">
        <v>1410</v>
      </c>
      <c r="X50" s="100">
        <v>6</v>
      </c>
      <c r="Y50" s="100">
        <v>1692</v>
      </c>
      <c r="Z50" s="100">
        <v>4</v>
      </c>
      <c r="AA50" s="100">
        <v>1128</v>
      </c>
      <c r="AB50" s="100">
        <v>5</v>
      </c>
      <c r="AC50" s="100">
        <v>1410</v>
      </c>
      <c r="AD50" s="100">
        <v>5</v>
      </c>
      <c r="AE50" s="100">
        <v>1410</v>
      </c>
      <c r="AF50" s="100">
        <v>4</v>
      </c>
      <c r="AG50" s="100">
        <v>1128</v>
      </c>
      <c r="AH50" s="100">
        <v>5</v>
      </c>
      <c r="AI50" s="100">
        <v>1410</v>
      </c>
      <c r="AJ50" s="100">
        <v>4</v>
      </c>
      <c r="AK50" s="100">
        <v>1128</v>
      </c>
      <c r="AL50" s="100">
        <v>4</v>
      </c>
      <c r="AM50" s="100">
        <v>1128</v>
      </c>
      <c r="AN50" s="100">
        <v>4</v>
      </c>
      <c r="AO50" s="100">
        <v>1128</v>
      </c>
      <c r="AP50" s="100">
        <v>5</v>
      </c>
      <c r="AQ50" s="100">
        <v>1410</v>
      </c>
      <c r="AR50" s="100">
        <v>2.146393485716743</v>
      </c>
      <c r="AS50" s="100">
        <v>605.2829629721216</v>
      </c>
      <c r="AT50" s="100">
        <v>5.4381590724624093E-4</v>
      </c>
      <c r="AU50" s="100">
        <v>0.15335608584343993</v>
      </c>
      <c r="AV50" s="100">
        <v>3.9124248183915926E-4</v>
      </c>
      <c r="AW50" s="100">
        <v>0.11033037987864291</v>
      </c>
      <c r="AX50" s="100">
        <v>7.2541927762090879</v>
      </c>
      <c r="AY50" s="100">
        <v>2045.6823628909628</v>
      </c>
      <c r="AZ50" s="100">
        <v>0.3971567745146744</v>
      </c>
      <c r="BA50" s="100">
        <v>111.99821041313818</v>
      </c>
      <c r="BB50" s="100">
        <v>5</v>
      </c>
      <c r="BC50" s="100">
        <v>1410</v>
      </c>
      <c r="BD50" s="100">
        <v>6.8351739346841471</v>
      </c>
      <c r="BE50" s="100">
        <v>1927.5190495809295</v>
      </c>
      <c r="BF50" s="100">
        <v>4.791985761066563</v>
      </c>
      <c r="BG50" s="100">
        <v>1351.3399846207708</v>
      </c>
      <c r="BH50" s="100">
        <v>4</v>
      </c>
      <c r="BI50" s="100">
        <v>1128</v>
      </c>
      <c r="BJ50" s="100">
        <v>6</v>
      </c>
      <c r="BK50" s="100">
        <v>1692</v>
      </c>
      <c r="BL50" s="100">
        <v>4</v>
      </c>
      <c r="BM50" s="100">
        <v>1128</v>
      </c>
      <c r="BN50" s="100">
        <v>4.4068190764986612</v>
      </c>
      <c r="BO50" s="100">
        <v>1242.7229795726225</v>
      </c>
      <c r="BP50" s="100">
        <v>2.8799173399295905E-4</v>
      </c>
      <c r="BQ50" s="100">
        <v>8.1213668986014453E-2</v>
      </c>
      <c r="BR50" s="100">
        <v>4</v>
      </c>
      <c r="BS50" s="100">
        <v>1128</v>
      </c>
      <c r="BT50" s="100">
        <v>4.130407304076452</v>
      </c>
      <c r="BU50" s="100">
        <v>1164.7748597495595</v>
      </c>
      <c r="BV50" s="100">
        <v>4.9978457549648159</v>
      </c>
      <c r="BW50" s="100">
        <v>1409.3925029000782</v>
      </c>
      <c r="BX50" s="100">
        <v>3.9645615328900855E-4</v>
      </c>
      <c r="BY50" s="100">
        <v>0.11180063522750042</v>
      </c>
      <c r="BZ50" s="100">
        <v>6</v>
      </c>
      <c r="CA50" s="100">
        <v>1692</v>
      </c>
      <c r="CB50" s="100">
        <v>4</v>
      </c>
      <c r="CC50" s="100">
        <v>1128</v>
      </c>
      <c r="CD50" s="100">
        <v>5</v>
      </c>
      <c r="CE50" s="100">
        <v>1410</v>
      </c>
      <c r="CF50" s="100">
        <v>6</v>
      </c>
      <c r="CG50" s="100">
        <v>1692</v>
      </c>
      <c r="CH50" s="100">
        <v>5</v>
      </c>
      <c r="CI50" s="100">
        <v>1410</v>
      </c>
      <c r="CJ50" s="100">
        <v>4.4090739454222012</v>
      </c>
      <c r="CK50" s="100">
        <v>1243.3588526090607</v>
      </c>
      <c r="CL50" s="100">
        <v>4.8324375050977224</v>
      </c>
      <c r="CM50" s="100">
        <v>1362.7473764375577</v>
      </c>
      <c r="CN50" s="100">
        <v>4</v>
      </c>
      <c r="CO50" s="100">
        <v>1128</v>
      </c>
      <c r="CP50" s="100">
        <v>5.2123322219889276</v>
      </c>
      <c r="CQ50" s="100">
        <v>1469.8776866008775</v>
      </c>
      <c r="CR50" s="100">
        <v>4.2871038927174743</v>
      </c>
      <c r="CS50" s="100">
        <v>1208.9632977463277</v>
      </c>
      <c r="CT50" s="100">
        <v>5.6035361425682328</v>
      </c>
      <c r="CU50" s="100">
        <v>1580.1971922042417</v>
      </c>
    </row>
    <row r="51" spans="2:99">
      <c r="C51" s="99" t="s">
        <v>217</v>
      </c>
      <c r="D51" s="100">
        <v>1.6145248172869948</v>
      </c>
      <c r="E51" s="100">
        <v>1379.4500038900082</v>
      </c>
      <c r="F51" s="100">
        <v>4</v>
      </c>
      <c r="G51" s="100">
        <v>3417.6</v>
      </c>
      <c r="H51" s="100">
        <v>4</v>
      </c>
      <c r="I51" s="100">
        <v>3417.6</v>
      </c>
      <c r="J51" s="100">
        <v>5</v>
      </c>
      <c r="K51" s="100">
        <v>4272</v>
      </c>
      <c r="L51" s="100">
        <v>6</v>
      </c>
      <c r="M51" s="100">
        <v>5126.3999999999996</v>
      </c>
      <c r="N51" s="100">
        <v>4</v>
      </c>
      <c r="O51" s="100">
        <v>3417.6</v>
      </c>
      <c r="P51" s="100">
        <v>4</v>
      </c>
      <c r="Q51" s="100">
        <v>3417.6</v>
      </c>
      <c r="R51" s="100">
        <v>5</v>
      </c>
      <c r="S51" s="100">
        <v>4272</v>
      </c>
      <c r="T51" s="100">
        <v>7</v>
      </c>
      <c r="U51" s="100">
        <v>5980.8</v>
      </c>
      <c r="V51" s="100">
        <v>6</v>
      </c>
      <c r="W51" s="100">
        <v>5126.3999999999996</v>
      </c>
      <c r="X51" s="100">
        <v>7</v>
      </c>
      <c r="Y51" s="100">
        <v>5980.8</v>
      </c>
      <c r="Z51" s="100">
        <v>5</v>
      </c>
      <c r="AA51" s="100">
        <v>4272</v>
      </c>
      <c r="AB51" s="100">
        <v>5</v>
      </c>
      <c r="AC51" s="100">
        <v>4272</v>
      </c>
      <c r="AD51" s="100">
        <v>5</v>
      </c>
      <c r="AE51" s="100">
        <v>4272</v>
      </c>
      <c r="AF51" s="100">
        <v>4</v>
      </c>
      <c r="AG51" s="100">
        <v>3417.6</v>
      </c>
      <c r="AH51" s="100">
        <v>5</v>
      </c>
      <c r="AI51" s="100">
        <v>4272</v>
      </c>
      <c r="AJ51" s="100">
        <v>4</v>
      </c>
      <c r="AK51" s="100">
        <v>3417.6</v>
      </c>
      <c r="AL51" s="100">
        <v>3</v>
      </c>
      <c r="AM51" s="100">
        <v>2563.1999999999998</v>
      </c>
      <c r="AN51" s="100">
        <v>4</v>
      </c>
      <c r="AO51" s="100">
        <v>3417.6</v>
      </c>
      <c r="AP51" s="100">
        <v>5</v>
      </c>
      <c r="AQ51" s="100">
        <v>4272</v>
      </c>
      <c r="AR51" s="100">
        <v>2.1463909942096744</v>
      </c>
      <c r="AS51" s="100">
        <v>1833.8764654527458</v>
      </c>
      <c r="AT51" s="100">
        <v>5.4381590724624093E-4</v>
      </c>
      <c r="AU51" s="100">
        <v>0.46463631115118825</v>
      </c>
      <c r="AV51" s="100">
        <v>3.9124248183915926E-4</v>
      </c>
      <c r="AW51" s="100">
        <v>0.33427757648337769</v>
      </c>
      <c r="AX51" s="100">
        <v>7.2178795224649326</v>
      </c>
      <c r="AY51" s="100">
        <v>6166.9562639940386</v>
      </c>
      <c r="AZ51" s="100">
        <v>0.3971567745146744</v>
      </c>
      <c r="BA51" s="100">
        <v>339.33074814533779</v>
      </c>
      <c r="BB51" s="100">
        <v>5</v>
      </c>
      <c r="BC51" s="100">
        <v>4272</v>
      </c>
      <c r="BD51" s="100">
        <v>4.8822670962029617</v>
      </c>
      <c r="BE51" s="100">
        <v>4171.4090069958102</v>
      </c>
      <c r="BF51" s="100">
        <v>4.791985761066563</v>
      </c>
      <c r="BG51" s="100">
        <v>4094.2726342552714</v>
      </c>
      <c r="BH51" s="100">
        <v>4</v>
      </c>
      <c r="BI51" s="100">
        <v>3417.6</v>
      </c>
      <c r="BJ51" s="100">
        <v>6</v>
      </c>
      <c r="BK51" s="100">
        <v>5126.3999999999996</v>
      </c>
      <c r="BL51" s="100">
        <v>4</v>
      </c>
      <c r="BM51" s="100">
        <v>3417.6</v>
      </c>
      <c r="BN51" s="100">
        <v>4.4068190764986612</v>
      </c>
      <c r="BO51" s="100">
        <v>3765.1862189604562</v>
      </c>
      <c r="BP51" s="100">
        <v>2.8799173399295905E-4</v>
      </c>
      <c r="BQ51" s="100">
        <v>0.24606013752358422</v>
      </c>
      <c r="BR51" s="100">
        <v>4</v>
      </c>
      <c r="BS51" s="100">
        <v>3417.6</v>
      </c>
      <c r="BT51" s="100">
        <v>4.130407304076452</v>
      </c>
      <c r="BU51" s="100">
        <v>3529.0200006029204</v>
      </c>
      <c r="BV51" s="100">
        <v>4.9978457549648159</v>
      </c>
      <c r="BW51" s="100">
        <v>4270.1594130419389</v>
      </c>
      <c r="BX51" s="100">
        <v>3.9645615328900855E-4</v>
      </c>
      <c r="BY51" s="100">
        <v>0.33873213737012892</v>
      </c>
      <c r="BZ51" s="100">
        <v>6</v>
      </c>
      <c r="CA51" s="100">
        <v>5126.3999999999996</v>
      </c>
      <c r="CB51" s="100">
        <v>4</v>
      </c>
      <c r="CC51" s="100">
        <v>3417.6</v>
      </c>
      <c r="CD51" s="100">
        <v>5</v>
      </c>
      <c r="CE51" s="100">
        <v>4272</v>
      </c>
      <c r="CF51" s="100">
        <v>6</v>
      </c>
      <c r="CG51" s="100">
        <v>5126.3999999999996</v>
      </c>
      <c r="CH51" s="100">
        <v>6</v>
      </c>
      <c r="CI51" s="100">
        <v>5126.3999999999996</v>
      </c>
      <c r="CJ51" s="100">
        <v>4.3636212848197342</v>
      </c>
      <c r="CK51" s="100">
        <v>3728.2780257499808</v>
      </c>
      <c r="CL51" s="100">
        <v>4.8324375050977224</v>
      </c>
      <c r="CM51" s="100">
        <v>4128.8346043554939</v>
      </c>
      <c r="CN51" s="100">
        <v>3</v>
      </c>
      <c r="CO51" s="100">
        <v>2563.1999999999998</v>
      </c>
      <c r="CP51" s="100">
        <v>5.2123322219889276</v>
      </c>
      <c r="CQ51" s="100">
        <v>4453.4166504673394</v>
      </c>
      <c r="CR51" s="100">
        <v>4.2871038927174743</v>
      </c>
      <c r="CS51" s="100">
        <v>3662.9015659378101</v>
      </c>
      <c r="CT51" s="100">
        <v>4.6696134521401937</v>
      </c>
      <c r="CU51" s="100">
        <v>3989.7177335085812</v>
      </c>
    </row>
    <row r="52" spans="2:99">
      <c r="C52" s="99" t="s">
        <v>218</v>
      </c>
      <c r="D52" s="100">
        <v>1.6145248172869948</v>
      </c>
      <c r="E52" s="100">
        <v>871.84340133497722</v>
      </c>
      <c r="F52" s="100">
        <v>4</v>
      </c>
      <c r="G52" s="100">
        <v>2160</v>
      </c>
      <c r="H52" s="100">
        <v>5</v>
      </c>
      <c r="I52" s="100">
        <v>2700</v>
      </c>
      <c r="J52" s="100">
        <v>5</v>
      </c>
      <c r="K52" s="100">
        <v>2700</v>
      </c>
      <c r="L52" s="100">
        <v>6</v>
      </c>
      <c r="M52" s="100">
        <v>3240</v>
      </c>
      <c r="N52" s="100">
        <v>4</v>
      </c>
      <c r="O52" s="100">
        <v>2160</v>
      </c>
      <c r="P52" s="100">
        <v>4</v>
      </c>
      <c r="Q52" s="100">
        <v>2160</v>
      </c>
      <c r="R52" s="100">
        <v>5</v>
      </c>
      <c r="S52" s="100">
        <v>2700</v>
      </c>
      <c r="T52" s="100">
        <v>7</v>
      </c>
      <c r="U52" s="100">
        <v>3780</v>
      </c>
      <c r="V52" s="100">
        <v>6</v>
      </c>
      <c r="W52" s="100">
        <v>3240</v>
      </c>
      <c r="X52" s="100">
        <v>7</v>
      </c>
      <c r="Y52" s="100">
        <v>3780</v>
      </c>
      <c r="Z52" s="100">
        <v>4</v>
      </c>
      <c r="AA52" s="100">
        <v>2160</v>
      </c>
      <c r="AB52" s="100">
        <v>5</v>
      </c>
      <c r="AC52" s="100">
        <v>2700</v>
      </c>
      <c r="AD52" s="100">
        <v>5</v>
      </c>
      <c r="AE52" s="100">
        <v>2700</v>
      </c>
      <c r="AF52" s="100">
        <v>5</v>
      </c>
      <c r="AG52" s="100">
        <v>2700</v>
      </c>
      <c r="AH52" s="100">
        <v>5</v>
      </c>
      <c r="AI52" s="100">
        <v>2700</v>
      </c>
      <c r="AJ52" s="100">
        <v>4</v>
      </c>
      <c r="AK52" s="100">
        <v>2160</v>
      </c>
      <c r="AL52" s="100">
        <v>4</v>
      </c>
      <c r="AM52" s="100">
        <v>2160</v>
      </c>
      <c r="AN52" s="100">
        <v>4</v>
      </c>
      <c r="AO52" s="100">
        <v>2160</v>
      </c>
      <c r="AP52" s="100">
        <v>5</v>
      </c>
      <c r="AQ52" s="100">
        <v>2700</v>
      </c>
      <c r="AR52" s="100">
        <v>2.146393485716743</v>
      </c>
      <c r="AS52" s="100">
        <v>1159.0524822870411</v>
      </c>
      <c r="AT52" s="100">
        <v>4.350535920448923E-4</v>
      </c>
      <c r="AU52" s="100">
        <v>0.23492893970424183</v>
      </c>
      <c r="AV52" s="100">
        <v>3.9124248183915926E-4</v>
      </c>
      <c r="AW52" s="100">
        <v>0.21127094019314599</v>
      </c>
      <c r="AX52" s="100">
        <v>7.2178795224649326</v>
      </c>
      <c r="AY52" s="100">
        <v>3897.6549421310638</v>
      </c>
      <c r="AZ52" s="100">
        <v>0.3971567745146744</v>
      </c>
      <c r="BA52" s="100">
        <v>214.46465823792417</v>
      </c>
      <c r="BB52" s="100">
        <v>5</v>
      </c>
      <c r="BC52" s="100">
        <v>2700</v>
      </c>
      <c r="BD52" s="100">
        <v>5.8587205154435544</v>
      </c>
      <c r="BE52" s="100">
        <v>3163.7090783395192</v>
      </c>
      <c r="BF52" s="100">
        <v>5.7503829132798758</v>
      </c>
      <c r="BG52" s="100">
        <v>3105.2067731711331</v>
      </c>
      <c r="BH52" s="100">
        <v>5</v>
      </c>
      <c r="BI52" s="100">
        <v>2700</v>
      </c>
      <c r="BJ52" s="100">
        <v>6</v>
      </c>
      <c r="BK52" s="100">
        <v>3240</v>
      </c>
      <c r="BL52" s="100">
        <v>4</v>
      </c>
      <c r="BM52" s="100">
        <v>2160</v>
      </c>
      <c r="BN52" s="100">
        <v>4.4068190764986612</v>
      </c>
      <c r="BO52" s="100">
        <v>2379.6823013092771</v>
      </c>
      <c r="BP52" s="100">
        <v>2.8799173399295905E-4</v>
      </c>
      <c r="BQ52" s="100">
        <v>0.15551553635619789</v>
      </c>
      <c r="BR52" s="100">
        <v>4</v>
      </c>
      <c r="BS52" s="100">
        <v>2160</v>
      </c>
      <c r="BT52" s="100">
        <v>4.1117776892083873</v>
      </c>
      <c r="BU52" s="100">
        <v>2220.3599521725291</v>
      </c>
      <c r="BV52" s="100">
        <v>4.9978457549648159</v>
      </c>
      <c r="BW52" s="100">
        <v>2698.8367076810005</v>
      </c>
      <c r="BX52" s="100">
        <v>3.9645615328900855E-4</v>
      </c>
      <c r="BY52" s="100">
        <v>0.21408632277606462</v>
      </c>
      <c r="BZ52" s="100">
        <v>6</v>
      </c>
      <c r="CA52" s="100">
        <v>3240</v>
      </c>
      <c r="CB52" s="100">
        <v>4</v>
      </c>
      <c r="CC52" s="100">
        <v>2160</v>
      </c>
      <c r="CD52" s="100">
        <v>6</v>
      </c>
      <c r="CE52" s="100">
        <v>3240</v>
      </c>
      <c r="CF52" s="100">
        <v>6</v>
      </c>
      <c r="CG52" s="100">
        <v>3240</v>
      </c>
      <c r="CH52" s="100">
        <v>6</v>
      </c>
      <c r="CI52" s="100">
        <v>3240</v>
      </c>
      <c r="CJ52" s="100">
        <v>4.3636212848197342</v>
      </c>
      <c r="CK52" s="100">
        <v>2356.3554938026564</v>
      </c>
      <c r="CL52" s="100">
        <v>4.8324375050977224</v>
      </c>
      <c r="CM52" s="100">
        <v>2609.51625275277</v>
      </c>
      <c r="CN52" s="100">
        <v>4</v>
      </c>
      <c r="CO52" s="100">
        <v>2160</v>
      </c>
      <c r="CP52" s="100">
        <v>4.2335654441878203</v>
      </c>
      <c r="CQ52" s="100">
        <v>2286.1253398614231</v>
      </c>
      <c r="CR52" s="100">
        <v>3.3229918793071587</v>
      </c>
      <c r="CS52" s="100">
        <v>1794.4156148258658</v>
      </c>
      <c r="CT52" s="100">
        <v>4.6696134521401937</v>
      </c>
      <c r="CU52" s="100">
        <v>2521.5912641557047</v>
      </c>
    </row>
    <row r="53" spans="2:99">
      <c r="C53" s="99" t="s">
        <v>219</v>
      </c>
      <c r="D53" s="100">
        <v>1.6145248172869948</v>
      </c>
      <c r="E53" s="100">
        <v>656.78869567234949</v>
      </c>
      <c r="F53" s="100">
        <v>4</v>
      </c>
      <c r="G53" s="100">
        <v>1627.2</v>
      </c>
      <c r="H53" s="100">
        <v>5</v>
      </c>
      <c r="I53" s="100">
        <v>2034</v>
      </c>
      <c r="J53" s="100">
        <v>5</v>
      </c>
      <c r="K53" s="100">
        <v>2034</v>
      </c>
      <c r="L53" s="100">
        <v>6</v>
      </c>
      <c r="M53" s="100">
        <v>2440.8000000000002</v>
      </c>
      <c r="N53" s="100">
        <v>4</v>
      </c>
      <c r="O53" s="100">
        <v>1627.2</v>
      </c>
      <c r="P53" s="100">
        <v>4</v>
      </c>
      <c r="Q53" s="100">
        <v>1627.2</v>
      </c>
      <c r="R53" s="100">
        <v>6</v>
      </c>
      <c r="S53" s="100">
        <v>2440.8000000000002</v>
      </c>
      <c r="T53" s="100">
        <v>6</v>
      </c>
      <c r="U53" s="100">
        <v>2440.8000000000002</v>
      </c>
      <c r="V53" s="100">
        <v>6</v>
      </c>
      <c r="W53" s="100">
        <v>2440.8000000000002</v>
      </c>
      <c r="X53" s="100">
        <v>6</v>
      </c>
      <c r="Y53" s="100">
        <v>2440.8000000000002</v>
      </c>
      <c r="Z53" s="100">
        <v>5</v>
      </c>
      <c r="AA53" s="100">
        <v>2034</v>
      </c>
      <c r="AB53" s="100">
        <v>4</v>
      </c>
      <c r="AC53" s="100">
        <v>1627.2</v>
      </c>
      <c r="AD53" s="100">
        <v>5</v>
      </c>
      <c r="AE53" s="100">
        <v>2034</v>
      </c>
      <c r="AF53" s="100">
        <v>4.0045612392127108</v>
      </c>
      <c r="AG53" s="100">
        <v>1629.0555121117309</v>
      </c>
      <c r="AH53" s="100">
        <v>5</v>
      </c>
      <c r="AI53" s="100">
        <v>2034</v>
      </c>
      <c r="AJ53" s="100">
        <v>4</v>
      </c>
      <c r="AK53" s="100">
        <v>1627.2</v>
      </c>
      <c r="AL53" s="100">
        <v>4</v>
      </c>
      <c r="AM53" s="100">
        <v>1627.2</v>
      </c>
      <c r="AN53" s="100">
        <v>4</v>
      </c>
      <c r="AO53" s="100">
        <v>1627.2</v>
      </c>
      <c r="AP53" s="100">
        <v>5</v>
      </c>
      <c r="AQ53" s="100">
        <v>2034</v>
      </c>
      <c r="AR53" s="100">
        <v>2.5756667015445402</v>
      </c>
      <c r="AS53" s="100">
        <v>1047.7812141883189</v>
      </c>
      <c r="AT53" s="100">
        <v>4.350535920448923E-4</v>
      </c>
      <c r="AU53" s="100">
        <v>0.1769798012438622</v>
      </c>
      <c r="AV53" s="100">
        <v>3.9124248183915926E-4</v>
      </c>
      <c r="AW53" s="100">
        <v>0.15915744161216999</v>
      </c>
      <c r="AX53" s="100">
        <v>7.2178795224649326</v>
      </c>
      <c r="AY53" s="100">
        <v>2936.2333897387348</v>
      </c>
      <c r="AZ53" s="100">
        <v>0.3971567745146744</v>
      </c>
      <c r="BA53" s="100">
        <v>161.56337587256957</v>
      </c>
      <c r="BB53" s="100">
        <v>5</v>
      </c>
      <c r="BC53" s="100">
        <v>2034</v>
      </c>
      <c r="BD53" s="100">
        <v>5.8587205154435544</v>
      </c>
      <c r="BE53" s="100">
        <v>2383.3275056824382</v>
      </c>
      <c r="BF53" s="100">
        <v>5.7503829132798758</v>
      </c>
      <c r="BG53" s="100">
        <v>2339.2557691222537</v>
      </c>
      <c r="BH53" s="100">
        <v>5</v>
      </c>
      <c r="BI53" s="100">
        <v>2034</v>
      </c>
      <c r="BJ53" s="100">
        <v>6</v>
      </c>
      <c r="BK53" s="100">
        <v>2440.8000000000002</v>
      </c>
      <c r="BL53" s="100">
        <v>4</v>
      </c>
      <c r="BM53" s="100">
        <v>1627.2</v>
      </c>
      <c r="BN53" s="100">
        <v>4.5043316691408837</v>
      </c>
      <c r="BO53" s="100">
        <v>1832.3621230065116</v>
      </c>
      <c r="BP53" s="100">
        <v>2.1599380049471927E-4</v>
      </c>
      <c r="BQ53" s="100">
        <v>8.78662780412518E-2</v>
      </c>
      <c r="BR53" s="100">
        <v>4</v>
      </c>
      <c r="BS53" s="100">
        <v>1627.2</v>
      </c>
      <c r="BT53" s="100">
        <v>4.130407304076452</v>
      </c>
      <c r="BU53" s="100">
        <v>1680.2496912983006</v>
      </c>
      <c r="BV53" s="100">
        <v>4.9978457549648159</v>
      </c>
      <c r="BW53" s="100">
        <v>2033.1236531196871</v>
      </c>
      <c r="BX53" s="100">
        <v>3.9645615328900855E-4</v>
      </c>
      <c r="BY53" s="100">
        <v>0.16127836315796867</v>
      </c>
      <c r="BZ53" s="100">
        <v>5</v>
      </c>
      <c r="CA53" s="100">
        <v>2034</v>
      </c>
      <c r="CB53" s="100">
        <v>4</v>
      </c>
      <c r="CC53" s="100">
        <v>1627.2</v>
      </c>
      <c r="CD53" s="100">
        <v>5</v>
      </c>
      <c r="CE53" s="100">
        <v>2034</v>
      </c>
      <c r="CF53" s="100">
        <v>6</v>
      </c>
      <c r="CG53" s="100">
        <v>2440.8000000000002</v>
      </c>
      <c r="CH53" s="100">
        <v>6</v>
      </c>
      <c r="CI53" s="100">
        <v>2440.8000000000002</v>
      </c>
      <c r="CJ53" s="100">
        <v>4.3636212848197342</v>
      </c>
      <c r="CK53" s="100">
        <v>1775.121138664668</v>
      </c>
      <c r="CL53" s="100">
        <v>4.8324375050977224</v>
      </c>
      <c r="CM53" s="100">
        <v>1965.8355770737535</v>
      </c>
      <c r="CN53" s="100">
        <v>4</v>
      </c>
      <c r="CO53" s="100">
        <v>1627.2</v>
      </c>
      <c r="CP53" s="100">
        <v>4.2123322219889276</v>
      </c>
      <c r="CQ53" s="100">
        <v>1713.5767479050958</v>
      </c>
      <c r="CR53" s="100">
        <v>3.3229918793071587</v>
      </c>
      <c r="CS53" s="100">
        <v>1351.7930965021521</v>
      </c>
      <c r="CT53" s="100">
        <v>4.6696134521401937</v>
      </c>
      <c r="CU53" s="100">
        <v>1899.5987523306308</v>
      </c>
    </row>
    <row r="54" spans="2:99">
      <c r="C54" s="99" t="s">
        <v>220</v>
      </c>
      <c r="D54" s="100">
        <v>1.3838784148174241</v>
      </c>
      <c r="E54" s="100">
        <v>463.32249328087363</v>
      </c>
      <c r="F54" s="100">
        <v>4</v>
      </c>
      <c r="G54" s="100">
        <v>1339.2</v>
      </c>
      <c r="H54" s="100">
        <v>4</v>
      </c>
      <c r="I54" s="100">
        <v>1339.2</v>
      </c>
      <c r="J54" s="100">
        <v>5</v>
      </c>
      <c r="K54" s="100">
        <v>1674</v>
      </c>
      <c r="L54" s="100">
        <v>5</v>
      </c>
      <c r="M54" s="100">
        <v>1674</v>
      </c>
      <c r="N54" s="100">
        <v>4</v>
      </c>
      <c r="O54" s="100">
        <v>1339.2</v>
      </c>
      <c r="P54" s="100">
        <v>4</v>
      </c>
      <c r="Q54" s="100">
        <v>1339.2</v>
      </c>
      <c r="R54" s="100">
        <v>5</v>
      </c>
      <c r="S54" s="100">
        <v>1674</v>
      </c>
      <c r="T54" s="100">
        <v>6</v>
      </c>
      <c r="U54" s="100">
        <v>2008.8000000000002</v>
      </c>
      <c r="V54" s="100">
        <v>6</v>
      </c>
      <c r="W54" s="100">
        <v>2008.8000000000002</v>
      </c>
      <c r="X54" s="100">
        <v>6</v>
      </c>
      <c r="Y54" s="100">
        <v>2008.8000000000002</v>
      </c>
      <c r="Z54" s="100">
        <v>4</v>
      </c>
      <c r="AA54" s="100">
        <v>1339.2</v>
      </c>
      <c r="AB54" s="100">
        <v>5</v>
      </c>
      <c r="AC54" s="100">
        <v>1674</v>
      </c>
      <c r="AD54" s="100">
        <v>5</v>
      </c>
      <c r="AE54" s="100">
        <v>1674</v>
      </c>
      <c r="AF54" s="100">
        <v>4</v>
      </c>
      <c r="AG54" s="100">
        <v>1339.2</v>
      </c>
      <c r="AH54" s="100">
        <v>5</v>
      </c>
      <c r="AI54" s="100">
        <v>1674</v>
      </c>
      <c r="AJ54" s="100">
        <v>4</v>
      </c>
      <c r="AK54" s="100">
        <v>1339.2</v>
      </c>
      <c r="AL54" s="100">
        <v>4</v>
      </c>
      <c r="AM54" s="100">
        <v>1339.2</v>
      </c>
      <c r="AN54" s="100">
        <v>4</v>
      </c>
      <c r="AO54" s="100">
        <v>1339.2</v>
      </c>
      <c r="AP54" s="100">
        <v>6</v>
      </c>
      <c r="AQ54" s="100">
        <v>2008.8000000000002</v>
      </c>
      <c r="AR54" s="100">
        <v>2.146393485716743</v>
      </c>
      <c r="AS54" s="100">
        <v>718.61253901796556</v>
      </c>
      <c r="AT54" s="100">
        <v>5.4381652599474074E-4</v>
      </c>
      <c r="AU54" s="100">
        <v>0.18206977290303922</v>
      </c>
      <c r="AV54" s="100">
        <v>3.9124248183915926E-4</v>
      </c>
      <c r="AW54" s="100">
        <v>0.13098798291975053</v>
      </c>
      <c r="AX54" s="100">
        <v>6.2541927762090879</v>
      </c>
      <c r="AY54" s="100">
        <v>2093.9037414748027</v>
      </c>
      <c r="AZ54" s="100">
        <v>0.3971567745146744</v>
      </c>
      <c r="BA54" s="100">
        <v>132.96808810751298</v>
      </c>
      <c r="BB54" s="100">
        <v>5</v>
      </c>
      <c r="BC54" s="100">
        <v>1674</v>
      </c>
      <c r="BD54" s="100">
        <v>6.8351739346841471</v>
      </c>
      <c r="BE54" s="100">
        <v>2288.4162333322524</v>
      </c>
      <c r="BF54" s="100">
        <v>5.7503829132798758</v>
      </c>
      <c r="BG54" s="100">
        <v>1925.2281993661024</v>
      </c>
      <c r="BH54" s="100">
        <v>5</v>
      </c>
      <c r="BI54" s="100">
        <v>1674</v>
      </c>
      <c r="BJ54" s="100">
        <v>6</v>
      </c>
      <c r="BK54" s="100">
        <v>2008.8000000000002</v>
      </c>
      <c r="BL54" s="100">
        <v>4</v>
      </c>
      <c r="BM54" s="100">
        <v>1339.2</v>
      </c>
      <c r="BN54" s="100">
        <v>4.4068190764986612</v>
      </c>
      <c r="BO54" s="100">
        <v>1475.4030268117517</v>
      </c>
      <c r="BP54" s="100">
        <v>2.1599380049471927E-4</v>
      </c>
      <c r="BQ54" s="100">
        <v>7.2314724405632011E-2</v>
      </c>
      <c r="BR54" s="100">
        <v>4</v>
      </c>
      <c r="BS54" s="100">
        <v>1339.2</v>
      </c>
      <c r="BT54" s="100">
        <v>4.130407304076452</v>
      </c>
      <c r="BU54" s="100">
        <v>1382.8603654047961</v>
      </c>
      <c r="BV54" s="100">
        <v>4.9978457549648159</v>
      </c>
      <c r="BW54" s="100">
        <v>1673.2787587622204</v>
      </c>
      <c r="BX54" s="100">
        <v>4.6253217883717666E-4</v>
      </c>
      <c r="BY54" s="100">
        <v>0.15485577347468674</v>
      </c>
      <c r="BZ54" s="100">
        <v>6</v>
      </c>
      <c r="CA54" s="100">
        <v>2008.8000000000002</v>
      </c>
      <c r="CB54" s="100">
        <v>4</v>
      </c>
      <c r="CC54" s="100">
        <v>1339.2</v>
      </c>
      <c r="CD54" s="100">
        <v>6</v>
      </c>
      <c r="CE54" s="100">
        <v>2008.8000000000002</v>
      </c>
      <c r="CF54" s="100">
        <v>6</v>
      </c>
      <c r="CG54" s="100">
        <v>2008.8000000000002</v>
      </c>
      <c r="CH54" s="100">
        <v>6</v>
      </c>
      <c r="CI54" s="100">
        <v>2008.8000000000002</v>
      </c>
      <c r="CJ54" s="100">
        <v>4.3636212848197342</v>
      </c>
      <c r="CK54" s="100">
        <v>1460.940406157647</v>
      </c>
      <c r="CL54" s="100">
        <v>3.865950004078178</v>
      </c>
      <c r="CM54" s="100">
        <v>1294.3200613653739</v>
      </c>
      <c r="CN54" s="100">
        <v>4</v>
      </c>
      <c r="CO54" s="100">
        <v>1339.2</v>
      </c>
      <c r="CP54" s="100">
        <v>4.191098999790035</v>
      </c>
      <c r="CQ54" s="100">
        <v>1403.1799451297038</v>
      </c>
      <c r="CR54" s="100">
        <v>4.2871038927174743</v>
      </c>
      <c r="CS54" s="100">
        <v>1435.3223832818105</v>
      </c>
      <c r="CT54" s="100">
        <v>5.6035361425682328</v>
      </c>
      <c r="CU54" s="100">
        <v>1876.0639005318444</v>
      </c>
    </row>
    <row r="55" spans="2:99">
      <c r="C55" s="99" t="s">
        <v>221</v>
      </c>
      <c r="D55" s="100">
        <v>1.3838784148174241</v>
      </c>
      <c r="E55" s="100">
        <v>918.3417160728427</v>
      </c>
      <c r="F55" s="100">
        <v>4</v>
      </c>
      <c r="G55" s="100">
        <v>2654.4</v>
      </c>
      <c r="H55" s="100">
        <v>5</v>
      </c>
      <c r="I55" s="100">
        <v>3318</v>
      </c>
      <c r="J55" s="100">
        <v>4</v>
      </c>
      <c r="K55" s="100">
        <v>2654.4</v>
      </c>
      <c r="L55" s="100">
        <v>6</v>
      </c>
      <c r="M55" s="100">
        <v>3981.6000000000004</v>
      </c>
      <c r="N55" s="100">
        <v>4</v>
      </c>
      <c r="O55" s="100">
        <v>2654.4</v>
      </c>
      <c r="P55" s="100">
        <v>4</v>
      </c>
      <c r="Q55" s="100">
        <v>2654.4</v>
      </c>
      <c r="R55" s="100">
        <v>5</v>
      </c>
      <c r="S55" s="100">
        <v>3318</v>
      </c>
      <c r="T55" s="100">
        <v>6</v>
      </c>
      <c r="U55" s="100">
        <v>3981.6000000000004</v>
      </c>
      <c r="V55" s="100">
        <v>5</v>
      </c>
      <c r="W55" s="100">
        <v>3318</v>
      </c>
      <c r="X55" s="100">
        <v>7</v>
      </c>
      <c r="Y55" s="100">
        <v>4645.2</v>
      </c>
      <c r="Z55" s="100">
        <v>5</v>
      </c>
      <c r="AA55" s="100">
        <v>3318</v>
      </c>
      <c r="AB55" s="100">
        <v>5</v>
      </c>
      <c r="AC55" s="100">
        <v>3318</v>
      </c>
      <c r="AD55" s="100">
        <v>4</v>
      </c>
      <c r="AE55" s="100">
        <v>2654.4</v>
      </c>
      <c r="AF55" s="100">
        <v>5.0045612392127108</v>
      </c>
      <c r="AG55" s="100">
        <v>3321.026838341555</v>
      </c>
      <c r="AH55" s="100">
        <v>5</v>
      </c>
      <c r="AI55" s="100">
        <v>3318</v>
      </c>
      <c r="AJ55" s="100">
        <v>4</v>
      </c>
      <c r="AK55" s="100">
        <v>2654.4</v>
      </c>
      <c r="AL55" s="100">
        <v>4</v>
      </c>
      <c r="AM55" s="100">
        <v>2654.4</v>
      </c>
      <c r="AN55" s="100">
        <v>4</v>
      </c>
      <c r="AO55" s="100">
        <v>2654.4</v>
      </c>
      <c r="AP55" s="100">
        <v>5</v>
      </c>
      <c r="AQ55" s="100">
        <v>3318</v>
      </c>
      <c r="AR55" s="100">
        <v>2.1463909942096744</v>
      </c>
      <c r="AS55" s="100">
        <v>1424.3450637575399</v>
      </c>
      <c r="AT55" s="100">
        <v>5.4381590724624093E-4</v>
      </c>
      <c r="AU55" s="100">
        <v>0.36087623604860547</v>
      </c>
      <c r="AV55" s="100">
        <v>3.9124248183915926E-4</v>
      </c>
      <c r="AW55" s="100">
        <v>0.25962851094846612</v>
      </c>
      <c r="AX55" s="100">
        <v>6.2178795224649326</v>
      </c>
      <c r="AY55" s="100">
        <v>4126.1848511077296</v>
      </c>
      <c r="AZ55" s="100">
        <v>0.3971567745146744</v>
      </c>
      <c r="BA55" s="100">
        <v>263.55323556793792</v>
      </c>
      <c r="BB55" s="100">
        <v>5</v>
      </c>
      <c r="BC55" s="100">
        <v>3318</v>
      </c>
      <c r="BD55" s="100">
        <v>5.8587205154435544</v>
      </c>
      <c r="BE55" s="100">
        <v>3887.846934048343</v>
      </c>
      <c r="BF55" s="100">
        <v>5.7503829132798758</v>
      </c>
      <c r="BG55" s="100">
        <v>3815.9541012525256</v>
      </c>
      <c r="BH55" s="100">
        <v>4</v>
      </c>
      <c r="BI55" s="100">
        <v>2654.4</v>
      </c>
      <c r="BJ55" s="100">
        <v>6</v>
      </c>
      <c r="BK55" s="100">
        <v>3981.6000000000004</v>
      </c>
      <c r="BL55" s="100">
        <v>4</v>
      </c>
      <c r="BM55" s="100">
        <v>2654.4</v>
      </c>
      <c r="BN55" s="100">
        <v>4.4068190764986612</v>
      </c>
      <c r="BO55" s="100">
        <v>2924.3651391645117</v>
      </c>
      <c r="BP55" s="100">
        <v>2.8799173399295905E-4</v>
      </c>
      <c r="BQ55" s="100">
        <v>0.19111131467772763</v>
      </c>
      <c r="BR55" s="100">
        <v>4</v>
      </c>
      <c r="BS55" s="100">
        <v>2654.4</v>
      </c>
      <c r="BT55" s="100">
        <v>4.1117776892083873</v>
      </c>
      <c r="BU55" s="100">
        <v>2728.5756745586859</v>
      </c>
      <c r="BV55" s="100">
        <v>4.9978457549648159</v>
      </c>
      <c r="BW55" s="100">
        <v>3316.5704429946518</v>
      </c>
      <c r="BX55" s="100">
        <v>4.6253217883717666E-4</v>
      </c>
      <c r="BY55" s="100">
        <v>0.30693635387635043</v>
      </c>
      <c r="BZ55" s="100">
        <v>6</v>
      </c>
      <c r="CA55" s="100">
        <v>3981.6000000000004</v>
      </c>
      <c r="CB55" s="100">
        <v>4</v>
      </c>
      <c r="CC55" s="100">
        <v>2654.4</v>
      </c>
      <c r="CD55" s="100">
        <v>6</v>
      </c>
      <c r="CE55" s="100">
        <v>3981.6000000000004</v>
      </c>
      <c r="CF55" s="100">
        <v>6</v>
      </c>
      <c r="CG55" s="100">
        <v>3981.6000000000004</v>
      </c>
      <c r="CH55" s="100">
        <v>6</v>
      </c>
      <c r="CI55" s="100">
        <v>3981.6000000000004</v>
      </c>
      <c r="CJ55" s="100">
        <v>4.3636212848197342</v>
      </c>
      <c r="CK55" s="100">
        <v>2895.6990846063759</v>
      </c>
      <c r="CL55" s="100">
        <v>3.865950004078178</v>
      </c>
      <c r="CM55" s="100">
        <v>2565.4444227062791</v>
      </c>
      <c r="CN55" s="100">
        <v>4</v>
      </c>
      <c r="CO55" s="100">
        <v>2654.4</v>
      </c>
      <c r="CP55" s="100">
        <v>4.2123322219889276</v>
      </c>
      <c r="CQ55" s="100">
        <v>2795.3036625118525</v>
      </c>
      <c r="CR55" s="100">
        <v>4.2871038927174743</v>
      </c>
      <c r="CS55" s="100">
        <v>2844.9221432073159</v>
      </c>
      <c r="CT55" s="100">
        <v>5.6035361425682328</v>
      </c>
      <c r="CU55" s="100">
        <v>3718.5065842082795</v>
      </c>
    </row>
    <row r="56" spans="2:99">
      <c r="C56" s="99" t="s">
        <v>222</v>
      </c>
      <c r="D56" s="100">
        <v>1.4669572184533302</v>
      </c>
      <c r="E56" s="100">
        <v>1439.9652056337889</v>
      </c>
      <c r="F56" s="100">
        <v>4.2287568531163053</v>
      </c>
      <c r="G56" s="100">
        <v>4150.9477270189645</v>
      </c>
      <c r="H56" s="100">
        <v>2.7800195295434009</v>
      </c>
      <c r="I56" s="100">
        <v>2728.8671701998019</v>
      </c>
      <c r="J56" s="100">
        <v>5</v>
      </c>
      <c r="K56" s="100">
        <v>4908</v>
      </c>
      <c r="L56" s="100">
        <v>4.7169474530994275</v>
      </c>
      <c r="M56" s="100">
        <v>4630.1556199623974</v>
      </c>
      <c r="N56" s="100">
        <v>0.41200776034232128</v>
      </c>
      <c r="O56" s="100">
        <v>404.42681755202256</v>
      </c>
      <c r="P56" s="100">
        <v>3.714097989191854</v>
      </c>
      <c r="Q56" s="100">
        <v>3645.7585861907237</v>
      </c>
      <c r="R56" s="100">
        <v>2.7893100301808516</v>
      </c>
      <c r="S56" s="100">
        <v>2737.9867256255238</v>
      </c>
      <c r="T56" s="100">
        <v>3.2796531456189273</v>
      </c>
      <c r="U56" s="100">
        <v>3219.3075277395387</v>
      </c>
      <c r="V56" s="100">
        <v>0.33965754918888413</v>
      </c>
      <c r="W56" s="100">
        <v>333.40785028380861</v>
      </c>
      <c r="X56" s="100">
        <v>6.0537745848250557</v>
      </c>
      <c r="Y56" s="100">
        <v>5942.3851324642737</v>
      </c>
      <c r="Z56" s="100">
        <v>2.0230439458221268</v>
      </c>
      <c r="AA56" s="100">
        <v>1985.8199372189995</v>
      </c>
      <c r="AB56" s="100">
        <v>3.6430369992297953</v>
      </c>
      <c r="AC56" s="100">
        <v>3576.0051184439667</v>
      </c>
      <c r="AD56" s="100">
        <v>5</v>
      </c>
      <c r="AE56" s="100">
        <v>4908</v>
      </c>
      <c r="AF56" s="100">
        <v>3.2254256808468722</v>
      </c>
      <c r="AG56" s="100">
        <v>3166.0778483192894</v>
      </c>
      <c r="AH56" s="100">
        <v>3.5673618816749801</v>
      </c>
      <c r="AI56" s="100">
        <v>3501.7224230521601</v>
      </c>
      <c r="AJ56" s="100">
        <v>2.2390786078014068E-4</v>
      </c>
      <c r="AK56" s="100">
        <v>0.21978795614178606</v>
      </c>
      <c r="AL56" s="100">
        <v>3.0871072991728559</v>
      </c>
      <c r="AM56" s="100">
        <v>3030.3045248680751</v>
      </c>
      <c r="AN56" s="100">
        <v>2.543439178244745</v>
      </c>
      <c r="AO56" s="100">
        <v>2496.6398973650416</v>
      </c>
      <c r="AP56" s="100">
        <v>3.0738901066380926</v>
      </c>
      <c r="AQ56" s="100">
        <v>3017.3305286759514</v>
      </c>
      <c r="AR56" s="100">
        <v>3.0957251270074044</v>
      </c>
      <c r="AS56" s="100">
        <v>3038.7637846704679</v>
      </c>
      <c r="AT56" s="100">
        <v>2.174237747283033</v>
      </c>
      <c r="AU56" s="100">
        <v>2134.2317727330251</v>
      </c>
      <c r="AV56" s="100">
        <v>3.0927819585745646</v>
      </c>
      <c r="AW56" s="100">
        <v>3035.8747705367923</v>
      </c>
      <c r="AX56" s="100">
        <v>4.6045025704594256</v>
      </c>
      <c r="AY56" s="100">
        <v>4519.779723162972</v>
      </c>
      <c r="AZ56" s="100">
        <v>3.0350550156198688</v>
      </c>
      <c r="BA56" s="100">
        <v>2979.2100033324627</v>
      </c>
      <c r="BB56" s="100">
        <v>2.6478974847883072</v>
      </c>
      <c r="BC56" s="100">
        <v>2599.1761710682022</v>
      </c>
      <c r="BD56" s="100">
        <v>2.6869405586114277</v>
      </c>
      <c r="BE56" s="100">
        <v>2637.500852332977</v>
      </c>
      <c r="BF56" s="100">
        <v>3.3526910069076443</v>
      </c>
      <c r="BG56" s="100">
        <v>3291.0014923805434</v>
      </c>
      <c r="BH56" s="100">
        <v>2.3965316005408823</v>
      </c>
      <c r="BI56" s="100">
        <v>2352.4354190909298</v>
      </c>
      <c r="BJ56" s="100">
        <v>3.3506656603523743</v>
      </c>
      <c r="BK56" s="100">
        <v>3289.0134122018903</v>
      </c>
      <c r="BL56" s="100">
        <v>2.4947481252201564</v>
      </c>
      <c r="BM56" s="100">
        <v>2448.8447597161053</v>
      </c>
      <c r="BN56" s="100">
        <v>1.7431711365496629</v>
      </c>
      <c r="BO56" s="100">
        <v>1711.096787637149</v>
      </c>
      <c r="BP56" s="100">
        <v>1.9310248945920485</v>
      </c>
      <c r="BQ56" s="100">
        <v>1895.4940365315547</v>
      </c>
      <c r="BR56" s="100">
        <v>2.3315436795070692</v>
      </c>
      <c r="BS56" s="100">
        <v>2288.6432758041387</v>
      </c>
      <c r="BT56" s="100">
        <v>2.2789230424520191E-4</v>
      </c>
      <c r="BU56" s="100">
        <v>0.22369908584709017</v>
      </c>
      <c r="BV56" s="100">
        <v>3.3860411647914512</v>
      </c>
      <c r="BW56" s="100">
        <v>3323.7380073592881</v>
      </c>
      <c r="BX56" s="100">
        <v>3.8074133067233955</v>
      </c>
      <c r="BY56" s="100">
        <v>3737.3569018796848</v>
      </c>
      <c r="BZ56" s="100">
        <v>4.0494771068661422</v>
      </c>
      <c r="CA56" s="100">
        <v>3974.9667280998046</v>
      </c>
      <c r="CB56" s="100">
        <v>2.8541270043660778</v>
      </c>
      <c r="CC56" s="100">
        <v>2801.6110674857418</v>
      </c>
      <c r="CD56" s="100">
        <v>4.0062033040526881</v>
      </c>
      <c r="CE56" s="100">
        <v>3932.4891632581184</v>
      </c>
      <c r="CF56" s="100">
        <v>0.28155823156446974</v>
      </c>
      <c r="CG56" s="100">
        <v>276.37756010368349</v>
      </c>
      <c r="CH56" s="100">
        <v>5.0886879854186606</v>
      </c>
      <c r="CI56" s="100">
        <v>4995.0561264869566</v>
      </c>
      <c r="CJ56" s="100">
        <v>4</v>
      </c>
      <c r="CK56" s="100">
        <v>3926.3999999999996</v>
      </c>
      <c r="CL56" s="100">
        <v>4.9269150729762465</v>
      </c>
      <c r="CM56" s="100">
        <v>4836.2598356334829</v>
      </c>
      <c r="CN56" s="100">
        <v>3.075855247320705</v>
      </c>
      <c r="CO56" s="100">
        <v>3019.259510770004</v>
      </c>
      <c r="CP56" s="100">
        <v>2.0144138406151826</v>
      </c>
      <c r="CQ56" s="100">
        <v>1977.348625947863</v>
      </c>
      <c r="CR56" s="100">
        <v>0.19278702519181617</v>
      </c>
      <c r="CS56" s="100">
        <v>189.23974392828674</v>
      </c>
      <c r="CT56" s="100">
        <v>3.6434733329430062</v>
      </c>
      <c r="CU56" s="100">
        <v>3576.4334236168547</v>
      </c>
    </row>
    <row r="57" spans="2:99">
      <c r="C57" s="99" t="s">
        <v>223</v>
      </c>
      <c r="D57" s="100">
        <v>1.6145248172869948</v>
      </c>
      <c r="E57" s="100">
        <v>2278.4174221554072</v>
      </c>
      <c r="F57" s="100">
        <v>4</v>
      </c>
      <c r="G57" s="100">
        <v>5644.8</v>
      </c>
      <c r="H57" s="100">
        <v>5</v>
      </c>
      <c r="I57" s="100">
        <v>7056</v>
      </c>
      <c r="J57" s="100">
        <v>5</v>
      </c>
      <c r="K57" s="100">
        <v>7056</v>
      </c>
      <c r="L57" s="100">
        <v>5</v>
      </c>
      <c r="M57" s="100">
        <v>7056</v>
      </c>
      <c r="N57" s="100">
        <v>3</v>
      </c>
      <c r="O57" s="100">
        <v>4233.6000000000004</v>
      </c>
      <c r="P57" s="100">
        <v>4</v>
      </c>
      <c r="Q57" s="100">
        <v>5644.8</v>
      </c>
      <c r="R57" s="100">
        <v>5</v>
      </c>
      <c r="S57" s="100">
        <v>7056</v>
      </c>
      <c r="T57" s="100">
        <v>5</v>
      </c>
      <c r="U57" s="100">
        <v>7056</v>
      </c>
      <c r="V57" s="100">
        <v>6</v>
      </c>
      <c r="W57" s="100">
        <v>8467.2000000000007</v>
      </c>
      <c r="X57" s="100">
        <v>5</v>
      </c>
      <c r="Y57" s="100">
        <v>7056</v>
      </c>
      <c r="Z57" s="100">
        <v>4</v>
      </c>
      <c r="AA57" s="100">
        <v>5644.8</v>
      </c>
      <c r="AB57" s="100">
        <v>4</v>
      </c>
      <c r="AC57" s="100">
        <v>5644.8</v>
      </c>
      <c r="AD57" s="100">
        <v>5</v>
      </c>
      <c r="AE57" s="100">
        <v>7056</v>
      </c>
      <c r="AF57" s="100">
        <v>4.0045612392127108</v>
      </c>
      <c r="AG57" s="100">
        <v>5651.2368207769778</v>
      </c>
      <c r="AH57" s="100">
        <v>5</v>
      </c>
      <c r="AI57" s="100">
        <v>7056</v>
      </c>
      <c r="AJ57" s="100">
        <v>4</v>
      </c>
      <c r="AK57" s="100">
        <v>5644.8</v>
      </c>
      <c r="AL57" s="100">
        <v>4</v>
      </c>
      <c r="AM57" s="100">
        <v>5644.8</v>
      </c>
      <c r="AN57" s="100">
        <v>4</v>
      </c>
      <c r="AO57" s="100">
        <v>5644.8</v>
      </c>
      <c r="AP57" s="100">
        <v>5</v>
      </c>
      <c r="AQ57" s="100">
        <v>7056</v>
      </c>
      <c r="AR57" s="100">
        <v>2.146393485716743</v>
      </c>
      <c r="AS57" s="100">
        <v>3028.990487043468</v>
      </c>
      <c r="AT57" s="100">
        <v>4.350535920448923E-4</v>
      </c>
      <c r="AU57" s="100">
        <v>0.613947629093752</v>
      </c>
      <c r="AV57" s="100">
        <v>3.9124248183915926E-4</v>
      </c>
      <c r="AW57" s="100">
        <v>0.55212139037142161</v>
      </c>
      <c r="AX57" s="100">
        <v>6.2178795224649326</v>
      </c>
      <c r="AY57" s="100">
        <v>8774.6715821025136</v>
      </c>
      <c r="AZ57" s="100">
        <v>0.3971567745146744</v>
      </c>
      <c r="BA57" s="100">
        <v>560.46764019510852</v>
      </c>
      <c r="BB57" s="100">
        <v>4</v>
      </c>
      <c r="BC57" s="100">
        <v>5644.8</v>
      </c>
      <c r="BD57" s="100">
        <v>5.8587205154435544</v>
      </c>
      <c r="BE57" s="100">
        <v>8267.8263913939445</v>
      </c>
      <c r="BF57" s="100">
        <v>4.791985761066563</v>
      </c>
      <c r="BG57" s="100">
        <v>6762.4503060171337</v>
      </c>
      <c r="BH57" s="100">
        <v>4</v>
      </c>
      <c r="BI57" s="100">
        <v>5644.8</v>
      </c>
      <c r="BJ57" s="100">
        <v>6</v>
      </c>
      <c r="BK57" s="100">
        <v>8467.2000000000007</v>
      </c>
      <c r="BL57" s="100">
        <v>4</v>
      </c>
      <c r="BM57" s="100">
        <v>5644.8</v>
      </c>
      <c r="BN57" s="100">
        <v>4.3580627801775513</v>
      </c>
      <c r="BO57" s="100">
        <v>6150.0981953865603</v>
      </c>
      <c r="BP57" s="100">
        <v>2.8799173399295905E-4</v>
      </c>
      <c r="BQ57" s="100">
        <v>0.40641393501086381</v>
      </c>
      <c r="BR57" s="100">
        <v>4</v>
      </c>
      <c r="BS57" s="100">
        <v>5644.8</v>
      </c>
      <c r="BT57" s="100">
        <v>4.0931480743403226</v>
      </c>
      <c r="BU57" s="100">
        <v>5776.2505625090635</v>
      </c>
      <c r="BV57" s="100">
        <v>4.9978457549648159</v>
      </c>
      <c r="BW57" s="100">
        <v>7052.9599294063482</v>
      </c>
      <c r="BX57" s="100">
        <v>3.9645615328900855E-4</v>
      </c>
      <c r="BY57" s="100">
        <v>0.5594789235214489</v>
      </c>
      <c r="BZ57" s="100">
        <v>6</v>
      </c>
      <c r="CA57" s="100">
        <v>8467.2000000000007</v>
      </c>
      <c r="CB57" s="100">
        <v>4</v>
      </c>
      <c r="CC57" s="100">
        <v>5644.8</v>
      </c>
      <c r="CD57" s="100">
        <v>5</v>
      </c>
      <c r="CE57" s="100">
        <v>7056</v>
      </c>
      <c r="CF57" s="100">
        <v>6</v>
      </c>
      <c r="CG57" s="100">
        <v>8467.2000000000007</v>
      </c>
      <c r="CH57" s="100">
        <v>5</v>
      </c>
      <c r="CI57" s="100">
        <v>7056</v>
      </c>
      <c r="CJ57" s="100">
        <v>4.3181686242172672</v>
      </c>
      <c r="CK57" s="100">
        <v>6093.7995624954074</v>
      </c>
      <c r="CL57" s="100">
        <v>3.865950004078178</v>
      </c>
      <c r="CM57" s="100">
        <v>5455.628645755125</v>
      </c>
      <c r="CN57" s="100">
        <v>4</v>
      </c>
      <c r="CO57" s="100">
        <v>5644.8</v>
      </c>
      <c r="CP57" s="100">
        <v>4.191098999790035</v>
      </c>
      <c r="CQ57" s="100">
        <v>5914.4789085036973</v>
      </c>
      <c r="CR57" s="100">
        <v>4.2871038927174743</v>
      </c>
      <c r="CS57" s="100">
        <v>6049.9610134028999</v>
      </c>
      <c r="CT57" s="100">
        <v>4.6696134521401937</v>
      </c>
      <c r="CU57" s="100">
        <v>6589.7585036602413</v>
      </c>
    </row>
    <row r="58" spans="2:99">
      <c r="C58" s="99" t="s">
        <v>224</v>
      </c>
      <c r="D58" s="100">
        <v>6</v>
      </c>
      <c r="E58" s="100">
        <v>7063.2000000000007</v>
      </c>
      <c r="F58" s="100">
        <v>3</v>
      </c>
      <c r="G58" s="100">
        <v>3531.6000000000004</v>
      </c>
      <c r="H58" s="100">
        <v>5</v>
      </c>
      <c r="I58" s="100">
        <v>5886</v>
      </c>
      <c r="J58" s="100">
        <v>4</v>
      </c>
      <c r="K58" s="100">
        <v>4708.8</v>
      </c>
      <c r="L58" s="100">
        <v>6.4990430645284318</v>
      </c>
      <c r="M58" s="100">
        <v>7650.6734955628699</v>
      </c>
      <c r="N58" s="100">
        <v>1.7302978492697967</v>
      </c>
      <c r="O58" s="100">
        <v>2036.9066281604048</v>
      </c>
      <c r="P58" s="100">
        <v>4</v>
      </c>
      <c r="Q58" s="100">
        <v>4708.8</v>
      </c>
      <c r="R58" s="100">
        <v>5</v>
      </c>
      <c r="S58" s="100">
        <v>5886</v>
      </c>
      <c r="T58" s="100">
        <v>6</v>
      </c>
      <c r="U58" s="100">
        <v>7063.2000000000007</v>
      </c>
      <c r="V58" s="100">
        <v>6</v>
      </c>
      <c r="W58" s="100">
        <v>7063.2000000000007</v>
      </c>
      <c r="X58" s="100">
        <v>7.1990847939579634</v>
      </c>
      <c r="Y58" s="100">
        <v>8474.7626194473141</v>
      </c>
      <c r="Z58" s="100">
        <v>4</v>
      </c>
      <c r="AA58" s="100">
        <v>4708.8</v>
      </c>
      <c r="AB58" s="100">
        <v>5</v>
      </c>
      <c r="AC58" s="100">
        <v>5886</v>
      </c>
      <c r="AD58" s="100">
        <v>5.0453397894727106</v>
      </c>
      <c r="AE58" s="100">
        <v>5939.374000167275</v>
      </c>
      <c r="AF58" s="100">
        <v>4</v>
      </c>
      <c r="AG58" s="100">
        <v>4708.8</v>
      </c>
      <c r="AH58" s="100">
        <v>6.5130579396807793</v>
      </c>
      <c r="AI58" s="100">
        <v>7667.1718065922141</v>
      </c>
      <c r="AJ58" s="100">
        <v>3.7033800064971651</v>
      </c>
      <c r="AK58" s="100">
        <v>4359.6189436484628</v>
      </c>
      <c r="AL58" s="100">
        <v>3.1408453359952833</v>
      </c>
      <c r="AM58" s="100">
        <v>3697.4031295336476</v>
      </c>
      <c r="AN58" s="100">
        <v>3.483294571516409E-4</v>
      </c>
      <c r="AO58" s="100">
        <v>0.41005343695891167</v>
      </c>
      <c r="AP58" s="100">
        <v>3.8094411253408134</v>
      </c>
      <c r="AQ58" s="100">
        <v>4484.4740927512057</v>
      </c>
      <c r="AR58" s="100">
        <v>5.0577003807004628</v>
      </c>
      <c r="AS58" s="100">
        <v>5953.9248881605854</v>
      </c>
      <c r="AT58" s="100">
        <v>2.6995016661390947</v>
      </c>
      <c r="AU58" s="100">
        <v>3177.8533613789423</v>
      </c>
      <c r="AV58" s="100">
        <v>3.0103196807418882</v>
      </c>
      <c r="AW58" s="100">
        <v>3543.7483281693508</v>
      </c>
      <c r="AX58" s="100">
        <v>4.5771337018405642</v>
      </c>
      <c r="AY58" s="100">
        <v>5388.201793806712</v>
      </c>
      <c r="AZ58" s="100">
        <v>4.2750394851046902</v>
      </c>
      <c r="BA58" s="100">
        <v>5032.5764818652415</v>
      </c>
      <c r="BB58" s="100">
        <v>3.363297058437432</v>
      </c>
      <c r="BC58" s="100">
        <v>3959.2732971925452</v>
      </c>
      <c r="BD58" s="100">
        <v>6</v>
      </c>
      <c r="BE58" s="100">
        <v>7063.2000000000007</v>
      </c>
      <c r="BF58" s="100">
        <v>5.5235911656536585</v>
      </c>
      <c r="BG58" s="100">
        <v>6502.3715202074873</v>
      </c>
      <c r="BH58" s="100">
        <v>1.9533331717794569</v>
      </c>
      <c r="BI58" s="100">
        <v>2299.4638098187766</v>
      </c>
      <c r="BJ58" s="100">
        <v>6</v>
      </c>
      <c r="BK58" s="100">
        <v>7063.2000000000007</v>
      </c>
      <c r="BL58" s="100">
        <v>4</v>
      </c>
      <c r="BM58" s="100">
        <v>4708.8</v>
      </c>
      <c r="BN58" s="100">
        <v>4</v>
      </c>
      <c r="BO58" s="100">
        <v>4708.8</v>
      </c>
      <c r="BP58" s="100">
        <v>3</v>
      </c>
      <c r="BQ58" s="100">
        <v>3531.6000000000004</v>
      </c>
      <c r="BR58" s="100">
        <v>3.6392196973289725</v>
      </c>
      <c r="BS58" s="100">
        <v>4284.0894276956669</v>
      </c>
      <c r="BT58" s="100">
        <v>2.3258554953237338</v>
      </c>
      <c r="BU58" s="100">
        <v>2737.9970890950995</v>
      </c>
      <c r="BV58" s="100">
        <v>5.2774124640110527</v>
      </c>
      <c r="BW58" s="100">
        <v>6212.5699526338112</v>
      </c>
      <c r="BX58" s="100">
        <v>3.2389278967634376</v>
      </c>
      <c r="BY58" s="100">
        <v>3812.865920069919</v>
      </c>
      <c r="BZ58" s="100">
        <v>6</v>
      </c>
      <c r="CA58" s="100">
        <v>7063.2000000000007</v>
      </c>
      <c r="CB58" s="100">
        <v>3.0438636748102423</v>
      </c>
      <c r="CC58" s="100">
        <v>3583.2363179866175</v>
      </c>
      <c r="CD58" s="100">
        <v>5.3527522979934288</v>
      </c>
      <c r="CE58" s="100">
        <v>6301.2600051978643</v>
      </c>
      <c r="CF58" s="100">
        <v>3.8423677475345084</v>
      </c>
      <c r="CG58" s="100">
        <v>4523.2353123976236</v>
      </c>
      <c r="CH58" s="100">
        <v>5.1899282625789809</v>
      </c>
      <c r="CI58" s="100">
        <v>6109.5835507079764</v>
      </c>
      <c r="CJ58" s="100">
        <v>4</v>
      </c>
      <c r="CK58" s="100">
        <v>4708.8</v>
      </c>
      <c r="CL58" s="100">
        <v>4</v>
      </c>
      <c r="CM58" s="100">
        <v>4708.8</v>
      </c>
      <c r="CN58" s="100">
        <v>3.1936136168834004</v>
      </c>
      <c r="CO58" s="100">
        <v>3759.5219497951389</v>
      </c>
      <c r="CP58" s="100">
        <v>3.6156947564080921</v>
      </c>
      <c r="CQ58" s="100">
        <v>4256.3958672436065</v>
      </c>
      <c r="CR58" s="100">
        <v>2.0351235584082676</v>
      </c>
      <c r="CS58" s="100">
        <v>2395.7474529582128</v>
      </c>
      <c r="CT58" s="100">
        <v>5</v>
      </c>
      <c r="CU58" s="100">
        <v>5886</v>
      </c>
    </row>
    <row r="59" spans="2:99">
      <c r="C59" s="99" t="s">
        <v>225</v>
      </c>
      <c r="D59" s="100">
        <v>1.3838784148174241</v>
      </c>
      <c r="E59" s="100">
        <v>420.1454867385699</v>
      </c>
      <c r="F59" s="100">
        <v>4</v>
      </c>
      <c r="G59" s="100">
        <v>1214.3999999999999</v>
      </c>
      <c r="H59" s="100">
        <v>5</v>
      </c>
      <c r="I59" s="100">
        <v>1517.9999999999998</v>
      </c>
      <c r="J59" s="100">
        <v>4</v>
      </c>
      <c r="K59" s="100">
        <v>1214.3999999999999</v>
      </c>
      <c r="L59" s="100">
        <v>6</v>
      </c>
      <c r="M59" s="100">
        <v>1821.6</v>
      </c>
      <c r="N59" s="100">
        <v>4</v>
      </c>
      <c r="O59" s="100">
        <v>1214.3999999999999</v>
      </c>
      <c r="P59" s="100">
        <v>4</v>
      </c>
      <c r="Q59" s="100">
        <v>1214.3999999999999</v>
      </c>
      <c r="R59" s="100">
        <v>5</v>
      </c>
      <c r="S59" s="100">
        <v>1517.9999999999998</v>
      </c>
      <c r="T59" s="100">
        <v>6</v>
      </c>
      <c r="U59" s="100">
        <v>1821.6</v>
      </c>
      <c r="V59" s="100">
        <v>5</v>
      </c>
      <c r="W59" s="100">
        <v>1517.9999999999998</v>
      </c>
      <c r="X59" s="100">
        <v>6</v>
      </c>
      <c r="Y59" s="100">
        <v>1821.6</v>
      </c>
      <c r="Z59" s="100">
        <v>5</v>
      </c>
      <c r="AA59" s="100">
        <v>1517.9999999999998</v>
      </c>
      <c r="AB59" s="100">
        <v>5</v>
      </c>
      <c r="AC59" s="100">
        <v>1517.9999999999998</v>
      </c>
      <c r="AD59" s="100">
        <v>5</v>
      </c>
      <c r="AE59" s="100">
        <v>1517.9999999999998</v>
      </c>
      <c r="AF59" s="100">
        <v>4</v>
      </c>
      <c r="AG59" s="100">
        <v>1214.3999999999999</v>
      </c>
      <c r="AH59" s="100">
        <v>5</v>
      </c>
      <c r="AI59" s="100">
        <v>1517.9999999999998</v>
      </c>
      <c r="AJ59" s="100">
        <v>4</v>
      </c>
      <c r="AK59" s="100">
        <v>1214.3999999999999</v>
      </c>
      <c r="AL59" s="100">
        <v>4</v>
      </c>
      <c r="AM59" s="100">
        <v>1214.3999999999999</v>
      </c>
      <c r="AN59" s="100">
        <v>4</v>
      </c>
      <c r="AO59" s="100">
        <v>1214.3999999999999</v>
      </c>
      <c r="AP59" s="100">
        <v>5</v>
      </c>
      <c r="AQ59" s="100">
        <v>1517.9999999999998</v>
      </c>
      <c r="AR59" s="100">
        <v>2.1463909942096744</v>
      </c>
      <c r="AS59" s="100">
        <v>651.64430584205707</v>
      </c>
      <c r="AT59" s="100">
        <v>5.4381590724624093E-4</v>
      </c>
      <c r="AU59" s="100">
        <v>0.16510250943995872</v>
      </c>
      <c r="AV59" s="100">
        <v>3.9124248183915926E-4</v>
      </c>
      <c r="AW59" s="100">
        <v>0.11878121748636875</v>
      </c>
      <c r="AX59" s="100">
        <v>6.2178795224649326</v>
      </c>
      <c r="AY59" s="100">
        <v>1887.7482230203534</v>
      </c>
      <c r="AZ59" s="100">
        <v>0.3971567745146744</v>
      </c>
      <c r="BA59" s="100">
        <v>120.57679674265513</v>
      </c>
      <c r="BB59" s="100">
        <v>5</v>
      </c>
      <c r="BC59" s="100">
        <v>1517.9999999999998</v>
      </c>
      <c r="BD59" s="100">
        <v>6.8351739346841471</v>
      </c>
      <c r="BE59" s="100">
        <v>2075.1588065701067</v>
      </c>
      <c r="BF59" s="100">
        <v>4.791985761066563</v>
      </c>
      <c r="BG59" s="100">
        <v>1454.8468770598083</v>
      </c>
      <c r="BH59" s="100">
        <v>4</v>
      </c>
      <c r="BI59" s="100">
        <v>1214.3999999999999</v>
      </c>
      <c r="BJ59" s="100">
        <v>6</v>
      </c>
      <c r="BK59" s="100">
        <v>1821.6</v>
      </c>
      <c r="BL59" s="100">
        <v>4</v>
      </c>
      <c r="BM59" s="100">
        <v>1214.3999999999999</v>
      </c>
      <c r="BN59" s="100">
        <v>4.4068190764986612</v>
      </c>
      <c r="BO59" s="100">
        <v>1337.9102716249934</v>
      </c>
      <c r="BP59" s="100">
        <v>2.8799173399295905E-4</v>
      </c>
      <c r="BQ59" s="100">
        <v>8.7434290440262352E-2</v>
      </c>
      <c r="BR59" s="100">
        <v>4</v>
      </c>
      <c r="BS59" s="100">
        <v>1214.3999999999999</v>
      </c>
      <c r="BT59" s="100">
        <v>5.130407304076452</v>
      </c>
      <c r="BU59" s="100">
        <v>1557.5916575176107</v>
      </c>
      <c r="BV59" s="100">
        <v>5.9974149059577799</v>
      </c>
      <c r="BW59" s="100">
        <v>1820.8151654487817</v>
      </c>
      <c r="BX59" s="100">
        <v>4.6253217883717666E-4</v>
      </c>
      <c r="BY59" s="100">
        <v>0.14042476949496682</v>
      </c>
      <c r="BZ59" s="100">
        <v>6</v>
      </c>
      <c r="CA59" s="100">
        <v>1821.6</v>
      </c>
      <c r="CB59" s="100">
        <v>4</v>
      </c>
      <c r="CC59" s="100">
        <v>1214.3999999999999</v>
      </c>
      <c r="CD59" s="100">
        <v>5</v>
      </c>
      <c r="CE59" s="100">
        <v>1517.9999999999998</v>
      </c>
      <c r="CF59" s="100">
        <v>6</v>
      </c>
      <c r="CG59" s="100">
        <v>1821.6</v>
      </c>
      <c r="CH59" s="100">
        <v>6</v>
      </c>
      <c r="CI59" s="100">
        <v>1821.6</v>
      </c>
      <c r="CJ59" s="100">
        <v>4.4090739454222012</v>
      </c>
      <c r="CK59" s="100">
        <v>1338.5948498301802</v>
      </c>
      <c r="CL59" s="100">
        <v>4.8324375050977224</v>
      </c>
      <c r="CM59" s="100">
        <v>1467.1280265476685</v>
      </c>
      <c r="CN59" s="100">
        <v>4</v>
      </c>
      <c r="CO59" s="100">
        <v>1214.3999999999999</v>
      </c>
      <c r="CP59" s="100">
        <v>5.191098999790035</v>
      </c>
      <c r="CQ59" s="100">
        <v>1576.0176563362545</v>
      </c>
      <c r="CR59" s="100">
        <v>4.2871038927174743</v>
      </c>
      <c r="CS59" s="100">
        <v>1301.564741829025</v>
      </c>
      <c r="CT59" s="100">
        <v>5.6035361425682328</v>
      </c>
      <c r="CU59" s="100">
        <v>1701.2335728837154</v>
      </c>
    </row>
    <row r="60" spans="2:99">
      <c r="C60" s="99" t="s">
        <v>226</v>
      </c>
      <c r="D60" s="100">
        <v>1.6145248172869948</v>
      </c>
      <c r="E60" s="100">
        <v>1052.0243709442059</v>
      </c>
      <c r="F60" s="100">
        <v>4</v>
      </c>
      <c r="G60" s="100">
        <v>2606.4</v>
      </c>
      <c r="H60" s="100">
        <v>5</v>
      </c>
      <c r="I60" s="100">
        <v>3258</v>
      </c>
      <c r="J60" s="100">
        <v>5</v>
      </c>
      <c r="K60" s="100">
        <v>3258</v>
      </c>
      <c r="L60" s="100">
        <v>6</v>
      </c>
      <c r="M60" s="100">
        <v>3909.6000000000004</v>
      </c>
      <c r="N60" s="100">
        <v>4</v>
      </c>
      <c r="O60" s="100">
        <v>2606.4</v>
      </c>
      <c r="P60" s="100">
        <v>4</v>
      </c>
      <c r="Q60" s="100">
        <v>2606.4</v>
      </c>
      <c r="R60" s="100">
        <v>5</v>
      </c>
      <c r="S60" s="100">
        <v>3258</v>
      </c>
      <c r="T60" s="100">
        <v>6</v>
      </c>
      <c r="U60" s="100">
        <v>3909.6000000000004</v>
      </c>
      <c r="V60" s="100">
        <v>6</v>
      </c>
      <c r="W60" s="100">
        <v>3909.6000000000004</v>
      </c>
      <c r="X60" s="100">
        <v>6</v>
      </c>
      <c r="Y60" s="100">
        <v>3909.6000000000004</v>
      </c>
      <c r="Z60" s="100">
        <v>4</v>
      </c>
      <c r="AA60" s="100">
        <v>2606.4</v>
      </c>
      <c r="AB60" s="100">
        <v>5</v>
      </c>
      <c r="AC60" s="100">
        <v>3258</v>
      </c>
      <c r="AD60" s="100">
        <v>5</v>
      </c>
      <c r="AE60" s="100">
        <v>3258</v>
      </c>
      <c r="AF60" s="100">
        <v>4.0045612392127108</v>
      </c>
      <c r="AG60" s="100">
        <v>2609.3721034710024</v>
      </c>
      <c r="AH60" s="100">
        <v>5</v>
      </c>
      <c r="AI60" s="100">
        <v>3258</v>
      </c>
      <c r="AJ60" s="100">
        <v>4</v>
      </c>
      <c r="AK60" s="100">
        <v>2606.4</v>
      </c>
      <c r="AL60" s="100">
        <v>4</v>
      </c>
      <c r="AM60" s="100">
        <v>2606.4</v>
      </c>
      <c r="AN60" s="100">
        <v>4</v>
      </c>
      <c r="AO60" s="100">
        <v>2606.4</v>
      </c>
      <c r="AP60" s="100">
        <v>5</v>
      </c>
      <c r="AQ60" s="100">
        <v>3258</v>
      </c>
      <c r="AR60" s="100">
        <v>2.146393485716743</v>
      </c>
      <c r="AS60" s="100">
        <v>1398.5899952930299</v>
      </c>
      <c r="AT60" s="100">
        <v>4.3505421079339211E-4</v>
      </c>
      <c r="AU60" s="100">
        <v>0.2834813237529743</v>
      </c>
      <c r="AV60" s="100">
        <v>4.8905310229894908E-4</v>
      </c>
      <c r="AW60" s="100">
        <v>0.31866700145799526</v>
      </c>
      <c r="AX60" s="100">
        <v>7.2178795224649326</v>
      </c>
      <c r="AY60" s="100">
        <v>4703.1702968381505</v>
      </c>
      <c r="AZ60" s="100">
        <v>0.3971567745146744</v>
      </c>
      <c r="BA60" s="100">
        <v>258.78735427376188</v>
      </c>
      <c r="BB60" s="100">
        <v>4</v>
      </c>
      <c r="BC60" s="100">
        <v>2606.4</v>
      </c>
      <c r="BD60" s="100">
        <v>4.8822670962029617</v>
      </c>
      <c r="BE60" s="100">
        <v>3181.2852398858499</v>
      </c>
      <c r="BF60" s="100">
        <v>4.791985761066563</v>
      </c>
      <c r="BG60" s="100">
        <v>3122.4579219109728</v>
      </c>
      <c r="BH60" s="100">
        <v>4</v>
      </c>
      <c r="BI60" s="100">
        <v>2606.4</v>
      </c>
      <c r="BJ60" s="100">
        <v>6</v>
      </c>
      <c r="BK60" s="100">
        <v>3909.6000000000004</v>
      </c>
      <c r="BL60" s="100">
        <v>4</v>
      </c>
      <c r="BM60" s="100">
        <v>2606.4</v>
      </c>
      <c r="BN60" s="100">
        <v>4.4555753728197729</v>
      </c>
      <c r="BO60" s="100">
        <v>2903.2529129293639</v>
      </c>
      <c r="BP60" s="100">
        <v>2.8799173399295905E-4</v>
      </c>
      <c r="BQ60" s="100">
        <v>0.18765541386981213</v>
      </c>
      <c r="BR60" s="100">
        <v>4</v>
      </c>
      <c r="BS60" s="100">
        <v>2606.4</v>
      </c>
      <c r="BT60" s="100">
        <v>4.1117776892083873</v>
      </c>
      <c r="BU60" s="100">
        <v>2679.2343422881854</v>
      </c>
      <c r="BV60" s="100">
        <v>4.9978457549648159</v>
      </c>
      <c r="BW60" s="100">
        <v>3256.5962939350743</v>
      </c>
      <c r="BX60" s="100">
        <v>4.6253217883717666E-4</v>
      </c>
      <c r="BY60" s="100">
        <v>0.30138596773030429</v>
      </c>
      <c r="BZ60" s="100">
        <v>6</v>
      </c>
      <c r="CA60" s="100">
        <v>3909.6000000000004</v>
      </c>
      <c r="CB60" s="100">
        <v>4</v>
      </c>
      <c r="CC60" s="100">
        <v>2606.4</v>
      </c>
      <c r="CD60" s="100">
        <v>5</v>
      </c>
      <c r="CE60" s="100">
        <v>3258</v>
      </c>
      <c r="CF60" s="100">
        <v>6</v>
      </c>
      <c r="CG60" s="100">
        <v>3909.6000000000004</v>
      </c>
      <c r="CH60" s="100">
        <v>6</v>
      </c>
      <c r="CI60" s="100">
        <v>3909.6000000000004</v>
      </c>
      <c r="CJ60" s="100">
        <v>4.4090739454222012</v>
      </c>
      <c r="CK60" s="100">
        <v>2872.9525828371065</v>
      </c>
      <c r="CL60" s="100">
        <v>4.8324375050977224</v>
      </c>
      <c r="CM60" s="100">
        <v>3148.8162783216762</v>
      </c>
      <c r="CN60" s="100">
        <v>4</v>
      </c>
      <c r="CO60" s="100">
        <v>2606.4</v>
      </c>
      <c r="CP60" s="100">
        <v>5.2123322219889276</v>
      </c>
      <c r="CQ60" s="100">
        <v>3396.3556758479854</v>
      </c>
      <c r="CR60" s="100">
        <v>4.2871038927174743</v>
      </c>
      <c r="CS60" s="100">
        <v>2793.4768964947061</v>
      </c>
      <c r="CT60" s="100">
        <v>4.6696134521401937</v>
      </c>
      <c r="CU60" s="100">
        <v>3042.7201254145502</v>
      </c>
    </row>
    <row r="61" spans="2:99">
      <c r="C61" s="99" t="s">
        <v>227</v>
      </c>
      <c r="D61" s="100">
        <v>1.6145248172869948</v>
      </c>
      <c r="E61" s="100">
        <v>1536.3818161303041</v>
      </c>
      <c r="F61" s="100">
        <v>4</v>
      </c>
      <c r="G61" s="100">
        <v>3806.3999999999996</v>
      </c>
      <c r="H61" s="100">
        <v>5</v>
      </c>
      <c r="I61" s="100">
        <v>4758</v>
      </c>
      <c r="J61" s="100">
        <v>4</v>
      </c>
      <c r="K61" s="100">
        <v>3806.3999999999996</v>
      </c>
      <c r="L61" s="100">
        <v>6</v>
      </c>
      <c r="M61" s="100">
        <v>5709.5999999999995</v>
      </c>
      <c r="N61" s="100">
        <v>4</v>
      </c>
      <c r="O61" s="100">
        <v>3806.3999999999996</v>
      </c>
      <c r="P61" s="100">
        <v>4</v>
      </c>
      <c r="Q61" s="100">
        <v>3806.3999999999996</v>
      </c>
      <c r="R61" s="100">
        <v>5</v>
      </c>
      <c r="S61" s="100">
        <v>4758</v>
      </c>
      <c r="T61" s="100">
        <v>5</v>
      </c>
      <c r="U61" s="100">
        <v>4758</v>
      </c>
      <c r="V61" s="100">
        <v>6</v>
      </c>
      <c r="W61" s="100">
        <v>5709.5999999999995</v>
      </c>
      <c r="X61" s="100">
        <v>6</v>
      </c>
      <c r="Y61" s="100">
        <v>5709.5999999999995</v>
      </c>
      <c r="Z61" s="100">
        <v>4</v>
      </c>
      <c r="AA61" s="100">
        <v>3806.3999999999996</v>
      </c>
      <c r="AB61" s="100">
        <v>5</v>
      </c>
      <c r="AC61" s="100">
        <v>4758</v>
      </c>
      <c r="AD61" s="100">
        <v>5</v>
      </c>
      <c r="AE61" s="100">
        <v>4758</v>
      </c>
      <c r="AF61" s="100">
        <v>4.0045612392127108</v>
      </c>
      <c r="AG61" s="100">
        <v>3810.7404752348152</v>
      </c>
      <c r="AH61" s="100">
        <v>5</v>
      </c>
      <c r="AI61" s="100">
        <v>4758</v>
      </c>
      <c r="AJ61" s="100">
        <v>4</v>
      </c>
      <c r="AK61" s="100">
        <v>3806.3999999999996</v>
      </c>
      <c r="AL61" s="100">
        <v>3</v>
      </c>
      <c r="AM61" s="100">
        <v>2854.7999999999997</v>
      </c>
      <c r="AN61" s="100">
        <v>4</v>
      </c>
      <c r="AO61" s="100">
        <v>3806.3999999999996</v>
      </c>
      <c r="AP61" s="100">
        <v>5</v>
      </c>
      <c r="AQ61" s="100">
        <v>4758</v>
      </c>
      <c r="AR61" s="100">
        <v>2.146393485716743</v>
      </c>
      <c r="AS61" s="100">
        <v>2042.5080410080525</v>
      </c>
      <c r="AT61" s="100">
        <v>4.3505421079339211E-4</v>
      </c>
      <c r="AU61" s="100">
        <v>0.41399758699099187</v>
      </c>
      <c r="AV61" s="100">
        <v>3.9124248183915926E-4</v>
      </c>
      <c r="AW61" s="100">
        <v>0.37230634571814392</v>
      </c>
      <c r="AX61" s="100">
        <v>6.2541927762090879</v>
      </c>
      <c r="AY61" s="100">
        <v>5951.4898458405678</v>
      </c>
      <c r="AZ61" s="100">
        <v>0.3971567745146744</v>
      </c>
      <c r="BA61" s="100">
        <v>377.93438662816413</v>
      </c>
      <c r="BB61" s="100">
        <v>5</v>
      </c>
      <c r="BC61" s="100">
        <v>4758</v>
      </c>
      <c r="BD61" s="100">
        <v>5.8587205154435544</v>
      </c>
      <c r="BE61" s="100">
        <v>5575.1584424960856</v>
      </c>
      <c r="BF61" s="100">
        <v>4.791985761066563</v>
      </c>
      <c r="BG61" s="100">
        <v>4560.0536502309405</v>
      </c>
      <c r="BH61" s="100">
        <v>4</v>
      </c>
      <c r="BI61" s="100">
        <v>3806.3999999999996</v>
      </c>
      <c r="BJ61" s="100">
        <v>6</v>
      </c>
      <c r="BK61" s="100">
        <v>5709.5999999999995</v>
      </c>
      <c r="BL61" s="100">
        <v>4</v>
      </c>
      <c r="BM61" s="100">
        <v>3806.3999999999996</v>
      </c>
      <c r="BN61" s="100">
        <v>4.4555753728197729</v>
      </c>
      <c r="BO61" s="100">
        <v>4239.9255247752953</v>
      </c>
      <c r="BP61" s="100">
        <v>2.1599380049471927E-4</v>
      </c>
      <c r="BQ61" s="100">
        <v>0.20553970055077483</v>
      </c>
      <c r="BR61" s="100">
        <v>3</v>
      </c>
      <c r="BS61" s="100">
        <v>2854.7999999999997</v>
      </c>
      <c r="BT61" s="100">
        <v>4.1117776892083873</v>
      </c>
      <c r="BU61" s="100">
        <v>3912.767649050701</v>
      </c>
      <c r="BV61" s="100">
        <v>5.9974149059577799</v>
      </c>
      <c r="BW61" s="100">
        <v>5707.1400245094228</v>
      </c>
      <c r="BX61" s="100">
        <v>3.9645615328900855E-4</v>
      </c>
      <c r="BY61" s="100">
        <v>0.37726767546982048</v>
      </c>
      <c r="BZ61" s="100">
        <v>6</v>
      </c>
      <c r="CA61" s="100">
        <v>5709.5999999999995</v>
      </c>
      <c r="CB61" s="100">
        <v>4</v>
      </c>
      <c r="CC61" s="100">
        <v>3806.3999999999996</v>
      </c>
      <c r="CD61" s="100">
        <v>5</v>
      </c>
      <c r="CE61" s="100">
        <v>4758</v>
      </c>
      <c r="CF61" s="100">
        <v>6</v>
      </c>
      <c r="CG61" s="100">
        <v>5709.5999999999995</v>
      </c>
      <c r="CH61" s="100">
        <v>6</v>
      </c>
      <c r="CI61" s="100">
        <v>5709.5999999999995</v>
      </c>
      <c r="CJ61" s="100">
        <v>4.3636212848197342</v>
      </c>
      <c r="CK61" s="100">
        <v>4152.4220146344587</v>
      </c>
      <c r="CL61" s="100">
        <v>4.8324375050977224</v>
      </c>
      <c r="CM61" s="100">
        <v>4598.5475298509919</v>
      </c>
      <c r="CN61" s="100">
        <v>4</v>
      </c>
      <c r="CO61" s="100">
        <v>3806.3999999999996</v>
      </c>
      <c r="CP61" s="100">
        <v>4.2123322219889276</v>
      </c>
      <c r="CQ61" s="100">
        <v>4008.4553424446631</v>
      </c>
      <c r="CR61" s="100">
        <v>4.2871038927174743</v>
      </c>
      <c r="CS61" s="100">
        <v>4079.6080643099481</v>
      </c>
      <c r="CT61" s="100">
        <v>4.6696134521401937</v>
      </c>
      <c r="CU61" s="100">
        <v>4443.6041610566081</v>
      </c>
    </row>
    <row r="62" spans="2:99">
      <c r="C62" s="99" t="s">
        <v>228</v>
      </c>
      <c r="D62" s="100">
        <v>1.4669572184533302</v>
      </c>
      <c r="E62" s="100">
        <v>2448.6449890422987</v>
      </c>
      <c r="F62" s="100">
        <v>4.2745082237395655</v>
      </c>
      <c r="G62" s="100">
        <v>7135.0091270660832</v>
      </c>
      <c r="H62" s="100">
        <v>2.2240156236347208</v>
      </c>
      <c r="I62" s="100">
        <v>3712.326878971076</v>
      </c>
      <c r="J62" s="100">
        <v>4</v>
      </c>
      <c r="K62" s="100">
        <v>6676.8</v>
      </c>
      <c r="L62" s="100">
        <v>4.7169474530994275</v>
      </c>
      <c r="M62" s="100">
        <v>7873.5286887135644</v>
      </c>
      <c r="N62" s="100">
        <v>0.54530162912124258</v>
      </c>
      <c r="O62" s="100">
        <v>910.2174793291781</v>
      </c>
      <c r="P62" s="100">
        <v>3.714097989191854</v>
      </c>
      <c r="Q62" s="100">
        <v>6199.572363559043</v>
      </c>
      <c r="R62" s="100">
        <v>2.7975680979829876</v>
      </c>
      <c r="S62" s="100">
        <v>4669.7006691532033</v>
      </c>
      <c r="T62" s="100">
        <v>3.2796531456189273</v>
      </c>
      <c r="U62" s="100">
        <v>5474.3970306671135</v>
      </c>
      <c r="V62" s="100">
        <v>0.33965754918888413</v>
      </c>
      <c r="W62" s="100">
        <v>566.95638110608536</v>
      </c>
      <c r="X62" s="100">
        <v>6.0537745848250557</v>
      </c>
      <c r="Y62" s="100">
        <v>10104.960536989984</v>
      </c>
      <c r="Z62" s="100">
        <v>2.0230439458221268</v>
      </c>
      <c r="AA62" s="100">
        <v>3376.8649543662941</v>
      </c>
      <c r="AB62" s="100">
        <v>3.6430369992297953</v>
      </c>
      <c r="AC62" s="100">
        <v>6080.9573591143744</v>
      </c>
      <c r="AD62" s="100">
        <v>5</v>
      </c>
      <c r="AE62" s="100">
        <v>8346</v>
      </c>
      <c r="AF62" s="100">
        <v>3.2254256808468722</v>
      </c>
      <c r="AG62" s="100">
        <v>5383.8805464695988</v>
      </c>
      <c r="AH62" s="100">
        <v>2.9035478829551167</v>
      </c>
      <c r="AI62" s="100">
        <v>4846.6021262286813</v>
      </c>
      <c r="AJ62" s="100">
        <v>2.2390786078014068E-4</v>
      </c>
      <c r="AK62" s="100">
        <v>0.37374700121421084</v>
      </c>
      <c r="AL62" s="100">
        <v>2.3443009239294565</v>
      </c>
      <c r="AM62" s="100">
        <v>3913.107102223049</v>
      </c>
      <c r="AN62" s="100">
        <v>2.5669801020984182</v>
      </c>
      <c r="AO62" s="100">
        <v>4284.8031864226796</v>
      </c>
      <c r="AP62" s="100">
        <v>3.0738901066380926</v>
      </c>
      <c r="AQ62" s="100">
        <v>5130.9373660003039</v>
      </c>
      <c r="AR62" s="100">
        <v>3.0957251270074044</v>
      </c>
      <c r="AS62" s="100">
        <v>5167.3843820007596</v>
      </c>
      <c r="AT62" s="100">
        <v>2.154506730306788</v>
      </c>
      <c r="AU62" s="100">
        <v>3596.3026342280905</v>
      </c>
      <c r="AV62" s="100">
        <v>2.4919333245417912</v>
      </c>
      <c r="AW62" s="100">
        <v>4159.5351053251579</v>
      </c>
      <c r="AX62" s="100">
        <v>4.5401446631337317</v>
      </c>
      <c r="AY62" s="100">
        <v>7578.4094717028247</v>
      </c>
      <c r="AZ62" s="100">
        <v>2.4626340848787756</v>
      </c>
      <c r="BA62" s="100">
        <v>4110.6288144796526</v>
      </c>
      <c r="BB62" s="100">
        <v>2.6478974847883072</v>
      </c>
      <c r="BC62" s="100">
        <v>4419.8704816086429</v>
      </c>
      <c r="BD62" s="100">
        <v>3.178788753667845</v>
      </c>
      <c r="BE62" s="100">
        <v>5306.0341876223665</v>
      </c>
      <c r="BF62" s="100">
        <v>3.3101085043272112</v>
      </c>
      <c r="BG62" s="100">
        <v>5525.2331154229814</v>
      </c>
      <c r="BH62" s="100">
        <v>2.1771351518833719</v>
      </c>
      <c r="BI62" s="100">
        <v>3634.0739955237245</v>
      </c>
      <c r="BJ62" s="100">
        <v>3.3506656603523743</v>
      </c>
      <c r="BK62" s="100">
        <v>5592.931120260183</v>
      </c>
      <c r="BL62" s="100">
        <v>2.4947481252201564</v>
      </c>
      <c r="BM62" s="100">
        <v>4164.2335706174854</v>
      </c>
      <c r="BN62" s="100">
        <v>2.3242281820662174</v>
      </c>
      <c r="BO62" s="100">
        <v>3879.6016815049302</v>
      </c>
      <c r="BP62" s="100">
        <v>1.4711790788674404</v>
      </c>
      <c r="BQ62" s="100">
        <v>2455.6921184455314</v>
      </c>
      <c r="BR62" s="100">
        <v>2.3315436795070692</v>
      </c>
      <c r="BS62" s="100">
        <v>3891.8127098332002</v>
      </c>
      <c r="BT62" s="100">
        <v>2.2573798909353285E-4</v>
      </c>
      <c r="BU62" s="100">
        <v>0.37680185139492506</v>
      </c>
      <c r="BV62" s="100">
        <v>3.3580611823774618</v>
      </c>
      <c r="BW62" s="100">
        <v>5605.2757256244595</v>
      </c>
      <c r="BX62" s="100">
        <v>3.8055019445966867</v>
      </c>
      <c r="BY62" s="100">
        <v>6352.1438459207893</v>
      </c>
      <c r="BZ62" s="100">
        <v>3.4382894453498745</v>
      </c>
      <c r="CA62" s="100">
        <v>5739.192742178011</v>
      </c>
      <c r="CB62" s="100">
        <v>2.8279580368613835</v>
      </c>
      <c r="CC62" s="100">
        <v>4720.4275551290211</v>
      </c>
      <c r="CD62" s="100">
        <v>3.3504641390334347</v>
      </c>
      <c r="CE62" s="100">
        <v>5592.5947408746097</v>
      </c>
      <c r="CF62" s="100">
        <v>0.28155823156446974</v>
      </c>
      <c r="CG62" s="100">
        <v>469.97700012741291</v>
      </c>
      <c r="CH62" s="100">
        <v>5.0985422060207339</v>
      </c>
      <c r="CI62" s="100">
        <v>8510.4866502898094</v>
      </c>
      <c r="CJ62" s="100">
        <v>4</v>
      </c>
      <c r="CK62" s="100">
        <v>6676.8</v>
      </c>
      <c r="CL62" s="100">
        <v>3.9679744218390098</v>
      </c>
      <c r="CM62" s="100">
        <v>6623.3429049336755</v>
      </c>
      <c r="CN62" s="100">
        <v>3.0518586155540759</v>
      </c>
      <c r="CO62" s="100">
        <v>5094.1624010828637</v>
      </c>
      <c r="CP62" s="100">
        <v>2.0027262692992842</v>
      </c>
      <c r="CQ62" s="100">
        <v>3342.9506887143652</v>
      </c>
      <c r="CR62" s="100">
        <v>0.14663718157914343</v>
      </c>
      <c r="CS62" s="100">
        <v>244.76678349190624</v>
      </c>
      <c r="CT62" s="100">
        <v>3.0436970647701758</v>
      </c>
      <c r="CU62" s="100">
        <v>5080.5391405143773</v>
      </c>
    </row>
    <row r="63" spans="2:99">
      <c r="C63" s="99" t="s">
        <v>229</v>
      </c>
      <c r="D63" s="100">
        <v>1.3838784148174241</v>
      </c>
      <c r="E63" s="100">
        <v>1101.0136668287428</v>
      </c>
      <c r="F63" s="100">
        <v>4</v>
      </c>
      <c r="G63" s="100">
        <v>3182.4</v>
      </c>
      <c r="H63" s="100">
        <v>5</v>
      </c>
      <c r="I63" s="100">
        <v>3978</v>
      </c>
      <c r="J63" s="100">
        <v>5</v>
      </c>
      <c r="K63" s="100">
        <v>3978</v>
      </c>
      <c r="L63" s="100">
        <v>6</v>
      </c>
      <c r="M63" s="100">
        <v>4773.6000000000004</v>
      </c>
      <c r="N63" s="100">
        <v>4</v>
      </c>
      <c r="O63" s="100">
        <v>3182.4</v>
      </c>
      <c r="P63" s="100">
        <v>4</v>
      </c>
      <c r="Q63" s="100">
        <v>3182.4</v>
      </c>
      <c r="R63" s="100">
        <v>5</v>
      </c>
      <c r="S63" s="100">
        <v>3978</v>
      </c>
      <c r="T63" s="100">
        <v>5</v>
      </c>
      <c r="U63" s="100">
        <v>3978</v>
      </c>
      <c r="V63" s="100">
        <v>6</v>
      </c>
      <c r="W63" s="100">
        <v>4773.6000000000004</v>
      </c>
      <c r="X63" s="100">
        <v>6</v>
      </c>
      <c r="Y63" s="100">
        <v>4773.6000000000004</v>
      </c>
      <c r="Z63" s="100">
        <v>4</v>
      </c>
      <c r="AA63" s="100">
        <v>3182.4</v>
      </c>
      <c r="AB63" s="100">
        <v>5</v>
      </c>
      <c r="AC63" s="100">
        <v>3978</v>
      </c>
      <c r="AD63" s="100">
        <v>5</v>
      </c>
      <c r="AE63" s="100">
        <v>3978</v>
      </c>
      <c r="AF63" s="100">
        <v>5</v>
      </c>
      <c r="AG63" s="100">
        <v>3978</v>
      </c>
      <c r="AH63" s="100">
        <v>5</v>
      </c>
      <c r="AI63" s="100">
        <v>3978</v>
      </c>
      <c r="AJ63" s="100">
        <v>4</v>
      </c>
      <c r="AK63" s="100">
        <v>3182.4</v>
      </c>
      <c r="AL63" s="100">
        <v>4</v>
      </c>
      <c r="AM63" s="100">
        <v>3182.4</v>
      </c>
      <c r="AN63" s="100">
        <v>4</v>
      </c>
      <c r="AO63" s="100">
        <v>3182.4</v>
      </c>
      <c r="AP63" s="100">
        <v>5</v>
      </c>
      <c r="AQ63" s="100">
        <v>3978</v>
      </c>
      <c r="AR63" s="100">
        <v>2.146393485716743</v>
      </c>
      <c r="AS63" s="100">
        <v>1707.6706572362409</v>
      </c>
      <c r="AT63" s="100">
        <v>5.4381590724624093E-4</v>
      </c>
      <c r="AU63" s="100">
        <v>0.43265993580510931</v>
      </c>
      <c r="AV63" s="100">
        <v>3.9124248183915926E-4</v>
      </c>
      <c r="AW63" s="100">
        <v>0.31127251855123511</v>
      </c>
      <c r="AX63" s="100">
        <v>6.2178795224649326</v>
      </c>
      <c r="AY63" s="100">
        <v>4946.9449480731009</v>
      </c>
      <c r="AZ63" s="100">
        <v>0.3971567745146744</v>
      </c>
      <c r="BA63" s="100">
        <v>315.97792980387499</v>
      </c>
      <c r="BB63" s="100">
        <v>5</v>
      </c>
      <c r="BC63" s="100">
        <v>3978</v>
      </c>
      <c r="BD63" s="100">
        <v>4.8822670962029617</v>
      </c>
      <c r="BE63" s="100">
        <v>3884.3317017390764</v>
      </c>
      <c r="BF63" s="100">
        <v>4.791985761066563</v>
      </c>
      <c r="BG63" s="100">
        <v>3812.5038715045575</v>
      </c>
      <c r="BH63" s="100">
        <v>4</v>
      </c>
      <c r="BI63" s="100">
        <v>3182.4</v>
      </c>
      <c r="BJ63" s="100">
        <v>6</v>
      </c>
      <c r="BK63" s="100">
        <v>4773.6000000000004</v>
      </c>
      <c r="BL63" s="100">
        <v>4</v>
      </c>
      <c r="BM63" s="100">
        <v>3182.4</v>
      </c>
      <c r="BN63" s="100">
        <v>4.4555753728197729</v>
      </c>
      <c r="BO63" s="100">
        <v>3544.8557666154115</v>
      </c>
      <c r="BP63" s="100">
        <v>2.1599380049471927E-4</v>
      </c>
      <c r="BQ63" s="100">
        <v>0.17184466767359866</v>
      </c>
      <c r="BR63" s="100">
        <v>4</v>
      </c>
      <c r="BS63" s="100">
        <v>3182.4</v>
      </c>
      <c r="BT63" s="100">
        <v>4.130407304076452</v>
      </c>
      <c r="BU63" s="100">
        <v>3286.1520511232252</v>
      </c>
      <c r="BV63" s="100">
        <v>4.9978457549648159</v>
      </c>
      <c r="BW63" s="100">
        <v>3976.2860826500078</v>
      </c>
      <c r="BX63" s="100">
        <v>3.9645615328900855E-4</v>
      </c>
      <c r="BY63" s="100">
        <v>0.31542051555673523</v>
      </c>
      <c r="BZ63" s="100">
        <v>6</v>
      </c>
      <c r="CA63" s="100">
        <v>4773.6000000000004</v>
      </c>
      <c r="CB63" s="100">
        <v>4</v>
      </c>
      <c r="CC63" s="100">
        <v>3182.4</v>
      </c>
      <c r="CD63" s="100">
        <v>6</v>
      </c>
      <c r="CE63" s="100">
        <v>4773.6000000000004</v>
      </c>
      <c r="CF63" s="100">
        <v>6</v>
      </c>
      <c r="CG63" s="100">
        <v>4773.6000000000004</v>
      </c>
      <c r="CH63" s="100">
        <v>5</v>
      </c>
      <c r="CI63" s="100">
        <v>3978</v>
      </c>
      <c r="CJ63" s="100">
        <v>4.3636212848197342</v>
      </c>
      <c r="CK63" s="100">
        <v>3471.6970942025805</v>
      </c>
      <c r="CL63" s="100">
        <v>3.865950004078178</v>
      </c>
      <c r="CM63" s="100">
        <v>3075.7498232445987</v>
      </c>
      <c r="CN63" s="100">
        <v>4</v>
      </c>
      <c r="CO63" s="100">
        <v>3182.4</v>
      </c>
      <c r="CP63" s="100">
        <v>4.191098999790035</v>
      </c>
      <c r="CQ63" s="100">
        <v>3334.4383642329517</v>
      </c>
      <c r="CR63" s="100">
        <v>4.2512159061277899</v>
      </c>
      <c r="CS63" s="100">
        <v>3382.2673749152696</v>
      </c>
      <c r="CT63" s="100">
        <v>4.6696134521401937</v>
      </c>
      <c r="CU63" s="100">
        <v>3715.1444625227382</v>
      </c>
    </row>
    <row r="64" spans="2:99">
      <c r="C64" s="99" t="s">
        <v>230</v>
      </c>
      <c r="D64" s="100">
        <v>1.3838784148174241</v>
      </c>
      <c r="E64" s="100">
        <v>1396.6100962337441</v>
      </c>
      <c r="F64" s="100">
        <v>4</v>
      </c>
      <c r="G64" s="100">
        <v>4036.7999999999993</v>
      </c>
      <c r="H64" s="100">
        <v>5</v>
      </c>
      <c r="I64" s="100">
        <v>5045.9999999999991</v>
      </c>
      <c r="J64" s="100">
        <v>5</v>
      </c>
      <c r="K64" s="100">
        <v>5045.9999999999991</v>
      </c>
      <c r="L64" s="100">
        <v>5</v>
      </c>
      <c r="M64" s="100">
        <v>5045.9999999999991</v>
      </c>
      <c r="N64" s="100">
        <v>4</v>
      </c>
      <c r="O64" s="100">
        <v>4036.7999999999993</v>
      </c>
      <c r="P64" s="100">
        <v>4</v>
      </c>
      <c r="Q64" s="100">
        <v>4036.7999999999993</v>
      </c>
      <c r="R64" s="100">
        <v>5</v>
      </c>
      <c r="S64" s="100">
        <v>5045.9999999999991</v>
      </c>
      <c r="T64" s="100">
        <v>6</v>
      </c>
      <c r="U64" s="100">
        <v>6055.1999999999989</v>
      </c>
      <c r="V64" s="100">
        <v>5</v>
      </c>
      <c r="W64" s="100">
        <v>5045.9999999999991</v>
      </c>
      <c r="X64" s="100">
        <v>7</v>
      </c>
      <c r="Y64" s="100">
        <v>7064.3999999999987</v>
      </c>
      <c r="Z64" s="100">
        <v>4</v>
      </c>
      <c r="AA64" s="100">
        <v>4036.7999999999993</v>
      </c>
      <c r="AB64" s="100">
        <v>4</v>
      </c>
      <c r="AC64" s="100">
        <v>4036.7999999999993</v>
      </c>
      <c r="AD64" s="100">
        <v>5</v>
      </c>
      <c r="AE64" s="100">
        <v>5045.9999999999991</v>
      </c>
      <c r="AF64" s="100">
        <v>5.0045612392127108</v>
      </c>
      <c r="AG64" s="100">
        <v>5050.6032026134671</v>
      </c>
      <c r="AH64" s="100">
        <v>6</v>
      </c>
      <c r="AI64" s="100">
        <v>6055.1999999999989</v>
      </c>
      <c r="AJ64" s="100">
        <v>4</v>
      </c>
      <c r="AK64" s="100">
        <v>4036.7999999999993</v>
      </c>
      <c r="AL64" s="100">
        <v>4</v>
      </c>
      <c r="AM64" s="100">
        <v>4036.7999999999993</v>
      </c>
      <c r="AN64" s="100">
        <v>4</v>
      </c>
      <c r="AO64" s="100">
        <v>4036.7999999999993</v>
      </c>
      <c r="AP64" s="100">
        <v>5</v>
      </c>
      <c r="AQ64" s="100">
        <v>5045.9999999999991</v>
      </c>
      <c r="AR64" s="100">
        <v>2.146393485716743</v>
      </c>
      <c r="AS64" s="100">
        <v>2166.1403057853367</v>
      </c>
      <c r="AT64" s="100">
        <v>4.3505421079339211E-4</v>
      </c>
      <c r="AU64" s="100">
        <v>0.43905670953269121</v>
      </c>
      <c r="AV64" s="100">
        <v>3.9124248183915926E-4</v>
      </c>
      <c r="AW64" s="100">
        <v>0.39484191267207946</v>
      </c>
      <c r="AX64" s="100">
        <v>7.2178795224649326</v>
      </c>
      <c r="AY64" s="100">
        <v>7284.2840140716089</v>
      </c>
      <c r="AZ64" s="100">
        <v>0.3971567745146744</v>
      </c>
      <c r="BA64" s="100">
        <v>400.81061684020932</v>
      </c>
      <c r="BB64" s="100">
        <v>5</v>
      </c>
      <c r="BC64" s="100">
        <v>5045.9999999999991</v>
      </c>
      <c r="BD64" s="100">
        <v>4.8822670962029617</v>
      </c>
      <c r="BE64" s="100">
        <v>4927.1839534880282</v>
      </c>
      <c r="BF64" s="100">
        <v>5.7503829132798758</v>
      </c>
      <c r="BG64" s="100">
        <v>5803.2864360820495</v>
      </c>
      <c r="BH64" s="100">
        <v>4</v>
      </c>
      <c r="BI64" s="100">
        <v>4036.7999999999993</v>
      </c>
      <c r="BJ64" s="100">
        <v>6</v>
      </c>
      <c r="BK64" s="100">
        <v>6055.1999999999989</v>
      </c>
      <c r="BL64" s="100">
        <v>4</v>
      </c>
      <c r="BM64" s="100">
        <v>4036.7999999999993</v>
      </c>
      <c r="BN64" s="100">
        <v>4.3580627801775513</v>
      </c>
      <c r="BO64" s="100">
        <v>4398.1569577551836</v>
      </c>
      <c r="BP64" s="100">
        <v>2.1599380049471927E-4</v>
      </c>
      <c r="BQ64" s="100">
        <v>0.21798094345927066</v>
      </c>
      <c r="BR64" s="100">
        <v>4</v>
      </c>
      <c r="BS64" s="100">
        <v>4036.7999999999993</v>
      </c>
      <c r="BT64" s="100">
        <v>4.1117776892083873</v>
      </c>
      <c r="BU64" s="100">
        <v>4149.6060439491039</v>
      </c>
      <c r="BV64" s="100">
        <v>4.9978457549648159</v>
      </c>
      <c r="BW64" s="100">
        <v>5043.8259359104914</v>
      </c>
      <c r="BX64" s="100">
        <v>4.6253217883717666E-4</v>
      </c>
      <c r="BY64" s="100">
        <v>0.46678747488247863</v>
      </c>
      <c r="BZ64" s="100">
        <v>6</v>
      </c>
      <c r="CA64" s="100">
        <v>6055.1999999999989</v>
      </c>
      <c r="CB64" s="100">
        <v>4</v>
      </c>
      <c r="CC64" s="100">
        <v>4036.7999999999993</v>
      </c>
      <c r="CD64" s="100">
        <v>6</v>
      </c>
      <c r="CE64" s="100">
        <v>6055.1999999999989</v>
      </c>
      <c r="CF64" s="100">
        <v>6</v>
      </c>
      <c r="CG64" s="100">
        <v>6055.1999999999989</v>
      </c>
      <c r="CH64" s="100">
        <v>5</v>
      </c>
      <c r="CI64" s="100">
        <v>5045.9999999999991</v>
      </c>
      <c r="CJ64" s="100">
        <v>4.3636212848197342</v>
      </c>
      <c r="CK64" s="100">
        <v>4403.766600640075</v>
      </c>
      <c r="CL64" s="100">
        <v>3.865950004078178</v>
      </c>
      <c r="CM64" s="100">
        <v>3901.5167441156964</v>
      </c>
      <c r="CN64" s="100">
        <v>4</v>
      </c>
      <c r="CO64" s="100">
        <v>4036.7999999999993</v>
      </c>
      <c r="CP64" s="100">
        <v>4.2123322219889276</v>
      </c>
      <c r="CQ64" s="100">
        <v>4251.0856784312255</v>
      </c>
      <c r="CR64" s="100">
        <v>3.2871038927174747</v>
      </c>
      <c r="CS64" s="100">
        <v>3317.3452485304747</v>
      </c>
      <c r="CT64" s="100">
        <v>4.6696134521401937</v>
      </c>
      <c r="CU64" s="100">
        <v>4712.5738958998827</v>
      </c>
    </row>
    <row r="65" spans="2:99">
      <c r="C65" s="99" t="s">
        <v>231</v>
      </c>
      <c r="D65" s="100">
        <v>1.3838784148174241</v>
      </c>
      <c r="E65" s="100">
        <v>1419.8592536026772</v>
      </c>
      <c r="F65" s="100">
        <v>4</v>
      </c>
      <c r="G65" s="100">
        <v>4104</v>
      </c>
      <c r="H65" s="100">
        <v>5</v>
      </c>
      <c r="I65" s="100">
        <v>5130</v>
      </c>
      <c r="J65" s="100">
        <v>4</v>
      </c>
      <c r="K65" s="100">
        <v>4104</v>
      </c>
      <c r="L65" s="100">
        <v>6</v>
      </c>
      <c r="M65" s="100">
        <v>6156</v>
      </c>
      <c r="N65" s="100">
        <v>4</v>
      </c>
      <c r="O65" s="100">
        <v>4104</v>
      </c>
      <c r="P65" s="100">
        <v>4</v>
      </c>
      <c r="Q65" s="100">
        <v>4104</v>
      </c>
      <c r="R65" s="100">
        <v>5</v>
      </c>
      <c r="S65" s="100">
        <v>5130</v>
      </c>
      <c r="T65" s="100">
        <v>6</v>
      </c>
      <c r="U65" s="100">
        <v>6156</v>
      </c>
      <c r="V65" s="100">
        <v>5</v>
      </c>
      <c r="W65" s="100">
        <v>5130</v>
      </c>
      <c r="X65" s="100">
        <v>6</v>
      </c>
      <c r="Y65" s="100">
        <v>6156</v>
      </c>
      <c r="Z65" s="100">
        <v>4</v>
      </c>
      <c r="AA65" s="100">
        <v>4104</v>
      </c>
      <c r="AB65" s="100">
        <v>4</v>
      </c>
      <c r="AC65" s="100">
        <v>4104</v>
      </c>
      <c r="AD65" s="100">
        <v>5</v>
      </c>
      <c r="AE65" s="100">
        <v>5130</v>
      </c>
      <c r="AF65" s="100">
        <v>4.0045612392127108</v>
      </c>
      <c r="AG65" s="100">
        <v>4108.6798314322414</v>
      </c>
      <c r="AH65" s="100">
        <v>5</v>
      </c>
      <c r="AI65" s="100">
        <v>5130</v>
      </c>
      <c r="AJ65" s="100">
        <v>4</v>
      </c>
      <c r="AK65" s="100">
        <v>4104</v>
      </c>
      <c r="AL65" s="100">
        <v>4</v>
      </c>
      <c r="AM65" s="100">
        <v>4104</v>
      </c>
      <c r="AN65" s="100">
        <v>4</v>
      </c>
      <c r="AO65" s="100">
        <v>4104</v>
      </c>
      <c r="AP65" s="100">
        <v>5</v>
      </c>
      <c r="AQ65" s="100">
        <v>5130</v>
      </c>
      <c r="AR65" s="100">
        <v>1.7171202698889456</v>
      </c>
      <c r="AS65" s="100">
        <v>1761.7653969060582</v>
      </c>
      <c r="AT65" s="100">
        <v>4.350535920448923E-4</v>
      </c>
      <c r="AU65" s="100">
        <v>0.44636498543805952</v>
      </c>
      <c r="AV65" s="100">
        <v>3.9124248183915926E-4</v>
      </c>
      <c r="AW65" s="100">
        <v>0.40141478636697742</v>
      </c>
      <c r="AX65" s="100">
        <v>6.2178795224649326</v>
      </c>
      <c r="AY65" s="100">
        <v>6379.5443900490209</v>
      </c>
      <c r="AZ65" s="100">
        <v>0.3971567745146744</v>
      </c>
      <c r="BA65" s="100">
        <v>407.48285065205596</v>
      </c>
      <c r="BB65" s="100">
        <v>4</v>
      </c>
      <c r="BC65" s="100">
        <v>4104</v>
      </c>
      <c r="BD65" s="100">
        <v>5.8587205154435544</v>
      </c>
      <c r="BE65" s="100">
        <v>6011.0472488450869</v>
      </c>
      <c r="BF65" s="100">
        <v>4.791985761066563</v>
      </c>
      <c r="BG65" s="100">
        <v>4916.5773908542933</v>
      </c>
      <c r="BH65" s="100">
        <v>4</v>
      </c>
      <c r="BI65" s="100">
        <v>4104</v>
      </c>
      <c r="BJ65" s="100">
        <v>6</v>
      </c>
      <c r="BK65" s="100">
        <v>6156</v>
      </c>
      <c r="BL65" s="100">
        <v>4</v>
      </c>
      <c r="BM65" s="100">
        <v>4104</v>
      </c>
      <c r="BN65" s="100">
        <v>4.4555753728197729</v>
      </c>
      <c r="BO65" s="100">
        <v>4571.4203325130866</v>
      </c>
      <c r="BP65" s="100">
        <v>2.8799173399295905E-4</v>
      </c>
      <c r="BQ65" s="100">
        <v>0.295479519076776</v>
      </c>
      <c r="BR65" s="100">
        <v>4</v>
      </c>
      <c r="BS65" s="100">
        <v>4104</v>
      </c>
      <c r="BT65" s="100">
        <v>4.1117776892083873</v>
      </c>
      <c r="BU65" s="100">
        <v>4218.6839091278052</v>
      </c>
      <c r="BV65" s="100">
        <v>4.9978457549648159</v>
      </c>
      <c r="BW65" s="100">
        <v>5127.7897445939007</v>
      </c>
      <c r="BX65" s="100">
        <v>4.6253217883717666E-4</v>
      </c>
      <c r="BY65" s="100">
        <v>0.47455801548694326</v>
      </c>
      <c r="BZ65" s="100">
        <v>6</v>
      </c>
      <c r="CA65" s="100">
        <v>6156</v>
      </c>
      <c r="CB65" s="100">
        <v>4</v>
      </c>
      <c r="CC65" s="100">
        <v>4104</v>
      </c>
      <c r="CD65" s="100">
        <v>6</v>
      </c>
      <c r="CE65" s="100">
        <v>6156</v>
      </c>
      <c r="CF65" s="100">
        <v>6</v>
      </c>
      <c r="CG65" s="100">
        <v>6156</v>
      </c>
      <c r="CH65" s="100">
        <v>5</v>
      </c>
      <c r="CI65" s="100">
        <v>5130</v>
      </c>
      <c r="CJ65" s="100">
        <v>4.4090739454222012</v>
      </c>
      <c r="CK65" s="100">
        <v>4523.7098680031786</v>
      </c>
      <c r="CL65" s="100">
        <v>3.865950004078178</v>
      </c>
      <c r="CM65" s="100">
        <v>3966.4647041842109</v>
      </c>
      <c r="CN65" s="100">
        <v>4</v>
      </c>
      <c r="CO65" s="100">
        <v>4104</v>
      </c>
      <c r="CP65" s="100">
        <v>4.2123322219889276</v>
      </c>
      <c r="CQ65" s="100">
        <v>4321.8528597606401</v>
      </c>
      <c r="CR65" s="100">
        <v>4.2871038927174743</v>
      </c>
      <c r="CS65" s="100">
        <v>4398.5685939281284</v>
      </c>
      <c r="CT65" s="100">
        <v>4.6696134521401937</v>
      </c>
      <c r="CU65" s="100">
        <v>4791.023401895839</v>
      </c>
    </row>
    <row r="66" spans="2:99">
      <c r="C66" s="99" t="s">
        <v>232</v>
      </c>
      <c r="D66" s="100">
        <v>1.3838784148174241</v>
      </c>
      <c r="E66" s="100">
        <v>1647.3688649986616</v>
      </c>
      <c r="F66" s="100">
        <v>4</v>
      </c>
      <c r="G66" s="100">
        <v>4761.5999999999995</v>
      </c>
      <c r="H66" s="100">
        <v>5</v>
      </c>
      <c r="I66" s="100">
        <v>5951.9999999999991</v>
      </c>
      <c r="J66" s="100">
        <v>5</v>
      </c>
      <c r="K66" s="100">
        <v>5951.9999999999991</v>
      </c>
      <c r="L66" s="100">
        <v>5</v>
      </c>
      <c r="M66" s="100">
        <v>5951.9999999999991</v>
      </c>
      <c r="N66" s="100">
        <v>3</v>
      </c>
      <c r="O66" s="100">
        <v>3571.2</v>
      </c>
      <c r="P66" s="100">
        <v>4</v>
      </c>
      <c r="Q66" s="100">
        <v>4761.5999999999995</v>
      </c>
      <c r="R66" s="100">
        <v>5</v>
      </c>
      <c r="S66" s="100">
        <v>5951.9999999999991</v>
      </c>
      <c r="T66" s="100">
        <v>6</v>
      </c>
      <c r="U66" s="100">
        <v>7142.4</v>
      </c>
      <c r="V66" s="100">
        <v>5</v>
      </c>
      <c r="W66" s="100">
        <v>5951.9999999999991</v>
      </c>
      <c r="X66" s="100">
        <v>6</v>
      </c>
      <c r="Y66" s="100">
        <v>7142.4</v>
      </c>
      <c r="Z66" s="100">
        <v>4</v>
      </c>
      <c r="AA66" s="100">
        <v>4761.5999999999995</v>
      </c>
      <c r="AB66" s="100">
        <v>4</v>
      </c>
      <c r="AC66" s="100">
        <v>4761.5999999999995</v>
      </c>
      <c r="AD66" s="100">
        <v>5</v>
      </c>
      <c r="AE66" s="100">
        <v>5951.9999999999991</v>
      </c>
      <c r="AF66" s="100">
        <v>4.0040544348557425</v>
      </c>
      <c r="AG66" s="100">
        <v>4766.4263992522756</v>
      </c>
      <c r="AH66" s="100">
        <v>5</v>
      </c>
      <c r="AI66" s="100">
        <v>5951.9999999999991</v>
      </c>
      <c r="AJ66" s="100">
        <v>4</v>
      </c>
      <c r="AK66" s="100">
        <v>4761.5999999999995</v>
      </c>
      <c r="AL66" s="100">
        <v>4</v>
      </c>
      <c r="AM66" s="100">
        <v>4761.5999999999995</v>
      </c>
      <c r="AN66" s="100">
        <v>4</v>
      </c>
      <c r="AO66" s="100">
        <v>4761.5999999999995</v>
      </c>
      <c r="AP66" s="100">
        <v>5</v>
      </c>
      <c r="AQ66" s="100">
        <v>5951.9999999999991</v>
      </c>
      <c r="AR66" s="100">
        <v>1.7171152868748083</v>
      </c>
      <c r="AS66" s="100">
        <v>2044.0540374957716</v>
      </c>
      <c r="AT66" s="100">
        <v>4.350535920448923E-4</v>
      </c>
      <c r="AU66" s="100">
        <v>0.51788779597023971</v>
      </c>
      <c r="AV66" s="100">
        <v>3.9124248183915926E-4</v>
      </c>
      <c r="AW66" s="100">
        <v>0.46573505038133511</v>
      </c>
      <c r="AX66" s="100">
        <v>6.2178795224649326</v>
      </c>
      <c r="AY66" s="100">
        <v>7401.7637835422547</v>
      </c>
      <c r="AZ66" s="100">
        <v>0.3971567745146744</v>
      </c>
      <c r="BA66" s="100">
        <v>472.77542438226834</v>
      </c>
      <c r="BB66" s="100">
        <v>5</v>
      </c>
      <c r="BC66" s="100">
        <v>5951.9999999999991</v>
      </c>
      <c r="BD66" s="100">
        <v>4.8822670962029617</v>
      </c>
      <c r="BE66" s="100">
        <v>5811.8507513200047</v>
      </c>
      <c r="BF66" s="100">
        <v>4.791985761066563</v>
      </c>
      <c r="BG66" s="100">
        <v>5704.3798499736358</v>
      </c>
      <c r="BH66" s="100">
        <v>4</v>
      </c>
      <c r="BI66" s="100">
        <v>4761.5999999999995</v>
      </c>
      <c r="BJ66" s="100">
        <v>6</v>
      </c>
      <c r="BK66" s="100">
        <v>7142.4</v>
      </c>
      <c r="BL66" s="100">
        <v>4</v>
      </c>
      <c r="BM66" s="100">
        <v>4761.5999999999995</v>
      </c>
      <c r="BN66" s="100">
        <v>3.4757613444978848</v>
      </c>
      <c r="BO66" s="100">
        <v>4137.5463044902817</v>
      </c>
      <c r="BP66" s="100">
        <v>2.1599380049471927E-4</v>
      </c>
      <c r="BQ66" s="100">
        <v>0.2571190201089138</v>
      </c>
      <c r="BR66" s="100">
        <v>4</v>
      </c>
      <c r="BS66" s="100">
        <v>4761.5999999999995</v>
      </c>
      <c r="BT66" s="100">
        <v>4.1117776892083873</v>
      </c>
      <c r="BU66" s="100">
        <v>4894.6601612336635</v>
      </c>
      <c r="BV66" s="100">
        <v>4.9978457549648159</v>
      </c>
      <c r="BW66" s="100">
        <v>5949.4355867101158</v>
      </c>
      <c r="BX66" s="100">
        <v>3.9645615328900855E-4</v>
      </c>
      <c r="BY66" s="100">
        <v>0.47194140487523573</v>
      </c>
      <c r="BZ66" s="100">
        <v>6</v>
      </c>
      <c r="CA66" s="100">
        <v>7142.4</v>
      </c>
      <c r="CB66" s="100">
        <v>4</v>
      </c>
      <c r="CC66" s="100">
        <v>4761.5999999999995</v>
      </c>
      <c r="CD66" s="100">
        <v>5</v>
      </c>
      <c r="CE66" s="100">
        <v>5951.9999999999991</v>
      </c>
      <c r="CF66" s="100">
        <v>6</v>
      </c>
      <c r="CG66" s="100">
        <v>7142.4</v>
      </c>
      <c r="CH66" s="100">
        <v>6</v>
      </c>
      <c r="CI66" s="100">
        <v>7142.4</v>
      </c>
      <c r="CJ66" s="100">
        <v>4.3636212848197342</v>
      </c>
      <c r="CK66" s="100">
        <v>5194.4547774494113</v>
      </c>
      <c r="CL66" s="100">
        <v>4.8324375050977224</v>
      </c>
      <c r="CM66" s="100">
        <v>5752.5336060683285</v>
      </c>
      <c r="CN66" s="100">
        <v>3</v>
      </c>
      <c r="CO66" s="100">
        <v>3571.2</v>
      </c>
      <c r="CP66" s="100">
        <v>5.191098999790035</v>
      </c>
      <c r="CQ66" s="100">
        <v>6179.4842493500573</v>
      </c>
      <c r="CR66" s="100">
        <v>4.2871038927174743</v>
      </c>
      <c r="CS66" s="100">
        <v>5103.3684738908805</v>
      </c>
      <c r="CT66" s="100">
        <v>4.6696134521401937</v>
      </c>
      <c r="CU66" s="100">
        <v>5558.7078534276861</v>
      </c>
    </row>
    <row r="67" spans="2:99">
      <c r="C67" s="99" t="s">
        <v>233</v>
      </c>
      <c r="D67" s="100">
        <v>1.6145248172869948</v>
      </c>
      <c r="E67" s="100">
        <v>1813.4342747767525</v>
      </c>
      <c r="F67" s="100">
        <v>4</v>
      </c>
      <c r="G67" s="100">
        <v>4492.8</v>
      </c>
      <c r="H67" s="100">
        <v>5</v>
      </c>
      <c r="I67" s="100">
        <v>5616</v>
      </c>
      <c r="J67" s="100">
        <v>5</v>
      </c>
      <c r="K67" s="100">
        <v>5616</v>
      </c>
      <c r="L67" s="100">
        <v>6</v>
      </c>
      <c r="M67" s="100">
        <v>6739.2000000000007</v>
      </c>
      <c r="N67" s="100">
        <v>4</v>
      </c>
      <c r="O67" s="100">
        <v>4492.8</v>
      </c>
      <c r="P67" s="100">
        <v>4</v>
      </c>
      <c r="Q67" s="100">
        <v>4492.8</v>
      </c>
      <c r="R67" s="100">
        <v>5</v>
      </c>
      <c r="S67" s="100">
        <v>5616</v>
      </c>
      <c r="T67" s="100">
        <v>5</v>
      </c>
      <c r="U67" s="100">
        <v>5616</v>
      </c>
      <c r="V67" s="100">
        <v>5</v>
      </c>
      <c r="W67" s="100">
        <v>5616</v>
      </c>
      <c r="X67" s="100">
        <v>5</v>
      </c>
      <c r="Y67" s="100">
        <v>5616</v>
      </c>
      <c r="Z67" s="100">
        <v>5</v>
      </c>
      <c r="AA67" s="100">
        <v>5616</v>
      </c>
      <c r="AB67" s="100">
        <v>5</v>
      </c>
      <c r="AC67" s="100">
        <v>5616</v>
      </c>
      <c r="AD67" s="100">
        <v>4</v>
      </c>
      <c r="AE67" s="100">
        <v>4492.8</v>
      </c>
      <c r="AF67" s="100">
        <v>4</v>
      </c>
      <c r="AG67" s="100">
        <v>4492.8</v>
      </c>
      <c r="AH67" s="100">
        <v>5</v>
      </c>
      <c r="AI67" s="100">
        <v>5616</v>
      </c>
      <c r="AJ67" s="100">
        <v>4</v>
      </c>
      <c r="AK67" s="100">
        <v>4492.8</v>
      </c>
      <c r="AL67" s="100">
        <v>4</v>
      </c>
      <c r="AM67" s="100">
        <v>4492.8</v>
      </c>
      <c r="AN67" s="100">
        <v>4</v>
      </c>
      <c r="AO67" s="100">
        <v>4492.8</v>
      </c>
      <c r="AP67" s="100">
        <v>5</v>
      </c>
      <c r="AQ67" s="100">
        <v>5616</v>
      </c>
      <c r="AR67" s="100">
        <v>2.1463885027026057</v>
      </c>
      <c r="AS67" s="100">
        <v>2410.8235662355669</v>
      </c>
      <c r="AT67" s="100">
        <v>4.350535920448923E-4</v>
      </c>
      <c r="AU67" s="100">
        <v>0.48865219458482306</v>
      </c>
      <c r="AV67" s="100">
        <v>3.9124248183915926E-4</v>
      </c>
      <c r="AW67" s="100">
        <v>0.4394435556017437</v>
      </c>
      <c r="AX67" s="100">
        <v>7.2178795224649326</v>
      </c>
      <c r="AY67" s="100">
        <v>8107.1222796326128</v>
      </c>
      <c r="AZ67" s="100">
        <v>0.3971567745146744</v>
      </c>
      <c r="BA67" s="100">
        <v>446.0864891348823</v>
      </c>
      <c r="BB67" s="100">
        <v>4</v>
      </c>
      <c r="BC67" s="100">
        <v>4492.8</v>
      </c>
      <c r="BD67" s="100">
        <v>5.8587205154435544</v>
      </c>
      <c r="BE67" s="100">
        <v>6580.5148829462005</v>
      </c>
      <c r="BF67" s="100">
        <v>5.7503829132798758</v>
      </c>
      <c r="BG67" s="100">
        <v>6458.8300881959567</v>
      </c>
      <c r="BH67" s="100">
        <v>4</v>
      </c>
      <c r="BI67" s="100">
        <v>4492.8</v>
      </c>
      <c r="BJ67" s="100">
        <v>6</v>
      </c>
      <c r="BK67" s="100">
        <v>6739.2000000000007</v>
      </c>
      <c r="BL67" s="100">
        <v>4</v>
      </c>
      <c r="BM67" s="100">
        <v>4492.8</v>
      </c>
      <c r="BN67" s="100">
        <v>4.4068190764986612</v>
      </c>
      <c r="BO67" s="100">
        <v>4949.7391867232964</v>
      </c>
      <c r="BP67" s="100">
        <v>2.1599380049471927E-4</v>
      </c>
      <c r="BQ67" s="100">
        <v>0.24260423671566869</v>
      </c>
      <c r="BR67" s="100">
        <v>3</v>
      </c>
      <c r="BS67" s="100">
        <v>3369.6000000000004</v>
      </c>
      <c r="BT67" s="100">
        <v>4.1117776892083873</v>
      </c>
      <c r="BU67" s="100">
        <v>4618.3487005188608</v>
      </c>
      <c r="BV67" s="100">
        <v>4.9978457549648159</v>
      </c>
      <c r="BW67" s="100">
        <v>5613.5803519764813</v>
      </c>
      <c r="BX67" s="100">
        <v>3.9645615328900855E-4</v>
      </c>
      <c r="BY67" s="100">
        <v>0.4452995513742144</v>
      </c>
      <c r="BZ67" s="100">
        <v>6</v>
      </c>
      <c r="CA67" s="100">
        <v>6739.2000000000007</v>
      </c>
      <c r="CB67" s="100">
        <v>4</v>
      </c>
      <c r="CC67" s="100">
        <v>4492.8</v>
      </c>
      <c r="CD67" s="100">
        <v>6</v>
      </c>
      <c r="CE67" s="100">
        <v>6739.2000000000007</v>
      </c>
      <c r="CF67" s="100">
        <v>7</v>
      </c>
      <c r="CG67" s="100">
        <v>7862.4000000000005</v>
      </c>
      <c r="CH67" s="100">
        <v>6</v>
      </c>
      <c r="CI67" s="100">
        <v>6739.2000000000007</v>
      </c>
      <c r="CJ67" s="100">
        <v>4.3636212848197342</v>
      </c>
      <c r="CK67" s="100">
        <v>4901.2194271095259</v>
      </c>
      <c r="CL67" s="100">
        <v>3.865950004078178</v>
      </c>
      <c r="CM67" s="100">
        <v>4342.2350445806096</v>
      </c>
      <c r="CN67" s="100">
        <v>3</v>
      </c>
      <c r="CO67" s="100">
        <v>3369.6000000000004</v>
      </c>
      <c r="CP67" s="100">
        <v>4.191098999790035</v>
      </c>
      <c r="CQ67" s="100">
        <v>4707.4423965641672</v>
      </c>
      <c r="CR67" s="100">
        <v>3.2871038927174747</v>
      </c>
      <c r="CS67" s="100">
        <v>3692.0750923002679</v>
      </c>
      <c r="CT67" s="100">
        <v>4.6696134521401937</v>
      </c>
      <c r="CU67" s="100">
        <v>5244.9098294438654</v>
      </c>
    </row>
    <row r="68" spans="2:99">
      <c r="C68" s="99" t="s">
        <v>234</v>
      </c>
      <c r="D68" s="100">
        <v>1.3838784148174241</v>
      </c>
      <c r="E68" s="100">
        <v>1429.8231781893626</v>
      </c>
      <c r="F68" s="100">
        <v>4</v>
      </c>
      <c r="G68" s="100">
        <v>4132.8</v>
      </c>
      <c r="H68" s="100">
        <v>5</v>
      </c>
      <c r="I68" s="100">
        <v>5166</v>
      </c>
      <c r="J68" s="100">
        <v>5</v>
      </c>
      <c r="K68" s="100">
        <v>5166</v>
      </c>
      <c r="L68" s="100">
        <v>5</v>
      </c>
      <c r="M68" s="100">
        <v>5166</v>
      </c>
      <c r="N68" s="100">
        <v>4</v>
      </c>
      <c r="O68" s="100">
        <v>4132.8</v>
      </c>
      <c r="P68" s="100">
        <v>4</v>
      </c>
      <c r="Q68" s="100">
        <v>4132.8</v>
      </c>
      <c r="R68" s="100">
        <v>5</v>
      </c>
      <c r="S68" s="100">
        <v>5166</v>
      </c>
      <c r="T68" s="100">
        <v>5</v>
      </c>
      <c r="U68" s="100">
        <v>5166</v>
      </c>
      <c r="V68" s="100">
        <v>5</v>
      </c>
      <c r="W68" s="100">
        <v>5166</v>
      </c>
      <c r="X68" s="100">
        <v>6</v>
      </c>
      <c r="Y68" s="100">
        <v>6199.2000000000007</v>
      </c>
      <c r="Z68" s="100">
        <v>4</v>
      </c>
      <c r="AA68" s="100">
        <v>4132.8</v>
      </c>
      <c r="AB68" s="100">
        <v>5</v>
      </c>
      <c r="AC68" s="100">
        <v>5166</v>
      </c>
      <c r="AD68" s="100">
        <v>4</v>
      </c>
      <c r="AE68" s="100">
        <v>4132.8</v>
      </c>
      <c r="AF68" s="100">
        <v>4.0045612392127108</v>
      </c>
      <c r="AG68" s="100">
        <v>4137.5126723545727</v>
      </c>
      <c r="AH68" s="100">
        <v>5</v>
      </c>
      <c r="AI68" s="100">
        <v>5166</v>
      </c>
      <c r="AJ68" s="100">
        <v>4</v>
      </c>
      <c r="AK68" s="100">
        <v>4132.8</v>
      </c>
      <c r="AL68" s="100">
        <v>4</v>
      </c>
      <c r="AM68" s="100">
        <v>4132.8</v>
      </c>
      <c r="AN68" s="100">
        <v>4</v>
      </c>
      <c r="AO68" s="100">
        <v>4132.8</v>
      </c>
      <c r="AP68" s="100">
        <v>4</v>
      </c>
      <c r="AQ68" s="100">
        <v>4132.8</v>
      </c>
      <c r="AR68" s="100">
        <v>1.717117778381877</v>
      </c>
      <c r="AS68" s="100">
        <v>1774.1260886241553</v>
      </c>
      <c r="AT68" s="100">
        <v>4.350535920448923E-4</v>
      </c>
      <c r="AU68" s="100">
        <v>0.44949737130078277</v>
      </c>
      <c r="AV68" s="100">
        <v>3.9124248183915926E-4</v>
      </c>
      <c r="AW68" s="100">
        <v>0.40423173223621939</v>
      </c>
      <c r="AX68" s="100">
        <v>6.2178795224649326</v>
      </c>
      <c r="AY68" s="100">
        <v>6424.3131226107689</v>
      </c>
      <c r="AZ68" s="100">
        <v>0.3971567745146744</v>
      </c>
      <c r="BA68" s="100">
        <v>410.34237942856163</v>
      </c>
      <c r="BB68" s="100">
        <v>5</v>
      </c>
      <c r="BC68" s="100">
        <v>5166</v>
      </c>
      <c r="BD68" s="100">
        <v>5.8587205154435544</v>
      </c>
      <c r="BE68" s="100">
        <v>6053.2300365562805</v>
      </c>
      <c r="BF68" s="100">
        <v>5.7503829132798758</v>
      </c>
      <c r="BG68" s="100">
        <v>5941.2956260007677</v>
      </c>
      <c r="BH68" s="100">
        <v>4</v>
      </c>
      <c r="BI68" s="100">
        <v>4132.8</v>
      </c>
      <c r="BJ68" s="100">
        <v>5</v>
      </c>
      <c r="BK68" s="100">
        <v>5166</v>
      </c>
      <c r="BL68" s="100">
        <v>4</v>
      </c>
      <c r="BM68" s="100">
        <v>4132.8</v>
      </c>
      <c r="BN68" s="100">
        <v>3.3782487518556628</v>
      </c>
      <c r="BO68" s="100">
        <v>3490.4066104172707</v>
      </c>
      <c r="BP68" s="100">
        <v>2.1599380049471927E-4</v>
      </c>
      <c r="BQ68" s="100">
        <v>0.22316479467114397</v>
      </c>
      <c r="BR68" s="100">
        <v>4</v>
      </c>
      <c r="BS68" s="100">
        <v>4132.8</v>
      </c>
      <c r="BT68" s="100">
        <v>4.1117776892083873</v>
      </c>
      <c r="BU68" s="100">
        <v>4248.2887084901058</v>
      </c>
      <c r="BV68" s="100">
        <v>4.9978457549648159</v>
      </c>
      <c r="BW68" s="100">
        <v>5163.7742340296481</v>
      </c>
      <c r="BX68" s="100">
        <v>3.9645615328900855E-4</v>
      </c>
      <c r="BY68" s="100">
        <v>0.40961849757820368</v>
      </c>
      <c r="BZ68" s="100">
        <v>5</v>
      </c>
      <c r="CA68" s="100">
        <v>5166</v>
      </c>
      <c r="CB68" s="100">
        <v>4</v>
      </c>
      <c r="CC68" s="100">
        <v>4132.8</v>
      </c>
      <c r="CD68" s="100">
        <v>5</v>
      </c>
      <c r="CE68" s="100">
        <v>5166</v>
      </c>
      <c r="CF68" s="100">
        <v>6</v>
      </c>
      <c r="CG68" s="100">
        <v>6199.2000000000007</v>
      </c>
      <c r="CH68" s="100">
        <v>6</v>
      </c>
      <c r="CI68" s="100">
        <v>6199.2000000000007</v>
      </c>
      <c r="CJ68" s="100">
        <v>4.3636212848197342</v>
      </c>
      <c r="CK68" s="100">
        <v>4508.49351147575</v>
      </c>
      <c r="CL68" s="100">
        <v>4.8324375050977224</v>
      </c>
      <c r="CM68" s="100">
        <v>4992.8744302669675</v>
      </c>
      <c r="CN68" s="100">
        <v>4</v>
      </c>
      <c r="CO68" s="100">
        <v>4132.8</v>
      </c>
      <c r="CP68" s="100">
        <v>4.2335654441878203</v>
      </c>
      <c r="CQ68" s="100">
        <v>4374.1198169348563</v>
      </c>
      <c r="CR68" s="100">
        <v>3.2871038927174747</v>
      </c>
      <c r="CS68" s="100">
        <v>3396.2357419556952</v>
      </c>
      <c r="CT68" s="100">
        <v>5.6035361425682328</v>
      </c>
      <c r="CU68" s="100">
        <v>5789.5735425014982</v>
      </c>
    </row>
    <row r="69" spans="2:99">
      <c r="C69" s="99" t="s">
        <v>235</v>
      </c>
      <c r="D69" s="100">
        <v>1.3838784148174241</v>
      </c>
      <c r="E69" s="100">
        <v>1049.5333897975345</v>
      </c>
      <c r="F69" s="100">
        <v>4</v>
      </c>
      <c r="G69" s="100">
        <v>3033.6</v>
      </c>
      <c r="H69" s="100">
        <v>5</v>
      </c>
      <c r="I69" s="100">
        <v>3792</v>
      </c>
      <c r="J69" s="100">
        <v>5</v>
      </c>
      <c r="K69" s="100">
        <v>3792</v>
      </c>
      <c r="L69" s="100">
        <v>6</v>
      </c>
      <c r="M69" s="100">
        <v>4550.3999999999996</v>
      </c>
      <c r="N69" s="100">
        <v>4</v>
      </c>
      <c r="O69" s="100">
        <v>3033.6</v>
      </c>
      <c r="P69" s="100">
        <v>4</v>
      </c>
      <c r="Q69" s="100">
        <v>3033.6</v>
      </c>
      <c r="R69" s="100">
        <v>5</v>
      </c>
      <c r="S69" s="100">
        <v>3792</v>
      </c>
      <c r="T69" s="100">
        <v>6</v>
      </c>
      <c r="U69" s="100">
        <v>4550.3999999999996</v>
      </c>
      <c r="V69" s="100">
        <v>5</v>
      </c>
      <c r="W69" s="100">
        <v>3792</v>
      </c>
      <c r="X69" s="100">
        <v>6</v>
      </c>
      <c r="Y69" s="100">
        <v>4550.3999999999996</v>
      </c>
      <c r="Z69" s="100">
        <v>4</v>
      </c>
      <c r="AA69" s="100">
        <v>3033.6</v>
      </c>
      <c r="AB69" s="100">
        <v>5</v>
      </c>
      <c r="AC69" s="100">
        <v>3792</v>
      </c>
      <c r="AD69" s="100">
        <v>5</v>
      </c>
      <c r="AE69" s="100">
        <v>3792</v>
      </c>
      <c r="AF69" s="100">
        <v>5.0045612392127108</v>
      </c>
      <c r="AG69" s="100">
        <v>3795.4592438189197</v>
      </c>
      <c r="AH69" s="100">
        <v>5</v>
      </c>
      <c r="AI69" s="100">
        <v>3792</v>
      </c>
      <c r="AJ69" s="100">
        <v>4</v>
      </c>
      <c r="AK69" s="100">
        <v>3033.6</v>
      </c>
      <c r="AL69" s="100">
        <v>3</v>
      </c>
      <c r="AM69" s="100">
        <v>2275.1999999999998</v>
      </c>
      <c r="AN69" s="100">
        <v>4</v>
      </c>
      <c r="AO69" s="100">
        <v>3033.6</v>
      </c>
      <c r="AP69" s="100">
        <v>5</v>
      </c>
      <c r="AQ69" s="100">
        <v>3792</v>
      </c>
      <c r="AR69" s="100">
        <v>2.1463909942096744</v>
      </c>
      <c r="AS69" s="100">
        <v>1627.822930008617</v>
      </c>
      <c r="AT69" s="100">
        <v>4.3505421079339211E-4</v>
      </c>
      <c r="AU69" s="100">
        <v>0.32994511346570859</v>
      </c>
      <c r="AV69" s="100">
        <v>3.9124248183915926E-4</v>
      </c>
      <c r="AW69" s="100">
        <v>0.29671829822681839</v>
      </c>
      <c r="AX69" s="100">
        <v>6.2541927762090879</v>
      </c>
      <c r="AY69" s="100">
        <v>4743.179801476972</v>
      </c>
      <c r="AZ69" s="100">
        <v>0.3971567745146744</v>
      </c>
      <c r="BA69" s="100">
        <v>301.20369779192907</v>
      </c>
      <c r="BB69" s="100">
        <v>5</v>
      </c>
      <c r="BC69" s="100">
        <v>3792</v>
      </c>
      <c r="BD69" s="100">
        <v>5.8587205154435544</v>
      </c>
      <c r="BE69" s="100">
        <v>4443.2536389123916</v>
      </c>
      <c r="BF69" s="100">
        <v>4.791985761066563</v>
      </c>
      <c r="BG69" s="100">
        <v>3634.2420011928812</v>
      </c>
      <c r="BH69" s="100">
        <v>4</v>
      </c>
      <c r="BI69" s="100">
        <v>3033.6</v>
      </c>
      <c r="BJ69" s="100">
        <v>6</v>
      </c>
      <c r="BK69" s="100">
        <v>4550.3999999999996</v>
      </c>
      <c r="BL69" s="100">
        <v>4</v>
      </c>
      <c r="BM69" s="100">
        <v>3033.6</v>
      </c>
      <c r="BN69" s="100">
        <v>4.4068190764986612</v>
      </c>
      <c r="BO69" s="100">
        <v>3342.1315876165845</v>
      </c>
      <c r="BP69" s="100">
        <v>2.1599380049471927E-4</v>
      </c>
      <c r="BQ69" s="100">
        <v>0.16380969829519509</v>
      </c>
      <c r="BR69" s="100">
        <v>4</v>
      </c>
      <c r="BS69" s="100">
        <v>3033.6</v>
      </c>
      <c r="BT69" s="100">
        <v>4.1117776892083873</v>
      </c>
      <c r="BU69" s="100">
        <v>3118.3721994956409</v>
      </c>
      <c r="BV69" s="100">
        <v>5.9974149059577799</v>
      </c>
      <c r="BW69" s="100">
        <v>4548.4394646783803</v>
      </c>
      <c r="BX69" s="100">
        <v>4.6253217883717666E-4</v>
      </c>
      <c r="BY69" s="100">
        <v>0.35078440443011477</v>
      </c>
      <c r="BZ69" s="100">
        <v>6</v>
      </c>
      <c r="CA69" s="100">
        <v>4550.3999999999996</v>
      </c>
      <c r="CB69" s="100">
        <v>4</v>
      </c>
      <c r="CC69" s="100">
        <v>3033.6</v>
      </c>
      <c r="CD69" s="100">
        <v>5</v>
      </c>
      <c r="CE69" s="100">
        <v>3792</v>
      </c>
      <c r="CF69" s="100">
        <v>7</v>
      </c>
      <c r="CG69" s="100">
        <v>5308.8</v>
      </c>
      <c r="CH69" s="100">
        <v>5</v>
      </c>
      <c r="CI69" s="100">
        <v>3792</v>
      </c>
      <c r="CJ69" s="100">
        <v>4.3636212848197342</v>
      </c>
      <c r="CK69" s="100">
        <v>3309.3703824072863</v>
      </c>
      <c r="CL69" s="100">
        <v>4.8324375050977224</v>
      </c>
      <c r="CM69" s="100">
        <v>3664.9206038661127</v>
      </c>
      <c r="CN69" s="100">
        <v>4</v>
      </c>
      <c r="CO69" s="100">
        <v>3033.6</v>
      </c>
      <c r="CP69" s="100">
        <v>4.2123322219889276</v>
      </c>
      <c r="CQ69" s="100">
        <v>3194.6327571564025</v>
      </c>
      <c r="CR69" s="100">
        <v>4.2871038927174743</v>
      </c>
      <c r="CS69" s="100">
        <v>3251.3395922369323</v>
      </c>
      <c r="CT69" s="100">
        <v>4.6696134521401937</v>
      </c>
      <c r="CU69" s="100">
        <v>3541.4348421031227</v>
      </c>
    </row>
    <row r="70" spans="2:99">
      <c r="C70" s="99" t="s">
        <v>236</v>
      </c>
      <c r="D70" s="100">
        <v>1.6145248172869948</v>
      </c>
      <c r="E70" s="100">
        <v>864.09368221199952</v>
      </c>
      <c r="F70" s="100">
        <v>4</v>
      </c>
      <c r="G70" s="100">
        <v>2140.7999999999997</v>
      </c>
      <c r="H70" s="100">
        <v>5</v>
      </c>
      <c r="I70" s="100">
        <v>2675.9999999999995</v>
      </c>
      <c r="J70" s="100">
        <v>5</v>
      </c>
      <c r="K70" s="100">
        <v>2675.9999999999995</v>
      </c>
      <c r="L70" s="100">
        <v>6</v>
      </c>
      <c r="M70" s="100">
        <v>3211.2</v>
      </c>
      <c r="N70" s="100">
        <v>4</v>
      </c>
      <c r="O70" s="100">
        <v>2140.7999999999997</v>
      </c>
      <c r="P70" s="100">
        <v>4</v>
      </c>
      <c r="Q70" s="100">
        <v>2140.7999999999997</v>
      </c>
      <c r="R70" s="100">
        <v>6</v>
      </c>
      <c r="S70" s="100">
        <v>3211.2</v>
      </c>
      <c r="T70" s="100">
        <v>6</v>
      </c>
      <c r="U70" s="100">
        <v>3211.2</v>
      </c>
      <c r="V70" s="100">
        <v>6</v>
      </c>
      <c r="W70" s="100">
        <v>3211.2</v>
      </c>
      <c r="X70" s="100">
        <v>7</v>
      </c>
      <c r="Y70" s="100">
        <v>3746.3999999999996</v>
      </c>
      <c r="Z70" s="100">
        <v>4</v>
      </c>
      <c r="AA70" s="100">
        <v>2140.7999999999997</v>
      </c>
      <c r="AB70" s="100">
        <v>5</v>
      </c>
      <c r="AC70" s="100">
        <v>2675.9999999999995</v>
      </c>
      <c r="AD70" s="100">
        <v>5</v>
      </c>
      <c r="AE70" s="100">
        <v>2675.9999999999995</v>
      </c>
      <c r="AF70" s="100">
        <v>5.0045612392127108</v>
      </c>
      <c r="AG70" s="100">
        <v>2678.4411752266424</v>
      </c>
      <c r="AH70" s="100">
        <v>5</v>
      </c>
      <c r="AI70" s="100">
        <v>2675.9999999999995</v>
      </c>
      <c r="AJ70" s="100">
        <v>4</v>
      </c>
      <c r="AK70" s="100">
        <v>2140.7999999999997</v>
      </c>
      <c r="AL70" s="100">
        <v>4</v>
      </c>
      <c r="AM70" s="100">
        <v>2140.7999999999997</v>
      </c>
      <c r="AN70" s="100">
        <v>4</v>
      </c>
      <c r="AO70" s="100">
        <v>2140.7999999999997</v>
      </c>
      <c r="AP70" s="100">
        <v>5</v>
      </c>
      <c r="AQ70" s="100">
        <v>2675.9999999999995</v>
      </c>
      <c r="AR70" s="100">
        <v>2.1463909942096744</v>
      </c>
      <c r="AS70" s="100">
        <v>1148.7484601010176</v>
      </c>
      <c r="AT70" s="100">
        <v>4.3505421079339211E-4</v>
      </c>
      <c r="AU70" s="100">
        <v>0.23284101361662343</v>
      </c>
      <c r="AV70" s="100">
        <v>3.9124248183915926E-4</v>
      </c>
      <c r="AW70" s="100">
        <v>0.209392976280318</v>
      </c>
      <c r="AX70" s="100">
        <v>6.2178795224649326</v>
      </c>
      <c r="AY70" s="100">
        <v>3327.8091204232314</v>
      </c>
      <c r="AZ70" s="100">
        <v>0.3971567745146744</v>
      </c>
      <c r="BA70" s="100">
        <v>212.55830572025371</v>
      </c>
      <c r="BB70" s="100">
        <v>5</v>
      </c>
      <c r="BC70" s="100">
        <v>2675.9999999999995</v>
      </c>
      <c r="BD70" s="100">
        <v>5.8587205154435544</v>
      </c>
      <c r="BE70" s="100">
        <v>3135.5872198653901</v>
      </c>
      <c r="BF70" s="100">
        <v>5.7503829132798758</v>
      </c>
      <c r="BG70" s="100">
        <v>3077.6049351873889</v>
      </c>
      <c r="BH70" s="100">
        <v>5</v>
      </c>
      <c r="BI70" s="100">
        <v>2675.9999999999995</v>
      </c>
      <c r="BJ70" s="100">
        <v>6</v>
      </c>
      <c r="BK70" s="100">
        <v>3211.2</v>
      </c>
      <c r="BL70" s="100">
        <v>4</v>
      </c>
      <c r="BM70" s="100">
        <v>2140.7999999999997</v>
      </c>
      <c r="BN70" s="100">
        <v>4.4068190764986612</v>
      </c>
      <c r="BO70" s="100">
        <v>2358.5295697420834</v>
      </c>
      <c r="BP70" s="100">
        <v>2.8799173399295905E-4</v>
      </c>
      <c r="BQ70" s="100">
        <v>0.15413317603303167</v>
      </c>
      <c r="BR70" s="100">
        <v>4</v>
      </c>
      <c r="BS70" s="100">
        <v>2140.7999999999997</v>
      </c>
      <c r="BT70" s="100">
        <v>4.130407304076452</v>
      </c>
      <c r="BU70" s="100">
        <v>2210.593989141717</v>
      </c>
      <c r="BV70" s="100">
        <v>4.9978457549648159</v>
      </c>
      <c r="BW70" s="100">
        <v>2674.8470480571691</v>
      </c>
      <c r="BX70" s="100">
        <v>4.6253217883717666E-4</v>
      </c>
      <c r="BY70" s="100">
        <v>0.24754722211365693</v>
      </c>
      <c r="BZ70" s="100">
        <v>6</v>
      </c>
      <c r="CA70" s="100">
        <v>3211.2</v>
      </c>
      <c r="CB70" s="100">
        <v>4</v>
      </c>
      <c r="CC70" s="100">
        <v>2140.7999999999997</v>
      </c>
      <c r="CD70" s="100">
        <v>5</v>
      </c>
      <c r="CE70" s="100">
        <v>2675.9999999999995</v>
      </c>
      <c r="CF70" s="100">
        <v>6</v>
      </c>
      <c r="CG70" s="100">
        <v>3211.2</v>
      </c>
      <c r="CH70" s="100">
        <v>6</v>
      </c>
      <c r="CI70" s="100">
        <v>3211.2</v>
      </c>
      <c r="CJ70" s="100">
        <v>4.3636212848197342</v>
      </c>
      <c r="CK70" s="100">
        <v>2335.4101116355214</v>
      </c>
      <c r="CL70" s="100">
        <v>4.8324375050977224</v>
      </c>
      <c r="CM70" s="100">
        <v>2586.3205527283008</v>
      </c>
      <c r="CN70" s="100">
        <v>3</v>
      </c>
      <c r="CO70" s="100">
        <v>1605.6</v>
      </c>
      <c r="CP70" s="100">
        <v>5.2335654441878203</v>
      </c>
      <c r="CQ70" s="100">
        <v>2801.0042257293212</v>
      </c>
      <c r="CR70" s="100">
        <v>3.2871038927174747</v>
      </c>
      <c r="CS70" s="100">
        <v>1759.2580033823922</v>
      </c>
      <c r="CT70" s="100">
        <v>5.6035361425682328</v>
      </c>
      <c r="CU70" s="100">
        <v>2999.0125435025179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4</v>
      </c>
      <c r="G71" s="100">
        <v>2256</v>
      </c>
      <c r="H71" s="100">
        <v>3</v>
      </c>
      <c r="I71" s="100">
        <v>1692</v>
      </c>
      <c r="J71" s="100">
        <v>3</v>
      </c>
      <c r="K71" s="100">
        <v>1692</v>
      </c>
      <c r="L71" s="100">
        <v>3</v>
      </c>
      <c r="M71" s="100">
        <v>1692</v>
      </c>
      <c r="N71" s="100">
        <v>1.7302978492697967</v>
      </c>
      <c r="O71" s="100">
        <v>975.88798698816538</v>
      </c>
      <c r="P71" s="100">
        <v>5</v>
      </c>
      <c r="Q71" s="100">
        <v>2820</v>
      </c>
      <c r="R71" s="100">
        <v>5</v>
      </c>
      <c r="S71" s="100">
        <v>2820</v>
      </c>
      <c r="T71" s="100">
        <v>3</v>
      </c>
      <c r="U71" s="100">
        <v>1692</v>
      </c>
      <c r="V71" s="100">
        <v>5</v>
      </c>
      <c r="W71" s="100">
        <v>2820</v>
      </c>
      <c r="X71" s="100">
        <v>4</v>
      </c>
      <c r="Y71" s="100">
        <v>2256</v>
      </c>
      <c r="Z71" s="100">
        <v>6</v>
      </c>
      <c r="AA71" s="100">
        <v>3384</v>
      </c>
      <c r="AB71" s="100">
        <v>3</v>
      </c>
      <c r="AC71" s="100">
        <v>1692</v>
      </c>
      <c r="AD71" s="100">
        <v>4</v>
      </c>
      <c r="AE71" s="100">
        <v>2256</v>
      </c>
      <c r="AF71" s="100">
        <v>5</v>
      </c>
      <c r="AG71" s="100">
        <v>2820</v>
      </c>
      <c r="AH71" s="100">
        <v>5.5130579396807793</v>
      </c>
      <c r="AI71" s="100">
        <v>3109.3646779799597</v>
      </c>
      <c r="AJ71" s="100">
        <v>4.1827007877609761</v>
      </c>
      <c r="AK71" s="100">
        <v>2359.0432442971905</v>
      </c>
      <c r="AL71" s="100">
        <v>4.7112680039929247</v>
      </c>
      <c r="AM71" s="100">
        <v>2657.1551542520097</v>
      </c>
      <c r="AN71" s="100">
        <v>3.483294571516409E-4</v>
      </c>
      <c r="AO71" s="100">
        <v>0.19645781383352548</v>
      </c>
      <c r="AP71" s="100">
        <v>4.571329350408976</v>
      </c>
      <c r="AQ71" s="100">
        <v>2578.2297536306623</v>
      </c>
      <c r="AR71" s="100">
        <v>4.0461603045603702</v>
      </c>
      <c r="AS71" s="100">
        <v>2282.0344117720488</v>
      </c>
      <c r="AT71" s="100">
        <v>3.9584275532285416</v>
      </c>
      <c r="AU71" s="100">
        <v>2232.5531400208974</v>
      </c>
      <c r="AV71" s="100">
        <v>2.0765599531099461</v>
      </c>
      <c r="AW71" s="100">
        <v>1171.1798135540096</v>
      </c>
      <c r="AX71" s="100">
        <v>3.0957287045283359</v>
      </c>
      <c r="AY71" s="100">
        <v>1745.9909893539814</v>
      </c>
      <c r="AZ71" s="100">
        <v>4.2750394851046902</v>
      </c>
      <c r="BA71" s="100">
        <v>2411.1222695990455</v>
      </c>
      <c r="BB71" s="100">
        <v>4.8430425251730744</v>
      </c>
      <c r="BC71" s="100">
        <v>2731.4759841976138</v>
      </c>
      <c r="BD71" s="100">
        <v>3</v>
      </c>
      <c r="BE71" s="100">
        <v>1692</v>
      </c>
      <c r="BF71" s="100">
        <v>4.618789559408869</v>
      </c>
      <c r="BG71" s="100">
        <v>2604.9973115066023</v>
      </c>
      <c r="BH71" s="100">
        <v>1.9533331717794569</v>
      </c>
      <c r="BI71" s="100">
        <v>1101.6799088836137</v>
      </c>
      <c r="BJ71" s="100">
        <v>5</v>
      </c>
      <c r="BK71" s="100">
        <v>2820</v>
      </c>
      <c r="BL71" s="100">
        <v>3</v>
      </c>
      <c r="BM71" s="100">
        <v>1692</v>
      </c>
      <c r="BN71" s="100">
        <v>6</v>
      </c>
      <c r="BO71" s="100">
        <v>3384</v>
      </c>
      <c r="BP71" s="100">
        <v>3</v>
      </c>
      <c r="BQ71" s="100">
        <v>1692</v>
      </c>
      <c r="BR71" s="100">
        <v>4.558116424028424</v>
      </c>
      <c r="BS71" s="100">
        <v>2570.777663152031</v>
      </c>
      <c r="BT71" s="100">
        <v>2.9073193691546675</v>
      </c>
      <c r="BU71" s="100">
        <v>1639.7281242032325</v>
      </c>
      <c r="BV71" s="100">
        <v>6</v>
      </c>
      <c r="BW71" s="100">
        <v>3384</v>
      </c>
      <c r="BX71" s="100">
        <v>3.1351328571149475</v>
      </c>
      <c r="BY71" s="100">
        <v>1768.2149314128303</v>
      </c>
      <c r="BZ71" s="100">
        <v>4</v>
      </c>
      <c r="CA71" s="100">
        <v>2256</v>
      </c>
      <c r="CB71" s="100">
        <v>4.5657955122153631</v>
      </c>
      <c r="CC71" s="100">
        <v>2575.1086688894648</v>
      </c>
      <c r="CD71" s="100">
        <v>6</v>
      </c>
      <c r="CE71" s="100">
        <v>3384</v>
      </c>
      <c r="CF71" s="100">
        <v>2.5615784983563392</v>
      </c>
      <c r="CG71" s="100">
        <v>1444.7302730729753</v>
      </c>
      <c r="CH71" s="100">
        <v>4</v>
      </c>
      <c r="CI71" s="100">
        <v>2256</v>
      </c>
      <c r="CJ71" s="100">
        <v>5</v>
      </c>
      <c r="CK71" s="100">
        <v>2820</v>
      </c>
      <c r="CL71" s="100">
        <v>4</v>
      </c>
      <c r="CM71" s="100">
        <v>2256</v>
      </c>
      <c r="CN71" s="100">
        <v>6</v>
      </c>
      <c r="CO71" s="100">
        <v>3384</v>
      </c>
      <c r="CP71" s="100">
        <v>4.6587085249717592</v>
      </c>
      <c r="CQ71" s="100">
        <v>2627.5116080840721</v>
      </c>
      <c r="CR71" s="100">
        <v>3.3918725973471129</v>
      </c>
      <c r="CS71" s="100">
        <v>1913.0161449037716</v>
      </c>
      <c r="CT71" s="100">
        <v>6</v>
      </c>
      <c r="CU71" s="100">
        <v>3384</v>
      </c>
    </row>
    <row r="72" spans="2:99">
      <c r="C72" s="99" t="s">
        <v>238</v>
      </c>
      <c r="D72" s="100">
        <v>4</v>
      </c>
      <c r="E72" s="100">
        <v>297.59999999999997</v>
      </c>
      <c r="F72" s="100">
        <v>4</v>
      </c>
      <c r="G72" s="100">
        <v>297.59999999999997</v>
      </c>
      <c r="H72" s="100">
        <v>3</v>
      </c>
      <c r="I72" s="100">
        <v>223.2</v>
      </c>
      <c r="J72" s="100">
        <v>3</v>
      </c>
      <c r="K72" s="100">
        <v>223.2</v>
      </c>
      <c r="L72" s="100">
        <v>3</v>
      </c>
      <c r="M72" s="100">
        <v>223.2</v>
      </c>
      <c r="N72" s="100">
        <v>2.1628723115872459</v>
      </c>
      <c r="O72" s="100">
        <v>160.91769998209108</v>
      </c>
      <c r="P72" s="100">
        <v>5</v>
      </c>
      <c r="Q72" s="100">
        <v>371.99999999999994</v>
      </c>
      <c r="R72" s="100">
        <v>5</v>
      </c>
      <c r="S72" s="100">
        <v>371.99999999999994</v>
      </c>
      <c r="T72" s="100">
        <v>4</v>
      </c>
      <c r="U72" s="100">
        <v>297.59999999999997</v>
      </c>
      <c r="V72" s="100">
        <v>6</v>
      </c>
      <c r="W72" s="100">
        <v>446.4</v>
      </c>
      <c r="X72" s="100">
        <v>4</v>
      </c>
      <c r="Y72" s="100">
        <v>297.59999999999997</v>
      </c>
      <c r="Z72" s="100">
        <v>6</v>
      </c>
      <c r="AA72" s="100">
        <v>446.4</v>
      </c>
      <c r="AB72" s="100">
        <v>3</v>
      </c>
      <c r="AC72" s="100">
        <v>223.2</v>
      </c>
      <c r="AD72" s="100">
        <v>4</v>
      </c>
      <c r="AE72" s="100">
        <v>297.59999999999997</v>
      </c>
      <c r="AF72" s="100">
        <v>5</v>
      </c>
      <c r="AG72" s="100">
        <v>371.99999999999994</v>
      </c>
      <c r="AH72" s="100">
        <v>6.5596995705608503</v>
      </c>
      <c r="AI72" s="100">
        <v>488.0416480497272</v>
      </c>
      <c r="AJ72" s="100">
        <v>4.1827007877609761</v>
      </c>
      <c r="AK72" s="100">
        <v>311.19293860941656</v>
      </c>
      <c r="AL72" s="100">
        <v>4.7112680039929247</v>
      </c>
      <c r="AM72" s="100">
        <v>350.51833949707355</v>
      </c>
      <c r="AN72" s="100">
        <v>3.483294571516409E-4</v>
      </c>
      <c r="AO72" s="100">
        <v>2.591571161208208E-2</v>
      </c>
      <c r="AP72" s="100">
        <v>3.8094411253408134</v>
      </c>
      <c r="AQ72" s="100">
        <v>283.42241972535646</v>
      </c>
      <c r="AR72" s="100">
        <v>4.0519303426304161</v>
      </c>
      <c r="AS72" s="100">
        <v>301.46361749170291</v>
      </c>
      <c r="AT72" s="100">
        <v>3.9765925424245618</v>
      </c>
      <c r="AU72" s="100">
        <v>295.85848515638736</v>
      </c>
      <c r="AV72" s="100">
        <v>2.490685227273306</v>
      </c>
      <c r="AW72" s="100">
        <v>185.30698090913396</v>
      </c>
      <c r="AX72" s="100">
        <v>2.2594908831288087</v>
      </c>
      <c r="AY72" s="100">
        <v>168.10612170478336</v>
      </c>
      <c r="AZ72" s="100">
        <v>4.2750394851046902</v>
      </c>
      <c r="BA72" s="100">
        <v>318.06293769178893</v>
      </c>
      <c r="BB72" s="100">
        <v>4.8430425251730744</v>
      </c>
      <c r="BC72" s="100">
        <v>360.32236387287668</v>
      </c>
      <c r="BD72" s="100">
        <v>3</v>
      </c>
      <c r="BE72" s="100">
        <v>223.2</v>
      </c>
      <c r="BF72" s="100">
        <v>4.618789559408869</v>
      </c>
      <c r="BG72" s="100">
        <v>343.63794322001979</v>
      </c>
      <c r="BH72" s="100">
        <v>2.4416664647243209</v>
      </c>
      <c r="BI72" s="100">
        <v>181.65998497548946</v>
      </c>
      <c r="BJ72" s="100">
        <v>6</v>
      </c>
      <c r="BK72" s="100">
        <v>446.4</v>
      </c>
      <c r="BL72" s="100">
        <v>4</v>
      </c>
      <c r="BM72" s="100">
        <v>297.59999999999997</v>
      </c>
      <c r="BN72" s="100">
        <v>6</v>
      </c>
      <c r="BO72" s="100">
        <v>446.4</v>
      </c>
      <c r="BP72" s="100">
        <v>3</v>
      </c>
      <c r="BQ72" s="100">
        <v>223.2</v>
      </c>
      <c r="BR72" s="100">
        <v>4.2308115388089336</v>
      </c>
      <c r="BS72" s="100">
        <v>314.77237848738463</v>
      </c>
      <c r="BT72" s="100">
        <v>2.9073193691546675</v>
      </c>
      <c r="BU72" s="100">
        <v>216.30456106510724</v>
      </c>
      <c r="BV72" s="100">
        <v>5.2774124640110527</v>
      </c>
      <c r="BW72" s="100">
        <v>392.63948732242227</v>
      </c>
      <c r="BX72" s="100">
        <v>2.6126107142624564</v>
      </c>
      <c r="BY72" s="100">
        <v>194.37823714112673</v>
      </c>
      <c r="BZ72" s="100">
        <v>4</v>
      </c>
      <c r="CA72" s="100">
        <v>297.59999999999997</v>
      </c>
      <c r="CB72" s="100">
        <v>4.5657955122153631</v>
      </c>
      <c r="CC72" s="100">
        <v>339.69518610882295</v>
      </c>
      <c r="CD72" s="100">
        <v>6</v>
      </c>
      <c r="CE72" s="100">
        <v>446.4</v>
      </c>
      <c r="CF72" s="100">
        <v>1.9211838737672542</v>
      </c>
      <c r="CG72" s="100">
        <v>142.9360802082837</v>
      </c>
      <c r="CH72" s="100">
        <v>4</v>
      </c>
      <c r="CI72" s="100">
        <v>297.59999999999997</v>
      </c>
      <c r="CJ72" s="100">
        <v>5</v>
      </c>
      <c r="CK72" s="100">
        <v>371.99999999999994</v>
      </c>
      <c r="CL72" s="100">
        <v>5</v>
      </c>
      <c r="CM72" s="100">
        <v>371.99999999999994</v>
      </c>
      <c r="CN72" s="100">
        <v>5</v>
      </c>
      <c r="CO72" s="100">
        <v>371.99999999999994</v>
      </c>
      <c r="CP72" s="100">
        <v>5.3838021119088104</v>
      </c>
      <c r="CQ72" s="100">
        <v>400.55487712601547</v>
      </c>
      <c r="CR72" s="100">
        <v>2.71349807787769</v>
      </c>
      <c r="CS72" s="100">
        <v>201.88425699410013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4</v>
      </c>
      <c r="G73" s="100">
        <v>2236.7999999999997</v>
      </c>
      <c r="H73" s="100">
        <v>4</v>
      </c>
      <c r="I73" s="100">
        <v>2236.7999999999997</v>
      </c>
      <c r="J73" s="100">
        <v>3</v>
      </c>
      <c r="K73" s="100">
        <v>1677.6</v>
      </c>
      <c r="L73" s="100">
        <v>3</v>
      </c>
      <c r="M73" s="100">
        <v>1677.6</v>
      </c>
      <c r="N73" s="100">
        <v>2.1628723115872459</v>
      </c>
      <c r="O73" s="100">
        <v>1209.4781966395878</v>
      </c>
      <c r="P73" s="100">
        <v>5</v>
      </c>
      <c r="Q73" s="100">
        <v>2795.9999999999995</v>
      </c>
      <c r="R73" s="100">
        <v>5</v>
      </c>
      <c r="S73" s="100">
        <v>2795.9999999999995</v>
      </c>
      <c r="T73" s="100">
        <v>3</v>
      </c>
      <c r="U73" s="100">
        <v>1677.6</v>
      </c>
      <c r="V73" s="100">
        <v>5</v>
      </c>
      <c r="W73" s="100">
        <v>2795.9999999999995</v>
      </c>
      <c r="X73" s="100">
        <v>4</v>
      </c>
      <c r="Y73" s="100">
        <v>2236.7999999999997</v>
      </c>
      <c r="Z73" s="100">
        <v>6</v>
      </c>
      <c r="AA73" s="100">
        <v>3355.2</v>
      </c>
      <c r="AB73" s="100">
        <v>4</v>
      </c>
      <c r="AC73" s="100">
        <v>2236.7999999999997</v>
      </c>
      <c r="AD73" s="100">
        <v>5</v>
      </c>
      <c r="AE73" s="100">
        <v>2795.9999999999995</v>
      </c>
      <c r="AF73" s="100">
        <v>4</v>
      </c>
      <c r="AG73" s="100">
        <v>2236.7999999999997</v>
      </c>
      <c r="AH73" s="100">
        <v>6.5130579396807793</v>
      </c>
      <c r="AI73" s="100">
        <v>3642.1019998694915</v>
      </c>
      <c r="AJ73" s="100">
        <v>3.3461606302087805</v>
      </c>
      <c r="AK73" s="100">
        <v>1871.1730244127498</v>
      </c>
      <c r="AL73" s="100">
        <v>3.9260566699941042</v>
      </c>
      <c r="AM73" s="100">
        <v>2195.4508898607028</v>
      </c>
      <c r="AN73" s="100">
        <v>3.483294571516409E-4</v>
      </c>
      <c r="AO73" s="100">
        <v>0.19478583243919756</v>
      </c>
      <c r="AP73" s="100">
        <v>4.571329350408976</v>
      </c>
      <c r="AQ73" s="100">
        <v>2556.287372748699</v>
      </c>
      <c r="AR73" s="100">
        <v>4.0403902664903235</v>
      </c>
      <c r="AS73" s="100">
        <v>2259.3862370213888</v>
      </c>
      <c r="AT73" s="100">
        <v>3.3198821150858078</v>
      </c>
      <c r="AU73" s="100">
        <v>1856.4780787559835</v>
      </c>
      <c r="AV73" s="100">
        <v>2.0765599531099461</v>
      </c>
      <c r="AW73" s="100">
        <v>1161.2123257790818</v>
      </c>
      <c r="AX73" s="100">
        <v>3.012654510838412</v>
      </c>
      <c r="AY73" s="100">
        <v>1684.6764024608397</v>
      </c>
      <c r="AZ73" s="100">
        <v>4.2750394851046902</v>
      </c>
      <c r="BA73" s="100">
        <v>2390.6020800705423</v>
      </c>
      <c r="BB73" s="100">
        <v>4.8430425251730744</v>
      </c>
      <c r="BC73" s="100">
        <v>2708.2293800767829</v>
      </c>
      <c r="BD73" s="100">
        <v>3</v>
      </c>
      <c r="BE73" s="100">
        <v>1677.6</v>
      </c>
      <c r="BF73" s="100">
        <v>4.618789559408869</v>
      </c>
      <c r="BG73" s="100">
        <v>2582.8271216214393</v>
      </c>
      <c r="BH73" s="100">
        <v>2.4416664647243209</v>
      </c>
      <c r="BI73" s="100">
        <v>1365.3798870738401</v>
      </c>
      <c r="BJ73" s="100">
        <v>5</v>
      </c>
      <c r="BK73" s="100">
        <v>2795.9999999999995</v>
      </c>
      <c r="BL73" s="100">
        <v>4</v>
      </c>
      <c r="BM73" s="100">
        <v>2236.7999999999997</v>
      </c>
      <c r="BN73" s="100">
        <v>6</v>
      </c>
      <c r="BO73" s="100">
        <v>3355.2</v>
      </c>
      <c r="BP73" s="100">
        <v>3</v>
      </c>
      <c r="BQ73" s="100">
        <v>1677.6</v>
      </c>
      <c r="BR73" s="100">
        <v>4.2308115388089336</v>
      </c>
      <c r="BS73" s="100">
        <v>2365.8698125019555</v>
      </c>
      <c r="BT73" s="100">
        <v>2.3258554953237338</v>
      </c>
      <c r="BU73" s="100">
        <v>1300.6183929850317</v>
      </c>
      <c r="BV73" s="100">
        <v>5</v>
      </c>
      <c r="BW73" s="100">
        <v>2795.9999999999995</v>
      </c>
      <c r="BX73" s="100">
        <v>2.6126107142624564</v>
      </c>
      <c r="BY73" s="100">
        <v>1460.9719114155655</v>
      </c>
      <c r="BZ73" s="100">
        <v>4</v>
      </c>
      <c r="CA73" s="100">
        <v>2236.7999999999997</v>
      </c>
      <c r="CB73" s="100">
        <v>4.5657955122153631</v>
      </c>
      <c r="CC73" s="100">
        <v>2553.1928504308307</v>
      </c>
      <c r="CD73" s="100">
        <v>5</v>
      </c>
      <c r="CE73" s="100">
        <v>2795.9999999999995</v>
      </c>
      <c r="CF73" s="100">
        <v>2.5615784983563392</v>
      </c>
      <c r="CG73" s="100">
        <v>1432.4346962808647</v>
      </c>
      <c r="CH73" s="100">
        <v>4</v>
      </c>
      <c r="CI73" s="100">
        <v>2236.7999999999997</v>
      </c>
      <c r="CJ73" s="100">
        <v>5</v>
      </c>
      <c r="CK73" s="100">
        <v>2795.9999999999995</v>
      </c>
      <c r="CL73" s="100">
        <v>5</v>
      </c>
      <c r="CM73" s="100">
        <v>2795.9999999999995</v>
      </c>
      <c r="CN73" s="100">
        <v>5</v>
      </c>
      <c r="CO73" s="100">
        <v>2795.9999999999995</v>
      </c>
      <c r="CP73" s="100">
        <v>4.5792284795651046</v>
      </c>
      <c r="CQ73" s="100">
        <v>2560.7045657728063</v>
      </c>
      <c r="CR73" s="100">
        <v>2.71349807787769</v>
      </c>
      <c r="CS73" s="100">
        <v>1517.3881251492041</v>
      </c>
      <c r="CT73" s="100">
        <v>6</v>
      </c>
      <c r="CU73" s="100">
        <v>3355.2</v>
      </c>
    </row>
    <row r="74" spans="2:99">
      <c r="C74" s="99" t="s">
        <v>240</v>
      </c>
      <c r="D74" s="100">
        <v>4</v>
      </c>
      <c r="E74" s="100">
        <v>1612.8</v>
      </c>
      <c r="F74" s="100">
        <v>4</v>
      </c>
      <c r="G74" s="100">
        <v>1612.8</v>
      </c>
      <c r="H74" s="100">
        <v>3</v>
      </c>
      <c r="I74" s="100">
        <v>1209.5999999999999</v>
      </c>
      <c r="J74" s="100">
        <v>3</v>
      </c>
      <c r="K74" s="100">
        <v>1209.5999999999999</v>
      </c>
      <c r="L74" s="100">
        <v>4</v>
      </c>
      <c r="M74" s="100">
        <v>1612.8</v>
      </c>
      <c r="N74" s="100">
        <v>1.7302978492697967</v>
      </c>
      <c r="O74" s="100">
        <v>697.65609282558205</v>
      </c>
      <c r="P74" s="100">
        <v>5</v>
      </c>
      <c r="Q74" s="100">
        <v>2016</v>
      </c>
      <c r="R74" s="100">
        <v>5</v>
      </c>
      <c r="S74" s="100">
        <v>2016</v>
      </c>
      <c r="T74" s="100">
        <v>3</v>
      </c>
      <c r="U74" s="100">
        <v>1209.5999999999999</v>
      </c>
      <c r="V74" s="100">
        <v>5</v>
      </c>
      <c r="W74" s="100">
        <v>2016</v>
      </c>
      <c r="X74" s="100">
        <v>4</v>
      </c>
      <c r="Y74" s="100">
        <v>1612.8</v>
      </c>
      <c r="Z74" s="100">
        <v>5</v>
      </c>
      <c r="AA74" s="100">
        <v>2016</v>
      </c>
      <c r="AB74" s="100">
        <v>4</v>
      </c>
      <c r="AC74" s="100">
        <v>1612.8</v>
      </c>
      <c r="AD74" s="100">
        <v>4</v>
      </c>
      <c r="AE74" s="100">
        <v>1612.8</v>
      </c>
      <c r="AF74" s="100">
        <v>4</v>
      </c>
      <c r="AG74" s="100">
        <v>1612.8</v>
      </c>
      <c r="AH74" s="100">
        <v>6.5130579396807793</v>
      </c>
      <c r="AI74" s="100">
        <v>2626.0649612792899</v>
      </c>
      <c r="AJ74" s="100">
        <v>4.1827007877609761</v>
      </c>
      <c r="AK74" s="100">
        <v>1686.4649576252255</v>
      </c>
      <c r="AL74" s="100">
        <v>4.7112680039929247</v>
      </c>
      <c r="AM74" s="100">
        <v>1899.5832592099471</v>
      </c>
      <c r="AN74" s="100">
        <v>2.6124709286373069E-4</v>
      </c>
      <c r="AO74" s="100">
        <v>0.10533482784265621</v>
      </c>
      <c r="AP74" s="100">
        <v>4.571329350408976</v>
      </c>
      <c r="AQ74" s="100">
        <v>1843.1599940848992</v>
      </c>
      <c r="AR74" s="100">
        <v>4.0461603045603702</v>
      </c>
      <c r="AS74" s="100">
        <v>1631.4118347987412</v>
      </c>
      <c r="AT74" s="100">
        <v>3.9584275532285416</v>
      </c>
      <c r="AU74" s="100">
        <v>1596.0379894617479</v>
      </c>
      <c r="AV74" s="100">
        <v>2.7687466041465947</v>
      </c>
      <c r="AW74" s="100">
        <v>1116.358630791907</v>
      </c>
      <c r="AX74" s="100">
        <v>2.2594908831288087</v>
      </c>
      <c r="AY74" s="100">
        <v>911.02672407753562</v>
      </c>
      <c r="AZ74" s="100">
        <v>4.2750394851046902</v>
      </c>
      <c r="BA74" s="100">
        <v>1723.695920394211</v>
      </c>
      <c r="BB74" s="100">
        <v>4.0358687709775616</v>
      </c>
      <c r="BC74" s="100">
        <v>1627.2622884581529</v>
      </c>
      <c r="BD74" s="100">
        <v>4</v>
      </c>
      <c r="BE74" s="100">
        <v>1612.8</v>
      </c>
      <c r="BF74" s="100">
        <v>3</v>
      </c>
      <c r="BG74" s="100">
        <v>1209.5999999999999</v>
      </c>
      <c r="BH74" s="100">
        <v>1.9533331717794569</v>
      </c>
      <c r="BI74" s="100">
        <v>787.58393486147702</v>
      </c>
      <c r="BJ74" s="100">
        <v>5</v>
      </c>
      <c r="BK74" s="100">
        <v>2016</v>
      </c>
      <c r="BL74" s="100">
        <v>3</v>
      </c>
      <c r="BM74" s="100">
        <v>1209.5999999999999</v>
      </c>
      <c r="BN74" s="100">
        <v>6</v>
      </c>
      <c r="BO74" s="100">
        <v>2419.1999999999998</v>
      </c>
      <c r="BP74" s="100">
        <v>3</v>
      </c>
      <c r="BQ74" s="100">
        <v>1209.5999999999999</v>
      </c>
      <c r="BR74" s="100">
        <v>3.7119541162666372</v>
      </c>
      <c r="BS74" s="100">
        <v>1496.6598996787081</v>
      </c>
      <c r="BT74" s="100">
        <v>2.9073193691546675</v>
      </c>
      <c r="BU74" s="100">
        <v>1172.2311696431618</v>
      </c>
      <c r="BV74" s="100">
        <v>5</v>
      </c>
      <c r="BW74" s="100">
        <v>2016</v>
      </c>
      <c r="BX74" s="100">
        <v>2.6126107142624564</v>
      </c>
      <c r="BY74" s="100">
        <v>1053.4046399906224</v>
      </c>
      <c r="BZ74" s="100">
        <v>3</v>
      </c>
      <c r="CA74" s="100">
        <v>1209.5999999999999</v>
      </c>
      <c r="CB74" s="100">
        <v>4.5657955122153631</v>
      </c>
      <c r="CC74" s="100">
        <v>1840.9287505252344</v>
      </c>
      <c r="CD74" s="100">
        <v>6</v>
      </c>
      <c r="CE74" s="100">
        <v>2419.1999999999998</v>
      </c>
      <c r="CF74" s="100">
        <v>1.9211838737672542</v>
      </c>
      <c r="CG74" s="100">
        <v>774.62133790295684</v>
      </c>
      <c r="CH74" s="100">
        <v>4</v>
      </c>
      <c r="CI74" s="100">
        <v>1612.8</v>
      </c>
      <c r="CJ74" s="100">
        <v>5</v>
      </c>
      <c r="CK74" s="100">
        <v>2016</v>
      </c>
      <c r="CL74" s="100">
        <v>5</v>
      </c>
      <c r="CM74" s="100">
        <v>2016</v>
      </c>
      <c r="CN74" s="100">
        <v>6</v>
      </c>
      <c r="CO74" s="100">
        <v>2419.1999999999998</v>
      </c>
      <c r="CP74" s="100">
        <v>4.539488456861779</v>
      </c>
      <c r="CQ74" s="100">
        <v>1830.3217458066692</v>
      </c>
      <c r="CR74" s="100">
        <v>2.71349807787769</v>
      </c>
      <c r="CS74" s="100">
        <v>1094.0824250002845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5</v>
      </c>
      <c r="G75" s="100">
        <v>3215.9999999999995</v>
      </c>
      <c r="H75" s="100">
        <v>3</v>
      </c>
      <c r="I75" s="100">
        <v>1929.6</v>
      </c>
      <c r="J75" s="100">
        <v>3</v>
      </c>
      <c r="K75" s="100">
        <v>1929.6</v>
      </c>
      <c r="L75" s="100">
        <v>4</v>
      </c>
      <c r="M75" s="100">
        <v>2572.7999999999997</v>
      </c>
      <c r="N75" s="100">
        <v>1.7302978492697967</v>
      </c>
      <c r="O75" s="100">
        <v>1112.9275766503331</v>
      </c>
      <c r="P75" s="100">
        <v>5</v>
      </c>
      <c r="Q75" s="100">
        <v>3215.9999999999995</v>
      </c>
      <c r="R75" s="100">
        <v>5</v>
      </c>
      <c r="S75" s="100">
        <v>3215.9999999999995</v>
      </c>
      <c r="T75" s="100">
        <v>3</v>
      </c>
      <c r="U75" s="100">
        <v>1929.6</v>
      </c>
      <c r="V75" s="100">
        <v>5</v>
      </c>
      <c r="W75" s="100">
        <v>3215.9999999999995</v>
      </c>
      <c r="X75" s="100">
        <v>4</v>
      </c>
      <c r="Y75" s="100">
        <v>2572.7999999999997</v>
      </c>
      <c r="Z75" s="100">
        <v>6</v>
      </c>
      <c r="AA75" s="100">
        <v>3859.2</v>
      </c>
      <c r="AB75" s="100">
        <v>3</v>
      </c>
      <c r="AC75" s="100">
        <v>1929.6</v>
      </c>
      <c r="AD75" s="100">
        <v>5</v>
      </c>
      <c r="AE75" s="100">
        <v>3215.9999999999995</v>
      </c>
      <c r="AF75" s="100">
        <v>4</v>
      </c>
      <c r="AG75" s="100">
        <v>2572.7999999999997</v>
      </c>
      <c r="AH75" s="100">
        <v>6.5596995705608503</v>
      </c>
      <c r="AI75" s="100">
        <v>4219.1987637847387</v>
      </c>
      <c r="AJ75" s="100">
        <v>4.1827007877609761</v>
      </c>
      <c r="AK75" s="100">
        <v>2690.3131466878594</v>
      </c>
      <c r="AL75" s="100">
        <v>4.7112680039929247</v>
      </c>
      <c r="AM75" s="100">
        <v>3030.287580168249</v>
      </c>
      <c r="AN75" s="100">
        <v>3.483294571516409E-4</v>
      </c>
      <c r="AO75" s="100">
        <v>0.2240455068399354</v>
      </c>
      <c r="AP75" s="100">
        <v>4.571329350408976</v>
      </c>
      <c r="AQ75" s="100">
        <v>2940.2790381830532</v>
      </c>
      <c r="AR75" s="100">
        <v>4.0461603045603702</v>
      </c>
      <c r="AS75" s="100">
        <v>2602.4903078932298</v>
      </c>
      <c r="AT75" s="100">
        <v>3.9765925424245618</v>
      </c>
      <c r="AU75" s="100">
        <v>2557.744323287478</v>
      </c>
      <c r="AV75" s="100">
        <v>2.7687466041465947</v>
      </c>
      <c r="AW75" s="100">
        <v>1780.8578157870895</v>
      </c>
      <c r="AX75" s="100">
        <v>2.2594908831288087</v>
      </c>
      <c r="AY75" s="100">
        <v>1453.3045360284495</v>
      </c>
      <c r="AZ75" s="100">
        <v>4.2750394851046902</v>
      </c>
      <c r="BA75" s="100">
        <v>2749.7053968193363</v>
      </c>
      <c r="BB75" s="100">
        <v>4.8430425251730744</v>
      </c>
      <c r="BC75" s="100">
        <v>3115.044952191321</v>
      </c>
      <c r="BD75" s="100">
        <v>3</v>
      </c>
      <c r="BE75" s="100">
        <v>1929.6</v>
      </c>
      <c r="BF75" s="100">
        <v>4</v>
      </c>
      <c r="BG75" s="100">
        <v>2572.7999999999997</v>
      </c>
      <c r="BH75" s="100">
        <v>2.4416664647243209</v>
      </c>
      <c r="BI75" s="100">
        <v>1570.4798701106831</v>
      </c>
      <c r="BJ75" s="100">
        <v>5</v>
      </c>
      <c r="BK75" s="100">
        <v>3215.9999999999995</v>
      </c>
      <c r="BL75" s="100">
        <v>3</v>
      </c>
      <c r="BM75" s="100">
        <v>1929.6</v>
      </c>
      <c r="BN75" s="100">
        <v>5</v>
      </c>
      <c r="BO75" s="100">
        <v>3215.9999999999995</v>
      </c>
      <c r="BP75" s="100">
        <v>3</v>
      </c>
      <c r="BQ75" s="100">
        <v>1929.6</v>
      </c>
      <c r="BR75" s="100">
        <v>4.5944836334972567</v>
      </c>
      <c r="BS75" s="100">
        <v>2955.1718730654352</v>
      </c>
      <c r="BT75" s="100">
        <v>2.3258554953237338</v>
      </c>
      <c r="BU75" s="100">
        <v>1495.9902545922255</v>
      </c>
      <c r="BV75" s="100">
        <v>5.2496712176099471</v>
      </c>
      <c r="BW75" s="100">
        <v>3376.5885271667175</v>
      </c>
      <c r="BX75" s="100">
        <v>2.6126107142624564</v>
      </c>
      <c r="BY75" s="100">
        <v>1680.4312114136117</v>
      </c>
      <c r="BZ75" s="100">
        <v>4</v>
      </c>
      <c r="CA75" s="100">
        <v>2572.7999999999997</v>
      </c>
      <c r="CB75" s="100">
        <v>4.5657955122153631</v>
      </c>
      <c r="CC75" s="100">
        <v>2936.7196734569211</v>
      </c>
      <c r="CD75" s="100">
        <v>5</v>
      </c>
      <c r="CE75" s="100">
        <v>3215.9999999999995</v>
      </c>
      <c r="CF75" s="100">
        <v>1.9211838737672542</v>
      </c>
      <c r="CG75" s="100">
        <v>1235.7054676070977</v>
      </c>
      <c r="CH75" s="100">
        <v>4</v>
      </c>
      <c r="CI75" s="100">
        <v>2572.7999999999997</v>
      </c>
      <c r="CJ75" s="100">
        <v>5</v>
      </c>
      <c r="CK75" s="100">
        <v>3215.9999999999995</v>
      </c>
      <c r="CL75" s="100">
        <v>5</v>
      </c>
      <c r="CM75" s="100">
        <v>3215.9999999999995</v>
      </c>
      <c r="CN75" s="100">
        <v>6</v>
      </c>
      <c r="CO75" s="100">
        <v>3859.2</v>
      </c>
      <c r="CP75" s="100">
        <v>4.6587085249717592</v>
      </c>
      <c r="CQ75" s="100">
        <v>2996.4813232618353</v>
      </c>
      <c r="CR75" s="100">
        <v>2.71349807787769</v>
      </c>
      <c r="CS75" s="100">
        <v>1745.32196369093</v>
      </c>
      <c r="CT75" s="100">
        <v>6</v>
      </c>
      <c r="CU75" s="100">
        <v>3859.2</v>
      </c>
    </row>
    <row r="76" spans="2:99">
      <c r="C76" s="99" t="s">
        <v>242</v>
      </c>
      <c r="D76" s="100">
        <v>3</v>
      </c>
      <c r="E76" s="100">
        <v>2336.3999999999996</v>
      </c>
      <c r="F76" s="100">
        <v>4</v>
      </c>
      <c r="G76" s="100">
        <v>3115.2</v>
      </c>
      <c r="H76" s="100">
        <v>3</v>
      </c>
      <c r="I76" s="100">
        <v>2336.3999999999996</v>
      </c>
      <c r="J76" s="100">
        <v>3</v>
      </c>
      <c r="K76" s="100">
        <v>2336.3999999999996</v>
      </c>
      <c r="L76" s="100">
        <v>3</v>
      </c>
      <c r="M76" s="100">
        <v>2336.3999999999996</v>
      </c>
      <c r="N76" s="100">
        <v>2.1628723115872459</v>
      </c>
      <c r="O76" s="100">
        <v>1684.4449562641471</v>
      </c>
      <c r="P76" s="100">
        <v>5</v>
      </c>
      <c r="Q76" s="100">
        <v>3894</v>
      </c>
      <c r="R76" s="100">
        <v>5</v>
      </c>
      <c r="S76" s="100">
        <v>3894</v>
      </c>
      <c r="T76" s="100">
        <v>3</v>
      </c>
      <c r="U76" s="100">
        <v>2336.3999999999996</v>
      </c>
      <c r="V76" s="100">
        <v>6</v>
      </c>
      <c r="W76" s="100">
        <v>4672.7999999999993</v>
      </c>
      <c r="X76" s="100">
        <v>4</v>
      </c>
      <c r="Y76" s="100">
        <v>3115.2</v>
      </c>
      <c r="Z76" s="100">
        <v>6</v>
      </c>
      <c r="AA76" s="100">
        <v>4672.7999999999993</v>
      </c>
      <c r="AB76" s="100">
        <v>3</v>
      </c>
      <c r="AC76" s="100">
        <v>2336.3999999999996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6.4664163088007092</v>
      </c>
      <c r="AI76" s="100">
        <v>5036.0450212939922</v>
      </c>
      <c r="AJ76" s="100">
        <v>4.1827007877609761</v>
      </c>
      <c r="AK76" s="100">
        <v>3257.4873735082479</v>
      </c>
      <c r="AL76" s="100">
        <v>3.9260566699941042</v>
      </c>
      <c r="AM76" s="100">
        <v>3057.6129345914082</v>
      </c>
      <c r="AN76" s="100">
        <v>3.483294571516409E-4</v>
      </c>
      <c r="AO76" s="100">
        <v>0.2712789812296979</v>
      </c>
      <c r="AP76" s="100">
        <v>4.571329350408976</v>
      </c>
      <c r="AQ76" s="100">
        <v>3560.1512980985103</v>
      </c>
      <c r="AR76" s="100">
        <v>4.0461603045603702</v>
      </c>
      <c r="AS76" s="100">
        <v>3151.1496451916159</v>
      </c>
      <c r="AT76" s="100">
        <v>3.9765925424245618</v>
      </c>
      <c r="AU76" s="100">
        <v>3096.9702720402488</v>
      </c>
      <c r="AV76" s="100">
        <v>3.2173823178235685</v>
      </c>
      <c r="AW76" s="100">
        <v>2505.6973491209951</v>
      </c>
      <c r="AX76" s="100">
        <v>2.2594908831288087</v>
      </c>
      <c r="AY76" s="100">
        <v>1759.6914997807162</v>
      </c>
      <c r="AZ76" s="100">
        <v>4.2750394851046902</v>
      </c>
      <c r="BA76" s="100">
        <v>3329.4007509995326</v>
      </c>
      <c r="BB76" s="100">
        <v>4.0358687709775616</v>
      </c>
      <c r="BC76" s="100">
        <v>3143.1345988373246</v>
      </c>
      <c r="BD76" s="100">
        <v>4</v>
      </c>
      <c r="BE76" s="100">
        <v>3115.2</v>
      </c>
      <c r="BF76" s="100">
        <v>3</v>
      </c>
      <c r="BG76" s="100">
        <v>2336.3999999999996</v>
      </c>
      <c r="BH76" s="100">
        <v>2.4416664647243209</v>
      </c>
      <c r="BI76" s="100">
        <v>1901.569842727301</v>
      </c>
      <c r="BJ76" s="100">
        <v>5</v>
      </c>
      <c r="BK76" s="100">
        <v>3894</v>
      </c>
      <c r="BL76" s="100">
        <v>4</v>
      </c>
      <c r="BM76" s="100">
        <v>3115.2</v>
      </c>
      <c r="BN76" s="100">
        <v>6</v>
      </c>
      <c r="BO76" s="100">
        <v>4672.7999999999993</v>
      </c>
      <c r="BP76" s="100">
        <v>3</v>
      </c>
      <c r="BQ76" s="100">
        <v>2336.3999999999996</v>
      </c>
      <c r="BR76" s="100">
        <v>4.558116424028424</v>
      </c>
      <c r="BS76" s="100">
        <v>3549.8610710333364</v>
      </c>
      <c r="BT76" s="100">
        <v>2.9073193691546675</v>
      </c>
      <c r="BU76" s="100">
        <v>2264.2203246976551</v>
      </c>
      <c r="BV76" s="100">
        <v>5.2774124640110527</v>
      </c>
      <c r="BW76" s="100">
        <v>4110.048826971808</v>
      </c>
      <c r="BX76" s="100">
        <v>2.6126107142624564</v>
      </c>
      <c r="BY76" s="100">
        <v>2034.701224267601</v>
      </c>
      <c r="BZ76" s="100">
        <v>4</v>
      </c>
      <c r="CA76" s="100">
        <v>3115.2</v>
      </c>
      <c r="CB76" s="100">
        <v>4.5657955122153631</v>
      </c>
      <c r="CC76" s="100">
        <v>3555.8415449133245</v>
      </c>
      <c r="CD76" s="100">
        <v>5</v>
      </c>
      <c r="CE76" s="100">
        <v>3894</v>
      </c>
      <c r="CF76" s="100">
        <v>1.9211838737672542</v>
      </c>
      <c r="CG76" s="100">
        <v>1496.2180008899375</v>
      </c>
      <c r="CH76" s="100">
        <v>3</v>
      </c>
      <c r="CI76" s="100">
        <v>2336.3999999999996</v>
      </c>
      <c r="CJ76" s="100">
        <v>5</v>
      </c>
      <c r="CK76" s="100">
        <v>3894</v>
      </c>
      <c r="CL76" s="100">
        <v>5</v>
      </c>
      <c r="CM76" s="100">
        <v>3894</v>
      </c>
      <c r="CN76" s="100">
        <v>6</v>
      </c>
      <c r="CO76" s="100">
        <v>4672.7999999999993</v>
      </c>
      <c r="CP76" s="100">
        <v>4.0228681617185273</v>
      </c>
      <c r="CQ76" s="100">
        <v>3133.0097243463888</v>
      </c>
      <c r="CR76" s="100">
        <v>2.71349807787769</v>
      </c>
      <c r="CS76" s="100">
        <v>2113.2723030511447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5</v>
      </c>
      <c r="G77" s="100">
        <v>1392</v>
      </c>
      <c r="H77" s="100">
        <v>3</v>
      </c>
      <c r="I77" s="100">
        <v>835.19999999999993</v>
      </c>
      <c r="J77" s="100">
        <v>4</v>
      </c>
      <c r="K77" s="100">
        <v>1113.5999999999999</v>
      </c>
      <c r="L77" s="100">
        <v>3</v>
      </c>
      <c r="M77" s="100">
        <v>835.19999999999993</v>
      </c>
      <c r="N77" s="100">
        <v>2.1628723115872459</v>
      </c>
      <c r="O77" s="100">
        <v>602.14365154588916</v>
      </c>
      <c r="P77" s="100">
        <v>6</v>
      </c>
      <c r="Q77" s="100">
        <v>1670.3999999999999</v>
      </c>
      <c r="R77" s="100">
        <v>5</v>
      </c>
      <c r="S77" s="100">
        <v>1392</v>
      </c>
      <c r="T77" s="100">
        <v>4</v>
      </c>
      <c r="U77" s="100">
        <v>1113.5999999999999</v>
      </c>
      <c r="V77" s="100">
        <v>6</v>
      </c>
      <c r="W77" s="100">
        <v>1670.3999999999999</v>
      </c>
      <c r="X77" s="100">
        <v>4</v>
      </c>
      <c r="Y77" s="100">
        <v>1113.5999999999999</v>
      </c>
      <c r="Z77" s="100">
        <v>6</v>
      </c>
      <c r="AA77" s="100">
        <v>1670.3999999999999</v>
      </c>
      <c r="AB77" s="100">
        <v>3</v>
      </c>
      <c r="AC77" s="100">
        <v>835.19999999999993</v>
      </c>
      <c r="AD77" s="100">
        <v>5</v>
      </c>
      <c r="AE77" s="100">
        <v>1392</v>
      </c>
      <c r="AF77" s="100">
        <v>4</v>
      </c>
      <c r="AG77" s="100">
        <v>1113.5999999999999</v>
      </c>
      <c r="AH77" s="100">
        <v>5.5596995705608503</v>
      </c>
      <c r="AI77" s="100">
        <v>1547.8203604441405</v>
      </c>
      <c r="AJ77" s="100">
        <v>4.1827007877609761</v>
      </c>
      <c r="AK77" s="100">
        <v>1164.4638993126557</v>
      </c>
      <c r="AL77" s="100">
        <v>3.9260566699941042</v>
      </c>
      <c r="AM77" s="100">
        <v>1093.0141769263585</v>
      </c>
      <c r="AN77" s="100">
        <v>3.483294571516409E-4</v>
      </c>
      <c r="AO77" s="100">
        <v>9.697492087101682E-2</v>
      </c>
      <c r="AP77" s="100">
        <v>4.571329350408976</v>
      </c>
      <c r="AQ77" s="100">
        <v>1272.6580911538588</v>
      </c>
      <c r="AR77" s="100">
        <v>4.0519303426304161</v>
      </c>
      <c r="AS77" s="100">
        <v>1128.0574073883076</v>
      </c>
      <c r="AT77" s="100">
        <v>4.6151379805672956</v>
      </c>
      <c r="AU77" s="100">
        <v>1284.8544137899351</v>
      </c>
      <c r="AV77" s="100">
        <v>2.7687466041465947</v>
      </c>
      <c r="AW77" s="100">
        <v>770.81905459441191</v>
      </c>
      <c r="AX77" s="100">
        <v>2.2594908831288087</v>
      </c>
      <c r="AY77" s="100">
        <v>629.04226186306028</v>
      </c>
      <c r="AZ77" s="100">
        <v>4.2750394851046902</v>
      </c>
      <c r="BA77" s="100">
        <v>1190.1709926531457</v>
      </c>
      <c r="BB77" s="100">
        <v>4.0358687709775616</v>
      </c>
      <c r="BC77" s="100">
        <v>1123.585865840153</v>
      </c>
      <c r="BD77" s="100">
        <v>3</v>
      </c>
      <c r="BE77" s="100">
        <v>835.19999999999993</v>
      </c>
      <c r="BF77" s="100">
        <v>4</v>
      </c>
      <c r="BG77" s="100">
        <v>1113.5999999999999</v>
      </c>
      <c r="BH77" s="100">
        <v>1.9533331717794569</v>
      </c>
      <c r="BI77" s="100">
        <v>543.80795502340072</v>
      </c>
      <c r="BJ77" s="100">
        <v>5</v>
      </c>
      <c r="BK77" s="100">
        <v>1392</v>
      </c>
      <c r="BL77" s="100">
        <v>4</v>
      </c>
      <c r="BM77" s="100">
        <v>1113.5999999999999</v>
      </c>
      <c r="BN77" s="100">
        <v>6</v>
      </c>
      <c r="BO77" s="100">
        <v>1670.3999999999999</v>
      </c>
      <c r="BP77" s="100">
        <v>3</v>
      </c>
      <c r="BQ77" s="100">
        <v>835.19999999999993</v>
      </c>
      <c r="BR77" s="100">
        <v>4.5944836334972567</v>
      </c>
      <c r="BS77" s="100">
        <v>1279.1042435656361</v>
      </c>
      <c r="BT77" s="100">
        <v>2.9073193691546675</v>
      </c>
      <c r="BU77" s="100">
        <v>809.39771237265938</v>
      </c>
      <c r="BV77" s="100">
        <v>5.2496712176099471</v>
      </c>
      <c r="BW77" s="100">
        <v>1461.5084669826092</v>
      </c>
      <c r="BX77" s="100">
        <v>2.6126107142624564</v>
      </c>
      <c r="BY77" s="100">
        <v>727.35082285066778</v>
      </c>
      <c r="BZ77" s="100">
        <v>4</v>
      </c>
      <c r="CA77" s="100">
        <v>1113.5999999999999</v>
      </c>
      <c r="CB77" s="100">
        <v>5.3267614309179239</v>
      </c>
      <c r="CC77" s="100">
        <v>1482.97038236755</v>
      </c>
      <c r="CD77" s="100">
        <v>6.431141697547524</v>
      </c>
      <c r="CE77" s="100">
        <v>1790.4298485972306</v>
      </c>
      <c r="CF77" s="100">
        <v>1.9211838737672542</v>
      </c>
      <c r="CG77" s="100">
        <v>534.85759045680356</v>
      </c>
      <c r="CH77" s="100">
        <v>3</v>
      </c>
      <c r="CI77" s="100">
        <v>835.19999999999993</v>
      </c>
      <c r="CJ77" s="100">
        <v>5</v>
      </c>
      <c r="CK77" s="100">
        <v>1392</v>
      </c>
      <c r="CL77" s="100">
        <v>5</v>
      </c>
      <c r="CM77" s="100">
        <v>1392</v>
      </c>
      <c r="CN77" s="100">
        <v>5</v>
      </c>
      <c r="CO77" s="100">
        <v>1392</v>
      </c>
      <c r="CP77" s="100">
        <v>4.6587085249717592</v>
      </c>
      <c r="CQ77" s="100">
        <v>1296.9844533521377</v>
      </c>
      <c r="CR77" s="100">
        <v>2.71349807787769</v>
      </c>
      <c r="CS77" s="100">
        <v>755.43786488114881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4</v>
      </c>
      <c r="E78" s="100">
        <v>2208</v>
      </c>
      <c r="F78" s="100">
        <v>4</v>
      </c>
      <c r="G78" s="100">
        <v>2208</v>
      </c>
      <c r="H78" s="100">
        <v>4</v>
      </c>
      <c r="I78" s="100">
        <v>2208</v>
      </c>
      <c r="J78" s="100">
        <v>3</v>
      </c>
      <c r="K78" s="100">
        <v>1656</v>
      </c>
      <c r="L78" s="100">
        <v>4</v>
      </c>
      <c r="M78" s="100">
        <v>2208</v>
      </c>
      <c r="N78" s="100">
        <v>2.1628723115872459</v>
      </c>
      <c r="O78" s="100">
        <v>1193.9055159961597</v>
      </c>
      <c r="P78" s="100">
        <v>5</v>
      </c>
      <c r="Q78" s="100">
        <v>2760</v>
      </c>
      <c r="R78" s="100">
        <v>5</v>
      </c>
      <c r="S78" s="100">
        <v>2760</v>
      </c>
      <c r="T78" s="100">
        <v>4</v>
      </c>
      <c r="U78" s="100">
        <v>2208</v>
      </c>
      <c r="V78" s="100">
        <v>5</v>
      </c>
      <c r="W78" s="100">
        <v>2760</v>
      </c>
      <c r="X78" s="100">
        <v>4</v>
      </c>
      <c r="Y78" s="100">
        <v>2208</v>
      </c>
      <c r="Z78" s="100">
        <v>6</v>
      </c>
      <c r="AA78" s="100">
        <v>3312</v>
      </c>
      <c r="AB78" s="100">
        <v>3</v>
      </c>
      <c r="AC78" s="100">
        <v>1656</v>
      </c>
      <c r="AD78" s="100">
        <v>4</v>
      </c>
      <c r="AE78" s="100">
        <v>2208</v>
      </c>
      <c r="AF78" s="100">
        <v>5</v>
      </c>
      <c r="AG78" s="100">
        <v>2760</v>
      </c>
      <c r="AH78" s="100">
        <v>5.5130579396807793</v>
      </c>
      <c r="AI78" s="100">
        <v>3043.2079827037901</v>
      </c>
      <c r="AJ78" s="100">
        <v>3.3461606302087805</v>
      </c>
      <c r="AK78" s="100">
        <v>1847.0806678752469</v>
      </c>
      <c r="AL78" s="100">
        <v>4.7112680039929247</v>
      </c>
      <c r="AM78" s="100">
        <v>2600.6199382040945</v>
      </c>
      <c r="AN78" s="100">
        <v>2.6124709286373069E-4</v>
      </c>
      <c r="AO78" s="100">
        <v>0.14420839526077933</v>
      </c>
      <c r="AP78" s="100">
        <v>4.571329350408976</v>
      </c>
      <c r="AQ78" s="100">
        <v>2523.3738014257547</v>
      </c>
      <c r="AR78" s="100">
        <v>4.0461603045603702</v>
      </c>
      <c r="AS78" s="100">
        <v>2233.4804881173245</v>
      </c>
      <c r="AT78" s="100">
        <v>3.9584275532285416</v>
      </c>
      <c r="AU78" s="100">
        <v>2185.0520093821551</v>
      </c>
      <c r="AV78" s="100">
        <v>2.7687466041465947</v>
      </c>
      <c r="AW78" s="100">
        <v>1528.3481254889202</v>
      </c>
      <c r="AX78" s="100">
        <v>2.2594908831288087</v>
      </c>
      <c r="AY78" s="100">
        <v>1247.2389674871024</v>
      </c>
      <c r="AZ78" s="100">
        <v>4.2750394851046902</v>
      </c>
      <c r="BA78" s="100">
        <v>2359.8217957777888</v>
      </c>
      <c r="BB78" s="100">
        <v>4.0358687709775616</v>
      </c>
      <c r="BC78" s="100">
        <v>2227.799561579614</v>
      </c>
      <c r="BD78" s="100">
        <v>4</v>
      </c>
      <c r="BE78" s="100">
        <v>2208</v>
      </c>
      <c r="BF78" s="100">
        <v>3.5711903625312633</v>
      </c>
      <c r="BG78" s="100">
        <v>1971.2970801172573</v>
      </c>
      <c r="BH78" s="100">
        <v>1.9533331717794569</v>
      </c>
      <c r="BI78" s="100">
        <v>1078.2399108222603</v>
      </c>
      <c r="BJ78" s="100">
        <v>6</v>
      </c>
      <c r="BK78" s="100">
        <v>3312</v>
      </c>
      <c r="BL78" s="100">
        <v>4</v>
      </c>
      <c r="BM78" s="100">
        <v>2208</v>
      </c>
      <c r="BN78" s="100">
        <v>6</v>
      </c>
      <c r="BO78" s="100">
        <v>3312</v>
      </c>
      <c r="BP78" s="100">
        <v>3</v>
      </c>
      <c r="BQ78" s="100">
        <v>1656</v>
      </c>
      <c r="BR78" s="100">
        <v>4.2308115388089336</v>
      </c>
      <c r="BS78" s="100">
        <v>2335.4079694225316</v>
      </c>
      <c r="BT78" s="100">
        <v>2.3258554953237338</v>
      </c>
      <c r="BU78" s="100">
        <v>1283.8722334187012</v>
      </c>
      <c r="BV78" s="100">
        <v>6</v>
      </c>
      <c r="BW78" s="100">
        <v>3312</v>
      </c>
      <c r="BX78" s="100">
        <v>3.1351328571149475</v>
      </c>
      <c r="BY78" s="100">
        <v>1730.5933371274509</v>
      </c>
      <c r="BZ78" s="100">
        <v>4</v>
      </c>
      <c r="CA78" s="100">
        <v>2208</v>
      </c>
      <c r="CB78" s="100">
        <v>5.3267614309179239</v>
      </c>
      <c r="CC78" s="100">
        <v>2940.3723098666942</v>
      </c>
      <c r="CD78" s="100">
        <v>6</v>
      </c>
      <c r="CE78" s="100">
        <v>3312</v>
      </c>
      <c r="CF78" s="100">
        <v>1.9211838737672542</v>
      </c>
      <c r="CG78" s="100">
        <v>1060.4934983195244</v>
      </c>
      <c r="CH78" s="100">
        <v>3</v>
      </c>
      <c r="CI78" s="100">
        <v>1656</v>
      </c>
      <c r="CJ78" s="100">
        <v>5</v>
      </c>
      <c r="CK78" s="100">
        <v>2760</v>
      </c>
      <c r="CL78" s="100">
        <v>4</v>
      </c>
      <c r="CM78" s="100">
        <v>2208</v>
      </c>
      <c r="CN78" s="100">
        <v>6</v>
      </c>
      <c r="CO78" s="100">
        <v>3312</v>
      </c>
      <c r="CP78" s="100">
        <v>4.6587085249717592</v>
      </c>
      <c r="CQ78" s="100">
        <v>2571.607105784411</v>
      </c>
      <c r="CR78" s="100">
        <v>2.71349807787769</v>
      </c>
      <c r="CS78" s="100">
        <v>1497.8509389884848</v>
      </c>
      <c r="CT78" s="100">
        <v>6</v>
      </c>
      <c r="CU78" s="100">
        <v>3312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4</v>
      </c>
      <c r="G79" s="100">
        <v>3028.7999999999997</v>
      </c>
      <c r="H79" s="100">
        <v>4</v>
      </c>
      <c r="I79" s="100">
        <v>3028.7999999999997</v>
      </c>
      <c r="J79" s="100">
        <v>3</v>
      </c>
      <c r="K79" s="100">
        <v>2271.6</v>
      </c>
      <c r="L79" s="100">
        <v>4</v>
      </c>
      <c r="M79" s="100">
        <v>3028.7999999999997</v>
      </c>
      <c r="N79" s="100">
        <v>2.1628723115872459</v>
      </c>
      <c r="O79" s="100">
        <v>1637.7269143338624</v>
      </c>
      <c r="P79" s="100">
        <v>5</v>
      </c>
      <c r="Q79" s="100">
        <v>3785.9999999999995</v>
      </c>
      <c r="R79" s="100">
        <v>6</v>
      </c>
      <c r="S79" s="100">
        <v>4543.2</v>
      </c>
      <c r="T79" s="100">
        <v>3</v>
      </c>
      <c r="U79" s="100">
        <v>2271.6</v>
      </c>
      <c r="V79" s="100">
        <v>5</v>
      </c>
      <c r="W79" s="100">
        <v>3785.9999999999995</v>
      </c>
      <c r="X79" s="100">
        <v>4</v>
      </c>
      <c r="Y79" s="100">
        <v>3028.7999999999997</v>
      </c>
      <c r="Z79" s="100">
        <v>6</v>
      </c>
      <c r="AA79" s="100">
        <v>4543.2</v>
      </c>
      <c r="AB79" s="100">
        <v>3</v>
      </c>
      <c r="AC79" s="100">
        <v>2271.6</v>
      </c>
      <c r="AD79" s="100">
        <v>5</v>
      </c>
      <c r="AE79" s="100">
        <v>3785.9999999999995</v>
      </c>
      <c r="AF79" s="100">
        <v>5</v>
      </c>
      <c r="AG79" s="100">
        <v>3785.9999999999995</v>
      </c>
      <c r="AH79" s="100">
        <v>5.5130579396807793</v>
      </c>
      <c r="AI79" s="100">
        <v>4174.4874719262853</v>
      </c>
      <c r="AJ79" s="100">
        <v>3.3461606302087805</v>
      </c>
      <c r="AK79" s="100">
        <v>2533.7128291940885</v>
      </c>
      <c r="AL79" s="100">
        <v>4.7112680039929247</v>
      </c>
      <c r="AM79" s="100">
        <v>3567.3721326234422</v>
      </c>
      <c r="AN79" s="100">
        <v>3.483294571516409E-4</v>
      </c>
      <c r="AO79" s="100">
        <v>0.26375506495522244</v>
      </c>
      <c r="AP79" s="100">
        <v>4.571329350408976</v>
      </c>
      <c r="AQ79" s="100">
        <v>3461.4105841296764</v>
      </c>
      <c r="AR79" s="100">
        <v>4.0461603045603702</v>
      </c>
      <c r="AS79" s="100">
        <v>3063.7525826131123</v>
      </c>
      <c r="AT79" s="100">
        <v>3.9765925424245618</v>
      </c>
      <c r="AU79" s="100">
        <v>3011.075873123878</v>
      </c>
      <c r="AV79" s="100">
        <v>3.148361438796341</v>
      </c>
      <c r="AW79" s="100">
        <v>2383.939281456589</v>
      </c>
      <c r="AX79" s="100">
        <v>2.2594908831288087</v>
      </c>
      <c r="AY79" s="100">
        <v>1710.8864967051338</v>
      </c>
      <c r="AZ79" s="100">
        <v>4.2750394851046902</v>
      </c>
      <c r="BA79" s="100">
        <v>3237.0598981212711</v>
      </c>
      <c r="BB79" s="100">
        <v>4.0358687709775616</v>
      </c>
      <c r="BC79" s="100">
        <v>3055.9598333842096</v>
      </c>
      <c r="BD79" s="100">
        <v>4</v>
      </c>
      <c r="BE79" s="100">
        <v>3028.7999999999997</v>
      </c>
      <c r="BF79" s="100">
        <v>4.5711903625312633</v>
      </c>
      <c r="BG79" s="100">
        <v>3461.3053425086723</v>
      </c>
      <c r="BH79" s="100">
        <v>2.4416664647243209</v>
      </c>
      <c r="BI79" s="100">
        <v>1848.8298470892557</v>
      </c>
      <c r="BJ79" s="100">
        <v>5</v>
      </c>
      <c r="BK79" s="100">
        <v>3785.9999999999995</v>
      </c>
      <c r="BL79" s="100">
        <v>4</v>
      </c>
      <c r="BM79" s="100">
        <v>3028.7999999999997</v>
      </c>
      <c r="BN79" s="100">
        <v>6</v>
      </c>
      <c r="BO79" s="100">
        <v>4543.2</v>
      </c>
      <c r="BP79" s="100">
        <v>3</v>
      </c>
      <c r="BQ79" s="100">
        <v>2271.6</v>
      </c>
      <c r="BR79" s="100">
        <v>4.558116424028424</v>
      </c>
      <c r="BS79" s="100">
        <v>3451.4057562743224</v>
      </c>
      <c r="BT79" s="100">
        <v>2.9073193691546675</v>
      </c>
      <c r="BU79" s="100">
        <v>2201.4222263239139</v>
      </c>
      <c r="BV79" s="100">
        <v>6</v>
      </c>
      <c r="BW79" s="100">
        <v>4543.2</v>
      </c>
      <c r="BX79" s="100">
        <v>3.1351328571149475</v>
      </c>
      <c r="BY79" s="100">
        <v>2373.9225994074382</v>
      </c>
      <c r="BZ79" s="100">
        <v>4</v>
      </c>
      <c r="CA79" s="100">
        <v>3028.7999999999997</v>
      </c>
      <c r="CB79" s="100">
        <v>3.8048295935128023</v>
      </c>
      <c r="CC79" s="100">
        <v>2881.0169682078936</v>
      </c>
      <c r="CD79" s="100">
        <v>5</v>
      </c>
      <c r="CE79" s="100">
        <v>3785.9999999999995</v>
      </c>
      <c r="CF79" s="100">
        <v>1.9211838737672542</v>
      </c>
      <c r="CG79" s="100">
        <v>1454.7204292165648</v>
      </c>
      <c r="CH79" s="100">
        <v>4</v>
      </c>
      <c r="CI79" s="100">
        <v>3028.7999999999997</v>
      </c>
      <c r="CJ79" s="100">
        <v>5</v>
      </c>
      <c r="CK79" s="100">
        <v>3785.9999999999995</v>
      </c>
      <c r="CL79" s="100">
        <v>4</v>
      </c>
      <c r="CM79" s="100">
        <v>3028.7999999999997</v>
      </c>
      <c r="CN79" s="100">
        <v>5</v>
      </c>
      <c r="CO79" s="100">
        <v>3785.9999999999995</v>
      </c>
      <c r="CP79" s="100">
        <v>4.5792284795651046</v>
      </c>
      <c r="CQ79" s="100">
        <v>3467.391804726697</v>
      </c>
      <c r="CR79" s="100">
        <v>2.71349807787769</v>
      </c>
      <c r="CS79" s="100">
        <v>2054.6607445689865</v>
      </c>
      <c r="CT79" s="100">
        <v>6</v>
      </c>
      <c r="CU79" s="100">
        <v>4543.2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4</v>
      </c>
      <c r="G80" s="100">
        <v>3220.7999999999997</v>
      </c>
      <c r="H80" s="100">
        <v>3</v>
      </c>
      <c r="I80" s="100">
        <v>2415.6</v>
      </c>
      <c r="J80" s="100">
        <v>3</v>
      </c>
      <c r="K80" s="100">
        <v>2415.6</v>
      </c>
      <c r="L80" s="100">
        <v>4</v>
      </c>
      <c r="M80" s="100">
        <v>3220.7999999999997</v>
      </c>
      <c r="N80" s="100">
        <v>2.1628723115872459</v>
      </c>
      <c r="O80" s="100">
        <v>1741.5447852900502</v>
      </c>
      <c r="P80" s="100">
        <v>5</v>
      </c>
      <c r="Q80" s="100">
        <v>4025.9999999999995</v>
      </c>
      <c r="R80" s="100">
        <v>5</v>
      </c>
      <c r="S80" s="100">
        <v>4025.9999999999995</v>
      </c>
      <c r="T80" s="100">
        <v>3</v>
      </c>
      <c r="U80" s="100">
        <v>2415.6</v>
      </c>
      <c r="V80" s="100">
        <v>5</v>
      </c>
      <c r="W80" s="100">
        <v>4025.9999999999995</v>
      </c>
      <c r="X80" s="100">
        <v>4</v>
      </c>
      <c r="Y80" s="100">
        <v>3220.7999999999997</v>
      </c>
      <c r="Z80" s="100">
        <v>6</v>
      </c>
      <c r="AA80" s="100">
        <v>4831.2</v>
      </c>
      <c r="AB80" s="100">
        <v>3</v>
      </c>
      <c r="AC80" s="100">
        <v>2415.6</v>
      </c>
      <c r="AD80" s="100">
        <v>4</v>
      </c>
      <c r="AE80" s="100">
        <v>3220.7999999999997</v>
      </c>
      <c r="AF80" s="100">
        <v>5</v>
      </c>
      <c r="AG80" s="100">
        <v>4025.9999999999995</v>
      </c>
      <c r="AH80" s="100">
        <v>5.5130579396807793</v>
      </c>
      <c r="AI80" s="100">
        <v>4439.1142530309635</v>
      </c>
      <c r="AJ80" s="100">
        <v>4.1827007877609761</v>
      </c>
      <c r="AK80" s="100">
        <v>3367.9106743051375</v>
      </c>
      <c r="AL80" s="100">
        <v>4.7112680039929247</v>
      </c>
      <c r="AM80" s="100">
        <v>3793.5129968151027</v>
      </c>
      <c r="AN80" s="100">
        <v>3.483294571516409E-4</v>
      </c>
      <c r="AO80" s="100">
        <v>0.28047487889850126</v>
      </c>
      <c r="AP80" s="100">
        <v>4.571329350408976</v>
      </c>
      <c r="AQ80" s="100">
        <v>3680.8343929493071</v>
      </c>
      <c r="AR80" s="100">
        <v>4.0461603045603702</v>
      </c>
      <c r="AS80" s="100">
        <v>3257.9682772320098</v>
      </c>
      <c r="AT80" s="100">
        <v>3.9584275532285416</v>
      </c>
      <c r="AU80" s="100">
        <v>3187.3258658596214</v>
      </c>
      <c r="AV80" s="100">
        <v>2.7687466041465947</v>
      </c>
      <c r="AW80" s="100">
        <v>2229.394765658838</v>
      </c>
      <c r="AX80" s="100">
        <v>2.2594908831288087</v>
      </c>
      <c r="AY80" s="100">
        <v>1819.3420590953167</v>
      </c>
      <c r="AZ80" s="100">
        <v>4.2750394851046902</v>
      </c>
      <c r="BA80" s="100">
        <v>3442.2617934062964</v>
      </c>
      <c r="BB80" s="100">
        <v>4.0358687709775616</v>
      </c>
      <c r="BC80" s="100">
        <v>3249.6815343911321</v>
      </c>
      <c r="BD80" s="100">
        <v>3</v>
      </c>
      <c r="BE80" s="100">
        <v>2415.6</v>
      </c>
      <c r="BF80" s="100">
        <v>3.5711903625312633</v>
      </c>
      <c r="BG80" s="100">
        <v>2875.5224799101729</v>
      </c>
      <c r="BH80" s="100">
        <v>1.9533331717794569</v>
      </c>
      <c r="BI80" s="100">
        <v>1572.8238699168185</v>
      </c>
      <c r="BJ80" s="100">
        <v>5</v>
      </c>
      <c r="BK80" s="100">
        <v>4025.9999999999995</v>
      </c>
      <c r="BL80" s="100">
        <v>4</v>
      </c>
      <c r="BM80" s="100">
        <v>3220.7999999999997</v>
      </c>
      <c r="BN80" s="100">
        <v>5</v>
      </c>
      <c r="BO80" s="100">
        <v>4025.9999999999995</v>
      </c>
      <c r="BP80" s="100">
        <v>3</v>
      </c>
      <c r="BQ80" s="100">
        <v>2415.6</v>
      </c>
      <c r="BR80" s="100">
        <v>3.7119541162666372</v>
      </c>
      <c r="BS80" s="100">
        <v>2988.8654544178962</v>
      </c>
      <c r="BT80" s="100">
        <v>2.9073193691546675</v>
      </c>
      <c r="BU80" s="100">
        <v>2340.9735560433382</v>
      </c>
      <c r="BV80" s="100">
        <v>5</v>
      </c>
      <c r="BW80" s="100">
        <v>4025.9999999999995</v>
      </c>
      <c r="BX80" s="100">
        <v>2.6126107142624564</v>
      </c>
      <c r="BY80" s="100">
        <v>2103.6741471241298</v>
      </c>
      <c r="BZ80" s="100">
        <v>4</v>
      </c>
      <c r="CA80" s="100">
        <v>3220.7999999999997</v>
      </c>
      <c r="CB80" s="100">
        <v>4.5657955122153631</v>
      </c>
      <c r="CC80" s="100">
        <v>3676.3785464358102</v>
      </c>
      <c r="CD80" s="100">
        <v>5</v>
      </c>
      <c r="CE80" s="100">
        <v>4025.9999999999995</v>
      </c>
      <c r="CF80" s="100">
        <v>1.9211838737672542</v>
      </c>
      <c r="CG80" s="100">
        <v>1546.9372551573929</v>
      </c>
      <c r="CH80" s="100">
        <v>4</v>
      </c>
      <c r="CI80" s="100">
        <v>3220.7999999999997</v>
      </c>
      <c r="CJ80" s="100">
        <v>5</v>
      </c>
      <c r="CK80" s="100">
        <v>4025.9999999999995</v>
      </c>
      <c r="CL80" s="100">
        <v>5</v>
      </c>
      <c r="CM80" s="100">
        <v>4025.9999999999995</v>
      </c>
      <c r="CN80" s="100">
        <v>5</v>
      </c>
      <c r="CO80" s="100">
        <v>4025.9999999999995</v>
      </c>
      <c r="CP80" s="100">
        <v>4.5792284795651046</v>
      </c>
      <c r="CQ80" s="100">
        <v>3687.194771745822</v>
      </c>
      <c r="CR80" s="100">
        <v>2.71349807787769</v>
      </c>
      <c r="CS80" s="100">
        <v>2184.908652307116</v>
      </c>
      <c r="CT80" s="100">
        <v>6</v>
      </c>
      <c r="CU80" s="100">
        <v>4831.2</v>
      </c>
    </row>
    <row r="81" spans="2:99">
      <c r="C81" s="99" t="s">
        <v>247</v>
      </c>
      <c r="D81" s="100">
        <v>4</v>
      </c>
      <c r="E81" s="100">
        <v>3014.4</v>
      </c>
      <c r="F81" s="100">
        <v>4</v>
      </c>
      <c r="G81" s="100">
        <v>3014.4</v>
      </c>
      <c r="H81" s="100">
        <v>3</v>
      </c>
      <c r="I81" s="100">
        <v>2260.8000000000002</v>
      </c>
      <c r="J81" s="100">
        <v>3</v>
      </c>
      <c r="K81" s="100">
        <v>2260.8000000000002</v>
      </c>
      <c r="L81" s="100">
        <v>3</v>
      </c>
      <c r="M81" s="100">
        <v>2260.8000000000002</v>
      </c>
      <c r="N81" s="100">
        <v>2.1628723115872459</v>
      </c>
      <c r="O81" s="100">
        <v>1629.9405740121485</v>
      </c>
      <c r="P81" s="100">
        <v>5</v>
      </c>
      <c r="Q81" s="100">
        <v>3768</v>
      </c>
      <c r="R81" s="100">
        <v>6</v>
      </c>
      <c r="S81" s="100">
        <v>4521.6000000000004</v>
      </c>
      <c r="T81" s="100">
        <v>3</v>
      </c>
      <c r="U81" s="100">
        <v>2260.8000000000002</v>
      </c>
      <c r="V81" s="100">
        <v>5</v>
      </c>
      <c r="W81" s="100">
        <v>3768</v>
      </c>
      <c r="X81" s="100">
        <v>4</v>
      </c>
      <c r="Y81" s="100">
        <v>3014.4</v>
      </c>
      <c r="Z81" s="100">
        <v>6</v>
      </c>
      <c r="AA81" s="100">
        <v>4521.6000000000004</v>
      </c>
      <c r="AB81" s="100">
        <v>4</v>
      </c>
      <c r="AC81" s="100">
        <v>3014.4</v>
      </c>
      <c r="AD81" s="100">
        <v>4</v>
      </c>
      <c r="AE81" s="100">
        <v>3014.4</v>
      </c>
      <c r="AF81" s="100">
        <v>4</v>
      </c>
      <c r="AG81" s="100">
        <v>3014.4</v>
      </c>
      <c r="AH81" s="100">
        <v>6.5130579396807793</v>
      </c>
      <c r="AI81" s="100">
        <v>4908.2404633434353</v>
      </c>
      <c r="AJ81" s="100">
        <v>3.3461606302087805</v>
      </c>
      <c r="AK81" s="100">
        <v>2521.6666509253369</v>
      </c>
      <c r="AL81" s="100">
        <v>3.9260566699941042</v>
      </c>
      <c r="AM81" s="100">
        <v>2958.676306507557</v>
      </c>
      <c r="AN81" s="100">
        <v>2.6124709286373069E-4</v>
      </c>
      <c r="AO81" s="100">
        <v>0.19687580918210745</v>
      </c>
      <c r="AP81" s="100">
        <v>4.571329350408976</v>
      </c>
      <c r="AQ81" s="100">
        <v>3444.9537984682042</v>
      </c>
      <c r="AR81" s="100">
        <v>4</v>
      </c>
      <c r="AS81" s="100">
        <v>3014.4</v>
      </c>
      <c r="AT81" s="100">
        <v>3.3380471042818285</v>
      </c>
      <c r="AU81" s="100">
        <v>2515.5522977867859</v>
      </c>
      <c r="AV81" s="100">
        <v>2.0765599531099461</v>
      </c>
      <c r="AW81" s="100">
        <v>1564.8955806636554</v>
      </c>
      <c r="AX81" s="100">
        <v>2.2594908831288087</v>
      </c>
      <c r="AY81" s="100">
        <v>1702.7523295258704</v>
      </c>
      <c r="AZ81" s="100">
        <v>4.2750394851046902</v>
      </c>
      <c r="BA81" s="100">
        <v>3221.6697559748945</v>
      </c>
      <c r="BB81" s="100">
        <v>4.0358687709775616</v>
      </c>
      <c r="BC81" s="100">
        <v>3041.4307058086906</v>
      </c>
      <c r="BD81" s="100">
        <v>3</v>
      </c>
      <c r="BE81" s="100">
        <v>2260.8000000000002</v>
      </c>
      <c r="BF81" s="100">
        <v>4</v>
      </c>
      <c r="BG81" s="100">
        <v>3014.4</v>
      </c>
      <c r="BH81" s="100">
        <v>1.9533331717794569</v>
      </c>
      <c r="BI81" s="100">
        <v>1472.0318782529987</v>
      </c>
      <c r="BJ81" s="100">
        <v>5</v>
      </c>
      <c r="BK81" s="100">
        <v>3768</v>
      </c>
      <c r="BL81" s="100">
        <v>4</v>
      </c>
      <c r="BM81" s="100">
        <v>3014.4</v>
      </c>
      <c r="BN81" s="100">
        <v>5</v>
      </c>
      <c r="BO81" s="100">
        <v>3768</v>
      </c>
      <c r="BP81" s="100">
        <v>3</v>
      </c>
      <c r="BQ81" s="100">
        <v>2260.8000000000002</v>
      </c>
      <c r="BR81" s="100">
        <v>4.558116424028424</v>
      </c>
      <c r="BS81" s="100">
        <v>3434.9965371478206</v>
      </c>
      <c r="BT81" s="100">
        <v>2.9073193691546675</v>
      </c>
      <c r="BU81" s="100">
        <v>2190.9558765949573</v>
      </c>
      <c r="BV81" s="100">
        <v>5.2496712176099471</v>
      </c>
      <c r="BW81" s="100">
        <v>3956.1522295908562</v>
      </c>
      <c r="BX81" s="100">
        <v>3.1351328571149475</v>
      </c>
      <c r="BY81" s="100">
        <v>2362.6361211218245</v>
      </c>
      <c r="BZ81" s="100">
        <v>3</v>
      </c>
      <c r="CA81" s="100">
        <v>2260.8000000000002</v>
      </c>
      <c r="CB81" s="100">
        <v>4.5657955122153631</v>
      </c>
      <c r="CC81" s="100">
        <v>3440.7834980054977</v>
      </c>
      <c r="CD81" s="100">
        <v>5</v>
      </c>
      <c r="CE81" s="100">
        <v>3768</v>
      </c>
      <c r="CF81" s="100">
        <v>1.9211838737672542</v>
      </c>
      <c r="CG81" s="100">
        <v>1447.8041672710028</v>
      </c>
      <c r="CH81" s="100">
        <v>4</v>
      </c>
      <c r="CI81" s="100">
        <v>3014.4</v>
      </c>
      <c r="CJ81" s="100">
        <v>5</v>
      </c>
      <c r="CK81" s="100">
        <v>3768</v>
      </c>
      <c r="CL81" s="100">
        <v>5</v>
      </c>
      <c r="CM81" s="100">
        <v>3768</v>
      </c>
      <c r="CN81" s="100">
        <v>6</v>
      </c>
      <c r="CO81" s="100">
        <v>4521.6000000000004</v>
      </c>
      <c r="CP81" s="100">
        <v>3.7349148245180728</v>
      </c>
      <c r="CQ81" s="100">
        <v>2814.6318117568198</v>
      </c>
      <c r="CR81" s="100">
        <v>2.71349807787769</v>
      </c>
      <c r="CS81" s="100">
        <v>2044.8921514886272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4</v>
      </c>
      <c r="G82" s="100">
        <v>2035.1999999999996</v>
      </c>
      <c r="H82" s="100">
        <v>3</v>
      </c>
      <c r="I82" s="100">
        <v>1526.3999999999996</v>
      </c>
      <c r="J82" s="100">
        <v>3</v>
      </c>
      <c r="K82" s="100">
        <v>1526.3999999999996</v>
      </c>
      <c r="L82" s="100">
        <v>3</v>
      </c>
      <c r="M82" s="100">
        <v>1526.3999999999996</v>
      </c>
      <c r="N82" s="100">
        <v>2.1628723115872459</v>
      </c>
      <c r="O82" s="100">
        <v>1100.4694321355905</v>
      </c>
      <c r="P82" s="100">
        <v>6</v>
      </c>
      <c r="Q82" s="100">
        <v>3052.7999999999993</v>
      </c>
      <c r="R82" s="100">
        <v>5</v>
      </c>
      <c r="S82" s="100">
        <v>2543.9999999999995</v>
      </c>
      <c r="T82" s="100">
        <v>3</v>
      </c>
      <c r="U82" s="100">
        <v>1526.3999999999996</v>
      </c>
      <c r="V82" s="100">
        <v>6</v>
      </c>
      <c r="W82" s="100">
        <v>3052.7999999999993</v>
      </c>
      <c r="X82" s="100">
        <v>4</v>
      </c>
      <c r="Y82" s="100">
        <v>2035.1999999999996</v>
      </c>
      <c r="Z82" s="100">
        <v>6</v>
      </c>
      <c r="AA82" s="100">
        <v>3052.7999999999993</v>
      </c>
      <c r="AB82" s="100">
        <v>3</v>
      </c>
      <c r="AC82" s="100">
        <v>1526.3999999999996</v>
      </c>
      <c r="AD82" s="100">
        <v>5</v>
      </c>
      <c r="AE82" s="100">
        <v>2543.9999999999995</v>
      </c>
      <c r="AF82" s="100">
        <v>5</v>
      </c>
      <c r="AG82" s="100">
        <v>2543.9999999999995</v>
      </c>
      <c r="AH82" s="100">
        <v>6.4664163088007092</v>
      </c>
      <c r="AI82" s="100">
        <v>3290.1126179178</v>
      </c>
      <c r="AJ82" s="100">
        <v>4.1827007877609761</v>
      </c>
      <c r="AK82" s="100">
        <v>2128.158160812784</v>
      </c>
      <c r="AL82" s="100">
        <v>4.7112680039929247</v>
      </c>
      <c r="AM82" s="100">
        <v>2397.0931604315997</v>
      </c>
      <c r="AN82" s="100">
        <v>3.483294571516409E-4</v>
      </c>
      <c r="AO82" s="100">
        <v>0.17723002779875485</v>
      </c>
      <c r="AP82" s="100">
        <v>3.8094411253408134</v>
      </c>
      <c r="AQ82" s="100">
        <v>1938.2436445734054</v>
      </c>
      <c r="AR82" s="100">
        <v>4.0461603045603702</v>
      </c>
      <c r="AS82" s="100">
        <v>2058.6863629603158</v>
      </c>
      <c r="AT82" s="100">
        <v>3.9765925424245618</v>
      </c>
      <c r="AU82" s="100">
        <v>2023.2902855856166</v>
      </c>
      <c r="AV82" s="100">
        <v>3.2173823178235685</v>
      </c>
      <c r="AW82" s="100">
        <v>1637.0041233086313</v>
      </c>
      <c r="AX82" s="100">
        <v>2.2594908831288087</v>
      </c>
      <c r="AY82" s="100">
        <v>1149.6289613359377</v>
      </c>
      <c r="AZ82" s="100">
        <v>4.2750394851046902</v>
      </c>
      <c r="BA82" s="100">
        <v>2175.1400900212661</v>
      </c>
      <c r="BB82" s="100">
        <v>4.0358687709775616</v>
      </c>
      <c r="BC82" s="100">
        <v>2053.450030673383</v>
      </c>
      <c r="BD82" s="100">
        <v>3</v>
      </c>
      <c r="BE82" s="100">
        <v>1526.3999999999996</v>
      </c>
      <c r="BF82" s="100">
        <v>4</v>
      </c>
      <c r="BG82" s="100">
        <v>2035.1999999999996</v>
      </c>
      <c r="BH82" s="100">
        <v>1.9533331717794569</v>
      </c>
      <c r="BI82" s="100">
        <v>993.85591780138748</v>
      </c>
      <c r="BJ82" s="100">
        <v>6</v>
      </c>
      <c r="BK82" s="100">
        <v>3052.7999999999993</v>
      </c>
      <c r="BL82" s="100">
        <v>4</v>
      </c>
      <c r="BM82" s="100">
        <v>2035.1999999999996</v>
      </c>
      <c r="BN82" s="100">
        <v>6</v>
      </c>
      <c r="BO82" s="100">
        <v>3052.7999999999993</v>
      </c>
      <c r="BP82" s="100">
        <v>3</v>
      </c>
      <c r="BQ82" s="100">
        <v>1526.3999999999996</v>
      </c>
      <c r="BR82" s="100">
        <v>4.558116424028424</v>
      </c>
      <c r="BS82" s="100">
        <v>2319.1696365456614</v>
      </c>
      <c r="BT82" s="100">
        <v>2.9073193691546675</v>
      </c>
      <c r="BU82" s="100">
        <v>1479.2440950258945</v>
      </c>
      <c r="BV82" s="100">
        <v>6.2496712176099471</v>
      </c>
      <c r="BW82" s="100">
        <v>3179.8327155199404</v>
      </c>
      <c r="BX82" s="100">
        <v>3.1351328571149475</v>
      </c>
      <c r="BY82" s="100">
        <v>1595.1555977000849</v>
      </c>
      <c r="BZ82" s="100">
        <v>4</v>
      </c>
      <c r="CA82" s="100">
        <v>2035.1999999999996</v>
      </c>
      <c r="CB82" s="100">
        <v>4.5657955122153631</v>
      </c>
      <c r="CC82" s="100">
        <v>2323.0767566151762</v>
      </c>
      <c r="CD82" s="100">
        <v>5</v>
      </c>
      <c r="CE82" s="100">
        <v>2543.9999999999995</v>
      </c>
      <c r="CF82" s="100">
        <v>1.9211838737672542</v>
      </c>
      <c r="CG82" s="100">
        <v>977.49835497277877</v>
      </c>
      <c r="CH82" s="100">
        <v>3</v>
      </c>
      <c r="CI82" s="100">
        <v>1526.3999999999996</v>
      </c>
      <c r="CJ82" s="100">
        <v>5</v>
      </c>
      <c r="CK82" s="100">
        <v>2543.9999999999995</v>
      </c>
      <c r="CL82" s="100">
        <v>4</v>
      </c>
      <c r="CM82" s="100">
        <v>2035.1999999999996</v>
      </c>
      <c r="CN82" s="100">
        <v>6</v>
      </c>
      <c r="CO82" s="100">
        <v>3052.7999999999993</v>
      </c>
      <c r="CP82" s="100">
        <v>4.6587085249717592</v>
      </c>
      <c r="CQ82" s="100">
        <v>2370.3508975056307</v>
      </c>
      <c r="CR82" s="100">
        <v>2.71349807787769</v>
      </c>
      <c r="CS82" s="100">
        <v>1380.6278220241684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4</v>
      </c>
      <c r="E83" s="100">
        <v>3441.6</v>
      </c>
      <c r="F83" s="100">
        <v>4</v>
      </c>
      <c r="G83" s="100">
        <v>3441.6</v>
      </c>
      <c r="H83" s="100">
        <v>4</v>
      </c>
      <c r="I83" s="100">
        <v>3441.6</v>
      </c>
      <c r="J83" s="100">
        <v>3</v>
      </c>
      <c r="K83" s="100">
        <v>2581.1999999999998</v>
      </c>
      <c r="L83" s="100">
        <v>3</v>
      </c>
      <c r="M83" s="100">
        <v>2581.1999999999998</v>
      </c>
      <c r="N83" s="100">
        <v>2.1628723115872459</v>
      </c>
      <c r="O83" s="100">
        <v>1860.9353368896664</v>
      </c>
      <c r="P83" s="100">
        <v>5</v>
      </c>
      <c r="Q83" s="100">
        <v>4302</v>
      </c>
      <c r="R83" s="100">
        <v>5</v>
      </c>
      <c r="S83" s="100">
        <v>4302</v>
      </c>
      <c r="T83" s="100">
        <v>3</v>
      </c>
      <c r="U83" s="100">
        <v>2581.1999999999998</v>
      </c>
      <c r="V83" s="100">
        <v>5</v>
      </c>
      <c r="W83" s="100">
        <v>4302</v>
      </c>
      <c r="X83" s="100">
        <v>4</v>
      </c>
      <c r="Y83" s="100">
        <v>3441.6</v>
      </c>
      <c r="Z83" s="100">
        <v>6</v>
      </c>
      <c r="AA83" s="100">
        <v>5162.3999999999996</v>
      </c>
      <c r="AB83" s="100">
        <v>3</v>
      </c>
      <c r="AC83" s="100">
        <v>2581.1999999999998</v>
      </c>
      <c r="AD83" s="100">
        <v>4</v>
      </c>
      <c r="AE83" s="100">
        <v>3441.6</v>
      </c>
      <c r="AF83" s="100">
        <v>5</v>
      </c>
      <c r="AG83" s="100">
        <v>4302</v>
      </c>
      <c r="AH83" s="100">
        <v>6.5130579396807793</v>
      </c>
      <c r="AI83" s="100">
        <v>5603.835051301342</v>
      </c>
      <c r="AJ83" s="100">
        <v>4.1827007877609761</v>
      </c>
      <c r="AK83" s="100">
        <v>3598.7957577895436</v>
      </c>
      <c r="AL83" s="100">
        <v>3.9260566699941042</v>
      </c>
      <c r="AM83" s="100">
        <v>3377.9791588629273</v>
      </c>
      <c r="AN83" s="100">
        <v>3.483294571516409E-4</v>
      </c>
      <c r="AO83" s="100">
        <v>0.2997026649332718</v>
      </c>
      <c r="AP83" s="100">
        <v>3.8094411253408134</v>
      </c>
      <c r="AQ83" s="100">
        <v>3277.6431442432358</v>
      </c>
      <c r="AR83" s="100">
        <v>4.0461603045603702</v>
      </c>
      <c r="AS83" s="100">
        <v>3481.3163260437423</v>
      </c>
      <c r="AT83" s="100">
        <v>3.9765925424245618</v>
      </c>
      <c r="AU83" s="100">
        <v>3421.460223502093</v>
      </c>
      <c r="AV83" s="100">
        <v>2.0765599531099461</v>
      </c>
      <c r="AW83" s="100">
        <v>1786.6721836557977</v>
      </c>
      <c r="AX83" s="100">
        <v>2.2594908831288087</v>
      </c>
      <c r="AY83" s="100">
        <v>1944.065955844027</v>
      </c>
      <c r="AZ83" s="100">
        <v>4.2750394851046902</v>
      </c>
      <c r="BA83" s="100">
        <v>3678.2439729840753</v>
      </c>
      <c r="BB83" s="100">
        <v>4.0358687709775616</v>
      </c>
      <c r="BC83" s="100">
        <v>3472.4614905490939</v>
      </c>
      <c r="BD83" s="100">
        <v>3</v>
      </c>
      <c r="BE83" s="100">
        <v>2581.1999999999998</v>
      </c>
      <c r="BF83" s="100">
        <v>3</v>
      </c>
      <c r="BG83" s="100">
        <v>2581.1999999999998</v>
      </c>
      <c r="BH83" s="100">
        <v>2.4416664647243209</v>
      </c>
      <c r="BI83" s="100">
        <v>2100.8098262488056</v>
      </c>
      <c r="BJ83" s="100">
        <v>6</v>
      </c>
      <c r="BK83" s="100">
        <v>5162.3999999999996</v>
      </c>
      <c r="BL83" s="100">
        <v>4</v>
      </c>
      <c r="BM83" s="100">
        <v>3441.6</v>
      </c>
      <c r="BN83" s="100">
        <v>6</v>
      </c>
      <c r="BO83" s="100">
        <v>5162.3999999999996</v>
      </c>
      <c r="BP83" s="100">
        <v>3</v>
      </c>
      <c r="BQ83" s="100">
        <v>2581.1999999999998</v>
      </c>
      <c r="BR83" s="100">
        <v>4.558116424028424</v>
      </c>
      <c r="BS83" s="100">
        <v>3921.8033712340557</v>
      </c>
      <c r="BT83" s="100">
        <v>2.9073193691546675</v>
      </c>
      <c r="BU83" s="100">
        <v>2501.4575852206758</v>
      </c>
      <c r="BV83" s="100">
        <v>6</v>
      </c>
      <c r="BW83" s="100">
        <v>5162.3999999999996</v>
      </c>
      <c r="BX83" s="100">
        <v>3.1351328571149475</v>
      </c>
      <c r="BY83" s="100">
        <v>2697.4683102617009</v>
      </c>
      <c r="BZ83" s="100">
        <v>4</v>
      </c>
      <c r="CA83" s="100">
        <v>3441.6</v>
      </c>
      <c r="CB83" s="100">
        <v>4.5657955122153631</v>
      </c>
      <c r="CC83" s="100">
        <v>3928.4104587100983</v>
      </c>
      <c r="CD83" s="100">
        <v>6</v>
      </c>
      <c r="CE83" s="100">
        <v>5162.3999999999996</v>
      </c>
      <c r="CF83" s="100">
        <v>2.5615784983563392</v>
      </c>
      <c r="CG83" s="100">
        <v>2203.9821399857942</v>
      </c>
      <c r="CH83" s="100">
        <v>4</v>
      </c>
      <c r="CI83" s="100">
        <v>3441.6</v>
      </c>
      <c r="CJ83" s="100">
        <v>5</v>
      </c>
      <c r="CK83" s="100">
        <v>4302</v>
      </c>
      <c r="CL83" s="100">
        <v>4</v>
      </c>
      <c r="CM83" s="100">
        <v>3441.6</v>
      </c>
      <c r="CN83" s="100">
        <v>6</v>
      </c>
      <c r="CO83" s="100">
        <v>5162.3999999999996</v>
      </c>
      <c r="CP83" s="100">
        <v>4.6189685022684319</v>
      </c>
      <c r="CQ83" s="100">
        <v>3974.1604993517585</v>
      </c>
      <c r="CR83" s="100">
        <v>2.71349807787769</v>
      </c>
      <c r="CS83" s="100">
        <v>2334.6937462059645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4</v>
      </c>
      <c r="G84" s="100">
        <v>3124.7999999999997</v>
      </c>
      <c r="H84" s="100">
        <v>4</v>
      </c>
      <c r="I84" s="100">
        <v>3124.7999999999997</v>
      </c>
      <c r="J84" s="100">
        <v>3</v>
      </c>
      <c r="K84" s="100">
        <v>2343.6</v>
      </c>
      <c r="L84" s="100">
        <v>3</v>
      </c>
      <c r="M84" s="100">
        <v>2343.6</v>
      </c>
      <c r="N84" s="100">
        <v>2.1628723115872459</v>
      </c>
      <c r="O84" s="100">
        <v>1689.6358498119564</v>
      </c>
      <c r="P84" s="100">
        <v>5</v>
      </c>
      <c r="Q84" s="100">
        <v>3905.9999999999995</v>
      </c>
      <c r="R84" s="100">
        <v>5</v>
      </c>
      <c r="S84" s="100">
        <v>3905.9999999999995</v>
      </c>
      <c r="T84" s="100">
        <v>3</v>
      </c>
      <c r="U84" s="100">
        <v>2343.6</v>
      </c>
      <c r="V84" s="100">
        <v>6</v>
      </c>
      <c r="W84" s="100">
        <v>4687.2</v>
      </c>
      <c r="X84" s="100">
        <v>4</v>
      </c>
      <c r="Y84" s="100">
        <v>3124.7999999999997</v>
      </c>
      <c r="Z84" s="100">
        <v>6</v>
      </c>
      <c r="AA84" s="100">
        <v>4687.2</v>
      </c>
      <c r="AB84" s="100">
        <v>3</v>
      </c>
      <c r="AC84" s="100">
        <v>2343.6</v>
      </c>
      <c r="AD84" s="100">
        <v>4</v>
      </c>
      <c r="AE84" s="100">
        <v>3124.7999999999997</v>
      </c>
      <c r="AF84" s="100">
        <v>5</v>
      </c>
      <c r="AG84" s="100">
        <v>3905.9999999999995</v>
      </c>
      <c r="AH84" s="100">
        <v>5.5130579396807793</v>
      </c>
      <c r="AI84" s="100">
        <v>4306.8008624786244</v>
      </c>
      <c r="AJ84" s="100">
        <v>4.1827007877609761</v>
      </c>
      <c r="AK84" s="100">
        <v>3267.5258553988742</v>
      </c>
      <c r="AL84" s="100">
        <v>4.7112680039929247</v>
      </c>
      <c r="AM84" s="100">
        <v>3680.4425647192725</v>
      </c>
      <c r="AN84" s="100">
        <v>3.483294571516409E-4</v>
      </c>
      <c r="AO84" s="100">
        <v>0.27211497192686185</v>
      </c>
      <c r="AP84" s="100">
        <v>3.8094411253408134</v>
      </c>
      <c r="AQ84" s="100">
        <v>2975.9354071162429</v>
      </c>
      <c r="AR84" s="100">
        <v>4</v>
      </c>
      <c r="AS84" s="100">
        <v>3124.7999999999997</v>
      </c>
      <c r="AT84" s="100">
        <v>3.9765925424245618</v>
      </c>
      <c r="AU84" s="100">
        <v>3106.5140941420673</v>
      </c>
      <c r="AV84" s="100">
        <v>2.0765599531099461</v>
      </c>
      <c r="AW84" s="100">
        <v>1622.2086353694897</v>
      </c>
      <c r="AX84" s="100">
        <v>2.2594908831288087</v>
      </c>
      <c r="AY84" s="100">
        <v>1765.1142779002253</v>
      </c>
      <c r="AZ84" s="100">
        <v>4.2750394851046902</v>
      </c>
      <c r="BA84" s="100">
        <v>3339.6608457637835</v>
      </c>
      <c r="BB84" s="100">
        <v>4.0358687709775616</v>
      </c>
      <c r="BC84" s="100">
        <v>3152.8206838876708</v>
      </c>
      <c r="BD84" s="100">
        <v>4</v>
      </c>
      <c r="BE84" s="100">
        <v>3124.7999999999997</v>
      </c>
      <c r="BF84" s="100">
        <v>4</v>
      </c>
      <c r="BG84" s="100">
        <v>3124.7999999999997</v>
      </c>
      <c r="BH84" s="100">
        <v>1.9533331717794569</v>
      </c>
      <c r="BI84" s="100">
        <v>1525.9438737941116</v>
      </c>
      <c r="BJ84" s="100">
        <v>5</v>
      </c>
      <c r="BK84" s="100">
        <v>3905.9999999999995</v>
      </c>
      <c r="BL84" s="100">
        <v>4</v>
      </c>
      <c r="BM84" s="100">
        <v>3124.7999999999997</v>
      </c>
      <c r="BN84" s="100">
        <v>6</v>
      </c>
      <c r="BO84" s="100">
        <v>4687.2</v>
      </c>
      <c r="BP84" s="100">
        <v>3</v>
      </c>
      <c r="BQ84" s="100">
        <v>2343.6</v>
      </c>
      <c r="BR84" s="100">
        <v>4.5944836334972567</v>
      </c>
      <c r="BS84" s="100">
        <v>3589.2106144880568</v>
      </c>
      <c r="BT84" s="100">
        <v>2.3258554953237338</v>
      </c>
      <c r="BU84" s="100">
        <v>1816.9583129469006</v>
      </c>
      <c r="BV84" s="100">
        <v>5</v>
      </c>
      <c r="BW84" s="100">
        <v>3905.9999999999995</v>
      </c>
      <c r="BX84" s="100">
        <v>2.6126107142624564</v>
      </c>
      <c r="BY84" s="100">
        <v>2040.9714899818307</v>
      </c>
      <c r="BZ84" s="100">
        <v>4</v>
      </c>
      <c r="CA84" s="100">
        <v>3124.7999999999997</v>
      </c>
      <c r="CB84" s="100">
        <v>4.5657955122153631</v>
      </c>
      <c r="CC84" s="100">
        <v>3566.7994541426415</v>
      </c>
      <c r="CD84" s="100">
        <v>5</v>
      </c>
      <c r="CE84" s="100">
        <v>3905.9999999999995</v>
      </c>
      <c r="CF84" s="100">
        <v>1.9211838737672542</v>
      </c>
      <c r="CG84" s="100">
        <v>1500.8288421869788</v>
      </c>
      <c r="CH84" s="100">
        <v>3</v>
      </c>
      <c r="CI84" s="100">
        <v>2343.6</v>
      </c>
      <c r="CJ84" s="100">
        <v>5</v>
      </c>
      <c r="CK84" s="100">
        <v>3905.9999999999995</v>
      </c>
      <c r="CL84" s="100">
        <v>5</v>
      </c>
      <c r="CM84" s="100">
        <v>3905.9999999999995</v>
      </c>
      <c r="CN84" s="100">
        <v>5</v>
      </c>
      <c r="CO84" s="100">
        <v>3905.9999999999995</v>
      </c>
      <c r="CP84" s="100">
        <v>4.6189685022684319</v>
      </c>
      <c r="CQ84" s="100">
        <v>3608.3381939720989</v>
      </c>
      <c r="CR84" s="100">
        <v>2.71349807787769</v>
      </c>
      <c r="CS84" s="100">
        <v>2119.7846984380512</v>
      </c>
      <c r="CT84" s="100">
        <v>6</v>
      </c>
      <c r="CU84" s="100">
        <v>4687.2</v>
      </c>
    </row>
    <row r="85" spans="2:99">
      <c r="C85" s="99" t="s">
        <v>251</v>
      </c>
      <c r="D85" s="100">
        <v>4</v>
      </c>
      <c r="E85" s="100">
        <v>600</v>
      </c>
      <c r="F85" s="100">
        <v>5</v>
      </c>
      <c r="G85" s="100">
        <v>750</v>
      </c>
      <c r="H85" s="100">
        <v>3</v>
      </c>
      <c r="I85" s="100">
        <v>450</v>
      </c>
      <c r="J85" s="100">
        <v>3</v>
      </c>
      <c r="K85" s="100">
        <v>450</v>
      </c>
      <c r="L85" s="100">
        <v>3</v>
      </c>
      <c r="M85" s="100">
        <v>450</v>
      </c>
      <c r="N85" s="100">
        <v>1.7302978492697967</v>
      </c>
      <c r="O85" s="100">
        <v>259.54467739046953</v>
      </c>
      <c r="P85" s="100">
        <v>5</v>
      </c>
      <c r="Q85" s="100">
        <v>750</v>
      </c>
      <c r="R85" s="100">
        <v>5</v>
      </c>
      <c r="S85" s="100">
        <v>750</v>
      </c>
      <c r="T85" s="100">
        <v>4</v>
      </c>
      <c r="U85" s="100">
        <v>600</v>
      </c>
      <c r="V85" s="100">
        <v>6</v>
      </c>
      <c r="W85" s="100">
        <v>900</v>
      </c>
      <c r="X85" s="100">
        <v>4</v>
      </c>
      <c r="Y85" s="100">
        <v>600</v>
      </c>
      <c r="Z85" s="100">
        <v>7</v>
      </c>
      <c r="AA85" s="100">
        <v>1050</v>
      </c>
      <c r="AB85" s="100">
        <v>3</v>
      </c>
      <c r="AC85" s="100">
        <v>450</v>
      </c>
      <c r="AD85" s="100">
        <v>4</v>
      </c>
      <c r="AE85" s="100">
        <v>600</v>
      </c>
      <c r="AF85" s="100">
        <v>5</v>
      </c>
      <c r="AG85" s="100">
        <v>750</v>
      </c>
      <c r="AH85" s="100">
        <v>5.5130579396807793</v>
      </c>
      <c r="AI85" s="100">
        <v>826.95869095211685</v>
      </c>
      <c r="AJ85" s="100">
        <v>4.1827007877609761</v>
      </c>
      <c r="AK85" s="100">
        <v>627.40511816414642</v>
      </c>
      <c r="AL85" s="100">
        <v>4.7112680039929247</v>
      </c>
      <c r="AM85" s="100">
        <v>706.69020059893865</v>
      </c>
      <c r="AN85" s="100">
        <v>3.483294571516409E-4</v>
      </c>
      <c r="AO85" s="100">
        <v>5.2249418572746134E-2</v>
      </c>
      <c r="AP85" s="100">
        <v>4.571329350408976</v>
      </c>
      <c r="AQ85" s="100">
        <v>685.69940256134646</v>
      </c>
      <c r="AR85" s="100">
        <v>4</v>
      </c>
      <c r="AS85" s="100">
        <v>600</v>
      </c>
      <c r="AT85" s="100">
        <v>3.9765925424245618</v>
      </c>
      <c r="AU85" s="100">
        <v>596.4888813636843</v>
      </c>
      <c r="AV85" s="100">
        <v>2.5251956667869191</v>
      </c>
      <c r="AW85" s="100">
        <v>378.77935001803786</v>
      </c>
      <c r="AX85" s="100">
        <v>3.012654510838412</v>
      </c>
      <c r="AY85" s="100">
        <v>451.89817662576178</v>
      </c>
      <c r="AZ85" s="100">
        <v>4.2750394851046902</v>
      </c>
      <c r="BA85" s="100">
        <v>641.25592276570353</v>
      </c>
      <c r="BB85" s="100">
        <v>4.8430425251730744</v>
      </c>
      <c r="BC85" s="100">
        <v>726.45637877596118</v>
      </c>
      <c r="BD85" s="100">
        <v>4</v>
      </c>
      <c r="BE85" s="100">
        <v>600</v>
      </c>
      <c r="BF85" s="100">
        <v>4</v>
      </c>
      <c r="BG85" s="100">
        <v>600</v>
      </c>
      <c r="BH85" s="100">
        <v>1.9533331717794569</v>
      </c>
      <c r="BI85" s="100">
        <v>292.99997576691851</v>
      </c>
      <c r="BJ85" s="100">
        <v>6</v>
      </c>
      <c r="BK85" s="100">
        <v>900</v>
      </c>
      <c r="BL85" s="100">
        <v>3</v>
      </c>
      <c r="BM85" s="100">
        <v>450</v>
      </c>
      <c r="BN85" s="100">
        <v>6</v>
      </c>
      <c r="BO85" s="100">
        <v>900</v>
      </c>
      <c r="BP85" s="100">
        <v>3</v>
      </c>
      <c r="BQ85" s="100">
        <v>450</v>
      </c>
      <c r="BR85" s="100">
        <v>4.2308115388089336</v>
      </c>
      <c r="BS85" s="100">
        <v>634.62173082134007</v>
      </c>
      <c r="BT85" s="100">
        <v>2.9073193691546675</v>
      </c>
      <c r="BU85" s="100">
        <v>436.09790537320015</v>
      </c>
      <c r="BV85" s="100">
        <v>5</v>
      </c>
      <c r="BW85" s="100">
        <v>750</v>
      </c>
      <c r="BX85" s="100">
        <v>3.1351328571149475</v>
      </c>
      <c r="BY85" s="100">
        <v>470.26992856724212</v>
      </c>
      <c r="BZ85" s="100">
        <v>4</v>
      </c>
      <c r="CA85" s="100">
        <v>600</v>
      </c>
      <c r="CB85" s="100">
        <v>4.5657955122153631</v>
      </c>
      <c r="CC85" s="100">
        <v>684.86932683230441</v>
      </c>
      <c r="CD85" s="100">
        <v>6.3919469977704759</v>
      </c>
      <c r="CE85" s="100">
        <v>958.79204966557143</v>
      </c>
      <c r="CF85" s="100">
        <v>1.9211838737672542</v>
      </c>
      <c r="CG85" s="100">
        <v>288.17758106508813</v>
      </c>
      <c r="CH85" s="100">
        <v>4</v>
      </c>
      <c r="CI85" s="100">
        <v>600</v>
      </c>
      <c r="CJ85" s="100">
        <v>5</v>
      </c>
      <c r="CK85" s="100">
        <v>750</v>
      </c>
      <c r="CL85" s="100">
        <v>4</v>
      </c>
      <c r="CM85" s="100">
        <v>600</v>
      </c>
      <c r="CN85" s="100">
        <v>6</v>
      </c>
      <c r="CO85" s="100">
        <v>900</v>
      </c>
      <c r="CP85" s="100">
        <v>4.6587085249717592</v>
      </c>
      <c r="CQ85" s="100">
        <v>698.80627874576385</v>
      </c>
      <c r="CR85" s="100">
        <v>3.3918725973471129</v>
      </c>
      <c r="CS85" s="100">
        <v>508.78088960206691</v>
      </c>
      <c r="CT85" s="100">
        <v>6</v>
      </c>
      <c r="CU85" s="100">
        <v>900</v>
      </c>
    </row>
    <row r="86" spans="2:99">
      <c r="C86" s="99" t="s">
        <v>252</v>
      </c>
      <c r="D86" s="100">
        <v>4</v>
      </c>
      <c r="E86" s="100">
        <v>2160</v>
      </c>
      <c r="F86" s="100">
        <v>4</v>
      </c>
      <c r="G86" s="100">
        <v>2160</v>
      </c>
      <c r="H86" s="100">
        <v>4</v>
      </c>
      <c r="I86" s="100">
        <v>2160</v>
      </c>
      <c r="J86" s="100">
        <v>3</v>
      </c>
      <c r="K86" s="100">
        <v>1620</v>
      </c>
      <c r="L86" s="100">
        <v>4</v>
      </c>
      <c r="M86" s="100">
        <v>2160</v>
      </c>
      <c r="N86" s="100">
        <v>2.1628723115872459</v>
      </c>
      <c r="O86" s="100">
        <v>1167.9510482571127</v>
      </c>
      <c r="P86" s="100">
        <v>5</v>
      </c>
      <c r="Q86" s="100">
        <v>2700</v>
      </c>
      <c r="R86" s="100">
        <v>5</v>
      </c>
      <c r="S86" s="100">
        <v>2700</v>
      </c>
      <c r="T86" s="100">
        <v>3</v>
      </c>
      <c r="U86" s="100">
        <v>1620</v>
      </c>
      <c r="V86" s="100">
        <v>5</v>
      </c>
      <c r="W86" s="100">
        <v>2700</v>
      </c>
      <c r="X86" s="100">
        <v>5</v>
      </c>
      <c r="Y86" s="100">
        <v>2700</v>
      </c>
      <c r="Z86" s="100">
        <v>7</v>
      </c>
      <c r="AA86" s="100">
        <v>3780</v>
      </c>
      <c r="AB86" s="100">
        <v>3</v>
      </c>
      <c r="AC86" s="100">
        <v>1620</v>
      </c>
      <c r="AD86" s="100">
        <v>4</v>
      </c>
      <c r="AE86" s="100">
        <v>2160</v>
      </c>
      <c r="AF86" s="100">
        <v>5</v>
      </c>
      <c r="AG86" s="100">
        <v>2700</v>
      </c>
      <c r="AH86" s="100">
        <v>5.5596995705608503</v>
      </c>
      <c r="AI86" s="100">
        <v>3002.2377681028593</v>
      </c>
      <c r="AJ86" s="100">
        <v>4.1827007877609761</v>
      </c>
      <c r="AK86" s="100">
        <v>2258.6584253909273</v>
      </c>
      <c r="AL86" s="100">
        <v>3.9260566699941042</v>
      </c>
      <c r="AM86" s="100">
        <v>2120.0706017968164</v>
      </c>
      <c r="AN86" s="100">
        <v>3.483294571516409E-4</v>
      </c>
      <c r="AO86" s="100">
        <v>0.1880979068618861</v>
      </c>
      <c r="AP86" s="100">
        <v>3.8094411253408134</v>
      </c>
      <c r="AQ86" s="100">
        <v>2057.0982076840392</v>
      </c>
      <c r="AR86" s="100">
        <v>4.0461603045603702</v>
      </c>
      <c r="AS86" s="100">
        <v>2184.9265644625998</v>
      </c>
      <c r="AT86" s="100">
        <v>3.9765925424245618</v>
      </c>
      <c r="AU86" s="100">
        <v>2147.3599729092634</v>
      </c>
      <c r="AV86" s="100">
        <v>2.7687466041465947</v>
      </c>
      <c r="AW86" s="100">
        <v>1495.123166239161</v>
      </c>
      <c r="AX86" s="100">
        <v>2.2594908831288087</v>
      </c>
      <c r="AY86" s="100">
        <v>1220.1250768895568</v>
      </c>
      <c r="AZ86" s="100">
        <v>4.2750394851046902</v>
      </c>
      <c r="BA86" s="100">
        <v>2308.5213219565326</v>
      </c>
      <c r="BB86" s="100">
        <v>4.8430425251730744</v>
      </c>
      <c r="BC86" s="100">
        <v>2615.24296359346</v>
      </c>
      <c r="BD86" s="100">
        <v>3</v>
      </c>
      <c r="BE86" s="100">
        <v>1620</v>
      </c>
      <c r="BF86" s="100">
        <v>3.618789559408869</v>
      </c>
      <c r="BG86" s="100">
        <v>1954.1463620807892</v>
      </c>
      <c r="BH86" s="100">
        <v>1.9533331717794569</v>
      </c>
      <c r="BI86" s="100">
        <v>1054.7999127609066</v>
      </c>
      <c r="BJ86" s="100">
        <v>5</v>
      </c>
      <c r="BK86" s="100">
        <v>2700</v>
      </c>
      <c r="BL86" s="100">
        <v>4</v>
      </c>
      <c r="BM86" s="100">
        <v>2160</v>
      </c>
      <c r="BN86" s="100">
        <v>6</v>
      </c>
      <c r="BO86" s="100">
        <v>3240</v>
      </c>
      <c r="BP86" s="100">
        <v>3</v>
      </c>
      <c r="BQ86" s="100">
        <v>1620</v>
      </c>
      <c r="BR86" s="100">
        <v>4.558116424028424</v>
      </c>
      <c r="BS86" s="100">
        <v>2461.3828689753491</v>
      </c>
      <c r="BT86" s="100">
        <v>2.9073193691546675</v>
      </c>
      <c r="BU86" s="100">
        <v>1569.9524593435203</v>
      </c>
      <c r="BV86" s="100">
        <v>5</v>
      </c>
      <c r="BW86" s="100">
        <v>2700</v>
      </c>
      <c r="BX86" s="100">
        <v>2.6126107142624564</v>
      </c>
      <c r="BY86" s="100">
        <v>1410.8097857017265</v>
      </c>
      <c r="BZ86" s="100">
        <v>4</v>
      </c>
      <c r="CA86" s="100">
        <v>2160</v>
      </c>
      <c r="CB86" s="100">
        <v>4.5657955122153631</v>
      </c>
      <c r="CC86" s="100">
        <v>2465.529576596296</v>
      </c>
      <c r="CD86" s="100">
        <v>5</v>
      </c>
      <c r="CE86" s="100">
        <v>2700</v>
      </c>
      <c r="CF86" s="100">
        <v>1.9211838737672542</v>
      </c>
      <c r="CG86" s="100">
        <v>1037.4392918343174</v>
      </c>
      <c r="CH86" s="100">
        <v>4</v>
      </c>
      <c r="CI86" s="100">
        <v>2160</v>
      </c>
      <c r="CJ86" s="100">
        <v>5</v>
      </c>
      <c r="CK86" s="100">
        <v>2700</v>
      </c>
      <c r="CL86" s="100">
        <v>5</v>
      </c>
      <c r="CM86" s="100">
        <v>2700</v>
      </c>
      <c r="CN86" s="100">
        <v>5</v>
      </c>
      <c r="CO86" s="100">
        <v>2700</v>
      </c>
      <c r="CP86" s="100">
        <v>4.539488456861779</v>
      </c>
      <c r="CQ86" s="100">
        <v>2451.3237667053609</v>
      </c>
      <c r="CR86" s="100">
        <v>2.71349807787769</v>
      </c>
      <c r="CS86" s="100">
        <v>1465.2889620539527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1.2224643487111084</v>
      </c>
      <c r="E87" s="100">
        <v>1312.9267105157305</v>
      </c>
      <c r="F87" s="100">
        <v>5.3660109649860877</v>
      </c>
      <c r="G87" s="100">
        <v>5763.0957763950582</v>
      </c>
      <c r="H87" s="100">
        <v>2.7800195295434009</v>
      </c>
      <c r="I87" s="100">
        <v>2985.7409747296124</v>
      </c>
      <c r="J87" s="100">
        <v>6</v>
      </c>
      <c r="K87" s="100">
        <v>6444</v>
      </c>
      <c r="L87" s="100">
        <v>3.7662885240293451</v>
      </c>
      <c r="M87" s="100">
        <v>4044.9938748075165</v>
      </c>
      <c r="N87" s="100">
        <v>0.79976321267352823</v>
      </c>
      <c r="O87" s="100">
        <v>858.94569041136936</v>
      </c>
      <c r="P87" s="100">
        <v>3.594932821669909</v>
      </c>
      <c r="Q87" s="100">
        <v>3860.9578504734823</v>
      </c>
      <c r="R87" s="100">
        <v>2.7232454877637604</v>
      </c>
      <c r="S87" s="100">
        <v>2924.7656538582787</v>
      </c>
      <c r="T87" s="100">
        <v>2.1819205047794736</v>
      </c>
      <c r="U87" s="100">
        <v>2343.3826221331547</v>
      </c>
      <c r="V87" s="100">
        <v>0.33965754918888413</v>
      </c>
      <c r="W87" s="100">
        <v>364.79220782886154</v>
      </c>
      <c r="X87" s="100">
        <v>4</v>
      </c>
      <c r="Y87" s="100">
        <v>4296</v>
      </c>
      <c r="Z87" s="100">
        <v>2.0230439458221268</v>
      </c>
      <c r="AA87" s="100">
        <v>2172.7491978129642</v>
      </c>
      <c r="AB87" s="100">
        <v>3.6430369992297953</v>
      </c>
      <c r="AC87" s="100">
        <v>3912.6217371728003</v>
      </c>
      <c r="AD87" s="100">
        <v>4</v>
      </c>
      <c r="AE87" s="100">
        <v>4296</v>
      </c>
      <c r="AF87" s="100">
        <v>3.2254256808468722</v>
      </c>
      <c r="AG87" s="100">
        <v>3464.1071812295409</v>
      </c>
      <c r="AH87" s="100">
        <v>2.8290603165324177</v>
      </c>
      <c r="AI87" s="100">
        <v>3038.4107799558165</v>
      </c>
      <c r="AJ87" s="100">
        <v>2.2390786078014068E-4</v>
      </c>
      <c r="AK87" s="100">
        <v>0.24047704247787111</v>
      </c>
      <c r="AL87" s="100">
        <v>3.125734565239275</v>
      </c>
      <c r="AM87" s="100">
        <v>3357.0389230669812</v>
      </c>
      <c r="AN87" s="100">
        <v>3.1263318941351659</v>
      </c>
      <c r="AO87" s="100">
        <v>3357.6804543011681</v>
      </c>
      <c r="AP87" s="100">
        <v>3.6748587502312535</v>
      </c>
      <c r="AQ87" s="100">
        <v>3946.7982977483662</v>
      </c>
      <c r="AR87" s="100">
        <v>2.4554409752756357</v>
      </c>
      <c r="AS87" s="100">
        <v>2637.1436074460325</v>
      </c>
      <c r="AT87" s="100">
        <v>3.5286818200778738</v>
      </c>
      <c r="AU87" s="100">
        <v>3789.8042747636364</v>
      </c>
      <c r="AV87" s="100">
        <v>2.4033945361310933</v>
      </c>
      <c r="AW87" s="100">
        <v>2581.2457318047941</v>
      </c>
      <c r="AX87" s="100">
        <v>3.1769315591824419</v>
      </c>
      <c r="AY87" s="100">
        <v>3412.0244945619424</v>
      </c>
      <c r="AZ87" s="100">
        <v>2.4626340848787756</v>
      </c>
      <c r="BA87" s="100">
        <v>2644.8690071598048</v>
      </c>
      <c r="BB87" s="100">
        <v>3.1113612163562423</v>
      </c>
      <c r="BC87" s="100">
        <v>3341.6019463666044</v>
      </c>
      <c r="BD87" s="100">
        <v>3.2201886779095439</v>
      </c>
      <c r="BE87" s="100">
        <v>3458.4826400748502</v>
      </c>
      <c r="BF87" s="100">
        <v>3.2462347504565616</v>
      </c>
      <c r="BG87" s="100">
        <v>3486.4561219903471</v>
      </c>
      <c r="BH87" s="100">
        <v>2.316751073756333</v>
      </c>
      <c r="BI87" s="100">
        <v>2488.1906532143016</v>
      </c>
      <c r="BJ87" s="100">
        <v>3.3711130591166283</v>
      </c>
      <c r="BK87" s="100">
        <v>3620.5754254912586</v>
      </c>
      <c r="BL87" s="100">
        <v>1.9327178726399576</v>
      </c>
      <c r="BM87" s="100">
        <v>2075.7389952153144</v>
      </c>
      <c r="BN87" s="100">
        <v>3.6468588218183431</v>
      </c>
      <c r="BO87" s="100">
        <v>3916.7263746329004</v>
      </c>
      <c r="BP87" s="100">
        <v>3.3236540034363902</v>
      </c>
      <c r="BQ87" s="100">
        <v>3569.6043996906828</v>
      </c>
      <c r="BR87" s="100">
        <v>2.9144295993838365</v>
      </c>
      <c r="BS87" s="100">
        <v>3130.0973897382405</v>
      </c>
      <c r="BT87" s="100">
        <v>3.9127142939826152E-4</v>
      </c>
      <c r="BU87" s="100">
        <v>0.42022551517373286</v>
      </c>
      <c r="BV87" s="100">
        <v>4.6285377010520774</v>
      </c>
      <c r="BW87" s="100">
        <v>4971.0494909299314</v>
      </c>
      <c r="BX87" s="100">
        <v>3.2654084821753329</v>
      </c>
      <c r="BY87" s="100">
        <v>3507.0487098563076</v>
      </c>
      <c r="BZ87" s="100">
        <v>4.7152863594922012</v>
      </c>
      <c r="CA87" s="100">
        <v>5064.2175500946241</v>
      </c>
      <c r="CB87" s="100">
        <v>4.0456697990068706</v>
      </c>
      <c r="CC87" s="100">
        <v>4345.0493641333787</v>
      </c>
      <c r="CD87" s="100">
        <v>3.9902547898444278</v>
      </c>
      <c r="CE87" s="100">
        <v>4285.5336442929156</v>
      </c>
      <c r="CF87" s="100">
        <v>0.32848460349188141</v>
      </c>
      <c r="CG87" s="100">
        <v>352.79246415028064</v>
      </c>
      <c r="CH87" s="100">
        <v>7.1083964266228072</v>
      </c>
      <c r="CI87" s="100">
        <v>7634.4177621928948</v>
      </c>
      <c r="CJ87" s="100">
        <v>4</v>
      </c>
      <c r="CK87" s="100">
        <v>4296</v>
      </c>
      <c r="CL87" s="100">
        <v>5.9236305290535007</v>
      </c>
      <c r="CM87" s="100">
        <v>6361.9791882034597</v>
      </c>
      <c r="CN87" s="100">
        <v>3.9528039021007135</v>
      </c>
      <c r="CO87" s="100">
        <v>4245.3113908561663</v>
      </c>
      <c r="CP87" s="100">
        <v>3.4594816324246391</v>
      </c>
      <c r="CQ87" s="100">
        <v>3715.4832732240625</v>
      </c>
      <c r="CR87" s="100">
        <v>0.28625637680875093</v>
      </c>
      <c r="CS87" s="100">
        <v>307.43934869259851</v>
      </c>
      <c r="CT87" s="100">
        <v>3.6882890568490323</v>
      </c>
      <c r="CU87" s="100">
        <v>3961.2224470558608</v>
      </c>
    </row>
    <row r="88" spans="2:99">
      <c r="C88" s="99" t="s">
        <v>254</v>
      </c>
      <c r="D88" s="100">
        <v>1.2224643487111084</v>
      </c>
      <c r="E88" s="100">
        <v>1213.173619660904</v>
      </c>
      <c r="F88" s="100">
        <v>5.3660109649860877</v>
      </c>
      <c r="G88" s="100">
        <v>5325.2292816521931</v>
      </c>
      <c r="H88" s="100">
        <v>2.7800195295434009</v>
      </c>
      <c r="I88" s="100">
        <v>2758.8913811188709</v>
      </c>
      <c r="J88" s="100">
        <v>6</v>
      </c>
      <c r="K88" s="100">
        <v>5954.4</v>
      </c>
      <c r="L88" s="100">
        <v>3.7662885240293451</v>
      </c>
      <c r="M88" s="100">
        <v>3737.6647312467221</v>
      </c>
      <c r="N88" s="100">
        <v>0.79976321267352823</v>
      </c>
      <c r="O88" s="100">
        <v>793.68501225720945</v>
      </c>
      <c r="P88" s="100">
        <v>3.594932821669909</v>
      </c>
      <c r="Q88" s="100">
        <v>3567.6113322252177</v>
      </c>
      <c r="R88" s="100">
        <v>2.7232454877637604</v>
      </c>
      <c r="S88" s="100">
        <v>2702.5488220567559</v>
      </c>
      <c r="T88" s="100">
        <v>2.717242048299767</v>
      </c>
      <c r="U88" s="100">
        <v>2696.5910087326888</v>
      </c>
      <c r="V88" s="100">
        <v>0.27172603935110734</v>
      </c>
      <c r="W88" s="100">
        <v>269.66092145203891</v>
      </c>
      <c r="X88" s="100">
        <v>5.0691387519179285</v>
      </c>
      <c r="Y88" s="100">
        <v>5030.6132974033526</v>
      </c>
      <c r="Z88" s="100">
        <v>2.0230439458221268</v>
      </c>
      <c r="AA88" s="100">
        <v>2007.6688118338786</v>
      </c>
      <c r="AB88" s="100">
        <v>3.6430369992297953</v>
      </c>
      <c r="AC88" s="100">
        <v>3615.3499180356489</v>
      </c>
      <c r="AD88" s="100">
        <v>4</v>
      </c>
      <c r="AE88" s="100">
        <v>3969.6</v>
      </c>
      <c r="AF88" s="100">
        <v>3.2254256808468722</v>
      </c>
      <c r="AG88" s="100">
        <v>3200.9124456724358</v>
      </c>
      <c r="AH88" s="100">
        <v>2.8042311277248513</v>
      </c>
      <c r="AI88" s="100">
        <v>2782.9189711541421</v>
      </c>
      <c r="AJ88" s="100">
        <v>2.7558924152053341E-4</v>
      </c>
      <c r="AK88" s="100">
        <v>0.27349476328497735</v>
      </c>
      <c r="AL88" s="100">
        <v>3.125734565239275</v>
      </c>
      <c r="AM88" s="100">
        <v>3101.9789825434564</v>
      </c>
      <c r="AN88" s="100">
        <v>3.7327655338792596</v>
      </c>
      <c r="AO88" s="100">
        <v>3704.396515821777</v>
      </c>
      <c r="AP88" s="100">
        <v>3.6748587502312535</v>
      </c>
      <c r="AQ88" s="100">
        <v>3646.9298237294961</v>
      </c>
      <c r="AR88" s="100">
        <v>2.4343018489453483</v>
      </c>
      <c r="AS88" s="100">
        <v>2415.8011548933637</v>
      </c>
      <c r="AT88" s="100">
        <v>3.0245844172096059</v>
      </c>
      <c r="AU88" s="100">
        <v>3001.5975756388129</v>
      </c>
      <c r="AV88" s="100">
        <v>3.0042431701638668</v>
      </c>
      <c r="AW88" s="100">
        <v>2981.4109220706214</v>
      </c>
      <c r="AX88" s="100">
        <v>3.2412894665081367</v>
      </c>
      <c r="AY88" s="100">
        <v>3216.6556665626749</v>
      </c>
      <c r="AZ88" s="100">
        <v>1.8902131541376814</v>
      </c>
      <c r="BA88" s="100">
        <v>1875.8475341662349</v>
      </c>
      <c r="BB88" s="100">
        <v>2.6478974847883072</v>
      </c>
      <c r="BC88" s="100">
        <v>2627.7734639039159</v>
      </c>
      <c r="BD88" s="100">
        <v>3.2201886779095439</v>
      </c>
      <c r="BE88" s="100">
        <v>3195.7152439574311</v>
      </c>
      <c r="BF88" s="100">
        <v>3.267526001746778</v>
      </c>
      <c r="BG88" s="100">
        <v>3242.6928041335022</v>
      </c>
      <c r="BH88" s="100">
        <v>2.316751073756333</v>
      </c>
      <c r="BI88" s="100">
        <v>2299.1437655957848</v>
      </c>
      <c r="BJ88" s="100">
        <v>3.9329652356360656</v>
      </c>
      <c r="BK88" s="100">
        <v>3903.0746998452314</v>
      </c>
      <c r="BL88" s="100">
        <v>2.5440735482000285</v>
      </c>
      <c r="BM88" s="100">
        <v>2524.7385892337084</v>
      </c>
      <c r="BN88" s="100">
        <v>3.0658017763017891</v>
      </c>
      <c r="BO88" s="100">
        <v>3042.5016828018952</v>
      </c>
      <c r="BP88" s="100">
        <v>3.3236540034363902</v>
      </c>
      <c r="BQ88" s="100">
        <v>3298.3942330102736</v>
      </c>
      <c r="BR88" s="100">
        <v>3.4973155192606038</v>
      </c>
      <c r="BS88" s="100">
        <v>3470.7359213142231</v>
      </c>
      <c r="BT88" s="100">
        <v>3.375298260644647E-4</v>
      </c>
      <c r="BU88" s="100">
        <v>0.33496459938637474</v>
      </c>
      <c r="BV88" s="100">
        <v>4.6285377010520774</v>
      </c>
      <c r="BW88" s="100">
        <v>4593.3608145240814</v>
      </c>
      <c r="BX88" s="100">
        <v>3.2654084821753329</v>
      </c>
      <c r="BY88" s="100">
        <v>3240.5913777108003</v>
      </c>
      <c r="BZ88" s="100">
        <v>5.3810956121182594</v>
      </c>
      <c r="CA88" s="100">
        <v>5340.1992854661603</v>
      </c>
      <c r="CB88" s="100">
        <v>4.0456697990068706</v>
      </c>
      <c r="CC88" s="100">
        <v>4014.9227085344182</v>
      </c>
      <c r="CD88" s="100">
        <v>4.6459939548636804</v>
      </c>
      <c r="CE88" s="100">
        <v>4610.6844008067164</v>
      </c>
      <c r="CF88" s="100">
        <v>0.32848460349188141</v>
      </c>
      <c r="CG88" s="100">
        <v>325.98812050534309</v>
      </c>
      <c r="CH88" s="100">
        <v>6.0985422060207339</v>
      </c>
      <c r="CI88" s="100">
        <v>6052.1932852549762</v>
      </c>
      <c r="CJ88" s="100">
        <v>5</v>
      </c>
      <c r="CK88" s="100">
        <v>4962</v>
      </c>
      <c r="CL88" s="100">
        <v>5.9236305290535007</v>
      </c>
      <c r="CM88" s="100">
        <v>5878.610937032694</v>
      </c>
      <c r="CN88" s="100">
        <v>3.9528039021007135</v>
      </c>
      <c r="CO88" s="100">
        <v>3922.762592444748</v>
      </c>
      <c r="CP88" s="100">
        <v>2.9777923684881538</v>
      </c>
      <c r="CQ88" s="100">
        <v>2955.1611464876437</v>
      </c>
      <c r="CR88" s="100">
        <v>0.27689906167603651</v>
      </c>
      <c r="CS88" s="100">
        <v>274.79462880729864</v>
      </c>
      <c r="CT88" s="100">
        <v>3.7106969188020442</v>
      </c>
      <c r="CU88" s="100">
        <v>3682.4956222191486</v>
      </c>
    </row>
    <row r="89" spans="2:99">
      <c r="C89" s="99" t="s">
        <v>255</v>
      </c>
      <c r="D89" s="100">
        <v>1.2224643487111084</v>
      </c>
      <c r="E89" s="100">
        <v>1298.2571383311972</v>
      </c>
      <c r="F89" s="100">
        <v>5.3660109649860877</v>
      </c>
      <c r="G89" s="100">
        <v>5698.7036448152248</v>
      </c>
      <c r="H89" s="100">
        <v>2.7800195295434009</v>
      </c>
      <c r="I89" s="100">
        <v>2952.3807403750916</v>
      </c>
      <c r="J89" s="100">
        <v>7</v>
      </c>
      <c r="K89" s="100">
        <v>7434</v>
      </c>
      <c r="L89" s="100">
        <v>3.7662885240293451</v>
      </c>
      <c r="M89" s="100">
        <v>3999.7984125191647</v>
      </c>
      <c r="N89" s="100">
        <v>0.79976321267352823</v>
      </c>
      <c r="O89" s="100">
        <v>849.34853185928694</v>
      </c>
      <c r="P89" s="100">
        <v>2.7632300229835258</v>
      </c>
      <c r="Q89" s="100">
        <v>2934.5502844085045</v>
      </c>
      <c r="R89" s="100">
        <v>3.2678945853165122</v>
      </c>
      <c r="S89" s="100">
        <v>3470.504049606136</v>
      </c>
      <c r="T89" s="100">
        <v>2.1819205047794736</v>
      </c>
      <c r="U89" s="100">
        <v>2317.1995760758009</v>
      </c>
      <c r="V89" s="100">
        <v>0.27172603935110734</v>
      </c>
      <c r="W89" s="100">
        <v>288.57305379087597</v>
      </c>
      <c r="X89" s="100">
        <v>5.0614566683714921</v>
      </c>
      <c r="Y89" s="100">
        <v>5375.2669818105251</v>
      </c>
      <c r="Z89" s="100">
        <v>2.0230439458221268</v>
      </c>
      <c r="AA89" s="100">
        <v>2148.4726704630984</v>
      </c>
      <c r="AB89" s="100">
        <v>3.6430369992297953</v>
      </c>
      <c r="AC89" s="100">
        <v>3868.9052931820424</v>
      </c>
      <c r="AD89" s="100">
        <v>4</v>
      </c>
      <c r="AE89" s="100">
        <v>4248</v>
      </c>
      <c r="AF89" s="100">
        <v>3.2254256808468722</v>
      </c>
      <c r="AG89" s="100">
        <v>3425.4020730593784</v>
      </c>
      <c r="AH89" s="100">
        <v>2.8042311277248513</v>
      </c>
      <c r="AI89" s="100">
        <v>2978.0934576437921</v>
      </c>
      <c r="AJ89" s="100">
        <v>2.7749839016704114E-4</v>
      </c>
      <c r="AK89" s="100">
        <v>0.29470329035739767</v>
      </c>
      <c r="AL89" s="100">
        <v>3.125734565239275</v>
      </c>
      <c r="AM89" s="100">
        <v>3319.5301082841102</v>
      </c>
      <c r="AN89" s="100">
        <v>3.1498728179888391</v>
      </c>
      <c r="AO89" s="100">
        <v>3345.1649327041473</v>
      </c>
      <c r="AP89" s="100">
        <v>3.6699268296118039</v>
      </c>
      <c r="AQ89" s="100">
        <v>3897.4622930477358</v>
      </c>
      <c r="AR89" s="100">
        <v>3.0111686216862541</v>
      </c>
      <c r="AS89" s="100">
        <v>3197.8610762308017</v>
      </c>
      <c r="AT89" s="100">
        <v>3.5286818200778738</v>
      </c>
      <c r="AU89" s="100">
        <v>3747.4600929227022</v>
      </c>
      <c r="AV89" s="100">
        <v>3.0042431701638668</v>
      </c>
      <c r="AW89" s="100">
        <v>3190.5062467140265</v>
      </c>
      <c r="AX89" s="100">
        <v>3.2412894665081367</v>
      </c>
      <c r="AY89" s="100">
        <v>3442.2494134316412</v>
      </c>
      <c r="AZ89" s="100">
        <v>1.8902131541376814</v>
      </c>
      <c r="BA89" s="100">
        <v>2007.4063696942176</v>
      </c>
      <c r="BB89" s="100">
        <v>3.1113612163562423</v>
      </c>
      <c r="BC89" s="100">
        <v>3304.2656117703295</v>
      </c>
      <c r="BD89" s="100">
        <v>3.73273683508681</v>
      </c>
      <c r="BE89" s="100">
        <v>3964.1665188621923</v>
      </c>
      <c r="BF89" s="100">
        <v>2.6225373019135088</v>
      </c>
      <c r="BG89" s="100">
        <v>2785.1346146321462</v>
      </c>
      <c r="BH89" s="100">
        <v>1.7724672857854904</v>
      </c>
      <c r="BI89" s="100">
        <v>1882.3602575041907</v>
      </c>
      <c r="BJ89" s="100">
        <v>3.3915604578808809</v>
      </c>
      <c r="BK89" s="100">
        <v>3601.8372062694957</v>
      </c>
      <c r="BL89" s="100">
        <v>1.9573805841298941</v>
      </c>
      <c r="BM89" s="100">
        <v>2078.7381803459475</v>
      </c>
      <c r="BN89" s="100">
        <v>3.0887327118330776</v>
      </c>
      <c r="BO89" s="100">
        <v>3280.2341399667284</v>
      </c>
      <c r="BP89" s="100">
        <v>3.3105623417658738</v>
      </c>
      <c r="BQ89" s="100">
        <v>3515.817206955358</v>
      </c>
      <c r="BR89" s="100">
        <v>3.4973155192606038</v>
      </c>
      <c r="BS89" s="100">
        <v>3714.149081454761</v>
      </c>
      <c r="BT89" s="100">
        <v>3.375298260644647E-4</v>
      </c>
      <c r="BU89" s="100">
        <v>0.35845667528046149</v>
      </c>
      <c r="BV89" s="100">
        <v>4.6005577186380879</v>
      </c>
      <c r="BW89" s="100">
        <v>4885.7922971936496</v>
      </c>
      <c r="BX89" s="100">
        <v>3.2654084821753329</v>
      </c>
      <c r="BY89" s="100">
        <v>3467.8638080702035</v>
      </c>
      <c r="BZ89" s="100">
        <v>5.3537848165633646</v>
      </c>
      <c r="CA89" s="100">
        <v>5685.7194751902935</v>
      </c>
      <c r="CB89" s="100">
        <v>4.9292998388789009</v>
      </c>
      <c r="CC89" s="100">
        <v>5234.9164288893926</v>
      </c>
      <c r="CD89" s="100">
        <v>3.9902547898444278</v>
      </c>
      <c r="CE89" s="100">
        <v>4237.6505868147824</v>
      </c>
      <c r="CF89" s="100">
        <v>0.28155823156446974</v>
      </c>
      <c r="CG89" s="100">
        <v>299.01484192146688</v>
      </c>
      <c r="CH89" s="100">
        <v>6.0985422060207339</v>
      </c>
      <c r="CI89" s="100">
        <v>6476.6518227940196</v>
      </c>
      <c r="CJ89" s="100">
        <v>5</v>
      </c>
      <c r="CK89" s="100">
        <v>5310</v>
      </c>
      <c r="CL89" s="100">
        <v>5.9236305290535007</v>
      </c>
      <c r="CM89" s="100">
        <v>6290.8956218548174</v>
      </c>
      <c r="CN89" s="100">
        <v>3.9288072703340839</v>
      </c>
      <c r="CO89" s="100">
        <v>4172.3933210947971</v>
      </c>
      <c r="CP89" s="100">
        <v>2.9719485828302039</v>
      </c>
      <c r="CQ89" s="100">
        <v>3156.2093949656764</v>
      </c>
      <c r="CR89" s="100">
        <v>0.27689906167603651</v>
      </c>
      <c r="CS89" s="100">
        <v>294.06680349995077</v>
      </c>
      <c r="CT89" s="100">
        <v>3.7106969188020442</v>
      </c>
      <c r="CU89" s="100">
        <v>3940.7601277677709</v>
      </c>
    </row>
    <row r="90" spans="2:99">
      <c r="C90" s="99" t="s">
        <v>256</v>
      </c>
      <c r="D90" s="100">
        <v>1.2224643487111084</v>
      </c>
      <c r="E90" s="100">
        <v>1355.468469850877</v>
      </c>
      <c r="F90" s="100">
        <v>5.3660109649860877</v>
      </c>
      <c r="G90" s="100">
        <v>5949.8329579765741</v>
      </c>
      <c r="H90" s="100">
        <v>2.7800195295434009</v>
      </c>
      <c r="I90" s="100">
        <v>3082.485654357723</v>
      </c>
      <c r="J90" s="100">
        <v>6</v>
      </c>
      <c r="K90" s="100">
        <v>6652.7999999999993</v>
      </c>
      <c r="L90" s="100">
        <v>3.7299413317783574</v>
      </c>
      <c r="M90" s="100">
        <v>4135.7589486758425</v>
      </c>
      <c r="N90" s="100">
        <v>0.79976321267352823</v>
      </c>
      <c r="O90" s="100">
        <v>886.7774502124081</v>
      </c>
      <c r="P90" s="100">
        <v>3.594932821669909</v>
      </c>
      <c r="Q90" s="100">
        <v>3986.0615126675948</v>
      </c>
      <c r="R90" s="100">
        <v>3.2678945853165122</v>
      </c>
      <c r="S90" s="100">
        <v>3623.4415161989486</v>
      </c>
      <c r="T90" s="100">
        <v>2.1886928932291907</v>
      </c>
      <c r="U90" s="100">
        <v>2426.8226800125267</v>
      </c>
      <c r="V90" s="100">
        <v>0.27172603935110734</v>
      </c>
      <c r="W90" s="100">
        <v>301.28983243250781</v>
      </c>
      <c r="X90" s="100">
        <v>5</v>
      </c>
      <c r="Y90" s="100">
        <v>5544</v>
      </c>
      <c r="Z90" s="100">
        <v>1.5172829593665951</v>
      </c>
      <c r="AA90" s="100">
        <v>1682.3633453456805</v>
      </c>
      <c r="AB90" s="100">
        <v>3.6430369992297953</v>
      </c>
      <c r="AC90" s="100">
        <v>4039.3994247459968</v>
      </c>
      <c r="AD90" s="100">
        <v>4</v>
      </c>
      <c r="AE90" s="100">
        <v>4435.2</v>
      </c>
      <c r="AF90" s="100">
        <v>3.2254256808468722</v>
      </c>
      <c r="AG90" s="100">
        <v>3576.3519949230117</v>
      </c>
      <c r="AH90" s="100">
        <v>2.8042311277248513</v>
      </c>
      <c r="AI90" s="100">
        <v>3109.3314744213149</v>
      </c>
      <c r="AJ90" s="100">
        <v>2.7654381584378725E-4</v>
      </c>
      <c r="AK90" s="100">
        <v>0.30663178300759131</v>
      </c>
      <c r="AL90" s="100">
        <v>3.125734565239275</v>
      </c>
      <c r="AM90" s="100">
        <v>3465.8144859373078</v>
      </c>
      <c r="AN90" s="100">
        <v>3.7327655338792596</v>
      </c>
      <c r="AO90" s="100">
        <v>4138.890423965323</v>
      </c>
      <c r="AP90" s="100">
        <v>4.2807593144438636</v>
      </c>
      <c r="AQ90" s="100">
        <v>4746.5059278553554</v>
      </c>
      <c r="AR90" s="100">
        <v>2.4554409752756357</v>
      </c>
      <c r="AS90" s="100">
        <v>2722.5929533856247</v>
      </c>
      <c r="AT90" s="100">
        <v>3.0245844172096059</v>
      </c>
      <c r="AU90" s="100">
        <v>3353.659201802011</v>
      </c>
      <c r="AV90" s="100">
        <v>2.4033945361310933</v>
      </c>
      <c r="AW90" s="100">
        <v>2664.8838616621561</v>
      </c>
      <c r="AX90" s="100">
        <v>3.2091105128452893</v>
      </c>
      <c r="AY90" s="100">
        <v>3558.2617366428567</v>
      </c>
      <c r="AZ90" s="100">
        <v>1.8685943588983815</v>
      </c>
      <c r="BA90" s="100">
        <v>2071.8974251465252</v>
      </c>
      <c r="BB90" s="100">
        <v>2.592801013630202</v>
      </c>
      <c r="BC90" s="100">
        <v>2874.8977639131676</v>
      </c>
      <c r="BD90" s="100">
        <v>3.1994887157886938</v>
      </c>
      <c r="BE90" s="100">
        <v>3547.5930880665037</v>
      </c>
      <c r="BF90" s="100">
        <v>3.2462347504565616</v>
      </c>
      <c r="BG90" s="100">
        <v>3599.4250913062356</v>
      </c>
      <c r="BH90" s="100">
        <v>2.3366962054524705</v>
      </c>
      <c r="BI90" s="100">
        <v>2590.9287526056992</v>
      </c>
      <c r="BJ90" s="100">
        <v>3.3915604578808809</v>
      </c>
      <c r="BK90" s="100">
        <v>3760.5622356983204</v>
      </c>
      <c r="BL90" s="100">
        <v>2.5194108367100929</v>
      </c>
      <c r="BM90" s="100">
        <v>2793.5227357441509</v>
      </c>
      <c r="BN90" s="100">
        <v>3.0658017763017891</v>
      </c>
      <c r="BO90" s="100">
        <v>3399.3610095634235</v>
      </c>
      <c r="BP90" s="100">
        <v>3.3236540034363902</v>
      </c>
      <c r="BQ90" s="100">
        <v>3685.2675590102695</v>
      </c>
      <c r="BR90" s="100">
        <v>3.4973155192606038</v>
      </c>
      <c r="BS90" s="100">
        <v>3877.8234477561573</v>
      </c>
      <c r="BT90" s="100">
        <v>3.9127142939826152E-4</v>
      </c>
      <c r="BU90" s="100">
        <v>0.43384176091679238</v>
      </c>
      <c r="BV90" s="100">
        <v>4.6005577186380879</v>
      </c>
      <c r="BW90" s="100">
        <v>5101.0983984259119</v>
      </c>
      <c r="BX90" s="100">
        <v>3.2654084821753329</v>
      </c>
      <c r="BY90" s="100">
        <v>3620.6849250360087</v>
      </c>
      <c r="BZ90" s="100">
        <v>5.3537848165633646</v>
      </c>
      <c r="CA90" s="100">
        <v>5936.2766046054585</v>
      </c>
      <c r="CB90" s="100">
        <v>4.2550215390444226</v>
      </c>
      <c r="CC90" s="100">
        <v>4717.9678824924558</v>
      </c>
      <c r="CD90" s="100">
        <v>3.9822805327402979</v>
      </c>
      <c r="CE90" s="100">
        <v>4415.5526547024419</v>
      </c>
      <c r="CF90" s="100">
        <v>0.32848460349188141</v>
      </c>
      <c r="CG90" s="100">
        <v>364.22372835179812</v>
      </c>
      <c r="CH90" s="100">
        <v>6.0985422060207339</v>
      </c>
      <c r="CI90" s="100">
        <v>6762.0635980357893</v>
      </c>
      <c r="CJ90" s="100">
        <v>5</v>
      </c>
      <c r="CK90" s="100">
        <v>5544</v>
      </c>
      <c r="CL90" s="100">
        <v>4.9458024754462553</v>
      </c>
      <c r="CM90" s="100">
        <v>5483.9057847748072</v>
      </c>
      <c r="CN90" s="100">
        <v>3.9288072703340839</v>
      </c>
      <c r="CO90" s="100">
        <v>4356.2615013464319</v>
      </c>
      <c r="CP90" s="100">
        <v>3.4653254180825885</v>
      </c>
      <c r="CQ90" s="100">
        <v>3842.3528235699741</v>
      </c>
      <c r="CR90" s="100">
        <v>0.27689906167603651</v>
      </c>
      <c r="CS90" s="100">
        <v>307.02567958638929</v>
      </c>
      <c r="CT90" s="100">
        <v>3.7106969188020442</v>
      </c>
      <c r="CU90" s="100">
        <v>4114.4207435677063</v>
      </c>
    </row>
    <row r="91" spans="2:99">
      <c r="C91" s="99" t="s">
        <v>257</v>
      </c>
      <c r="D91" s="100">
        <v>1.4669572184533302</v>
      </c>
      <c r="E91" s="100">
        <v>1667.0501830503642</v>
      </c>
      <c r="F91" s="100">
        <v>5.3660109649860877</v>
      </c>
      <c r="G91" s="100">
        <v>6097.9348606101894</v>
      </c>
      <c r="H91" s="100">
        <v>2.7800195295434009</v>
      </c>
      <c r="I91" s="100">
        <v>3159.2141933731205</v>
      </c>
      <c r="J91" s="100">
        <v>7</v>
      </c>
      <c r="K91" s="100">
        <v>7954.7999999999993</v>
      </c>
      <c r="L91" s="100">
        <v>3.7299413317783574</v>
      </c>
      <c r="M91" s="100">
        <v>4238.7053294329253</v>
      </c>
      <c r="N91" s="100">
        <v>0.79976321267352823</v>
      </c>
      <c r="O91" s="100">
        <v>908.85091488219734</v>
      </c>
      <c r="P91" s="100">
        <v>2.7334387311030399</v>
      </c>
      <c r="Q91" s="100">
        <v>3106.2797740254941</v>
      </c>
      <c r="R91" s="100">
        <v>3.2678945853165122</v>
      </c>
      <c r="S91" s="100">
        <v>3713.635406753684</v>
      </c>
      <c r="T91" s="100">
        <v>2.1819205047794736</v>
      </c>
      <c r="U91" s="100">
        <v>2479.5344616313937</v>
      </c>
      <c r="V91" s="100">
        <v>0.27172603935110734</v>
      </c>
      <c r="W91" s="100">
        <v>308.78947111859833</v>
      </c>
      <c r="X91" s="100">
        <v>5.0614566683714921</v>
      </c>
      <c r="Y91" s="100">
        <v>5751.8393579373633</v>
      </c>
      <c r="Z91" s="100">
        <v>2.0230439458221268</v>
      </c>
      <c r="AA91" s="100">
        <v>2298.9871400322645</v>
      </c>
      <c r="AB91" s="100">
        <v>3.6430369992297953</v>
      </c>
      <c r="AC91" s="100">
        <v>4139.947245924739</v>
      </c>
      <c r="AD91" s="100">
        <v>3</v>
      </c>
      <c r="AE91" s="100">
        <v>3409.2</v>
      </c>
      <c r="AF91" s="100">
        <v>3.2254256808468722</v>
      </c>
      <c r="AG91" s="100">
        <v>3665.373743714385</v>
      </c>
      <c r="AH91" s="100">
        <v>2.8042311277248513</v>
      </c>
      <c r="AI91" s="100">
        <v>3186.7282535465206</v>
      </c>
      <c r="AJ91" s="100">
        <v>2.2390786078014068E-4</v>
      </c>
      <c r="AK91" s="100">
        <v>0.25444889299055184</v>
      </c>
      <c r="AL91" s="100">
        <v>3.1450481982724856</v>
      </c>
      <c r="AM91" s="100">
        <v>3574.0327725168522</v>
      </c>
      <c r="AN91" s="100">
        <v>3.7327655338792596</v>
      </c>
      <c r="AO91" s="100">
        <v>4241.9147527003897</v>
      </c>
      <c r="AP91" s="100">
        <v>3.6748587502312535</v>
      </c>
      <c r="AQ91" s="100">
        <v>4176.1094837627961</v>
      </c>
      <c r="AR91" s="100">
        <v>2.4343018489453483</v>
      </c>
      <c r="AS91" s="100">
        <v>2766.3406211414936</v>
      </c>
      <c r="AT91" s="100">
        <v>3.5286818200778738</v>
      </c>
      <c r="AU91" s="100">
        <v>4009.9940203364954</v>
      </c>
      <c r="AV91" s="100">
        <v>3.0042431701638668</v>
      </c>
      <c r="AW91" s="100">
        <v>3414.021938574218</v>
      </c>
      <c r="AX91" s="100">
        <v>3.2091105128452893</v>
      </c>
      <c r="AY91" s="100">
        <v>3646.8331867973861</v>
      </c>
      <c r="AZ91" s="100">
        <v>2.4410152896394752</v>
      </c>
      <c r="BA91" s="100">
        <v>2773.9697751462995</v>
      </c>
      <c r="BB91" s="100">
        <v>3.1664576875143475</v>
      </c>
      <c r="BC91" s="100">
        <v>3598.3625160913043</v>
      </c>
      <c r="BD91" s="100">
        <v>3.7120368729659603</v>
      </c>
      <c r="BE91" s="100">
        <v>4218.358702438517</v>
      </c>
      <c r="BF91" s="100">
        <v>2.4947897941722097</v>
      </c>
      <c r="BG91" s="100">
        <v>2835.0791220972988</v>
      </c>
      <c r="BH91" s="100">
        <v>2.3366962054524705</v>
      </c>
      <c r="BI91" s="100">
        <v>2655.4215678761871</v>
      </c>
      <c r="BJ91" s="100">
        <v>3.4120078566451348</v>
      </c>
      <c r="BK91" s="100">
        <v>3877.405728291531</v>
      </c>
      <c r="BL91" s="100">
        <v>1.9573805841298941</v>
      </c>
      <c r="BM91" s="100">
        <v>2224.3672958052116</v>
      </c>
      <c r="BN91" s="100">
        <v>3.0887327118330776</v>
      </c>
      <c r="BO91" s="100">
        <v>3510.035853727109</v>
      </c>
      <c r="BP91" s="100">
        <v>3.3105623417658738</v>
      </c>
      <c r="BQ91" s="100">
        <v>3762.1230451827387</v>
      </c>
      <c r="BR91" s="100">
        <v>3.4973155192606038</v>
      </c>
      <c r="BS91" s="100">
        <v>3974.3493560877496</v>
      </c>
      <c r="BT91" s="100">
        <v>3.3537551091279564E-4</v>
      </c>
      <c r="BU91" s="100">
        <v>0.38112073060130092</v>
      </c>
      <c r="BV91" s="100">
        <v>4.6005577186380879</v>
      </c>
      <c r="BW91" s="100">
        <v>5228.0737914603224</v>
      </c>
      <c r="BX91" s="100">
        <v>2.7234036576272702</v>
      </c>
      <c r="BY91" s="100">
        <v>3094.8759165276297</v>
      </c>
      <c r="BZ91" s="100">
        <v>5.3810956121182594</v>
      </c>
      <c r="CA91" s="100">
        <v>6115.0770536111895</v>
      </c>
      <c r="CB91" s="100">
        <v>4.2550215390444226</v>
      </c>
      <c r="CC91" s="100">
        <v>4835.4064769700817</v>
      </c>
      <c r="CD91" s="100">
        <v>4.6380196977595505</v>
      </c>
      <c r="CE91" s="100">
        <v>5270.6455845339524</v>
      </c>
      <c r="CF91" s="100">
        <v>0.32848460349188141</v>
      </c>
      <c r="CG91" s="100">
        <v>373.28990340817398</v>
      </c>
      <c r="CH91" s="100">
        <v>6.1083964266228072</v>
      </c>
      <c r="CI91" s="100">
        <v>6941.5816992141572</v>
      </c>
      <c r="CJ91" s="100">
        <v>5</v>
      </c>
      <c r="CK91" s="100">
        <v>5681.9999999999991</v>
      </c>
      <c r="CL91" s="100">
        <v>5.9236305290535007</v>
      </c>
      <c r="CM91" s="100">
        <v>6731.6137332163971</v>
      </c>
      <c r="CN91" s="100">
        <v>3.6648443209011612</v>
      </c>
      <c r="CO91" s="100">
        <v>4164.7290862720793</v>
      </c>
      <c r="CP91" s="100">
        <v>2.9777923684881538</v>
      </c>
      <c r="CQ91" s="100">
        <v>3383.9632475499375</v>
      </c>
      <c r="CR91" s="100">
        <v>0.32304890528870922</v>
      </c>
      <c r="CS91" s="100">
        <v>367.1127759700891</v>
      </c>
      <c r="CT91" s="100">
        <v>3.6882890568490323</v>
      </c>
      <c r="CU91" s="100">
        <v>4191.37168420324</v>
      </c>
    </row>
    <row r="92" spans="2:99">
      <c r="C92" s="99" t="s">
        <v>258</v>
      </c>
      <c r="D92" s="100">
        <v>1.2224643487111084</v>
      </c>
      <c r="E92" s="100">
        <v>959.39002086847779</v>
      </c>
      <c r="F92" s="100">
        <v>5.3660109649860877</v>
      </c>
      <c r="G92" s="100">
        <v>4211.2454053210813</v>
      </c>
      <c r="H92" s="100">
        <v>3.336023435452081</v>
      </c>
      <c r="I92" s="100">
        <v>2618.1111921427932</v>
      </c>
      <c r="J92" s="100">
        <v>6</v>
      </c>
      <c r="K92" s="100">
        <v>4708.7999999999993</v>
      </c>
      <c r="L92" s="100">
        <v>3.7662885240293451</v>
      </c>
      <c r="M92" s="100">
        <v>2955.7832336582301</v>
      </c>
      <c r="N92" s="100">
        <v>0.79976321267352823</v>
      </c>
      <c r="O92" s="100">
        <v>627.65416930618494</v>
      </c>
      <c r="P92" s="100">
        <v>3.6247241135503945</v>
      </c>
      <c r="Q92" s="100">
        <v>2844.6834843143492</v>
      </c>
      <c r="R92" s="100">
        <v>3.2678945853165122</v>
      </c>
      <c r="S92" s="100">
        <v>2564.6436705563988</v>
      </c>
      <c r="T92" s="100">
        <v>2.7240144367494836</v>
      </c>
      <c r="U92" s="100">
        <v>2137.8065299609948</v>
      </c>
      <c r="V92" s="100">
        <v>0.27172603935110734</v>
      </c>
      <c r="W92" s="100">
        <v>213.25059568274904</v>
      </c>
      <c r="X92" s="100">
        <v>5.0691387519179285</v>
      </c>
      <c r="Y92" s="100">
        <v>3978.2600925051902</v>
      </c>
      <c r="Z92" s="100">
        <v>2.0230439458221268</v>
      </c>
      <c r="AA92" s="100">
        <v>1587.6848886812049</v>
      </c>
      <c r="AB92" s="100">
        <v>3.6430369992297953</v>
      </c>
      <c r="AC92" s="100">
        <v>2859.055436995543</v>
      </c>
      <c r="AD92" s="100">
        <v>4</v>
      </c>
      <c r="AE92" s="100">
        <v>3139.2</v>
      </c>
      <c r="AF92" s="100">
        <v>3.2254256808468722</v>
      </c>
      <c r="AG92" s="100">
        <v>2531.3140743286253</v>
      </c>
      <c r="AH92" s="100">
        <v>2.8042311277248513</v>
      </c>
      <c r="AI92" s="100">
        <v>2200.760589038463</v>
      </c>
      <c r="AJ92" s="100">
        <v>2.2390786078014068E-4</v>
      </c>
      <c r="AK92" s="100">
        <v>0.17572288914025438</v>
      </c>
      <c r="AL92" s="100">
        <v>3.1450481982724856</v>
      </c>
      <c r="AM92" s="100">
        <v>2468.2338260042466</v>
      </c>
      <c r="AN92" s="100">
        <v>3.7563064577329333</v>
      </c>
      <c r="AO92" s="100">
        <v>2947.9493080288057</v>
      </c>
      <c r="AP92" s="100">
        <v>3.6699268296118039</v>
      </c>
      <c r="AQ92" s="100">
        <v>2880.1585758793435</v>
      </c>
      <c r="AR92" s="100">
        <v>2.4343018489453483</v>
      </c>
      <c r="AS92" s="100">
        <v>1910.4400910523093</v>
      </c>
      <c r="AT92" s="100">
        <v>3.0245844172096059</v>
      </c>
      <c r="AU92" s="100">
        <v>2373.6938506260985</v>
      </c>
      <c r="AV92" s="100">
        <v>3.0042431701638668</v>
      </c>
      <c r="AW92" s="100">
        <v>2357.7300399446026</v>
      </c>
      <c r="AX92" s="100">
        <v>3.2091105128452893</v>
      </c>
      <c r="AY92" s="100">
        <v>2518.5099304809828</v>
      </c>
      <c r="AZ92" s="100">
        <v>1.8902131541376814</v>
      </c>
      <c r="BA92" s="100">
        <v>1483.4392833672523</v>
      </c>
      <c r="BB92" s="100">
        <v>3.1113612163562423</v>
      </c>
      <c r="BC92" s="100">
        <v>2441.7962825963787</v>
      </c>
      <c r="BD92" s="100">
        <v>3.7120368729659603</v>
      </c>
      <c r="BE92" s="100">
        <v>2913.2065379036853</v>
      </c>
      <c r="BF92" s="100">
        <v>3.2462347504565616</v>
      </c>
      <c r="BG92" s="100">
        <v>2547.6450321583093</v>
      </c>
      <c r="BH92" s="100">
        <v>1.7924124174816278</v>
      </c>
      <c r="BI92" s="100">
        <v>1406.6852652395814</v>
      </c>
      <c r="BJ92" s="100">
        <v>3.3915604578808809</v>
      </c>
      <c r="BK92" s="100">
        <v>2661.6966473449152</v>
      </c>
      <c r="BL92" s="100">
        <v>1.9327178726399576</v>
      </c>
      <c r="BM92" s="100">
        <v>1516.7969864478387</v>
      </c>
      <c r="BN92" s="100">
        <v>3.0887327118330776</v>
      </c>
      <c r="BO92" s="100">
        <v>2424.0374322465991</v>
      </c>
      <c r="BP92" s="100">
        <v>3.3236540034363902</v>
      </c>
      <c r="BQ92" s="100">
        <v>2608.4036618968789</v>
      </c>
      <c r="BR92" s="100">
        <v>3.4973155192606038</v>
      </c>
      <c r="BS92" s="100">
        <v>2744.6932195157219</v>
      </c>
      <c r="BT92" s="100">
        <v>3.9127142939826152E-4</v>
      </c>
      <c r="BU92" s="100">
        <v>0.30706981779175563</v>
      </c>
      <c r="BV92" s="100">
        <v>4.6285377010520774</v>
      </c>
      <c r="BW92" s="100">
        <v>3632.4763877856703</v>
      </c>
      <c r="BX92" s="100">
        <v>3.2654084821753329</v>
      </c>
      <c r="BY92" s="100">
        <v>2562.692576811201</v>
      </c>
      <c r="BZ92" s="100">
        <v>5.3537848165633646</v>
      </c>
      <c r="CA92" s="100">
        <v>4201.6503240389284</v>
      </c>
      <c r="CB92" s="100">
        <v>4.9292998388789009</v>
      </c>
      <c r="CC92" s="100">
        <v>3868.5145135521611</v>
      </c>
      <c r="CD92" s="100">
        <v>4.6380196977595505</v>
      </c>
      <c r="CE92" s="100">
        <v>3639.9178588016948</v>
      </c>
      <c r="CF92" s="100">
        <v>0.32848460349188141</v>
      </c>
      <c r="CG92" s="100">
        <v>257.7947168204285</v>
      </c>
      <c r="CH92" s="100">
        <v>7.1083964266228072</v>
      </c>
      <c r="CI92" s="100">
        <v>5578.6695156135784</v>
      </c>
      <c r="CJ92" s="100">
        <v>5</v>
      </c>
      <c r="CK92" s="100">
        <v>3924</v>
      </c>
      <c r="CL92" s="100">
        <v>5.904743126583492</v>
      </c>
      <c r="CM92" s="100">
        <v>4634.0424057427244</v>
      </c>
      <c r="CN92" s="100">
        <v>3.9528039021007135</v>
      </c>
      <c r="CO92" s="100">
        <v>3102.1605023686398</v>
      </c>
      <c r="CP92" s="100">
        <v>3.4594816324246391</v>
      </c>
      <c r="CQ92" s="100">
        <v>2715.0011851268569</v>
      </c>
      <c r="CR92" s="100">
        <v>0.27689906167603651</v>
      </c>
      <c r="CS92" s="100">
        <v>217.31038360335344</v>
      </c>
      <c r="CT92" s="100">
        <v>3.7331047807550584</v>
      </c>
      <c r="CU92" s="100">
        <v>2929.7406319365696</v>
      </c>
    </row>
    <row r="93" spans="2:99">
      <c r="C93" s="99" t="s">
        <v>259</v>
      </c>
      <c r="D93" s="100">
        <v>1.4669572184533302</v>
      </c>
      <c r="E93" s="100">
        <v>1017.4815267192298</v>
      </c>
      <c r="F93" s="100">
        <v>5.3660109649860877</v>
      </c>
      <c r="G93" s="100">
        <v>3721.8652053143505</v>
      </c>
      <c r="H93" s="100">
        <v>2.7800195295434009</v>
      </c>
      <c r="I93" s="100">
        <v>1928.2215456913029</v>
      </c>
      <c r="J93" s="100">
        <v>6</v>
      </c>
      <c r="K93" s="100">
        <v>4161.6000000000004</v>
      </c>
      <c r="L93" s="100">
        <v>3.7662885240293451</v>
      </c>
      <c r="M93" s="100">
        <v>2612.2977202667539</v>
      </c>
      <c r="N93" s="100">
        <v>0.79976321267352823</v>
      </c>
      <c r="O93" s="100">
        <v>554.71576431035919</v>
      </c>
      <c r="P93" s="100">
        <v>3.594932821669909</v>
      </c>
      <c r="Q93" s="100">
        <v>2493.4454051102489</v>
      </c>
      <c r="R93" s="100">
        <v>2.7232454877637604</v>
      </c>
      <c r="S93" s="100">
        <v>1888.8430703129443</v>
      </c>
      <c r="T93" s="100">
        <v>2.717242048299767</v>
      </c>
      <c r="U93" s="100">
        <v>1884.6790847007185</v>
      </c>
      <c r="V93" s="100">
        <v>0.27172603935110734</v>
      </c>
      <c r="W93" s="100">
        <v>188.46918089392807</v>
      </c>
      <c r="X93" s="100">
        <v>4.0691387519179285</v>
      </c>
      <c r="Y93" s="100">
        <v>2822.3546383302755</v>
      </c>
      <c r="Z93" s="100">
        <v>2.0230439458221268</v>
      </c>
      <c r="AA93" s="100">
        <v>1403.1832808222271</v>
      </c>
      <c r="AB93" s="100">
        <v>3.6430369992297953</v>
      </c>
      <c r="AC93" s="100">
        <v>2526.810462665786</v>
      </c>
      <c r="AD93" s="100">
        <v>4</v>
      </c>
      <c r="AE93" s="100">
        <v>2774.4</v>
      </c>
      <c r="AF93" s="100">
        <v>3.2254256808468722</v>
      </c>
      <c r="AG93" s="100">
        <v>2237.1552522353904</v>
      </c>
      <c r="AH93" s="100">
        <v>2.8042311277248513</v>
      </c>
      <c r="AI93" s="100">
        <v>1945.014710189957</v>
      </c>
      <c r="AJ93" s="100">
        <v>2.7749839016704114E-4</v>
      </c>
      <c r="AK93" s="100">
        <v>0.19247288341985974</v>
      </c>
      <c r="AL93" s="100">
        <v>3.1450481982724856</v>
      </c>
      <c r="AM93" s="100">
        <v>2181.4054303217963</v>
      </c>
      <c r="AN93" s="100">
        <v>3.7563064577329333</v>
      </c>
      <c r="AO93" s="100">
        <v>2605.3741590835625</v>
      </c>
      <c r="AP93" s="100">
        <v>3.6699268296118039</v>
      </c>
      <c r="AQ93" s="100">
        <v>2545.4612490187474</v>
      </c>
      <c r="AR93" s="100">
        <v>2.4343018489453483</v>
      </c>
      <c r="AS93" s="100">
        <v>1688.4317624284936</v>
      </c>
      <c r="AT93" s="100">
        <v>3.5286818200778738</v>
      </c>
      <c r="AU93" s="100">
        <v>2447.4937104060132</v>
      </c>
      <c r="AV93" s="100">
        <v>3.0042431701638668</v>
      </c>
      <c r="AW93" s="100">
        <v>2083.7430628256579</v>
      </c>
      <c r="AX93" s="100">
        <v>3.2091105128452893</v>
      </c>
      <c r="AY93" s="100">
        <v>2225.8390517094927</v>
      </c>
      <c r="AZ93" s="100">
        <v>2.484252880118075</v>
      </c>
      <c r="BA93" s="100">
        <v>1723.0777976498969</v>
      </c>
      <c r="BB93" s="100">
        <v>3.1664576875143475</v>
      </c>
      <c r="BC93" s="100">
        <v>2196.2550520599516</v>
      </c>
      <c r="BD93" s="100">
        <v>3.73273683508681</v>
      </c>
      <c r="BE93" s="100">
        <v>2589.0262688162115</v>
      </c>
      <c r="BF93" s="100">
        <v>3.267526001746778</v>
      </c>
      <c r="BG93" s="100">
        <v>2266.3560348115652</v>
      </c>
      <c r="BH93" s="100">
        <v>2.3366962054524705</v>
      </c>
      <c r="BI93" s="100">
        <v>1620.7324881018335</v>
      </c>
      <c r="BJ93" s="100">
        <v>3.9329652356360656</v>
      </c>
      <c r="BK93" s="100">
        <v>2727.9046874371752</v>
      </c>
      <c r="BL93" s="100">
        <v>2.5440735482000285</v>
      </c>
      <c r="BM93" s="100">
        <v>1764.5694130315399</v>
      </c>
      <c r="BN93" s="100">
        <v>3.6697897573496321</v>
      </c>
      <c r="BO93" s="100">
        <v>2545.3661756977049</v>
      </c>
      <c r="BP93" s="100">
        <v>3.7704081574904822</v>
      </c>
      <c r="BQ93" s="100">
        <v>2615.1550980353986</v>
      </c>
      <c r="BR93" s="100">
        <v>3.4973155192606038</v>
      </c>
      <c r="BS93" s="100">
        <v>2425.7380441591549</v>
      </c>
      <c r="BT93" s="100">
        <v>3.9127142939826152E-4</v>
      </c>
      <c r="BU93" s="100">
        <v>0.2713858634306342</v>
      </c>
      <c r="BV93" s="100">
        <v>5.2497859691823896</v>
      </c>
      <c r="BW93" s="100">
        <v>3641.2515482249055</v>
      </c>
      <c r="BX93" s="100">
        <v>3.2654084821753329</v>
      </c>
      <c r="BY93" s="100">
        <v>2264.887323236811</v>
      </c>
      <c r="BZ93" s="100">
        <v>4.7425971550470969</v>
      </c>
      <c r="CA93" s="100">
        <v>3289.4653867406664</v>
      </c>
      <c r="CB93" s="100">
        <v>4.0456697990068706</v>
      </c>
      <c r="CC93" s="100">
        <v>2806.0765725911656</v>
      </c>
      <c r="CD93" s="100">
        <v>3.9902547898444278</v>
      </c>
      <c r="CE93" s="100">
        <v>2767.6407222360954</v>
      </c>
      <c r="CF93" s="100">
        <v>0.28155823156446974</v>
      </c>
      <c r="CG93" s="100">
        <v>195.28878941311621</v>
      </c>
      <c r="CH93" s="100">
        <v>7.1083964266228072</v>
      </c>
      <c r="CI93" s="100">
        <v>4930.3837615055791</v>
      </c>
      <c r="CJ93" s="100">
        <v>6</v>
      </c>
      <c r="CK93" s="100">
        <v>4161.6000000000004</v>
      </c>
      <c r="CL93" s="100">
        <v>4.964689877916264</v>
      </c>
      <c r="CM93" s="100">
        <v>3443.5088993227209</v>
      </c>
      <c r="CN93" s="100">
        <v>3.9528039021007135</v>
      </c>
      <c r="CO93" s="100">
        <v>2741.664786497055</v>
      </c>
      <c r="CP93" s="100">
        <v>3.4594816324246391</v>
      </c>
      <c r="CQ93" s="100">
        <v>2399.4964602497298</v>
      </c>
      <c r="CR93" s="100">
        <v>0.32304890528870922</v>
      </c>
      <c r="CS93" s="100">
        <v>224.06672070824871</v>
      </c>
      <c r="CT93" s="100">
        <v>3.7331047807550584</v>
      </c>
      <c r="CU93" s="100">
        <v>2589.2814759317084</v>
      </c>
    </row>
    <row r="94" spans="2:99">
      <c r="C94" s="99" t="s">
        <v>260</v>
      </c>
      <c r="D94" s="100">
        <v>1.4669572184533302</v>
      </c>
      <c r="E94" s="100">
        <v>1749.7865701711321</v>
      </c>
      <c r="F94" s="100">
        <v>4.3660109649860877</v>
      </c>
      <c r="G94" s="100">
        <v>5207.777879035405</v>
      </c>
      <c r="H94" s="100">
        <v>2.7800195295434009</v>
      </c>
      <c r="I94" s="100">
        <v>3316.0072948393686</v>
      </c>
      <c r="J94" s="100">
        <v>7</v>
      </c>
      <c r="K94" s="100">
        <v>8349.6</v>
      </c>
      <c r="L94" s="100">
        <v>3.7662885240293451</v>
      </c>
      <c r="M94" s="100">
        <v>4492.4289514622023</v>
      </c>
      <c r="N94" s="100">
        <v>0.79976321267352823</v>
      </c>
      <c r="O94" s="100">
        <v>953.95756007698446</v>
      </c>
      <c r="P94" s="100">
        <v>3.594932821669909</v>
      </c>
      <c r="Q94" s="100">
        <v>4288.0358696878675</v>
      </c>
      <c r="R94" s="100">
        <v>3.2678945853165122</v>
      </c>
      <c r="S94" s="100">
        <v>3897.9446613655355</v>
      </c>
      <c r="T94" s="100">
        <v>2.1886928932291907</v>
      </c>
      <c r="U94" s="100">
        <v>2610.6728830437787</v>
      </c>
      <c r="V94" s="100">
        <v>0.33965754918888413</v>
      </c>
      <c r="W94" s="100">
        <v>405.14352467250097</v>
      </c>
      <c r="X94" s="100">
        <v>4</v>
      </c>
      <c r="Y94" s="100">
        <v>4771.2</v>
      </c>
      <c r="Z94" s="100">
        <v>2.0230439458221268</v>
      </c>
      <c r="AA94" s="100">
        <v>2413.0868185766326</v>
      </c>
      <c r="AB94" s="100">
        <v>3.6430369992297953</v>
      </c>
      <c r="AC94" s="100">
        <v>4345.4145326812995</v>
      </c>
      <c r="AD94" s="100">
        <v>4</v>
      </c>
      <c r="AE94" s="100">
        <v>4771.2</v>
      </c>
      <c r="AF94" s="100">
        <v>3.2254256808468722</v>
      </c>
      <c r="AG94" s="100">
        <v>3847.287752114149</v>
      </c>
      <c r="AH94" s="100">
        <v>2.8042311277248513</v>
      </c>
      <c r="AI94" s="100">
        <v>3344.8868891502025</v>
      </c>
      <c r="AJ94" s="100">
        <v>2.219987121336329E-4</v>
      </c>
      <c r="AK94" s="100">
        <v>0.26480006383299731</v>
      </c>
      <c r="AL94" s="100">
        <v>3.125734565239275</v>
      </c>
      <c r="AM94" s="100">
        <v>3728.3761894174072</v>
      </c>
      <c r="AN94" s="100">
        <v>3.1263318941351659</v>
      </c>
      <c r="AO94" s="100">
        <v>3729.0886833244258</v>
      </c>
      <c r="AP94" s="100">
        <v>3.0640262653991934</v>
      </c>
      <c r="AQ94" s="100">
        <v>3654.7705293681579</v>
      </c>
      <c r="AR94" s="100">
        <v>2.4343018489453483</v>
      </c>
      <c r="AS94" s="100">
        <v>2903.6352454220114</v>
      </c>
      <c r="AT94" s="100">
        <v>3.0245844172096059</v>
      </c>
      <c r="AU94" s="100">
        <v>3607.724292847618</v>
      </c>
      <c r="AV94" s="100">
        <v>2.4033945361310933</v>
      </c>
      <c r="AW94" s="100">
        <v>2866.7690026971682</v>
      </c>
      <c r="AX94" s="100">
        <v>3.2412894665081367</v>
      </c>
      <c r="AY94" s="100">
        <v>3866.2100756509053</v>
      </c>
      <c r="AZ94" s="100">
        <v>2.4626340848787756</v>
      </c>
      <c r="BA94" s="100">
        <v>2937.4299364434032</v>
      </c>
      <c r="BB94" s="100">
        <v>3.1113612163562423</v>
      </c>
      <c r="BC94" s="100">
        <v>3711.2316588697258</v>
      </c>
      <c r="BD94" s="100">
        <v>3.73273683508681</v>
      </c>
      <c r="BE94" s="100">
        <v>4452.4084968915467</v>
      </c>
      <c r="BF94" s="100">
        <v>3.2462347504565616</v>
      </c>
      <c r="BG94" s="100">
        <v>3872.1088103445863</v>
      </c>
      <c r="BH94" s="100">
        <v>2.3366962054524705</v>
      </c>
      <c r="BI94" s="100">
        <v>2787.2112338637066</v>
      </c>
      <c r="BJ94" s="100">
        <v>2.8501556801256962</v>
      </c>
      <c r="BK94" s="100">
        <v>3399.6656952539302</v>
      </c>
      <c r="BL94" s="100">
        <v>1.9327178726399576</v>
      </c>
      <c r="BM94" s="100">
        <v>2305.3458784849413</v>
      </c>
      <c r="BN94" s="100">
        <v>3.0658017763017891</v>
      </c>
      <c r="BO94" s="100">
        <v>3656.8883587727737</v>
      </c>
      <c r="BP94" s="100">
        <v>3.3236540034363902</v>
      </c>
      <c r="BQ94" s="100">
        <v>3964.4544952989258</v>
      </c>
      <c r="BR94" s="100">
        <v>2.9144295993838365</v>
      </c>
      <c r="BS94" s="100">
        <v>3476.33162614504</v>
      </c>
      <c r="BT94" s="100">
        <v>3.375298260644647E-4</v>
      </c>
      <c r="BU94" s="100">
        <v>0.40260557652969348</v>
      </c>
      <c r="BV94" s="100">
        <v>3.9793094505077748</v>
      </c>
      <c r="BW94" s="100">
        <v>4746.5203125656735</v>
      </c>
      <c r="BX94" s="100">
        <v>2.7214922955005618</v>
      </c>
      <c r="BY94" s="100">
        <v>3246.1960100730698</v>
      </c>
      <c r="BZ94" s="100">
        <v>4.7152863594922012</v>
      </c>
      <c r="CA94" s="100">
        <v>5624.3935696022972</v>
      </c>
      <c r="CB94" s="100">
        <v>4.0456697990068706</v>
      </c>
      <c r="CC94" s="100">
        <v>4825.6749362553956</v>
      </c>
      <c r="CD94" s="100">
        <v>3.9822805327402979</v>
      </c>
      <c r="CE94" s="100">
        <v>4750.0642194526272</v>
      </c>
      <c r="CF94" s="100">
        <v>0.28155823156446974</v>
      </c>
      <c r="CG94" s="100">
        <v>335.84265861009948</v>
      </c>
      <c r="CH94" s="100">
        <v>6.1083964266228072</v>
      </c>
      <c r="CI94" s="100">
        <v>7286.0952576756845</v>
      </c>
      <c r="CJ94" s="100">
        <v>5</v>
      </c>
      <c r="CK94" s="100">
        <v>5964</v>
      </c>
      <c r="CL94" s="100">
        <v>5.904743126583492</v>
      </c>
      <c r="CM94" s="100">
        <v>7043.1776013887893</v>
      </c>
      <c r="CN94" s="100">
        <v>3.9048106385674544</v>
      </c>
      <c r="CO94" s="100">
        <v>4657.6581296832592</v>
      </c>
      <c r="CP94" s="100">
        <v>3.4653254180825885</v>
      </c>
      <c r="CQ94" s="100">
        <v>4133.4401586889117</v>
      </c>
      <c r="CR94" s="100">
        <v>0.27689906167603651</v>
      </c>
      <c r="CS94" s="100">
        <v>330.28520076717632</v>
      </c>
      <c r="CT94" s="100">
        <v>3.7331047807550584</v>
      </c>
      <c r="CU94" s="100">
        <v>4452.8473824846333</v>
      </c>
    </row>
    <row r="95" spans="2:99">
      <c r="B95" s="99" t="s">
        <v>132</v>
      </c>
      <c r="C95" s="99" t="s">
        <v>261</v>
      </c>
      <c r="D95" s="100">
        <v>1.4669572184533302</v>
      </c>
      <c r="E95" s="100">
        <v>482.33553342745495</v>
      </c>
      <c r="F95" s="100">
        <v>8</v>
      </c>
      <c r="G95" s="100">
        <v>2630.4</v>
      </c>
      <c r="H95" s="100">
        <v>3.336023435452081</v>
      </c>
      <c r="I95" s="100">
        <v>1096.8845055766442</v>
      </c>
      <c r="J95" s="100">
        <v>9</v>
      </c>
      <c r="K95" s="100">
        <v>2959.2000000000003</v>
      </c>
      <c r="L95" s="100">
        <v>8.337847208124824</v>
      </c>
      <c r="M95" s="100">
        <v>2741.4841620314423</v>
      </c>
      <c r="N95" s="100">
        <v>1.0845401812397066</v>
      </c>
      <c r="O95" s="100">
        <v>356.59681159161556</v>
      </c>
      <c r="P95" s="100">
        <v>5.1689645434012172</v>
      </c>
      <c r="Q95" s="100">
        <v>1699.5555418703202</v>
      </c>
      <c r="R95" s="100">
        <v>5.4960393823403386</v>
      </c>
      <c r="S95" s="100">
        <v>1807.0977489135034</v>
      </c>
      <c r="T95" s="100">
        <v>5.9562608632203933</v>
      </c>
      <c r="U95" s="100">
        <v>1958.4185718268654</v>
      </c>
      <c r="V95" s="100">
        <v>0.40758905902666098</v>
      </c>
      <c r="W95" s="100">
        <v>134.01528260796613</v>
      </c>
      <c r="X95" s="100">
        <v>8.0614566683714912</v>
      </c>
      <c r="Y95" s="100">
        <v>2650.6069525605462</v>
      </c>
      <c r="Z95" s="100">
        <v>4.082465004183482</v>
      </c>
      <c r="AA95" s="100">
        <v>1342.3144933755289</v>
      </c>
      <c r="AB95" s="100">
        <v>4.3716443990757545</v>
      </c>
      <c r="AC95" s="100">
        <v>1437.3966784161082</v>
      </c>
      <c r="AD95" s="100">
        <v>12</v>
      </c>
      <c r="AE95" s="100">
        <v>3945.6000000000004</v>
      </c>
      <c r="AF95" s="100">
        <v>8.8699206223288982</v>
      </c>
      <c r="AG95" s="100">
        <v>2916.429900621742</v>
      </c>
      <c r="AH95" s="100">
        <v>6.9112610640818639</v>
      </c>
      <c r="AI95" s="100">
        <v>2272.4226378701169</v>
      </c>
      <c r="AJ95" s="100">
        <v>4.8804221042162739E-4</v>
      </c>
      <c r="AK95" s="100">
        <v>0.16046827878663109</v>
      </c>
      <c r="AL95" s="100">
        <v>5.373467324002684</v>
      </c>
      <c r="AM95" s="100">
        <v>1766.7960561320826</v>
      </c>
      <c r="AN95" s="100">
        <v>4.6631417271233637</v>
      </c>
      <c r="AO95" s="100">
        <v>1533.240999878162</v>
      </c>
      <c r="AP95" s="100">
        <v>4.8866598786564737</v>
      </c>
      <c r="AQ95" s="100">
        <v>1606.7337681022486</v>
      </c>
      <c r="AR95" s="100">
        <v>5.7686677274090581</v>
      </c>
      <c r="AS95" s="100">
        <v>1896.7379487720984</v>
      </c>
      <c r="AT95" s="100">
        <v>5.2580152154213744</v>
      </c>
      <c r="AU95" s="100">
        <v>1728.835402830548</v>
      </c>
      <c r="AV95" s="100">
        <v>5.4076377062949597</v>
      </c>
      <c r="AW95" s="100">
        <v>1778.0312778297828</v>
      </c>
      <c r="AX95" s="100">
        <v>5.1091248772894096</v>
      </c>
      <c r="AY95" s="100">
        <v>1679.880259652758</v>
      </c>
      <c r="AZ95" s="100">
        <v>6.5560557810236304</v>
      </c>
      <c r="BA95" s="100">
        <v>2155.6311408005699</v>
      </c>
      <c r="BB95" s="100">
        <v>5.7592587011445495</v>
      </c>
      <c r="BC95" s="100">
        <v>1893.644260936328</v>
      </c>
      <c r="BD95" s="100">
        <v>4.6129334145953962</v>
      </c>
      <c r="BE95" s="100">
        <v>1516.7325067189663</v>
      </c>
      <c r="BF95" s="100">
        <v>4.9895795883444194</v>
      </c>
      <c r="BG95" s="100">
        <v>1640.5737686476452</v>
      </c>
      <c r="BH95" s="100">
        <v>5.9871216676792738</v>
      </c>
      <c r="BI95" s="100">
        <v>1968.5656043329452</v>
      </c>
      <c r="BJ95" s="100">
        <v>4.3312382220414776</v>
      </c>
      <c r="BK95" s="100">
        <v>1424.111127407238</v>
      </c>
      <c r="BL95" s="100">
        <v>6.4536226047714829</v>
      </c>
      <c r="BM95" s="100">
        <v>2121.9511124488636</v>
      </c>
      <c r="BN95" s="100">
        <v>4.923627590507893</v>
      </c>
      <c r="BO95" s="100">
        <v>1618.8887517589953</v>
      </c>
      <c r="BP95" s="100">
        <v>5.0583039729706911</v>
      </c>
      <c r="BQ95" s="100">
        <v>1663.1703463127633</v>
      </c>
      <c r="BR95" s="100">
        <v>4.6630873590141384</v>
      </c>
      <c r="BS95" s="100">
        <v>1533.2231236438488</v>
      </c>
      <c r="BT95" s="100">
        <v>3.2244962000278098E-4</v>
      </c>
      <c r="BU95" s="100">
        <v>0.10602143505691439</v>
      </c>
      <c r="BV95" s="100">
        <v>3.7274896087818772</v>
      </c>
      <c r="BW95" s="100">
        <v>1225.5985833674813</v>
      </c>
      <c r="BX95" s="100">
        <v>4.3360385963845003</v>
      </c>
      <c r="BY95" s="100">
        <v>1425.6894904912238</v>
      </c>
      <c r="BZ95" s="100">
        <v>3.1924922853558173</v>
      </c>
      <c r="CA95" s="100">
        <v>1049.6914634249927</v>
      </c>
      <c r="CB95" s="100">
        <v>4.0456697990068706</v>
      </c>
      <c r="CC95" s="100">
        <v>1330.2162299134591</v>
      </c>
      <c r="CD95" s="100">
        <v>4.0301260753650778</v>
      </c>
      <c r="CE95" s="100">
        <v>1325.1054535800376</v>
      </c>
      <c r="CF95" s="100">
        <v>0.42233734734670464</v>
      </c>
      <c r="CG95" s="100">
        <v>138.86451980759648</v>
      </c>
      <c r="CH95" s="100">
        <v>8</v>
      </c>
      <c r="CI95" s="100">
        <v>2630.4</v>
      </c>
      <c r="CJ95" s="100">
        <v>6</v>
      </c>
      <c r="CK95" s="100">
        <v>1972.8000000000002</v>
      </c>
      <c r="CL95" s="100">
        <v>6.7125845579606587</v>
      </c>
      <c r="CM95" s="100">
        <v>2207.0978026574649</v>
      </c>
      <c r="CN95" s="100">
        <v>4.589786239214428</v>
      </c>
      <c r="CO95" s="100">
        <v>1509.1217154537039</v>
      </c>
      <c r="CP95" s="100">
        <v>5.4154576164603281</v>
      </c>
      <c r="CQ95" s="100">
        <v>1780.6024642921559</v>
      </c>
      <c r="CR95" s="100">
        <v>0.46149843612672747</v>
      </c>
      <c r="CS95" s="100">
        <v>151.74068579846801</v>
      </c>
      <c r="CT95" s="100">
        <v>5.1963156559783537</v>
      </c>
      <c r="CU95" s="100">
        <v>1708.5485876856828</v>
      </c>
    </row>
    <row r="96" spans="2:99">
      <c r="C96" s="99" t="s">
        <v>262</v>
      </c>
      <c r="D96" s="100">
        <v>1.4669572184533302</v>
      </c>
      <c r="E96" s="100">
        <v>1019.2418753813737</v>
      </c>
      <c r="F96" s="100">
        <v>8.4575137062326107</v>
      </c>
      <c r="G96" s="100">
        <v>5876.2805230904178</v>
      </c>
      <c r="H96" s="100">
        <v>3.336023435452081</v>
      </c>
      <c r="I96" s="100">
        <v>2317.8690829521056</v>
      </c>
      <c r="J96" s="100">
        <v>9</v>
      </c>
      <c r="K96" s="100">
        <v>6253.2</v>
      </c>
      <c r="L96" s="100">
        <v>8.337847208124824</v>
      </c>
      <c r="M96" s="100">
        <v>5793.1362402051273</v>
      </c>
      <c r="N96" s="100">
        <v>1.0845401812397066</v>
      </c>
      <c r="O96" s="100">
        <v>753.53851792534817</v>
      </c>
      <c r="P96" s="100">
        <v>5.1689645434012172</v>
      </c>
      <c r="Q96" s="100">
        <v>3591.3965647551654</v>
      </c>
      <c r="R96" s="100">
        <v>4.9018418779747686</v>
      </c>
      <c r="S96" s="100">
        <v>3405.799736816869</v>
      </c>
      <c r="T96" s="100">
        <v>5.4209393197000999</v>
      </c>
      <c r="U96" s="100">
        <v>3766.4686393276293</v>
      </c>
      <c r="V96" s="100">
        <v>0.33965754918888413</v>
      </c>
      <c r="W96" s="100">
        <v>235.99406517643669</v>
      </c>
      <c r="X96" s="100">
        <v>8.0614566683714912</v>
      </c>
      <c r="Y96" s="100">
        <v>5601.1000931845119</v>
      </c>
      <c r="Z96" s="100">
        <v>4.082465004183482</v>
      </c>
      <c r="AA96" s="100">
        <v>2836.4966849066832</v>
      </c>
      <c r="AB96" s="100">
        <v>4.3716443990757545</v>
      </c>
      <c r="AC96" s="100">
        <v>3037.4185284778341</v>
      </c>
      <c r="AD96" s="100">
        <v>10</v>
      </c>
      <c r="AE96" s="100">
        <v>6948</v>
      </c>
      <c r="AF96" s="100">
        <v>8.0635642021171812</v>
      </c>
      <c r="AG96" s="100">
        <v>5602.5644076310173</v>
      </c>
      <c r="AH96" s="100">
        <v>5.6084622554497026</v>
      </c>
      <c r="AI96" s="100">
        <v>3896.759575086453</v>
      </c>
      <c r="AJ96" s="100">
        <v>4.3540625535798085E-4</v>
      </c>
      <c r="AK96" s="100">
        <v>0.3025202662227251</v>
      </c>
      <c r="AL96" s="100">
        <v>4.6499745817924936</v>
      </c>
      <c r="AM96" s="100">
        <v>3230.8023394294241</v>
      </c>
      <c r="AN96" s="100">
        <v>4.6631417271233637</v>
      </c>
      <c r="AO96" s="100">
        <v>3239.9508720053127</v>
      </c>
      <c r="AP96" s="100">
        <v>4.8817279580370245</v>
      </c>
      <c r="AQ96" s="100">
        <v>3391.8245852441246</v>
      </c>
      <c r="AR96" s="100">
        <v>6.3455345001499648</v>
      </c>
      <c r="AS96" s="100">
        <v>4408.8773707041955</v>
      </c>
      <c r="AT96" s="100">
        <v>5.0409740286826761</v>
      </c>
      <c r="AU96" s="100">
        <v>3502.4687551287229</v>
      </c>
      <c r="AV96" s="100">
        <v>5.4961764947056579</v>
      </c>
      <c r="AW96" s="100">
        <v>3818.7434285214908</v>
      </c>
      <c r="AX96" s="100">
        <v>5.1091248772894096</v>
      </c>
      <c r="AY96" s="100">
        <v>3549.8199647406814</v>
      </c>
      <c r="AZ96" s="100">
        <v>5.9836348502825372</v>
      </c>
      <c r="BA96" s="100">
        <v>4157.4294939763067</v>
      </c>
      <c r="BB96" s="100">
        <v>5.2406984984185101</v>
      </c>
      <c r="BC96" s="100">
        <v>3641.2373167011806</v>
      </c>
      <c r="BD96" s="100">
        <v>4.6129334145953962</v>
      </c>
      <c r="BE96" s="100">
        <v>3205.0661364608809</v>
      </c>
      <c r="BF96" s="100">
        <v>5.6132770368874718</v>
      </c>
      <c r="BG96" s="100">
        <v>3900.1048852294152</v>
      </c>
      <c r="BH96" s="100">
        <v>5.9871216676792738</v>
      </c>
      <c r="BI96" s="100">
        <v>4159.8521347035594</v>
      </c>
      <c r="BJ96" s="100">
        <v>5.414047777551847</v>
      </c>
      <c r="BK96" s="100">
        <v>3761.6803958430232</v>
      </c>
      <c r="BL96" s="100">
        <v>6.4536226047714829</v>
      </c>
      <c r="BM96" s="100">
        <v>4483.976985795226</v>
      </c>
      <c r="BN96" s="100">
        <v>4.923627590507893</v>
      </c>
      <c r="BO96" s="100">
        <v>3420.936449884884</v>
      </c>
      <c r="BP96" s="100">
        <v>5.0583039729706911</v>
      </c>
      <c r="BQ96" s="100">
        <v>3514.5096004200359</v>
      </c>
      <c r="BR96" s="100">
        <v>5.2459732788909053</v>
      </c>
      <c r="BS96" s="100">
        <v>3644.9022341734008</v>
      </c>
      <c r="BT96" s="100">
        <v>3.7619122333657781E-4</v>
      </c>
      <c r="BU96" s="100">
        <v>0.26137766197425422</v>
      </c>
      <c r="BV96" s="100">
        <v>4.0912293801637301</v>
      </c>
      <c r="BW96" s="100">
        <v>2842.5861733377596</v>
      </c>
      <c r="BX96" s="100">
        <v>5.4200482454806256</v>
      </c>
      <c r="BY96" s="100">
        <v>3765.8495209599382</v>
      </c>
      <c r="BZ96" s="100">
        <v>3.1924922853558173</v>
      </c>
      <c r="CA96" s="100">
        <v>2218.1436398652218</v>
      </c>
      <c r="CB96" s="100">
        <v>4.7199480988413498</v>
      </c>
      <c r="CC96" s="100">
        <v>3279.4199390749695</v>
      </c>
      <c r="CD96" s="100">
        <v>4.0221518182609479</v>
      </c>
      <c r="CE96" s="100">
        <v>2794.5910833277067</v>
      </c>
      <c r="CF96" s="100">
        <v>0.32848460349188141</v>
      </c>
      <c r="CG96" s="100">
        <v>228.23110250615917</v>
      </c>
      <c r="CH96" s="100">
        <v>7</v>
      </c>
      <c r="CI96" s="100">
        <v>4863.5999999999995</v>
      </c>
      <c r="CJ96" s="100">
        <v>5</v>
      </c>
      <c r="CK96" s="100">
        <v>3474</v>
      </c>
      <c r="CL96" s="100">
        <v>5.7536439068234211</v>
      </c>
      <c r="CM96" s="100">
        <v>3997.6317864609127</v>
      </c>
      <c r="CN96" s="100">
        <v>4.589786239214428</v>
      </c>
      <c r="CO96" s="100">
        <v>3188.9834790061846</v>
      </c>
      <c r="CP96" s="100">
        <v>5.9088344517127132</v>
      </c>
      <c r="CQ96" s="100">
        <v>4105.4581770499926</v>
      </c>
      <c r="CR96" s="100">
        <v>0.41534859251405476</v>
      </c>
      <c r="CS96" s="100">
        <v>288.5842020787652</v>
      </c>
      <c r="CT96" s="100">
        <v>5.3979864135554703</v>
      </c>
      <c r="CU96" s="100">
        <v>3750.5209601383403</v>
      </c>
    </row>
    <row r="97" spans="2:99">
      <c r="C97" s="99" t="s">
        <v>263</v>
      </c>
      <c r="D97" s="100">
        <v>1.4669572184533302</v>
      </c>
      <c r="E97" s="100">
        <v>575.63401252108667</v>
      </c>
      <c r="F97" s="100">
        <v>8</v>
      </c>
      <c r="G97" s="100">
        <v>3139.2</v>
      </c>
      <c r="H97" s="100">
        <v>3.336023435452081</v>
      </c>
      <c r="I97" s="100">
        <v>1309.0555960713966</v>
      </c>
      <c r="J97" s="100">
        <v>10</v>
      </c>
      <c r="K97" s="100">
        <v>3924</v>
      </c>
      <c r="L97" s="100">
        <v>8.3015000158738346</v>
      </c>
      <c r="M97" s="100">
        <v>3257.5086062288924</v>
      </c>
      <c r="N97" s="100">
        <v>1.2158130243510352</v>
      </c>
      <c r="O97" s="100">
        <v>477.08503075534617</v>
      </c>
      <c r="P97" s="100">
        <v>5.1689645434012172</v>
      </c>
      <c r="Q97" s="100">
        <v>2028.3016868306374</v>
      </c>
      <c r="R97" s="100">
        <v>5.4464909755275208</v>
      </c>
      <c r="S97" s="100">
        <v>2137.2030587969989</v>
      </c>
      <c r="T97" s="100">
        <v>5.4277117081498165</v>
      </c>
      <c r="U97" s="100">
        <v>2129.8340742779878</v>
      </c>
      <c r="V97" s="100">
        <v>0.40758905902666098</v>
      </c>
      <c r="W97" s="100">
        <v>159.93794676206176</v>
      </c>
      <c r="X97" s="100">
        <v>9.0614566683714912</v>
      </c>
      <c r="Y97" s="100">
        <v>3555.7155966689729</v>
      </c>
      <c r="Z97" s="100">
        <v>4.5934227210017609</v>
      </c>
      <c r="AA97" s="100">
        <v>1802.4590757210908</v>
      </c>
      <c r="AB97" s="100">
        <v>4.3716443990757545</v>
      </c>
      <c r="AC97" s="100">
        <v>1715.433262197326</v>
      </c>
      <c r="AD97" s="100">
        <v>11</v>
      </c>
      <c r="AE97" s="100">
        <v>4316.3999999999996</v>
      </c>
      <c r="AF97" s="100">
        <v>8.8699206223288982</v>
      </c>
      <c r="AG97" s="100">
        <v>3480.5568522018593</v>
      </c>
      <c r="AH97" s="100">
        <v>6.2474470653620013</v>
      </c>
      <c r="AI97" s="100">
        <v>2451.4982284480493</v>
      </c>
      <c r="AJ97" s="100">
        <v>4.3540625535798085E-4</v>
      </c>
      <c r="AK97" s="100">
        <v>0.17085341460247166</v>
      </c>
      <c r="AL97" s="100">
        <v>5.373467324002684</v>
      </c>
      <c r="AM97" s="100">
        <v>2108.5485779386531</v>
      </c>
      <c r="AN97" s="100">
        <v>4.6631417271233637</v>
      </c>
      <c r="AO97" s="100">
        <v>1829.8168137232078</v>
      </c>
      <c r="AP97" s="100">
        <v>4.8866598786564737</v>
      </c>
      <c r="AQ97" s="100">
        <v>1917.5253363848001</v>
      </c>
      <c r="AR97" s="100">
        <v>5.7686677274090581</v>
      </c>
      <c r="AS97" s="100">
        <v>2263.6252162353144</v>
      </c>
      <c r="AT97" s="100">
        <v>5.7423816013133973</v>
      </c>
      <c r="AU97" s="100">
        <v>2253.3105403553768</v>
      </c>
      <c r="AV97" s="100">
        <v>6.0970251287384309</v>
      </c>
      <c r="AW97" s="100">
        <v>2392.4726605169603</v>
      </c>
      <c r="AX97" s="100">
        <v>4.3792498948194938</v>
      </c>
      <c r="AY97" s="100">
        <v>1718.4176587271693</v>
      </c>
      <c r="AZ97" s="100">
        <v>5.9620160550432368</v>
      </c>
      <c r="BA97" s="100">
        <v>2339.495099998966</v>
      </c>
      <c r="BB97" s="100">
        <v>5.2338114395237465</v>
      </c>
      <c r="BC97" s="100">
        <v>2053.7476088691178</v>
      </c>
      <c r="BD97" s="100">
        <v>5.1254815717726627</v>
      </c>
      <c r="BE97" s="100">
        <v>2011.2389687635928</v>
      </c>
      <c r="BF97" s="100">
        <v>4.9895795883444194</v>
      </c>
      <c r="BG97" s="100">
        <v>1957.91103046635</v>
      </c>
      <c r="BH97" s="100">
        <v>5.4428378797084305</v>
      </c>
      <c r="BI97" s="100">
        <v>2135.7695839975881</v>
      </c>
      <c r="BJ97" s="100">
        <v>5.414047777551847</v>
      </c>
      <c r="BK97" s="100">
        <v>2124.4723479113445</v>
      </c>
      <c r="BL97" s="100">
        <v>5.2802366766312137</v>
      </c>
      <c r="BM97" s="100">
        <v>2071.9648719100883</v>
      </c>
      <c r="BN97" s="100">
        <v>5.2295134096489884</v>
      </c>
      <c r="BO97" s="100">
        <v>2052.0610619462627</v>
      </c>
      <c r="BP97" s="100">
        <v>5.0583039729706911</v>
      </c>
      <c r="BQ97" s="100">
        <v>1984.878478993699</v>
      </c>
      <c r="BR97" s="100">
        <v>5.2459732788909053</v>
      </c>
      <c r="BS97" s="100">
        <v>2058.5199146367913</v>
      </c>
      <c r="BT97" s="100">
        <v>3.7619122333657781E-4</v>
      </c>
      <c r="BU97" s="100">
        <v>0.14761743603727312</v>
      </c>
      <c r="BV97" s="100">
        <v>4.6844976658800546</v>
      </c>
      <c r="BW97" s="100">
        <v>1838.1968840913332</v>
      </c>
      <c r="BX97" s="100">
        <v>5.4200482454806256</v>
      </c>
      <c r="BY97" s="100">
        <v>2126.8269315265975</v>
      </c>
      <c r="BZ97" s="100">
        <v>3.8309907424269807</v>
      </c>
      <c r="CA97" s="100">
        <v>1503.2807673283471</v>
      </c>
      <c r="CB97" s="100">
        <v>4.7199480988413498</v>
      </c>
      <c r="CC97" s="100">
        <v>1852.1076339853455</v>
      </c>
      <c r="CD97" s="100">
        <v>4.0301260753650778</v>
      </c>
      <c r="CE97" s="100">
        <v>1581.4214719732565</v>
      </c>
      <c r="CF97" s="100">
        <v>0.37541097541929302</v>
      </c>
      <c r="CG97" s="100">
        <v>147.31126675453058</v>
      </c>
      <c r="CH97" s="100">
        <v>8</v>
      </c>
      <c r="CI97" s="100">
        <v>3139.2</v>
      </c>
      <c r="CJ97" s="100">
        <v>6</v>
      </c>
      <c r="CK97" s="100">
        <v>2354.3999999999996</v>
      </c>
      <c r="CL97" s="100">
        <v>6.7125845579606587</v>
      </c>
      <c r="CM97" s="100">
        <v>2634.0181805437624</v>
      </c>
      <c r="CN97" s="100">
        <v>4.589786239214428</v>
      </c>
      <c r="CO97" s="100">
        <v>1801.0321202677414</v>
      </c>
      <c r="CP97" s="100">
        <v>5.421301402118277</v>
      </c>
      <c r="CQ97" s="100">
        <v>2127.3186701912118</v>
      </c>
      <c r="CR97" s="100">
        <v>0.41534859251405476</v>
      </c>
      <c r="CS97" s="100">
        <v>162.98278770251508</v>
      </c>
      <c r="CT97" s="100">
        <v>5.1963156559783537</v>
      </c>
      <c r="CU97" s="100">
        <v>2039.0342634059059</v>
      </c>
    </row>
    <row r="98" spans="2:99">
      <c r="C98" s="99" t="s">
        <v>264</v>
      </c>
      <c r="D98" s="100">
        <v>1.4669572184533302</v>
      </c>
      <c r="E98" s="100">
        <v>771.03271401907034</v>
      </c>
      <c r="F98" s="100">
        <v>8.4117623356093496</v>
      </c>
      <c r="G98" s="100">
        <v>4421.2222835962748</v>
      </c>
      <c r="H98" s="100">
        <v>2.7800195295434009</v>
      </c>
      <c r="I98" s="100">
        <v>1461.1782647280115</v>
      </c>
      <c r="J98" s="100">
        <v>9</v>
      </c>
      <c r="K98" s="100">
        <v>4730.4000000000005</v>
      </c>
      <c r="L98" s="100">
        <v>9.1794645604419429</v>
      </c>
      <c r="M98" s="100">
        <v>4824.7265729682858</v>
      </c>
      <c r="N98" s="100">
        <v>1.0825191555721139</v>
      </c>
      <c r="O98" s="100">
        <v>568.97206816870312</v>
      </c>
      <c r="P98" s="100">
        <v>5.1689645434012172</v>
      </c>
      <c r="Q98" s="100">
        <v>2716.8077640116799</v>
      </c>
      <c r="R98" s="100">
        <v>5.4464909755275208</v>
      </c>
      <c r="S98" s="100">
        <v>2862.6756567372649</v>
      </c>
      <c r="T98" s="100">
        <v>5.4277117081498165</v>
      </c>
      <c r="U98" s="100">
        <v>2852.8052738035435</v>
      </c>
      <c r="V98" s="100">
        <v>0.40758905902666098</v>
      </c>
      <c r="W98" s="100">
        <v>214.22880942441301</v>
      </c>
      <c r="X98" s="100">
        <v>8.0537745848250548</v>
      </c>
      <c r="Y98" s="100">
        <v>4233.0639217840489</v>
      </c>
      <c r="Z98" s="100">
        <v>4.5934227210017609</v>
      </c>
      <c r="AA98" s="100">
        <v>2414.3029821585255</v>
      </c>
      <c r="AB98" s="100">
        <v>4.3716443990757545</v>
      </c>
      <c r="AC98" s="100">
        <v>2297.7362961542167</v>
      </c>
      <c r="AD98" s="100">
        <v>11</v>
      </c>
      <c r="AE98" s="100">
        <v>5781.6</v>
      </c>
      <c r="AF98" s="100">
        <v>8.8699206223288982</v>
      </c>
      <c r="AG98" s="100">
        <v>4662.0302790960695</v>
      </c>
      <c r="AH98" s="100">
        <v>6.2722762541695669</v>
      </c>
      <c r="AI98" s="100">
        <v>3296.7083991915247</v>
      </c>
      <c r="AJ98" s="100">
        <v>4.3540625535798085E-4</v>
      </c>
      <c r="AK98" s="100">
        <v>0.22884952781615475</v>
      </c>
      <c r="AL98" s="100">
        <v>5.373467324002684</v>
      </c>
      <c r="AM98" s="100">
        <v>2824.2944254958106</v>
      </c>
      <c r="AN98" s="100">
        <v>5.2460344430137846</v>
      </c>
      <c r="AO98" s="100">
        <v>2757.3157032480453</v>
      </c>
      <c r="AP98" s="100">
        <v>4.2758273938244136</v>
      </c>
      <c r="AQ98" s="100">
        <v>2247.3748781941117</v>
      </c>
      <c r="AR98" s="100">
        <v>5.7686677274090581</v>
      </c>
      <c r="AS98" s="100">
        <v>3032.0117575262011</v>
      </c>
      <c r="AT98" s="100">
        <v>5.5450714315509444</v>
      </c>
      <c r="AU98" s="100">
        <v>2914.4895444231765</v>
      </c>
      <c r="AV98" s="100">
        <v>6.1096735270828164</v>
      </c>
      <c r="AW98" s="100">
        <v>3211.2444058347282</v>
      </c>
      <c r="AX98" s="100">
        <v>5.1091248772894096</v>
      </c>
      <c r="AY98" s="100">
        <v>2685.3560355033137</v>
      </c>
      <c r="AZ98" s="100">
        <v>5.9836348502825372</v>
      </c>
      <c r="BA98" s="100">
        <v>3144.9984773085016</v>
      </c>
      <c r="BB98" s="100">
        <v>5.2406984984185101</v>
      </c>
      <c r="BC98" s="100">
        <v>2754.5111307687689</v>
      </c>
      <c r="BD98" s="100">
        <v>4.6129334145953962</v>
      </c>
      <c r="BE98" s="100">
        <v>2424.5578027113402</v>
      </c>
      <c r="BF98" s="100">
        <v>5.6132770368874718</v>
      </c>
      <c r="BG98" s="100">
        <v>2950.3384105880555</v>
      </c>
      <c r="BH98" s="100">
        <v>6.5314054556501162</v>
      </c>
      <c r="BI98" s="100">
        <v>3432.9067074897011</v>
      </c>
      <c r="BJ98" s="100">
        <v>5.414047777551847</v>
      </c>
      <c r="BK98" s="100">
        <v>2845.623511881251</v>
      </c>
      <c r="BL98" s="100">
        <v>5.8669296407013478</v>
      </c>
      <c r="BM98" s="100">
        <v>3083.6582191526286</v>
      </c>
      <c r="BN98" s="100">
        <v>5.5046846360244475</v>
      </c>
      <c r="BO98" s="100">
        <v>2893.2622446944497</v>
      </c>
      <c r="BP98" s="100">
        <v>5.5181497886952995</v>
      </c>
      <c r="BQ98" s="100">
        <v>2900.3395289382497</v>
      </c>
      <c r="BR98" s="100">
        <v>5.2459732788909053</v>
      </c>
      <c r="BS98" s="100">
        <v>2757.28355538506</v>
      </c>
      <c r="BT98" s="100">
        <v>3.7619122333657781E-4</v>
      </c>
      <c r="BU98" s="100">
        <v>0.19772610698570531</v>
      </c>
      <c r="BV98" s="100">
        <v>4.0632493977497415</v>
      </c>
      <c r="BW98" s="100">
        <v>2135.6438834572641</v>
      </c>
      <c r="BX98" s="100">
        <v>4.3360385963845003</v>
      </c>
      <c r="BY98" s="100">
        <v>2279.0218862596935</v>
      </c>
      <c r="BZ98" s="100">
        <v>3.1924922853558173</v>
      </c>
      <c r="CA98" s="100">
        <v>1677.9739451830176</v>
      </c>
      <c r="CB98" s="100">
        <v>4.0456697990068706</v>
      </c>
      <c r="CC98" s="100">
        <v>2126.4040463580113</v>
      </c>
      <c r="CD98" s="100">
        <v>4.0301260753650778</v>
      </c>
      <c r="CE98" s="100">
        <v>2118.234265211885</v>
      </c>
      <c r="CF98" s="100">
        <v>0.37541097541929302</v>
      </c>
      <c r="CG98" s="100">
        <v>197.31600868038043</v>
      </c>
      <c r="CH98" s="100">
        <v>7</v>
      </c>
      <c r="CI98" s="100">
        <v>3679.2000000000003</v>
      </c>
      <c r="CJ98" s="100">
        <v>6</v>
      </c>
      <c r="CK98" s="100">
        <v>3153.6000000000004</v>
      </c>
      <c r="CL98" s="100">
        <v>6.7125845579606587</v>
      </c>
      <c r="CM98" s="100">
        <v>3528.1344436641225</v>
      </c>
      <c r="CN98" s="100">
        <v>4.589786239214428</v>
      </c>
      <c r="CO98" s="100">
        <v>2412.3916473311033</v>
      </c>
      <c r="CP98" s="100">
        <v>5.4271451877762269</v>
      </c>
      <c r="CQ98" s="100">
        <v>2852.5075106951849</v>
      </c>
      <c r="CR98" s="100">
        <v>0.41534859251405476</v>
      </c>
      <c r="CS98" s="100">
        <v>218.3072202253872</v>
      </c>
      <c r="CT98" s="100">
        <v>4.618947249758536</v>
      </c>
      <c r="CU98" s="100">
        <v>2427.7186744730866</v>
      </c>
    </row>
    <row r="99" spans="2:99">
      <c r="C99" s="99" t="s">
        <v>265</v>
      </c>
      <c r="D99" s="100">
        <v>1.4669572184533302</v>
      </c>
      <c r="E99" s="100">
        <v>6173.542758138994</v>
      </c>
      <c r="F99" s="100">
        <v>6.3660109649860877</v>
      </c>
      <c r="G99" s="100">
        <v>26790.72054504745</v>
      </c>
      <c r="H99" s="100">
        <v>2.7800195295434009</v>
      </c>
      <c r="I99" s="100">
        <v>11699.434188130448</v>
      </c>
      <c r="J99" s="100">
        <v>8</v>
      </c>
      <c r="K99" s="100">
        <v>33667.199999999997</v>
      </c>
      <c r="L99" s="100">
        <v>6.4728765422356442</v>
      </c>
      <c r="M99" s="100">
        <v>27240.453640344484</v>
      </c>
      <c r="N99" s="100">
        <v>0.93305708145244959</v>
      </c>
      <c r="O99" s="100">
        <v>3926.6774215844885</v>
      </c>
      <c r="P99" s="100">
        <v>3.4459763622674782</v>
      </c>
      <c r="Q99" s="100">
        <v>14502.046922966454</v>
      </c>
      <c r="R99" s="100">
        <v>4.3571927804220163</v>
      </c>
      <c r="S99" s="100">
        <v>18336.810097128011</v>
      </c>
      <c r="T99" s="100">
        <v>4.8720729992803724</v>
      </c>
      <c r="U99" s="100">
        <v>20503.632010171517</v>
      </c>
      <c r="V99" s="100">
        <v>0.33965754918888413</v>
      </c>
      <c r="W99" s="100">
        <v>1429.4148300064999</v>
      </c>
      <c r="X99" s="100">
        <v>8.0537745848250548</v>
      </c>
      <c r="Y99" s="100">
        <v>33893.504962777755</v>
      </c>
      <c r="Z99" s="100">
        <v>3.5767040177279505</v>
      </c>
      <c r="AA99" s="100">
        <v>15052.201188206305</v>
      </c>
      <c r="AB99" s="100">
        <v>4.3716443990757545</v>
      </c>
      <c r="AC99" s="100">
        <v>18397.628289070402</v>
      </c>
      <c r="AD99" s="100">
        <v>10</v>
      </c>
      <c r="AE99" s="100">
        <v>42084</v>
      </c>
      <c r="AF99" s="100">
        <v>6.4508513616937444</v>
      </c>
      <c r="AG99" s="100">
        <v>27147.762870551953</v>
      </c>
      <c r="AH99" s="100">
        <v>4.8949898791147071</v>
      </c>
      <c r="AI99" s="100">
        <v>20600.075407266333</v>
      </c>
      <c r="AJ99" s="100">
        <v>3.7990657732457265E-4</v>
      </c>
      <c r="AK99" s="100">
        <v>1.5987988400127313</v>
      </c>
      <c r="AL99" s="100">
        <v>4.611347315726074</v>
      </c>
      <c r="AM99" s="100">
        <v>19406.394043501608</v>
      </c>
      <c r="AN99" s="100">
        <v>4.0802490112329437</v>
      </c>
      <c r="AO99" s="100">
        <v>17171.319938872719</v>
      </c>
      <c r="AP99" s="100">
        <v>4.2708954732049644</v>
      </c>
      <c r="AQ99" s="100">
        <v>17973.636509435772</v>
      </c>
      <c r="AR99" s="100">
        <v>4.6149341819272465</v>
      </c>
      <c r="AS99" s="100">
        <v>19421.489011222624</v>
      </c>
      <c r="AT99" s="100">
        <v>4.0327792229461412</v>
      </c>
      <c r="AU99" s="100">
        <v>16971.54808184654</v>
      </c>
      <c r="AV99" s="100">
        <v>4.2059404382294128</v>
      </c>
      <c r="AW99" s="100">
        <v>17700.279740244659</v>
      </c>
      <c r="AX99" s="100">
        <v>3.6493749123495784</v>
      </c>
      <c r="AY99" s="100">
        <v>15358.029381131964</v>
      </c>
      <c r="AZ99" s="100">
        <v>4.7739366030824497</v>
      </c>
      <c r="BA99" s="100">
        <v>20090.634800412179</v>
      </c>
      <c r="BB99" s="100">
        <v>4.7083641779029426</v>
      </c>
      <c r="BC99" s="100">
        <v>19814.679806286742</v>
      </c>
      <c r="BD99" s="100">
        <v>4.6129334145953962</v>
      </c>
      <c r="BE99" s="100">
        <v>19413.068981983262</v>
      </c>
      <c r="BF99" s="100">
        <v>4.365882139801367</v>
      </c>
      <c r="BG99" s="100">
        <v>18373.37839714007</v>
      </c>
      <c r="BH99" s="100">
        <v>5.4428378797084305</v>
      </c>
      <c r="BI99" s="100">
        <v>22905.638932964957</v>
      </c>
      <c r="BJ99" s="100">
        <v>4.3312382220414776</v>
      </c>
      <c r="BK99" s="100">
        <v>18227.582933639351</v>
      </c>
      <c r="BL99" s="100">
        <v>4.6935437125610786</v>
      </c>
      <c r="BM99" s="100">
        <v>19752.309359942043</v>
      </c>
      <c r="BN99" s="100">
        <v>4.0673993186158803</v>
      </c>
      <c r="BO99" s="100">
        <v>17117.24329246307</v>
      </c>
      <c r="BP99" s="100">
        <v>4.1386123415214753</v>
      </c>
      <c r="BQ99" s="100">
        <v>17416.936178058975</v>
      </c>
      <c r="BR99" s="100">
        <v>4.0802014391373715</v>
      </c>
      <c r="BS99" s="100">
        <v>17171.119736465713</v>
      </c>
      <c r="BT99" s="100">
        <v>3.2244962000278098E-4</v>
      </c>
      <c r="BU99" s="100">
        <v>1.3569969808197033</v>
      </c>
      <c r="BV99" s="100">
        <v>3.1062413406515641</v>
      </c>
      <c r="BW99" s="100">
        <v>13072.306057998041</v>
      </c>
      <c r="BX99" s="100">
        <v>4.3475067691447498</v>
      </c>
      <c r="BY99" s="100">
        <v>18296.047487268763</v>
      </c>
      <c r="BZ99" s="100">
        <v>3.1924922853558173</v>
      </c>
      <c r="CA99" s="100">
        <v>13435.28453369142</v>
      </c>
      <c r="CB99" s="100">
        <v>3.3713914991723928</v>
      </c>
      <c r="CC99" s="100">
        <v>14188.163985117097</v>
      </c>
      <c r="CD99" s="100">
        <v>4.0062033040526881</v>
      </c>
      <c r="CE99" s="100">
        <v>16859.70598477533</v>
      </c>
      <c r="CF99" s="100">
        <v>0.32848460349188141</v>
      </c>
      <c r="CG99" s="100">
        <v>1382.3946053352336</v>
      </c>
      <c r="CH99" s="100">
        <v>6</v>
      </c>
      <c r="CI99" s="100">
        <v>25250.399999999998</v>
      </c>
      <c r="CJ99" s="100">
        <v>5</v>
      </c>
      <c r="CK99" s="100">
        <v>21042</v>
      </c>
      <c r="CL99" s="100">
        <v>5.7536439068234211</v>
      </c>
      <c r="CM99" s="100">
        <v>24213.635017475684</v>
      </c>
      <c r="CN99" s="100">
        <v>3.8328207432675669</v>
      </c>
      <c r="CO99" s="100">
        <v>16130.042815967226</v>
      </c>
      <c r="CP99" s="100">
        <v>3.9470146820190739</v>
      </c>
      <c r="CQ99" s="100">
        <v>16610.616587809069</v>
      </c>
      <c r="CR99" s="100">
        <v>0.32304890528870922</v>
      </c>
      <c r="CS99" s="100">
        <v>1359.5190130170038</v>
      </c>
      <c r="CT99" s="100">
        <v>3.464210437318902</v>
      </c>
      <c r="CU99" s="100">
        <v>14578.783204412866</v>
      </c>
    </row>
    <row r="100" spans="2:99">
      <c r="C100" s="99" t="s">
        <v>266</v>
      </c>
      <c r="D100" s="100">
        <v>1.7114500881955517</v>
      </c>
      <c r="E100" s="100">
        <v>554.50982857535871</v>
      </c>
      <c r="F100" s="100">
        <v>9.4117623356093496</v>
      </c>
      <c r="G100" s="100">
        <v>3049.4109967374293</v>
      </c>
      <c r="H100" s="100">
        <v>3.336023435452081</v>
      </c>
      <c r="I100" s="100">
        <v>1080.8715930864741</v>
      </c>
      <c r="J100" s="100">
        <v>9</v>
      </c>
      <c r="K100" s="100">
        <v>2916</v>
      </c>
      <c r="L100" s="100">
        <v>8.3741944003758118</v>
      </c>
      <c r="M100" s="100">
        <v>2713.2389857217631</v>
      </c>
      <c r="N100" s="100">
        <v>1.217834050018628</v>
      </c>
      <c r="O100" s="100">
        <v>394.57823220603547</v>
      </c>
      <c r="P100" s="100">
        <v>5.5264600459670516</v>
      </c>
      <c r="Q100" s="100">
        <v>1790.5730548933248</v>
      </c>
      <c r="R100" s="100">
        <v>4.9018418779747686</v>
      </c>
      <c r="S100" s="100">
        <v>1588.196768463825</v>
      </c>
      <c r="T100" s="100">
        <v>5.9562608632203933</v>
      </c>
      <c r="U100" s="100">
        <v>1929.8285196834074</v>
      </c>
      <c r="V100" s="100">
        <v>0.40758905902666098</v>
      </c>
      <c r="W100" s="100">
        <v>132.05885512463817</v>
      </c>
      <c r="X100" s="100">
        <v>9.0614566683714912</v>
      </c>
      <c r="Y100" s="100">
        <v>2935.9119605523633</v>
      </c>
      <c r="Z100" s="100">
        <v>4.5934227210017609</v>
      </c>
      <c r="AA100" s="100">
        <v>1488.2689616045704</v>
      </c>
      <c r="AB100" s="100">
        <v>5.1002517989217138</v>
      </c>
      <c r="AC100" s="100">
        <v>1652.4815828506353</v>
      </c>
      <c r="AD100" s="100">
        <v>11</v>
      </c>
      <c r="AE100" s="100">
        <v>3564</v>
      </c>
      <c r="AF100" s="100">
        <v>8.0635642021171812</v>
      </c>
      <c r="AG100" s="100">
        <v>2612.5948014859669</v>
      </c>
      <c r="AH100" s="100">
        <v>6.9360902528894304</v>
      </c>
      <c r="AI100" s="100">
        <v>2247.2932419361755</v>
      </c>
      <c r="AJ100" s="100">
        <v>4.3636082968123463E-4</v>
      </c>
      <c r="AK100" s="100">
        <v>0.14138090881672002</v>
      </c>
      <c r="AL100" s="100">
        <v>5.373467324002684</v>
      </c>
      <c r="AM100" s="100">
        <v>1741.0034129768696</v>
      </c>
      <c r="AN100" s="100">
        <v>5.2460344430137846</v>
      </c>
      <c r="AO100" s="100">
        <v>1699.7151595364662</v>
      </c>
      <c r="AP100" s="100">
        <v>5.4925604428690837</v>
      </c>
      <c r="AQ100" s="100">
        <v>1779.5895834895832</v>
      </c>
      <c r="AR100" s="100">
        <v>5.1918009546681523</v>
      </c>
      <c r="AS100" s="100">
        <v>1682.1435093124812</v>
      </c>
      <c r="AT100" s="100">
        <v>5.2580152154213744</v>
      </c>
      <c r="AU100" s="100">
        <v>1703.5969297965253</v>
      </c>
      <c r="AV100" s="100">
        <v>5.4076377062949597</v>
      </c>
      <c r="AW100" s="100">
        <v>1752.0746168395669</v>
      </c>
      <c r="AX100" s="100">
        <v>5.1091248772894096</v>
      </c>
      <c r="AY100" s="100">
        <v>1655.3564602417687</v>
      </c>
      <c r="AZ100" s="100">
        <v>5.9620160550432368</v>
      </c>
      <c r="BA100" s="100">
        <v>1931.6932018340087</v>
      </c>
      <c r="BB100" s="100">
        <v>5.7523716422497868</v>
      </c>
      <c r="BC100" s="100">
        <v>1863.768412088931</v>
      </c>
      <c r="BD100" s="100">
        <v>5.1254815717726627</v>
      </c>
      <c r="BE100" s="100">
        <v>1660.6560292543427</v>
      </c>
      <c r="BF100" s="100">
        <v>4.9895795883444194</v>
      </c>
      <c r="BG100" s="100">
        <v>1616.623786623592</v>
      </c>
      <c r="BH100" s="100">
        <v>6.5314054556501162</v>
      </c>
      <c r="BI100" s="100">
        <v>2116.1753676306375</v>
      </c>
      <c r="BJ100" s="100">
        <v>4.8726429997966623</v>
      </c>
      <c r="BK100" s="100">
        <v>1578.7363319341187</v>
      </c>
      <c r="BL100" s="100">
        <v>6.4536226047714829</v>
      </c>
      <c r="BM100" s="100">
        <v>2090.9737239459605</v>
      </c>
      <c r="BN100" s="100">
        <v>6.085741681541001</v>
      </c>
      <c r="BO100" s="100">
        <v>1971.7803048192843</v>
      </c>
      <c r="BP100" s="100">
        <v>5.0583039729706911</v>
      </c>
      <c r="BQ100" s="100">
        <v>1638.8904872425039</v>
      </c>
      <c r="BR100" s="100">
        <v>4.6630873590141384</v>
      </c>
      <c r="BS100" s="100">
        <v>1510.8403043205808</v>
      </c>
      <c r="BT100" s="100">
        <v>3.7619122333657781E-4</v>
      </c>
      <c r="BU100" s="100">
        <v>0.12188595636105121</v>
      </c>
      <c r="BV100" s="100">
        <v>4.0912293801637301</v>
      </c>
      <c r="BW100" s="100">
        <v>1325.5583191730486</v>
      </c>
      <c r="BX100" s="100">
        <v>5.4200482454806256</v>
      </c>
      <c r="BY100" s="100">
        <v>1756.0956315357228</v>
      </c>
      <c r="BZ100" s="100">
        <v>3.8309907424269807</v>
      </c>
      <c r="CA100" s="100">
        <v>1241.2410005463416</v>
      </c>
      <c r="CB100" s="100">
        <v>4.0456697990068706</v>
      </c>
      <c r="CC100" s="100">
        <v>1310.797014878226</v>
      </c>
      <c r="CD100" s="100">
        <v>4.0301260753650778</v>
      </c>
      <c r="CE100" s="100">
        <v>1305.7608484182851</v>
      </c>
      <c r="CF100" s="100">
        <v>0.37541097541929302</v>
      </c>
      <c r="CG100" s="100">
        <v>121.63315603585094</v>
      </c>
      <c r="CH100" s="100">
        <v>7</v>
      </c>
      <c r="CI100" s="100">
        <v>2268</v>
      </c>
      <c r="CJ100" s="100">
        <v>5</v>
      </c>
      <c r="CK100" s="100">
        <v>1620</v>
      </c>
      <c r="CL100" s="100">
        <v>6.7125845579606587</v>
      </c>
      <c r="CM100" s="100">
        <v>2174.8773967792536</v>
      </c>
      <c r="CN100" s="100">
        <v>4.6137828709810584</v>
      </c>
      <c r="CO100" s="100">
        <v>1494.865650197863</v>
      </c>
      <c r="CP100" s="100">
        <v>5.4154576164603281</v>
      </c>
      <c r="CQ100" s="100">
        <v>1754.6082677331462</v>
      </c>
      <c r="CR100" s="100">
        <v>0.36919874890138193</v>
      </c>
      <c r="CS100" s="100">
        <v>119.62039464404775</v>
      </c>
      <c r="CT100" s="100">
        <v>4.618947249758536</v>
      </c>
      <c r="CU100" s="100">
        <v>1496.5389089217656</v>
      </c>
    </row>
    <row r="101" spans="2:99">
      <c r="C101" s="99" t="s">
        <v>267</v>
      </c>
      <c r="D101" s="100">
        <v>1.4669572184533302</v>
      </c>
      <c r="E101" s="100">
        <v>1061.4902432728297</v>
      </c>
      <c r="F101" s="100">
        <v>8.4117623356093496</v>
      </c>
      <c r="G101" s="100">
        <v>6086.7512260469257</v>
      </c>
      <c r="H101" s="100">
        <v>3.336023435452081</v>
      </c>
      <c r="I101" s="100">
        <v>2413.9465578931258</v>
      </c>
      <c r="J101" s="100">
        <v>10</v>
      </c>
      <c r="K101" s="100">
        <v>7236</v>
      </c>
      <c r="L101" s="100">
        <v>8.3015000158738346</v>
      </c>
      <c r="M101" s="100">
        <v>6006.9654114863069</v>
      </c>
      <c r="N101" s="100">
        <v>1.2158130243510352</v>
      </c>
      <c r="O101" s="100">
        <v>879.76230442040912</v>
      </c>
      <c r="P101" s="100">
        <v>4.3074704528343482</v>
      </c>
      <c r="Q101" s="100">
        <v>3116.8856196709344</v>
      </c>
      <c r="R101" s="100">
        <v>4.9513902847875864</v>
      </c>
      <c r="S101" s="100">
        <v>3582.8260100722978</v>
      </c>
      <c r="T101" s="100">
        <v>5.4277117081498165</v>
      </c>
      <c r="U101" s="100">
        <v>3927.4921920172073</v>
      </c>
      <c r="V101" s="100">
        <v>0.33965754918888413</v>
      </c>
      <c r="W101" s="100">
        <v>245.77620259307656</v>
      </c>
      <c r="X101" s="100">
        <v>9.0537745848250548</v>
      </c>
      <c r="Y101" s="100">
        <v>6551.3112895794102</v>
      </c>
      <c r="Z101" s="100">
        <v>4.082465004183482</v>
      </c>
      <c r="AA101" s="100">
        <v>2954.0716770271679</v>
      </c>
      <c r="AB101" s="100">
        <v>5.1002517989217138</v>
      </c>
      <c r="AC101" s="100">
        <v>3690.5422016997522</v>
      </c>
      <c r="AD101" s="100">
        <v>9</v>
      </c>
      <c r="AE101" s="100">
        <v>6512.4000000000005</v>
      </c>
      <c r="AF101" s="100">
        <v>7.2572077819054623</v>
      </c>
      <c r="AG101" s="100">
        <v>5251.3155509867929</v>
      </c>
      <c r="AH101" s="100">
        <v>6.2971054429771334</v>
      </c>
      <c r="AI101" s="100">
        <v>4556.5854985382539</v>
      </c>
      <c r="AJ101" s="100">
        <v>4.8804221042162739E-4</v>
      </c>
      <c r="AK101" s="100">
        <v>0.35314734346108961</v>
      </c>
      <c r="AL101" s="100">
        <v>5.3927809570358933</v>
      </c>
      <c r="AM101" s="100">
        <v>3902.2163005111724</v>
      </c>
      <c r="AN101" s="100">
        <v>4.6631417271233637</v>
      </c>
      <c r="AO101" s="100">
        <v>3374.2493537464661</v>
      </c>
      <c r="AP101" s="100">
        <v>4.2807593144438636</v>
      </c>
      <c r="AQ101" s="100">
        <v>3097.5574399315797</v>
      </c>
      <c r="AR101" s="100">
        <v>6.3455345001499648</v>
      </c>
      <c r="AS101" s="100">
        <v>4591.6287643085143</v>
      </c>
      <c r="AT101" s="100">
        <v>5.2382841984451298</v>
      </c>
      <c r="AU101" s="100">
        <v>3790.422445994896</v>
      </c>
      <c r="AV101" s="100">
        <v>4.9079762590172695</v>
      </c>
      <c r="AW101" s="100">
        <v>3551.4116210248962</v>
      </c>
      <c r="AX101" s="100">
        <v>5.1091248772894096</v>
      </c>
      <c r="AY101" s="100">
        <v>3696.962761206617</v>
      </c>
      <c r="AZ101" s="100">
        <v>6.5776745762629307</v>
      </c>
      <c r="BA101" s="100">
        <v>4759.6053233838566</v>
      </c>
      <c r="BB101" s="100">
        <v>5.7592587011445495</v>
      </c>
      <c r="BC101" s="100">
        <v>4167.399596148196</v>
      </c>
      <c r="BD101" s="100">
        <v>4.6129334145953962</v>
      </c>
      <c r="BE101" s="100">
        <v>3337.9186188012286</v>
      </c>
      <c r="BF101" s="100">
        <v>4.365882139801367</v>
      </c>
      <c r="BG101" s="100">
        <v>3159.1523163602692</v>
      </c>
      <c r="BH101" s="100">
        <v>5.9871216676792738</v>
      </c>
      <c r="BI101" s="100">
        <v>4332.2812387327231</v>
      </c>
      <c r="BJ101" s="100">
        <v>4.8726429997966623</v>
      </c>
      <c r="BK101" s="100">
        <v>3525.8444746528648</v>
      </c>
      <c r="BL101" s="100">
        <v>5.2802366766312137</v>
      </c>
      <c r="BM101" s="100">
        <v>3820.7792592103465</v>
      </c>
      <c r="BN101" s="100">
        <v>4.923627590507893</v>
      </c>
      <c r="BO101" s="100">
        <v>3562.7369244915117</v>
      </c>
      <c r="BP101" s="100">
        <v>5.5181497886952995</v>
      </c>
      <c r="BQ101" s="100">
        <v>3992.933187099919</v>
      </c>
      <c r="BR101" s="100">
        <v>5.2459732788909053</v>
      </c>
      <c r="BS101" s="100">
        <v>3795.9862646054594</v>
      </c>
      <c r="BT101" s="100">
        <v>3.7619122333657781E-4</v>
      </c>
      <c r="BU101" s="100">
        <v>0.27221196920634771</v>
      </c>
      <c r="BV101" s="100">
        <v>4.6844976658800546</v>
      </c>
      <c r="BW101" s="100">
        <v>3389.7025110308077</v>
      </c>
      <c r="BX101" s="100">
        <v>4.8914229558195199</v>
      </c>
      <c r="BY101" s="100">
        <v>3539.4336508310048</v>
      </c>
      <c r="BZ101" s="100">
        <v>3.8309907424269807</v>
      </c>
      <c r="CA101" s="100">
        <v>2772.1049012201634</v>
      </c>
      <c r="CB101" s="100">
        <v>4.7199480988413498</v>
      </c>
      <c r="CC101" s="100">
        <v>3415.354444321601</v>
      </c>
      <c r="CD101" s="100">
        <v>4.6778909832802009</v>
      </c>
      <c r="CE101" s="100">
        <v>3384.9219155015535</v>
      </c>
      <c r="CF101" s="100">
        <v>0.37541097541929302</v>
      </c>
      <c r="CG101" s="100">
        <v>271.64738181340044</v>
      </c>
      <c r="CH101" s="100">
        <v>8</v>
      </c>
      <c r="CI101" s="100">
        <v>5788.8</v>
      </c>
      <c r="CJ101" s="100">
        <v>5</v>
      </c>
      <c r="CK101" s="100">
        <v>3618</v>
      </c>
      <c r="CL101" s="100">
        <v>7.6715252090978954</v>
      </c>
      <c r="CM101" s="100">
        <v>5551.1156413032377</v>
      </c>
      <c r="CN101" s="100">
        <v>4.6137828709810584</v>
      </c>
      <c r="CO101" s="100">
        <v>3338.5332854418939</v>
      </c>
      <c r="CP101" s="100">
        <v>4.9337683525238427</v>
      </c>
      <c r="CQ101" s="100">
        <v>3570.0747798862526</v>
      </c>
      <c r="CR101" s="100">
        <v>0.36919874890138193</v>
      </c>
      <c r="CS101" s="100">
        <v>267.15221470503997</v>
      </c>
      <c r="CT101" s="100">
        <v>4.2432496011158358</v>
      </c>
      <c r="CU101" s="100">
        <v>3070.415411367419</v>
      </c>
    </row>
    <row r="102" spans="2:99">
      <c r="C102" s="99" t="s">
        <v>268</v>
      </c>
      <c r="D102" s="100">
        <v>1.7114500881955517</v>
      </c>
      <c r="E102" s="100">
        <v>909.80686688475532</v>
      </c>
      <c r="F102" s="100">
        <v>8</v>
      </c>
      <c r="G102" s="100">
        <v>4252.8</v>
      </c>
      <c r="H102" s="100">
        <v>2.7800195295434009</v>
      </c>
      <c r="I102" s="100">
        <v>1477.8583819052719</v>
      </c>
      <c r="J102" s="100">
        <v>9</v>
      </c>
      <c r="K102" s="100">
        <v>4784.4000000000005</v>
      </c>
      <c r="L102" s="100">
        <v>7.4962298558077016</v>
      </c>
      <c r="M102" s="100">
        <v>3984.9957913473745</v>
      </c>
      <c r="N102" s="100">
        <v>1.0845401812397066</v>
      </c>
      <c r="O102" s="100">
        <v>576.54156034702805</v>
      </c>
      <c r="P102" s="100">
        <v>5.1689645434012172</v>
      </c>
      <c r="Q102" s="100">
        <v>2747.8215512720872</v>
      </c>
      <c r="R102" s="100">
        <v>5.4464909755275208</v>
      </c>
      <c r="S102" s="100">
        <v>2895.3546025904302</v>
      </c>
      <c r="T102" s="100">
        <v>5.4277117081498165</v>
      </c>
      <c r="U102" s="100">
        <v>2885.3715440524425</v>
      </c>
      <c r="V102" s="100">
        <v>0.40758905902666098</v>
      </c>
      <c r="W102" s="100">
        <v>216.67434377857299</v>
      </c>
      <c r="X102" s="100">
        <v>10.053774584825055</v>
      </c>
      <c r="Y102" s="100">
        <v>5344.5865692929992</v>
      </c>
      <c r="Z102" s="100">
        <v>4.0876617345462289</v>
      </c>
      <c r="AA102" s="100">
        <v>2173.0009780847754</v>
      </c>
      <c r="AB102" s="100">
        <v>5.1002517989217138</v>
      </c>
      <c r="AC102" s="100">
        <v>2711.2938563067833</v>
      </c>
      <c r="AD102" s="100">
        <v>11</v>
      </c>
      <c r="AE102" s="100">
        <v>5847.6</v>
      </c>
      <c r="AF102" s="100">
        <v>8.8699206223288982</v>
      </c>
      <c r="AG102" s="100">
        <v>4715.2498028300424</v>
      </c>
      <c r="AH102" s="100">
        <v>6.9112610640818639</v>
      </c>
      <c r="AI102" s="100">
        <v>3674.026381665919</v>
      </c>
      <c r="AJ102" s="100">
        <v>4.3636082968123463E-4</v>
      </c>
      <c r="AK102" s="100">
        <v>0.23196941705854435</v>
      </c>
      <c r="AL102" s="100">
        <v>4.6499745817924936</v>
      </c>
      <c r="AM102" s="100">
        <v>2471.9264876808897</v>
      </c>
      <c r="AN102" s="100">
        <v>5.2460344430137846</v>
      </c>
      <c r="AO102" s="100">
        <v>2788.7919099061282</v>
      </c>
      <c r="AP102" s="100">
        <v>4.8866598786564737</v>
      </c>
      <c r="AQ102" s="100">
        <v>2597.7483914937816</v>
      </c>
      <c r="AR102" s="100">
        <v>5.1918009546681523</v>
      </c>
      <c r="AS102" s="100">
        <v>2759.9613875015898</v>
      </c>
      <c r="AT102" s="100">
        <v>5.2382841984451298</v>
      </c>
      <c r="AU102" s="100">
        <v>2784.6718798934312</v>
      </c>
      <c r="AV102" s="100">
        <v>6.0970251287384309</v>
      </c>
      <c r="AW102" s="100">
        <v>3241.1785584373501</v>
      </c>
      <c r="AX102" s="100">
        <v>5.1091248772894096</v>
      </c>
      <c r="AY102" s="100">
        <v>2716.0107847670502</v>
      </c>
      <c r="AZ102" s="100">
        <v>5.3895951243021436</v>
      </c>
      <c r="BA102" s="100">
        <v>2865.1087680790197</v>
      </c>
      <c r="BB102" s="100">
        <v>4.7152512367977062</v>
      </c>
      <c r="BC102" s="100">
        <v>2506.6275574816609</v>
      </c>
      <c r="BD102" s="100">
        <v>4.6129334145953962</v>
      </c>
      <c r="BE102" s="100">
        <v>2452.2354031989125</v>
      </c>
      <c r="BF102" s="100">
        <v>4.9895795883444194</v>
      </c>
      <c r="BG102" s="100">
        <v>2652.4605091638937</v>
      </c>
      <c r="BH102" s="100">
        <v>5.9871216676792738</v>
      </c>
      <c r="BI102" s="100">
        <v>3182.7538785383022</v>
      </c>
      <c r="BJ102" s="100">
        <v>4.3312382220414776</v>
      </c>
      <c r="BK102" s="100">
        <v>2302.4862388372494</v>
      </c>
      <c r="BL102" s="100">
        <v>6.4536226047714829</v>
      </c>
      <c r="BM102" s="100">
        <v>3430.7457766965204</v>
      </c>
      <c r="BN102" s="100">
        <v>5.4817537004931598</v>
      </c>
      <c r="BO102" s="100">
        <v>2914.1002671821639</v>
      </c>
      <c r="BP102" s="100">
        <v>5.5181497886952995</v>
      </c>
      <c r="BQ102" s="100">
        <v>2933.4484276704216</v>
      </c>
      <c r="BR102" s="100">
        <v>5.2459732788909053</v>
      </c>
      <c r="BS102" s="100">
        <v>2788.7593950584055</v>
      </c>
      <c r="BT102" s="100">
        <v>3.2244962000278098E-4</v>
      </c>
      <c r="BU102" s="100">
        <v>0.17141421799347839</v>
      </c>
      <c r="BV102" s="100">
        <v>4.0912293801637301</v>
      </c>
      <c r="BW102" s="100">
        <v>2174.897538495039</v>
      </c>
      <c r="BX102" s="100">
        <v>4.8780434209325625</v>
      </c>
      <c r="BY102" s="100">
        <v>2593.1678825677504</v>
      </c>
      <c r="BZ102" s="100">
        <v>3.8309907424269807</v>
      </c>
      <c r="CA102" s="100">
        <v>2036.5546786741829</v>
      </c>
      <c r="CB102" s="100">
        <v>4.0456697990068706</v>
      </c>
      <c r="CC102" s="100">
        <v>2150.6780651520526</v>
      </c>
      <c r="CD102" s="100">
        <v>4.6778909832802009</v>
      </c>
      <c r="CE102" s="100">
        <v>2486.7668467117551</v>
      </c>
      <c r="CF102" s="100">
        <v>0.37541097541929302</v>
      </c>
      <c r="CG102" s="100">
        <v>199.56847453289618</v>
      </c>
      <c r="CH102" s="100">
        <v>6</v>
      </c>
      <c r="CI102" s="100">
        <v>3189.6000000000004</v>
      </c>
      <c r="CJ102" s="100">
        <v>6</v>
      </c>
      <c r="CK102" s="100">
        <v>3189.6000000000004</v>
      </c>
      <c r="CL102" s="100">
        <v>6.7125845579606587</v>
      </c>
      <c r="CM102" s="100">
        <v>3568.4099510118863</v>
      </c>
      <c r="CN102" s="100">
        <v>4.589786239214428</v>
      </c>
      <c r="CO102" s="100">
        <v>2439.9303647663901</v>
      </c>
      <c r="CP102" s="100">
        <v>4.9337683525238427</v>
      </c>
      <c r="CQ102" s="100">
        <v>2622.791256201675</v>
      </c>
      <c r="CR102" s="100">
        <v>0.46149843612672747</v>
      </c>
      <c r="CS102" s="100">
        <v>245.33256864496835</v>
      </c>
      <c r="CT102" s="100">
        <v>4.2432496011158358</v>
      </c>
      <c r="CU102" s="100">
        <v>2255.7114879531782</v>
      </c>
    </row>
    <row r="103" spans="2:99">
      <c r="C103" s="99" t="s">
        <v>269</v>
      </c>
      <c r="D103" s="100">
        <v>1.7114500881955517</v>
      </c>
      <c r="E103" s="100">
        <v>1008.3863919648189</v>
      </c>
      <c r="F103" s="100">
        <v>7</v>
      </c>
      <c r="G103" s="100">
        <v>4124.3999999999996</v>
      </c>
      <c r="H103" s="100">
        <v>3.336023435452081</v>
      </c>
      <c r="I103" s="100">
        <v>1965.5850081683659</v>
      </c>
      <c r="J103" s="100">
        <v>10</v>
      </c>
      <c r="K103" s="100">
        <v>5891.9999999999991</v>
      </c>
      <c r="L103" s="100">
        <v>8.337847208124824</v>
      </c>
      <c r="M103" s="100">
        <v>4912.6595750271454</v>
      </c>
      <c r="N103" s="100">
        <v>1.0845401812397066</v>
      </c>
      <c r="O103" s="100">
        <v>639.01107478643507</v>
      </c>
      <c r="P103" s="100">
        <v>5.1689645434012172</v>
      </c>
      <c r="Q103" s="100">
        <v>3045.5539089719969</v>
      </c>
      <c r="R103" s="100">
        <v>5.4464909755275208</v>
      </c>
      <c r="S103" s="100">
        <v>3209.0724827808149</v>
      </c>
      <c r="T103" s="100">
        <v>5.9562608632203933</v>
      </c>
      <c r="U103" s="100">
        <v>3509.4289006094555</v>
      </c>
      <c r="V103" s="100">
        <v>0.33965754918888413</v>
      </c>
      <c r="W103" s="100">
        <v>200.12622798209051</v>
      </c>
      <c r="X103" s="100">
        <v>9.0537745848250548</v>
      </c>
      <c r="Y103" s="100">
        <v>5334.4839853789217</v>
      </c>
      <c r="Z103" s="100">
        <v>4.5934227210017609</v>
      </c>
      <c r="AA103" s="100">
        <v>2706.4446672142371</v>
      </c>
      <c r="AB103" s="100">
        <v>4.3716443990757545</v>
      </c>
      <c r="AC103" s="100">
        <v>2575.772879935434</v>
      </c>
      <c r="AD103" s="100">
        <v>11</v>
      </c>
      <c r="AE103" s="100">
        <v>6481.1999999999989</v>
      </c>
      <c r="AF103" s="100">
        <v>8.0635642021171812</v>
      </c>
      <c r="AG103" s="100">
        <v>4751.0520278874428</v>
      </c>
      <c r="AH103" s="100">
        <v>6.2722762541695669</v>
      </c>
      <c r="AI103" s="100">
        <v>3695.6251689567084</v>
      </c>
      <c r="AJ103" s="100">
        <v>4.8899678474488128E-4</v>
      </c>
      <c r="AK103" s="100">
        <v>0.28811690557168401</v>
      </c>
      <c r="AL103" s="100">
        <v>5.373467324002684</v>
      </c>
      <c r="AM103" s="100">
        <v>3166.0469473023809</v>
      </c>
      <c r="AN103" s="100">
        <v>5.2460344430137846</v>
      </c>
      <c r="AO103" s="100">
        <v>3090.9634938237214</v>
      </c>
      <c r="AP103" s="100">
        <v>4.8866598786564737</v>
      </c>
      <c r="AQ103" s="100">
        <v>2879.2200005043937</v>
      </c>
      <c r="AR103" s="100">
        <v>5.1918009546681523</v>
      </c>
      <c r="AS103" s="100">
        <v>3059.009122490475</v>
      </c>
      <c r="AT103" s="100">
        <v>5.2382841984451298</v>
      </c>
      <c r="AU103" s="100">
        <v>3086.3970497238702</v>
      </c>
      <c r="AV103" s="100">
        <v>5.4961764947056579</v>
      </c>
      <c r="AW103" s="100">
        <v>3238.3471906805735</v>
      </c>
      <c r="AX103" s="100">
        <v>5.1091248772894096</v>
      </c>
      <c r="AY103" s="100">
        <v>3010.29637769892</v>
      </c>
      <c r="AZ103" s="100">
        <v>6.5344369857843301</v>
      </c>
      <c r="BA103" s="100">
        <v>3850.090272024127</v>
      </c>
      <c r="BB103" s="100">
        <v>4.7221382956924689</v>
      </c>
      <c r="BC103" s="100">
        <v>2782.2838838220023</v>
      </c>
      <c r="BD103" s="100">
        <v>5.6380297289499284</v>
      </c>
      <c r="BE103" s="100">
        <v>3321.9271162972973</v>
      </c>
      <c r="BF103" s="100">
        <v>5.6132770368874718</v>
      </c>
      <c r="BG103" s="100">
        <v>3307.3428301340982</v>
      </c>
      <c r="BH103" s="100">
        <v>5.9871216676792738</v>
      </c>
      <c r="BI103" s="100">
        <v>3527.6120865966277</v>
      </c>
      <c r="BJ103" s="100">
        <v>4.8726429997966623</v>
      </c>
      <c r="BK103" s="100">
        <v>2870.9612554801929</v>
      </c>
      <c r="BL103" s="100">
        <v>5.8669296407013478</v>
      </c>
      <c r="BM103" s="100">
        <v>3456.794944301234</v>
      </c>
      <c r="BN103" s="100">
        <v>5.4588227649618712</v>
      </c>
      <c r="BO103" s="100">
        <v>3216.3383731155341</v>
      </c>
      <c r="BP103" s="100">
        <v>5.5181497886952995</v>
      </c>
      <c r="BQ103" s="100">
        <v>3251.2938554992702</v>
      </c>
      <c r="BR103" s="100">
        <v>5.828859198767673</v>
      </c>
      <c r="BS103" s="100">
        <v>3434.3638399139127</v>
      </c>
      <c r="BT103" s="100">
        <v>3.7619122333657781E-4</v>
      </c>
      <c r="BU103" s="100">
        <v>0.22165186878991161</v>
      </c>
      <c r="BV103" s="100">
        <v>4.0632493977497415</v>
      </c>
      <c r="BW103" s="100">
        <v>2394.0665451541472</v>
      </c>
      <c r="BX103" s="100">
        <v>5.435339142494291</v>
      </c>
      <c r="BY103" s="100">
        <v>3202.5018227576356</v>
      </c>
      <c r="BZ103" s="100">
        <v>3.8309907424269807</v>
      </c>
      <c r="CA103" s="100">
        <v>2257.2197454379766</v>
      </c>
      <c r="CB103" s="100">
        <v>4.7199480988413498</v>
      </c>
      <c r="CC103" s="100">
        <v>2780.993419837323</v>
      </c>
      <c r="CD103" s="100">
        <v>4.6778909832802009</v>
      </c>
      <c r="CE103" s="100">
        <v>2756.2133673486942</v>
      </c>
      <c r="CF103" s="100">
        <v>0.37541097541929302</v>
      </c>
      <c r="CG103" s="100">
        <v>221.19214671704742</v>
      </c>
      <c r="CH103" s="100">
        <v>6</v>
      </c>
      <c r="CI103" s="100">
        <v>3535.2</v>
      </c>
      <c r="CJ103" s="100">
        <v>5</v>
      </c>
      <c r="CK103" s="100">
        <v>2945.9999999999995</v>
      </c>
      <c r="CL103" s="100">
        <v>6.7125845579606587</v>
      </c>
      <c r="CM103" s="100">
        <v>3955.0548215504195</v>
      </c>
      <c r="CN103" s="100">
        <v>4.589786239214428</v>
      </c>
      <c r="CO103" s="100">
        <v>2704.3020521451408</v>
      </c>
      <c r="CP103" s="100">
        <v>5.421301402118277</v>
      </c>
      <c r="CQ103" s="100">
        <v>3194.2307861280883</v>
      </c>
      <c r="CR103" s="100">
        <v>0.41534859251405476</v>
      </c>
      <c r="CS103" s="100">
        <v>244.72339070928103</v>
      </c>
      <c r="CT103" s="100">
        <v>4.2432496011158358</v>
      </c>
      <c r="CU103" s="100">
        <v>2500.1226649774503</v>
      </c>
    </row>
    <row r="104" spans="2:99">
      <c r="C104" s="99" t="s">
        <v>270</v>
      </c>
      <c r="D104" s="100">
        <v>1.7114500881955517</v>
      </c>
      <c r="E104" s="100">
        <v>1082.3210357748669</v>
      </c>
      <c r="F104" s="100">
        <v>7.4575137062326098</v>
      </c>
      <c r="G104" s="100">
        <v>4716.1316678215026</v>
      </c>
      <c r="H104" s="100">
        <v>3.336023435452081</v>
      </c>
      <c r="I104" s="100">
        <v>2109.701220579896</v>
      </c>
      <c r="J104" s="100">
        <v>9</v>
      </c>
      <c r="K104" s="100">
        <v>5691.5999999999995</v>
      </c>
      <c r="L104" s="100">
        <v>8.3741944003758118</v>
      </c>
      <c r="M104" s="100">
        <v>5295.8405387976636</v>
      </c>
      <c r="N104" s="100">
        <v>1.217834050018628</v>
      </c>
      <c r="O104" s="100">
        <v>770.15825323178035</v>
      </c>
      <c r="P104" s="100">
        <v>4.3074704528343482</v>
      </c>
      <c r="Q104" s="100">
        <v>2724.0443143724415</v>
      </c>
      <c r="R104" s="100">
        <v>5.4464909755275208</v>
      </c>
      <c r="S104" s="100">
        <v>3444.3608929236038</v>
      </c>
      <c r="T104" s="100">
        <v>5.9562608632203933</v>
      </c>
      <c r="U104" s="100">
        <v>3766.7393699005765</v>
      </c>
      <c r="V104" s="100">
        <v>0.40758905902666098</v>
      </c>
      <c r="W104" s="100">
        <v>257.7593209284604</v>
      </c>
      <c r="X104" s="100">
        <v>9.0614566683714912</v>
      </c>
      <c r="Y104" s="100">
        <v>5730.4651970781306</v>
      </c>
      <c r="Z104" s="100">
        <v>4.082465004183482</v>
      </c>
      <c r="AA104" s="100">
        <v>2581.750868645634</v>
      </c>
      <c r="AB104" s="100">
        <v>4.3716443990757545</v>
      </c>
      <c r="AC104" s="100">
        <v>2764.627917975507</v>
      </c>
      <c r="AD104" s="100">
        <v>11</v>
      </c>
      <c r="AE104" s="100">
        <v>6956.4</v>
      </c>
      <c r="AF104" s="100">
        <v>8.0635642021171812</v>
      </c>
      <c r="AG104" s="100">
        <v>5099.3980014189056</v>
      </c>
      <c r="AH104" s="100">
        <v>6.2971054429771334</v>
      </c>
      <c r="AI104" s="100">
        <v>3982.289482138739</v>
      </c>
      <c r="AJ104" s="100">
        <v>3.8181572597108037E-4</v>
      </c>
      <c r="AK104" s="100">
        <v>0.24146026510411123</v>
      </c>
      <c r="AL104" s="100">
        <v>5.3927809570358933</v>
      </c>
      <c r="AM104" s="100">
        <v>3410.3946772294989</v>
      </c>
      <c r="AN104" s="100">
        <v>5.2460344430137846</v>
      </c>
      <c r="AO104" s="100">
        <v>3317.5921817619173</v>
      </c>
      <c r="AP104" s="100">
        <v>4.8817279580370245</v>
      </c>
      <c r="AQ104" s="100">
        <v>3087.2047606626143</v>
      </c>
      <c r="AR104" s="100">
        <v>5.7686677274090581</v>
      </c>
      <c r="AS104" s="100">
        <v>3648.1054708134884</v>
      </c>
      <c r="AT104" s="100">
        <v>4.5368766258144086</v>
      </c>
      <c r="AU104" s="100">
        <v>2869.1207781650319</v>
      </c>
      <c r="AV104" s="100">
        <v>4.8953278606728841</v>
      </c>
      <c r="AW104" s="100">
        <v>3095.8053390895316</v>
      </c>
      <c r="AX104" s="100">
        <v>4.3792498948194938</v>
      </c>
      <c r="AY104" s="100">
        <v>2769.4376334838475</v>
      </c>
      <c r="AZ104" s="100">
        <v>5.4112139195414439</v>
      </c>
      <c r="BA104" s="100">
        <v>3422.051682718009</v>
      </c>
      <c r="BB104" s="100">
        <v>5.7523716422497868</v>
      </c>
      <c r="BC104" s="100">
        <v>3637.7998265587648</v>
      </c>
      <c r="BD104" s="100">
        <v>4.6129334145953962</v>
      </c>
      <c r="BE104" s="100">
        <v>2917.2190913901286</v>
      </c>
      <c r="BF104" s="100">
        <v>4.9895795883444194</v>
      </c>
      <c r="BG104" s="100">
        <v>3155.4101316690108</v>
      </c>
      <c r="BH104" s="100">
        <v>5.9871216676792738</v>
      </c>
      <c r="BI104" s="100">
        <v>3786.2557426403728</v>
      </c>
      <c r="BJ104" s="100">
        <v>4.8726429997966623</v>
      </c>
      <c r="BK104" s="100">
        <v>3081.459433071409</v>
      </c>
      <c r="BL104" s="100">
        <v>6.4536226047714829</v>
      </c>
      <c r="BM104" s="100">
        <v>4081.2709352574857</v>
      </c>
      <c r="BN104" s="100">
        <v>5.5046846360244475</v>
      </c>
      <c r="BO104" s="100">
        <v>3481.1625638218607</v>
      </c>
      <c r="BP104" s="100">
        <v>5.0583039729706911</v>
      </c>
      <c r="BQ104" s="100">
        <v>3198.8714325066649</v>
      </c>
      <c r="BR104" s="100">
        <v>5.2459732788909053</v>
      </c>
      <c r="BS104" s="100">
        <v>3317.5535015706082</v>
      </c>
      <c r="BT104" s="100">
        <v>3.2244962000278098E-4</v>
      </c>
      <c r="BU104" s="100">
        <v>0.20391713968975869</v>
      </c>
      <c r="BV104" s="100">
        <v>3.7274896087818772</v>
      </c>
      <c r="BW104" s="100">
        <v>2357.264428593659</v>
      </c>
      <c r="BX104" s="100">
        <v>4.8780434209325625</v>
      </c>
      <c r="BY104" s="100">
        <v>3084.8746593977526</v>
      </c>
      <c r="BZ104" s="100">
        <v>3.1924922853558173</v>
      </c>
      <c r="CA104" s="100">
        <v>2018.9321212590187</v>
      </c>
      <c r="CB104" s="100">
        <v>4.7199480988413498</v>
      </c>
      <c r="CC104" s="100">
        <v>2984.8951777072693</v>
      </c>
      <c r="CD104" s="100">
        <v>4.014177561156818</v>
      </c>
      <c r="CE104" s="100">
        <v>2538.5658896755717</v>
      </c>
      <c r="CF104" s="100">
        <v>0.37541097541929302</v>
      </c>
      <c r="CG104" s="100">
        <v>237.40990085516091</v>
      </c>
      <c r="CH104" s="100">
        <v>7</v>
      </c>
      <c r="CI104" s="100">
        <v>4426.8</v>
      </c>
      <c r="CJ104" s="100">
        <v>6</v>
      </c>
      <c r="CK104" s="100">
        <v>3794.3999999999996</v>
      </c>
      <c r="CL104" s="100">
        <v>7.6715252090978954</v>
      </c>
      <c r="CM104" s="100">
        <v>4851.4725422335086</v>
      </c>
      <c r="CN104" s="100">
        <v>4.6137828709810584</v>
      </c>
      <c r="CO104" s="100">
        <v>2917.7562876084212</v>
      </c>
      <c r="CP104" s="100">
        <v>4.9337683525238427</v>
      </c>
      <c r="CQ104" s="100">
        <v>3120.1151061360779</v>
      </c>
      <c r="CR104" s="100">
        <v>0.41534859251405476</v>
      </c>
      <c r="CS104" s="100">
        <v>262.66644990588821</v>
      </c>
      <c r="CT104" s="100">
        <v>4.618947249758536</v>
      </c>
      <c r="CU104" s="100">
        <v>2921.0222407472979</v>
      </c>
    </row>
    <row r="105" spans="2:99">
      <c r="C105" s="99" t="s">
        <v>271</v>
      </c>
      <c r="D105" s="100">
        <v>1.4669572184533302</v>
      </c>
      <c r="E105" s="100">
        <v>816.80177923481415</v>
      </c>
      <c r="F105" s="100">
        <v>8.4117623356093496</v>
      </c>
      <c r="G105" s="100">
        <v>4683.6692684672853</v>
      </c>
      <c r="H105" s="100">
        <v>3.336023435452081</v>
      </c>
      <c r="I105" s="100">
        <v>1857.4978488597185</v>
      </c>
      <c r="J105" s="100">
        <v>10</v>
      </c>
      <c r="K105" s="100">
        <v>5568</v>
      </c>
      <c r="L105" s="100">
        <v>8.3741944003758118</v>
      </c>
      <c r="M105" s="100">
        <v>4662.7514421292517</v>
      </c>
      <c r="N105" s="100">
        <v>1.0663509502313711</v>
      </c>
      <c r="O105" s="100">
        <v>593.74420908882735</v>
      </c>
      <c r="P105" s="100">
        <v>4.3074704528343482</v>
      </c>
      <c r="Q105" s="100">
        <v>2398.3995481381648</v>
      </c>
      <c r="R105" s="100">
        <v>5.4960393823403386</v>
      </c>
      <c r="S105" s="100">
        <v>3060.1947280871004</v>
      </c>
      <c r="T105" s="100">
        <v>5.963033251670109</v>
      </c>
      <c r="U105" s="100">
        <v>3320.2169145299163</v>
      </c>
      <c r="V105" s="100">
        <v>0.33965754918888413</v>
      </c>
      <c r="W105" s="100">
        <v>189.12132338837068</v>
      </c>
      <c r="X105" s="100">
        <v>9.0537745848250548</v>
      </c>
      <c r="Y105" s="100">
        <v>5041.1416888305903</v>
      </c>
      <c r="Z105" s="100">
        <v>4.0876617345462289</v>
      </c>
      <c r="AA105" s="100">
        <v>2276.0100537953399</v>
      </c>
      <c r="AB105" s="100">
        <v>5.1002517989217138</v>
      </c>
      <c r="AC105" s="100">
        <v>2839.8202016396099</v>
      </c>
      <c r="AD105" s="100">
        <v>11</v>
      </c>
      <c r="AE105" s="100">
        <v>6124.7999999999993</v>
      </c>
      <c r="AF105" s="100">
        <v>7.2572077819054623</v>
      </c>
      <c r="AG105" s="100">
        <v>4040.813292964961</v>
      </c>
      <c r="AH105" s="100">
        <v>6.2722762541695669</v>
      </c>
      <c r="AI105" s="100">
        <v>3492.4034183216145</v>
      </c>
      <c r="AJ105" s="100">
        <v>4.3540625535798085E-4</v>
      </c>
      <c r="AK105" s="100">
        <v>0.24243420298332372</v>
      </c>
      <c r="AL105" s="100">
        <v>5.373467324002684</v>
      </c>
      <c r="AM105" s="100">
        <v>2991.9466060046943</v>
      </c>
      <c r="AN105" s="100">
        <v>5.2460344430137846</v>
      </c>
      <c r="AO105" s="100">
        <v>2920.9919778700751</v>
      </c>
      <c r="AP105" s="100">
        <v>4.2758273938244136</v>
      </c>
      <c r="AQ105" s="100">
        <v>2380.7806928814334</v>
      </c>
      <c r="AR105" s="100">
        <v>5.1918009546681523</v>
      </c>
      <c r="AS105" s="100">
        <v>2890.7947715592268</v>
      </c>
      <c r="AT105" s="100">
        <v>5.7621126182896418</v>
      </c>
      <c r="AU105" s="100">
        <v>3208.3443058636722</v>
      </c>
      <c r="AV105" s="100">
        <v>5.4961764947056579</v>
      </c>
      <c r="AW105" s="100">
        <v>3060.2710722521101</v>
      </c>
      <c r="AX105" s="100">
        <v>4.3792498948194938</v>
      </c>
      <c r="AY105" s="100">
        <v>2438.3663414354937</v>
      </c>
      <c r="AZ105" s="100">
        <v>5.4112139195414439</v>
      </c>
      <c r="BA105" s="100">
        <v>3012.9639104006756</v>
      </c>
      <c r="BB105" s="100">
        <v>5.2338114395237465</v>
      </c>
      <c r="BC105" s="100">
        <v>2914.186209526822</v>
      </c>
      <c r="BD105" s="100">
        <v>5.1254815717726627</v>
      </c>
      <c r="BE105" s="100">
        <v>2853.8681391630184</v>
      </c>
      <c r="BF105" s="100">
        <v>5.6132770368874718</v>
      </c>
      <c r="BG105" s="100">
        <v>3125.4726541389441</v>
      </c>
      <c r="BH105" s="100">
        <v>5.4428378797084305</v>
      </c>
      <c r="BI105" s="100">
        <v>3030.5721314216539</v>
      </c>
      <c r="BJ105" s="100">
        <v>4.3312382220414776</v>
      </c>
      <c r="BK105" s="100">
        <v>2411.6334420326943</v>
      </c>
      <c r="BL105" s="100">
        <v>5.8669296407013478</v>
      </c>
      <c r="BM105" s="100">
        <v>3266.7064239425104</v>
      </c>
      <c r="BN105" s="100">
        <v>5.4817537004931598</v>
      </c>
      <c r="BO105" s="100">
        <v>3052.2404604345911</v>
      </c>
      <c r="BP105" s="100">
        <v>5.5181497886952995</v>
      </c>
      <c r="BQ105" s="100">
        <v>3072.5058023455426</v>
      </c>
      <c r="BR105" s="100">
        <v>5.2459732788909053</v>
      </c>
      <c r="BS105" s="100">
        <v>2920.9579216864558</v>
      </c>
      <c r="BT105" s="100">
        <v>3.7619122333657781E-4</v>
      </c>
      <c r="BU105" s="100">
        <v>0.2094632731538065</v>
      </c>
      <c r="BV105" s="100">
        <v>3.4420011296194284</v>
      </c>
      <c r="BW105" s="100">
        <v>1916.5062289720975</v>
      </c>
      <c r="BX105" s="100">
        <v>5.4200482454806256</v>
      </c>
      <c r="BY105" s="100">
        <v>3017.8828630836119</v>
      </c>
      <c r="BZ105" s="100">
        <v>3.8309907424269807</v>
      </c>
      <c r="CA105" s="100">
        <v>2133.0956453833428</v>
      </c>
      <c r="CB105" s="100">
        <v>4.0456697990068706</v>
      </c>
      <c r="CC105" s="100">
        <v>2252.6289440870255</v>
      </c>
      <c r="CD105" s="100">
        <v>4.0221518182609479</v>
      </c>
      <c r="CE105" s="100">
        <v>2239.5341324076958</v>
      </c>
      <c r="CF105" s="100">
        <v>0.37541097541929302</v>
      </c>
      <c r="CG105" s="100">
        <v>209.02883111346233</v>
      </c>
      <c r="CH105" s="100">
        <v>7</v>
      </c>
      <c r="CI105" s="100">
        <v>3897.5999999999995</v>
      </c>
      <c r="CJ105" s="100">
        <v>5</v>
      </c>
      <c r="CK105" s="100">
        <v>2784</v>
      </c>
      <c r="CL105" s="100">
        <v>7.6715252090978954</v>
      </c>
      <c r="CM105" s="100">
        <v>4271.5052364257081</v>
      </c>
      <c r="CN105" s="100">
        <v>5.3227551033946607</v>
      </c>
      <c r="CO105" s="100">
        <v>2963.710041570147</v>
      </c>
      <c r="CP105" s="100">
        <v>5.421301402118277</v>
      </c>
      <c r="CQ105" s="100">
        <v>3018.5806206994566</v>
      </c>
      <c r="CR105" s="100">
        <v>0.41534859251405476</v>
      </c>
      <c r="CS105" s="100">
        <v>231.26609631182566</v>
      </c>
      <c r="CT105" s="100">
        <v>5.1963156559783537</v>
      </c>
      <c r="CU105" s="100">
        <v>2893.3085572487471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286.06464024695708</v>
      </c>
      <c r="E109" s="100">
        <f>SUM(L$6:L$19)+SUM(N$6:N$19)+SUM(P$6:P$19)+SUM(R$6:R$19)</f>
        <v>358</v>
      </c>
      <c r="F109" s="100">
        <f>SUM(T$6:T$19)+SUM(V$6:V$19)+SUM(X$6:X$19)+SUM(Z$6:Z$19)</f>
        <v>405</v>
      </c>
      <c r="G109" s="100">
        <f>SUM(AB$6:AB$19)+SUM(AD$6:AD$19)+SUM(AF$6:AF$19)+SUM(AH$6:AH$19)</f>
        <v>358.06030971847917</v>
      </c>
      <c r="H109" s="100">
        <f>SUM(AJ$6:AJ$19)+SUM(AL$6:AL$19)+SUM(AN$6:AN$19)+SUM(AP$6:AP$19)</f>
        <v>455.72775042370995</v>
      </c>
      <c r="I109" s="100">
        <f>SUM(AR$6:AR$19)+SUM(AT$6:AT$19)+SUM(AV$6:AV$19)+SUM(AX$6:AX$19)</f>
        <v>137.18392838238734</v>
      </c>
      <c r="J109" s="100">
        <f>SUM(AZ$6:AZ$19)+SUM(BB$6:BB$19)+SUM(BD$6:BD$19)+SUM(BF$6:BF$19)</f>
        <v>308.84764493378174</v>
      </c>
      <c r="K109" s="100">
        <f>SUM(BH$6:BH$19)+SUM(BJ$6:BJ$19)+SUM(BL$6:BL$19)+SUM(BN$6:BN$19)</f>
        <v>390.58428541534568</v>
      </c>
      <c r="L109" s="100">
        <f>SUM(BP$6:BP$19)+SUM(BR$6:BR$19)+SUM(BT$6:BT$19)+SUM(BV$6:BV$19)</f>
        <v>254.00906768876553</v>
      </c>
      <c r="M109" s="100">
        <f>SUM(BX$6:BX$19)+SUM(BZ$6:BZ$19)+SUM(CB$6:CB$19)+SUM(CD$6:CD$19)</f>
        <v>314.00740051486139</v>
      </c>
      <c r="N109" s="100">
        <f>SUM(CF$6:CF$19)+SUM(CH$6:CH$19)+SUM(CJ$6:CJ$19)+SUM(CL$6:CL$19)</f>
        <v>344.03178716996683</v>
      </c>
      <c r="O109" s="100">
        <f>SUM(CN$6:CN$19)+SUM(CP$6:CP$19)+SUM(CR$6:CR$19)+SUM(CT$6:CT$19)</f>
        <v>509.68192508516677</v>
      </c>
    </row>
    <row r="110" spans="2:99">
      <c r="C110" s="99" t="s">
        <v>127</v>
      </c>
      <c r="D110" s="100">
        <f>SUM(D$20:D$36)+SUM(F$20:F$36)+SUM(H$20:H$36)+SUM(J$20:J$36)</f>
        <v>646.36312043217481</v>
      </c>
      <c r="E110" s="100">
        <f>SUM(L$20:L$36)+SUM(N$20:N$36)+SUM(P$20:P$36)+SUM(R$20:R$36)</f>
        <v>631</v>
      </c>
      <c r="F110" s="100">
        <f>SUM(T$20:T$36)+SUM(V$20:V$36)+SUM(X$20:X$36)+SUM(Z$20:Z$36)</f>
        <v>762</v>
      </c>
      <c r="G110" s="100">
        <f>SUM(AB$20:AB$36)+SUM(AD$20:AD$36)+SUM(AF$20:AF$36)+SUM(AH$20:AH$36)</f>
        <v>757.10693571932018</v>
      </c>
      <c r="H110" s="100">
        <f>SUM(AJ$20:AJ$36)+SUM(AL$20:AL$36)+SUM(AN$20:AN$36)+SUM(AP$20:AP$36)</f>
        <v>765</v>
      </c>
      <c r="I110" s="100">
        <f>SUM(AR$20:AR$36)+SUM(AT$20:AT$36)+SUM(AV$20:AV$36)+SUM(AX$20:AX$36)</f>
        <v>212.98976539610948</v>
      </c>
      <c r="J110" s="100">
        <f>SUM(AZ$20:AZ$36)+SUM(BB$20:BB$36)+SUM(BD$20:BD$36)+SUM(BF$20:BF$36)</f>
        <v>577.76274991525725</v>
      </c>
      <c r="K110" s="100">
        <f>SUM(BH$20:BH$36)+SUM(BJ$20:BJ$36)+SUM(BL$20:BL$36)+SUM(BN$20:BN$36)</f>
        <v>800.67210452628035</v>
      </c>
      <c r="L110" s="100">
        <f>SUM(BP$20:BP$36)+SUM(BR$20:BR$36)+SUM(BT$20:BT$36)+SUM(BV$20:BV$36)</f>
        <v>565.07618402304934</v>
      </c>
      <c r="M110" s="100">
        <f>SUM(BX$20:BX$36)+SUM(BZ$20:BZ$36)+SUM(CB$20:CB$36)+SUM(CD$20:CD$36)</f>
        <v>652.0107043161388</v>
      </c>
      <c r="N110" s="100">
        <f>SUM(CF$20:CF$36)+SUM(CH$20:CH$36)+SUM(CJ$20:CJ$36)+SUM(CL$20:CL$36)</f>
        <v>908.24458451795522</v>
      </c>
      <c r="O110" s="100">
        <f>SUM(CN$20:CN$36)+SUM(CP$20:CP$36)+SUM(CR$20:CR$36)+SUM(CT$20:CT$36)</f>
        <v>948.14373463918071</v>
      </c>
    </row>
    <row r="111" spans="2:99">
      <c r="C111" s="99" t="s">
        <v>128</v>
      </c>
      <c r="D111" s="100">
        <f>SUM(D$37:D$48)+SUM(F$37:F$48)+SUM(H$37:H$48)+SUM(J$37:J$48)</f>
        <v>279.06464024695708</v>
      </c>
      <c r="E111" s="100">
        <f>SUM(L$37:L$48)+SUM(N$37:N$48)+SUM(P$37:P$48)+SUM(R$37:R$48)</f>
        <v>338</v>
      </c>
      <c r="F111" s="100">
        <f>SUM(T$37:T$48)+SUM(V$37:V$48)+SUM(X$37:X$48)+SUM(Z$37:Z$48)</f>
        <v>324</v>
      </c>
      <c r="G111" s="100">
        <f>SUM(AB$37:AB$48)+SUM(AD$37:AD$48)+SUM(AF$37:AF$48)+SUM(AH$37:AH$48)</f>
        <v>351.0598029141222</v>
      </c>
      <c r="H111" s="100">
        <f>SUM(AJ$37:AJ$48)+SUM(AL$37:AL$48)+SUM(AN$37:AN$48)+SUM(AP$37:AP$48)</f>
        <v>317.61431126176353</v>
      </c>
      <c r="I111" s="100">
        <f>SUM(AR$37:AR$48)+SUM(AT$37:AT$48)+SUM(AV$37:AV$48)+SUM(AX$37:AX$48)</f>
        <v>99.144009441484926</v>
      </c>
      <c r="J111" s="100">
        <f>SUM(AZ$37:AZ$48)+SUM(BB$37:BB$48)+SUM(BD$37:BD$48)+SUM(BF$37:BF$48)</f>
        <v>295.12983126268392</v>
      </c>
      <c r="K111" s="100">
        <f>SUM(BH$37:BH$48)+SUM(BJ$37:BJ$48)+SUM(BL$37:BL$48)+SUM(BN$37:BN$48)</f>
        <v>362.10609865593392</v>
      </c>
      <c r="L111" s="100">
        <f>SUM(BP$37:BP$48)+SUM(BR$37:BR$48)+SUM(BT$37:BT$48)+SUM(BV$37:BV$48)</f>
        <v>283.44092111274512</v>
      </c>
      <c r="M111" s="100">
        <f>SUM(BX$37:BX$48)+SUM(BZ$37:BZ$48)+SUM(CB$37:CB$48)+SUM(CD$37:CD$48)</f>
        <v>240.00475747383945</v>
      </c>
      <c r="N111" s="100">
        <f>SUM(CF$37:CF$48)+SUM(CH$37:CH$48)+SUM(CJ$37:CJ$48)+SUM(CL$37:CL$48)</f>
        <v>342.95508852952366</v>
      </c>
      <c r="O111" s="100">
        <f>SUM(CN$37:CN$48)+SUM(CP$37:CP$48)+SUM(CR$37:CR$48)+SUM(CT$37:CT$48)</f>
        <v>375.61279590039163</v>
      </c>
    </row>
    <row r="112" spans="2:99">
      <c r="C112" s="99" t="s">
        <v>129</v>
      </c>
      <c r="D112" s="100">
        <f>SUM(D$49:D$70)+SUM(F$49:F$70)+SUM(H$49:H$70)+SUM(J$49:J$70)</f>
        <v>337.42684375588044</v>
      </c>
      <c r="E112" s="100">
        <f>SUM(L$49:L$70)+SUM(N$49:N$70)+SUM(P$49:P$70)+SUM(R$49:R$70)</f>
        <v>394.8649602298064</v>
      </c>
      <c r="F112" s="100">
        <f>SUM(T$49:T$70)+SUM(V$49:V$70)+SUM(X$49:X$70)+SUM(Z$49:Z$70)</f>
        <v>460.79042803882589</v>
      </c>
      <c r="G112" s="100">
        <f>SUM(AB$49:AB$70)+SUM(AD$49:AD$70)+SUM(AF$49:AF$70)+SUM(AH$49:AH$70)</f>
        <v>410.36782029729147</v>
      </c>
      <c r="H112" s="100">
        <f>SUM(AJ$49:AJ$70)+SUM(AL$49:AL$70)+SUM(AN$49:AN$70)+SUM(AP$49:AP$70)</f>
        <v>341.03055961577752</v>
      </c>
      <c r="I112" s="100">
        <f>SUM(AR$49:AR$70)+SUM(AT$49:AT$70)+SUM(AV$49:AV$70)+SUM(AX$49:AX$70)</f>
        <v>212.8144330905503</v>
      </c>
      <c r="J112" s="100">
        <f>SUM(AZ$49:AZ$70)+SUM(BB$49:BB$70)+SUM(BD$49:BD$70)+SUM(BF$49:BF$70)</f>
        <v>354.02884736384806</v>
      </c>
      <c r="K112" s="100">
        <f>SUM(BH$49:BH$70)+SUM(BJ$49:BJ$70)+SUM(BL$49:BL$70)+SUM(BN$49:BN$70)</f>
        <v>384.7967004913607</v>
      </c>
      <c r="L112" s="100">
        <f>SUM(BP$49:BP$70)+SUM(BR$49:BR$70)+SUM(BT$49:BT$70)+SUM(BV$49:BV$70)</f>
        <v>281.39169159344647</v>
      </c>
      <c r="M112" s="100">
        <f>SUM(BX$49:BX$70)+SUM(BZ$49:BZ$70)+SUM(CB$49:CB$70)+SUM(CD$49:CD$70)</f>
        <v>338.4181868459475</v>
      </c>
      <c r="N112" s="100">
        <f>SUM(CF$49:CF$70)+SUM(CH$49:CH$70)+SUM(CJ$49:CJ$70)+SUM(CL$49:CL$70)</f>
        <v>434.60983186279532</v>
      </c>
      <c r="O112" s="100">
        <f>SUM(CN$49:CN$70)+SUM(CP$49:CP$70)+SUM(CR$49:CR$70)+SUM(CT$49:CT$70)</f>
        <v>357.51508457441167</v>
      </c>
    </row>
    <row r="113" spans="2:15">
      <c r="C113" s="99" t="s">
        <v>130</v>
      </c>
      <c r="D113" s="100">
        <f>SUM(D$71:D$86)+SUM(F$71:F$86)+SUM(H$71:H$86)+SUM(J$71:J$86)</f>
        <v>233</v>
      </c>
      <c r="E113" s="100">
        <f>SUM(L$71:L$86)+SUM(N$71:N$86)+SUM(P$71:P$86)+SUM(R$71:R$86)</f>
        <v>250.87565913612616</v>
      </c>
      <c r="F113" s="100">
        <f>SUM(T$71:T$86)+SUM(V$71:V$86)+SUM(X$71:X$86)+SUM(Z$71:Z$86)</f>
        <v>300</v>
      </c>
      <c r="G113" s="100">
        <f>SUM(AB$71:AB$86)+SUM(AD$71:AD$86)+SUM(AF$71:AF$86)+SUM(AH$71:AH$86)</f>
        <v>290.30221029665262</v>
      </c>
      <c r="H113" s="100">
        <f>SUM(AJ$71:AJ$86)+SUM(AL$71:AL$86)+SUM(AN$71:AN$86)+SUM(AP$71:AP$86)</f>
        <v>203.58321253928509</v>
      </c>
      <c r="I113" s="100">
        <f>SUM(AR$71:AR$86)+SUM(AT$71:AT$86)+SUM(AV$71:AV$86)+SUM(AX$71:AX$86)</f>
        <v>207.59066985783772</v>
      </c>
      <c r="J113" s="100">
        <f>SUM(AZ$71:AZ$86)+SUM(BB$71:BB$86)+SUM(BD$71:BD$86)+SUM(BF$71:BF$86)</f>
        <v>254.00630394771838</v>
      </c>
      <c r="K113" s="100">
        <f>SUM(BH$71:BH$86)+SUM(BJ$71:BJ$86)+SUM(BL$71:BL$86)+SUM(BN$71:BN$86)</f>
        <v>272.18333050614046</v>
      </c>
      <c r="L113" s="100">
        <f>SUM(BP$71:BP$86)+SUM(BR$71:BR$86)+SUM(BT$71:BT$86)+SUM(BV$71:BV$86)</f>
        <v>248.78218446607264</v>
      </c>
      <c r="M113" s="100">
        <f>SUM(BX$71:BX$86)+SUM(BZ$71:BZ$86)+SUM(CB$71:CB$86)+SUM(CD$71:CD$86)</f>
        <v>269.0962092376331</v>
      </c>
      <c r="N113" s="100">
        <f>SUM(CF$71:CF$86)+SUM(CH$71:CH$86)+SUM(CJ$71:CJ$86)+SUM(CL$71:CL$86)</f>
        <v>245.66012585404332</v>
      </c>
      <c r="O113" s="100">
        <f>SUM(CN$71:CN$86)+SUM(CP$71:CP$86)+SUM(CR$71:CR$86)+SUM(CT$71:CT$86)</f>
        <v>302.92115388991363</v>
      </c>
    </row>
    <row r="114" spans="2:15">
      <c r="C114" s="99" t="s">
        <v>131</v>
      </c>
      <c r="D114" s="100">
        <f>SUM(D$87:D$94)+SUM(F$87:F$94)+SUM(H$87:H$94)+SUM(J$87:J$94)</f>
        <v>126.23744126106013</v>
      </c>
      <c r="E114" s="100">
        <f>SUM(L$87:L$94)+SUM(N$87:N$94)+SUM(P$87:P$94)+SUM(R$87:R$94)</f>
        <v>88.060985874981355</v>
      </c>
      <c r="F114" s="100">
        <f>SUM(T$87:T$94)+SUM(V$87:V$94)+SUM(X$87:X$94)+SUM(Z$87:Z$94)</f>
        <v>74.400237341248484</v>
      </c>
      <c r="G114" s="100">
        <f>SUM(AB$87:AB$94)+SUM(AD$87:AD$94)+SUM(AF$87:AF$94)+SUM(AH$87:AH$94)</f>
        <v>108.40637965121972</v>
      </c>
      <c r="H114" s="100">
        <f>SUM(AJ$87:AJ$94)+SUM(AL$87:AL$94)+SUM(AN$87:AN$94)+SUM(AP$87:AP$94)</f>
        <v>82.558406715881034</v>
      </c>
      <c r="I114" s="100">
        <f>SUM(AR$87:AR$94)+SUM(AT$87:AT$94)+SUM(AV$87:AV$94)+SUM(AX$87:AX$94)</f>
        <v>94.275266235414819</v>
      </c>
      <c r="J114" s="100">
        <f>SUM(AZ$87:AZ$94)+SUM(BB$87:BB$94)+SUM(BD$87:BD$94)+SUM(BF$87:BF$94)</f>
        <v>94.308297323904355</v>
      </c>
      <c r="K114" s="100">
        <f>SUM(BH$87:BH$94)+SUM(BJ$87:BJ$94)+SUM(BL$87:BL$94)+SUM(BN$87:BN$94)</f>
        <v>88.319779876254287</v>
      </c>
      <c r="L114" s="100">
        <f>SUM(BP$87:BP$94)+SUM(BR$87:BR$94)+SUM(BT$87:BT$94)+SUM(BV$87:BV$94)</f>
        <v>90.741849902002826</v>
      </c>
      <c r="M114" s="100">
        <f>SUM(BX$87:BX$94)+SUM(BZ$87:BZ$94)+SUM(CB$87:CB$94)+SUM(CD$87:CD$94)</f>
        <v>134.44274313140872</v>
      </c>
      <c r="N114" s="100">
        <f>SUM(CF$87:CF$94)+SUM(CH$87:CH$94)+SUM(CJ$87:CJ$94)+SUM(CL$87:CL$94)</f>
        <v>139.73920718607255</v>
      </c>
      <c r="O114" s="100">
        <f>SUM(CN$87:CN$94)+SUM(CP$87:CP$94)+SUM(CR$87:CR$94)+SUM(CT$87:CT$94)</f>
        <v>89.499946869920961</v>
      </c>
    </row>
    <row r="115" spans="2:15">
      <c r="C115" s="99" t="s">
        <v>132</v>
      </c>
      <c r="D115" s="100">
        <f>SUM(D$95:D$105)+SUM(F$95:F$105)+SUM(H$95:H$105)+SUM(J$95:J$105)</f>
        <v>242.07083467409109</v>
      </c>
      <c r="E115" s="100">
        <f>SUM(L$95:L$105)+SUM(N$95:N$105)+SUM(P$95:P$105)+SUM(R$95:R$105)</f>
        <v>212.42051336731126</v>
      </c>
      <c r="F115" s="100">
        <f>SUM(T$95:T$105)+SUM(V$95:V$105)+SUM(X$95:X$105)+SUM(Z$95:Z$105)</f>
        <v>209.02126719460497</v>
      </c>
      <c r="G115" s="100">
        <f>SUM(AB$95:AB$105)+SUM(AD$95:AD$105)+SUM(AF$95:AF$105)+SUM(AH$95:AH$105)</f>
        <v>326.62227544194866</v>
      </c>
      <c r="H115" s="100">
        <f>SUM(AJ$95:AJ$105)+SUM(AL$95:AL$105)+SUM(AN$95:AN$105)+SUM(AP$95:AP$105)</f>
        <v>163.05749151426443</v>
      </c>
      <c r="I115" s="100">
        <f>SUM(AR$95:AR$105)+SUM(AT$95:AT$105)+SUM(AV$95:AV$105)+SUM(AX$95:AX$105)</f>
        <v>230.20672844233144</v>
      </c>
      <c r="J115" s="100">
        <f>SUM(AZ$95:AZ$105)+SUM(BB$95:BB$105)+SUM(BD$95:BD$105)+SUM(BF$95:BF$105)</f>
        <v>232.10124170856665</v>
      </c>
      <c r="K115" s="100">
        <f>SUM(BH$95:BH$105)+SUM(BJ$95:BJ$105)+SUM(BL$95:BL$105)+SUM(BN$95:BN$105)</f>
        <v>241.07987840762087</v>
      </c>
      <c r="L115" s="100">
        <f>SUM(BP$95:BP$105)+SUM(BR$95:BR$105)+SUM(BT$95:BT$105)+SUM(BV$95:BV$105)</f>
        <v>156.75425655064998</v>
      </c>
      <c r="M115" s="100">
        <f>SUM(BX$95:BX$105)+SUM(BZ$95:BZ$105)+SUM(CB$95:CB$105)+SUM(CD$95:CD$105)</f>
        <v>187.14937450680202</v>
      </c>
      <c r="N115" s="100">
        <f>SUM(CF$95:CF$105)+SUM(CH$95:CH$105)+SUM(CJ$95:CJ$105)+SUM(CL$95:CL$105)</f>
        <v>215.87996514638928</v>
      </c>
      <c r="O115" s="100">
        <f>SUM(CN$95:CN$105)+SUM(CP$95:CP$105)+SUM(CR$95:CR$105)+SUM(CT$95:CT$105)</f>
        <v>163.22902991510878</v>
      </c>
    </row>
    <row r="116" spans="2:15">
      <c r="C116" s="99" t="s">
        <v>278</v>
      </c>
      <c r="D116" s="100">
        <f t="shared" ref="D116:O116" si="0">SUM(D$109:D$115)</f>
        <v>2150.2275206171207</v>
      </c>
      <c r="E116" s="100">
        <f t="shared" si="0"/>
        <v>2273.2221186082252</v>
      </c>
      <c r="F116" s="100">
        <f t="shared" si="0"/>
        <v>2535.2119325746794</v>
      </c>
      <c r="G116" s="100">
        <f t="shared" si="0"/>
        <v>2601.9257340390341</v>
      </c>
      <c r="H116" s="100">
        <f t="shared" si="0"/>
        <v>2328.5717320706813</v>
      </c>
      <c r="I116" s="100">
        <f t="shared" si="0"/>
        <v>1194.2048008461161</v>
      </c>
      <c r="J116" s="100">
        <f t="shared" si="0"/>
        <v>2116.1849164557602</v>
      </c>
      <c r="K116" s="100">
        <f t="shared" si="0"/>
        <v>2539.7421778789367</v>
      </c>
      <c r="L116" s="100">
        <f t="shared" si="0"/>
        <v>1880.1961553367319</v>
      </c>
      <c r="M116" s="100">
        <f t="shared" si="0"/>
        <v>2135.1293760266308</v>
      </c>
      <c r="N116" s="100">
        <f t="shared" si="0"/>
        <v>2631.1205902667461</v>
      </c>
      <c r="O116" s="100">
        <f t="shared" si="0"/>
        <v>2746.603670874094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2174091.2658768739</v>
      </c>
      <c r="E120" s="100">
        <f>E109*pricing!E24*2000</f>
        <v>2720799.9999999995</v>
      </c>
      <c r="F120" s="100">
        <f>F109*pricing!F24*2000</f>
        <v>3078000</v>
      </c>
      <c r="G120" s="100">
        <f>G109*pricing!G24*2000</f>
        <v>2721258.3538604416</v>
      </c>
      <c r="H120" s="100">
        <f>H109*pricing!H24*2000</f>
        <v>3463530.9032201953</v>
      </c>
      <c r="I120" s="100">
        <f>I109*pricing!I24*2000</f>
        <v>1042597.8557061438</v>
      </c>
      <c r="J120" s="100">
        <f>J109*pricing!J24*2000</f>
        <v>2347242.1014967412</v>
      </c>
      <c r="K120" s="100">
        <f>K109*pricing!K24*2000</f>
        <v>2968440.5691566272</v>
      </c>
      <c r="L120" s="100">
        <f>L109*pricing!L24*2000</f>
        <v>1930468.9144346181</v>
      </c>
      <c r="M120" s="100">
        <f>M109*pricing!M24*2000</f>
        <v>2386456.2439129464</v>
      </c>
      <c r="N120" s="100">
        <f>N109*pricing!N24*2000</f>
        <v>2614641.5824917476</v>
      </c>
      <c r="O120" s="100">
        <f>O109*pricing!O24*2000</f>
        <v>3873582.6306472672</v>
      </c>
    </row>
    <row r="121" spans="2:15">
      <c r="C121" s="99" t="s">
        <v>127</v>
      </c>
      <c r="D121" s="100">
        <f>D110*pricing!D25*2000</f>
        <v>4912359.7152845282</v>
      </c>
      <c r="E121" s="100">
        <f>E110*pricing!E25*2000</f>
        <v>4795599.9999999991</v>
      </c>
      <c r="F121" s="100">
        <f>F110*pricing!F25*2000</f>
        <v>5791200</v>
      </c>
      <c r="G121" s="100">
        <f>G110*pricing!G25*2000</f>
        <v>5754012.711466833</v>
      </c>
      <c r="H121" s="100">
        <f>H110*pricing!H25*2000</f>
        <v>5814000</v>
      </c>
      <c r="I121" s="100">
        <f>I110*pricing!I25*2000</f>
        <v>1618722.2170104319</v>
      </c>
      <c r="J121" s="100">
        <f>J110*pricing!J25*2000</f>
        <v>4390996.8993559554</v>
      </c>
      <c r="K121" s="100">
        <f>K110*pricing!K25*2000</f>
        <v>6085107.9943997301</v>
      </c>
      <c r="L121" s="100">
        <f>L110*pricing!L25*2000</f>
        <v>4294578.9985751742</v>
      </c>
      <c r="M121" s="100">
        <f>M110*pricing!M25*2000</f>
        <v>4955281.3528026547</v>
      </c>
      <c r="N121" s="100">
        <f>N110*pricing!N25*2000</f>
        <v>6902658.8423364591</v>
      </c>
      <c r="O121" s="100">
        <f>O110*pricing!O25*2000</f>
        <v>7205892.3832577728</v>
      </c>
    </row>
    <row r="122" spans="2:15">
      <c r="C122" s="99" t="s">
        <v>128</v>
      </c>
      <c r="D122" s="100">
        <f>D111*pricing!D26*2000</f>
        <v>2120891.2658768734</v>
      </c>
      <c r="E122" s="100">
        <f>E111*pricing!E26*2000</f>
        <v>2568799.9999999995</v>
      </c>
      <c r="F122" s="100">
        <f>F111*pricing!F26*2000</f>
        <v>2462400</v>
      </c>
      <c r="G122" s="100">
        <f>G111*pricing!G26*2000</f>
        <v>2668054.5021473286</v>
      </c>
      <c r="H122" s="100">
        <f>H111*pricing!H26*2000</f>
        <v>2413868.765589403</v>
      </c>
      <c r="I122" s="100">
        <f>I111*pricing!I26*2000</f>
        <v>753494.4717552854</v>
      </c>
      <c r="J122" s="100">
        <f>J111*pricing!J26*2000</f>
        <v>2242986.7175963977</v>
      </c>
      <c r="K122" s="100">
        <f>K111*pricing!K26*2000</f>
        <v>2752006.3497850979</v>
      </c>
      <c r="L122" s="100">
        <f>L111*pricing!L26*2000</f>
        <v>2154151.0004568626</v>
      </c>
      <c r="M122" s="100">
        <f>M111*pricing!M26*2000</f>
        <v>1824036.1568011797</v>
      </c>
      <c r="N122" s="100">
        <f>N111*pricing!N26*2000</f>
        <v>2606458.67282438</v>
      </c>
      <c r="O122" s="100">
        <f>O111*pricing!O26*2000</f>
        <v>2854657.2488429761</v>
      </c>
    </row>
    <row r="123" spans="2:15">
      <c r="C123" s="99" t="s">
        <v>129</v>
      </c>
      <c r="D123" s="100">
        <f>D112*pricing!D27*2000</f>
        <v>2564444.0125446911</v>
      </c>
      <c r="E123" s="100">
        <f>E112*pricing!E27*2000</f>
        <v>3000973.6977465288</v>
      </c>
      <c r="F123" s="100">
        <f>F112*pricing!F27*2000</f>
        <v>3502007.2530950764</v>
      </c>
      <c r="G123" s="100">
        <f>G112*pricing!G27*2000</f>
        <v>3118795.4342594147</v>
      </c>
      <c r="H123" s="100">
        <f>H112*pricing!H27*2000</f>
        <v>2591832.2530799094</v>
      </c>
      <c r="I123" s="100">
        <f>I112*pricing!I27*2000</f>
        <v>1617389.6914881822</v>
      </c>
      <c r="J123" s="100">
        <f>J112*pricing!J27*2000</f>
        <v>2690619.2399652451</v>
      </c>
      <c r="K123" s="100">
        <f>K112*pricing!K27*2000</f>
        <v>2924454.9237343413</v>
      </c>
      <c r="L123" s="100">
        <f>L112*pricing!L27*2000</f>
        <v>2138576.8561101933</v>
      </c>
      <c r="M123" s="100">
        <f>M112*pricing!M27*2000</f>
        <v>2571978.2200292009</v>
      </c>
      <c r="N123" s="100">
        <f>N112*pricing!N27*2000</f>
        <v>3303034.7221572441</v>
      </c>
      <c r="O123" s="100">
        <f>O112*pricing!O27*2000</f>
        <v>2717114.6427655285</v>
      </c>
    </row>
    <row r="124" spans="2:15">
      <c r="C124" s="99" t="s">
        <v>130</v>
      </c>
      <c r="D124" s="100">
        <f>D113*pricing!D28*2000</f>
        <v>1770800</v>
      </c>
      <c r="E124" s="100">
        <f>E113*pricing!E28*2000</f>
        <v>1906655.0094345587</v>
      </c>
      <c r="F124" s="100">
        <f>F113*pricing!F28*2000</f>
        <v>2280000</v>
      </c>
      <c r="G124" s="100">
        <f>G113*pricing!G28*2000</f>
        <v>2206296.7982545597</v>
      </c>
      <c r="H124" s="100">
        <f>H113*pricing!H28*2000</f>
        <v>1547232.4152985667</v>
      </c>
      <c r="I124" s="100">
        <f>I113*pricing!I28*2000</f>
        <v>1577689.0909195666</v>
      </c>
      <c r="J124" s="100">
        <f>J113*pricing!J28*2000</f>
        <v>1930447.9100026598</v>
      </c>
      <c r="K124" s="100">
        <f>K113*pricing!K28*2000</f>
        <v>2068593.3118466674</v>
      </c>
      <c r="L124" s="100">
        <f>L113*pricing!L28*2000</f>
        <v>1890744.601942152</v>
      </c>
      <c r="M124" s="100">
        <f>M113*pricing!M28*2000</f>
        <v>2045131.1902060115</v>
      </c>
      <c r="N124" s="100">
        <f>N113*pricing!N28*2000</f>
        <v>1867016.9564907292</v>
      </c>
      <c r="O124" s="100">
        <f>O113*pricing!O28*2000</f>
        <v>2302200.7695633434</v>
      </c>
    </row>
    <row r="125" spans="2:15">
      <c r="C125" s="99" t="s">
        <v>131</v>
      </c>
      <c r="D125" s="100">
        <f>D114*pricing!D29*2000</f>
        <v>959404.55358405691</v>
      </c>
      <c r="E125" s="100">
        <f>E114*pricing!E29*2000</f>
        <v>669263.49264985824</v>
      </c>
      <c r="F125" s="100">
        <f>F114*pricing!F29*2000</f>
        <v>565441.80379348842</v>
      </c>
      <c r="G125" s="100">
        <f>G114*pricing!G29*2000</f>
        <v>823888.48534926993</v>
      </c>
      <c r="H125" s="100">
        <f>H114*pricing!H29*2000</f>
        <v>627443.89104069583</v>
      </c>
      <c r="I125" s="100">
        <f>I114*pricing!I29*2000</f>
        <v>716492.0233891526</v>
      </c>
      <c r="J125" s="100">
        <f>J114*pricing!J29*2000</f>
        <v>716743.05966167315</v>
      </c>
      <c r="K125" s="100">
        <f>K114*pricing!K29*2000</f>
        <v>671230.32705953252</v>
      </c>
      <c r="L125" s="100">
        <f>L114*pricing!L29*2000</f>
        <v>689638.05925522151</v>
      </c>
      <c r="M125" s="100">
        <f>M114*pricing!M29*2000</f>
        <v>1021764.8477987063</v>
      </c>
      <c r="N125" s="100">
        <f>N114*pricing!N29*2000</f>
        <v>1062017.9746141513</v>
      </c>
      <c r="O125" s="100">
        <f>O114*pricing!O29*2000</f>
        <v>680199.59621139918</v>
      </c>
    </row>
    <row r="126" spans="2:15">
      <c r="C126" s="99" t="s">
        <v>132</v>
      </c>
      <c r="D126" s="100">
        <f>D115*pricing!D30*2000</f>
        <v>1839738.3435230923</v>
      </c>
      <c r="E126" s="100">
        <f>E115*pricing!E30*2000</f>
        <v>1614395.9015915655</v>
      </c>
      <c r="F126" s="100">
        <f>F115*pricing!F30*2000</f>
        <v>1588561.6306789978</v>
      </c>
      <c r="G126" s="100">
        <f>G115*pricing!G30*2000</f>
        <v>2482329.2933588093</v>
      </c>
      <c r="H126" s="100">
        <f>H115*pricing!H30*2000</f>
        <v>1239236.9355084095</v>
      </c>
      <c r="I126" s="100">
        <f>I115*pricing!I30*2000</f>
        <v>1749571.136161719</v>
      </c>
      <c r="J126" s="100">
        <f>J115*pricing!J30*2000</f>
        <v>1763969.4369851064</v>
      </c>
      <c r="K126" s="100">
        <f>K115*pricing!K30*2000</f>
        <v>1832207.0758979185</v>
      </c>
      <c r="L126" s="100">
        <f>L115*pricing!L30*2000</f>
        <v>1191332.3497849398</v>
      </c>
      <c r="M126" s="100">
        <f>M115*pricing!M30*2000</f>
        <v>1422335.2462516953</v>
      </c>
      <c r="N126" s="100">
        <f>N115*pricing!N30*2000</f>
        <v>1640687.7351125584</v>
      </c>
      <c r="O126" s="100">
        <f>O115*pricing!O30*2000</f>
        <v>1240540.6273548268</v>
      </c>
    </row>
    <row r="127" spans="2:15">
      <c r="C127" s="99" t="s">
        <v>278</v>
      </c>
      <c r="D127" s="100">
        <f t="shared" ref="D127:O127" si="1">SUM(D$120:D$126)</f>
        <v>16341729.156690117</v>
      </c>
      <c r="E127" s="100">
        <f t="shared" si="1"/>
        <v>17276488.101422511</v>
      </c>
      <c r="F127" s="100">
        <f t="shared" si="1"/>
        <v>19267610.687567562</v>
      </c>
      <c r="G127" s="100">
        <f t="shared" si="1"/>
        <v>19774635.578696661</v>
      </c>
      <c r="H127" s="100">
        <f t="shared" si="1"/>
        <v>17697145.163737178</v>
      </c>
      <c r="I127" s="100">
        <f t="shared" si="1"/>
        <v>9075956.4864304811</v>
      </c>
      <c r="J127" s="100">
        <f t="shared" si="1"/>
        <v>16083005.365063779</v>
      </c>
      <c r="K127" s="100">
        <f t="shared" si="1"/>
        <v>19302040.551879913</v>
      </c>
      <c r="L127" s="100">
        <f t="shared" si="1"/>
        <v>14289490.780559162</v>
      </c>
      <c r="M127" s="100">
        <f t="shared" si="1"/>
        <v>16226983.257802395</v>
      </c>
      <c r="N127" s="100">
        <f t="shared" si="1"/>
        <v>19996516.486027271</v>
      </c>
      <c r="O127" s="100">
        <f t="shared" si="1"/>
        <v>20874187.898643117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145664.15919235689</v>
      </c>
      <c r="E131" s="106">
        <f>SUM(M$6:M$19)+SUM(O$6:O$19)+SUM(Q$6:Q$19)+SUM(S$6:S$19)</f>
        <v>180558.00000000003</v>
      </c>
      <c r="F131" s="106">
        <f>SUM(U$6:U$19)+SUM(W$6:W$19)+SUM(Y$6:Y$19)+SUM(AA$6:AA$19)</f>
        <v>205131.6</v>
      </c>
      <c r="G131" s="106">
        <f>SUM(AC$6:AC$19)+SUM(AE$6:AE$19)+SUM(AG$6:AG$19)+SUM(AI$6:AI$19)</f>
        <v>181368.52624547237</v>
      </c>
      <c r="H131" s="106">
        <f>SUM(AK$6:AK$19)+SUM(AM$6:AM$19)+SUM(AO$6:AO$19)+SUM(AQ$6:AQ$19)</f>
        <v>231905.05846312607</v>
      </c>
      <c r="I131" s="106">
        <f>SUM(AS$6:AS$19)+SUM(AU$6:AU$19)+SUM(AW$6:AW$19)+SUM(AY$6:AY$19)</f>
        <v>69283.285149457486</v>
      </c>
      <c r="J131" s="106">
        <f>SUM(BA$6:BA$19)+SUM(BC$6:BC$19)+SUM(BE$6:BE$19)+SUM(BG$6:BG$19)</f>
        <v>156719.62291442018</v>
      </c>
      <c r="K131" s="106">
        <f>SUM(BI$6:BI$19)+SUM(BK$6:BK$19)+SUM(BM$6:BM$19)+SUM(BO$6:BO$19)</f>
        <v>197415.23907772012</v>
      </c>
      <c r="L131" s="106">
        <f>SUM(BQ$6:BQ$19)+SUM(BS$6:BS$19)+SUM(BU$6:BU$19)+SUM(BW$6:BW$19)</f>
        <v>128151.47186421326</v>
      </c>
      <c r="M131" s="106">
        <f>SUM(BY$6:BY$19)+SUM(CA$6:CA$19)+SUM(CC$6:CC$19)+SUM(CE$6:CE$19)</f>
        <v>158302.95396402426</v>
      </c>
      <c r="N131" s="106">
        <f>SUM(CG$6:CG$19)+SUM(CI$6:CI$19)+SUM(CK$6:CK$19)+SUM(CM$6:CM$19)</f>
        <v>173684.00611687236</v>
      </c>
      <c r="O131" s="106">
        <f>SUM(CO$6:CO$19)+SUM(CQ$6:CQ$19)+SUM(CS$6:CS$19)+SUM(CU$6:CU$19)</f>
        <v>257438.24230382717</v>
      </c>
    </row>
    <row r="132" spans="2:15">
      <c r="C132" s="105" t="s">
        <v>127</v>
      </c>
      <c r="D132" s="106">
        <f>SUM(E$20:E$36)+SUM(G$20:G$36)+SUM(I$20:I$36)+SUM(K$20:K$36)</f>
        <v>278295.63769965066</v>
      </c>
      <c r="E132" s="106">
        <f>SUM(M$20:M$36)+SUM(O$20:O$36)+SUM(Q$20:Q$36)+SUM(S$20:S$36)</f>
        <v>269976</v>
      </c>
      <c r="F132" s="106">
        <f>SUM(U$20:U$36)+SUM(W$20:W$36)+SUM(Y$20:Y$36)+SUM(AA$20:AA$36)</f>
        <v>326023.2</v>
      </c>
      <c r="G132" s="106">
        <f>SUM(AC$20:AC$36)+SUM(AE$20:AE$36)+SUM(AG$20:AG$36)+SUM(AI$20:AI$36)</f>
        <v>326394.08537195448</v>
      </c>
      <c r="H132" s="106">
        <f>SUM(AK$20:AK$36)+SUM(AM$20:AM$36)+SUM(AO$20:AO$36)+SUM(AQ$20:AQ$36)</f>
        <v>328251.59999999998</v>
      </c>
      <c r="I132" s="106">
        <f>SUM(AS$20:AS$36)+SUM(AU$20:AU$36)+SUM(AW$20:AW$36)+SUM(AY$20:AY$36)</f>
        <v>90283.678798876615</v>
      </c>
      <c r="J132" s="106">
        <f>SUM(BA$20:BA$36)+SUM(BC$20:BC$36)+SUM(BE$20:BE$36)+SUM(BG$20:BG$36)</f>
        <v>249537.28179245559</v>
      </c>
      <c r="K132" s="106">
        <f>SUM(BI$20:BI$36)+SUM(BK$20:BK$36)+SUM(BM$20:BM$36)+SUM(BO$20:BO$36)</f>
        <v>341580.21747707587</v>
      </c>
      <c r="L132" s="106">
        <f>SUM(BQ$20:BQ$36)+SUM(BS$20:BS$36)+SUM(BU$20:BU$36)+SUM(BW$20:BW$36)</f>
        <v>243025.18289259955</v>
      </c>
      <c r="M132" s="106">
        <f>SUM(BY$20:BY$36)+SUM(CA$20:CA$36)+SUM(CC$20:CC$36)+SUM(CE$20:CE$36)</f>
        <v>277630.63290731609</v>
      </c>
      <c r="N132" s="106">
        <f>SUM(CG$20:CG$36)+SUM(CI$20:CI$36)+SUM(CK$20:CK$36)+SUM(CM$20:CM$36)</f>
        <v>390445.16784348909</v>
      </c>
      <c r="O132" s="106">
        <f>SUM(CO$20:CO$36)+SUM(CQ$20:CQ$36)+SUM(CS$20:CS$36)+SUM(CU$20:CU$36)</f>
        <v>406593.4558071522</v>
      </c>
    </row>
    <row r="133" spans="2:15">
      <c r="C133" s="105" t="s">
        <v>128</v>
      </c>
      <c r="D133" s="106">
        <f>SUM(E$37:E$48)+SUM(G$37:G$48)+SUM(I$37:I$48)+SUM(K$37:K$48)</f>
        <v>292840.39098958962</v>
      </c>
      <c r="E133" s="106">
        <f>SUM(M$37:M$48)+SUM(O$37:O$48)+SUM(Q$37:Q$48)+SUM(S$37:S$48)</f>
        <v>355347.6</v>
      </c>
      <c r="F133" s="106">
        <f>SUM(U$37:U$48)+SUM(W$37:W$48)+SUM(Y$37:Y$48)+SUM(AA$37:AA$48)</f>
        <v>342162</v>
      </c>
      <c r="G133" s="106">
        <f>SUM(AC$37:AC$48)+SUM(AE$37:AE$48)+SUM(AG$37:AG$48)+SUM(AI$37:AI$48)</f>
        <v>369463.55596174934</v>
      </c>
      <c r="H133" s="106">
        <f>SUM(AK$37:AK$48)+SUM(AM$37:AM$48)+SUM(AO$37:AO$48)+SUM(AQ$37:AQ$48)</f>
        <v>334025.96286801086</v>
      </c>
      <c r="I133" s="106">
        <f>SUM(AS$37:AS$48)+SUM(AU$37:AU$48)+SUM(AW$37:AW$48)+SUM(AY$37:AY$48)</f>
        <v>104210.13585645158</v>
      </c>
      <c r="J133" s="106">
        <f>SUM(BA$37:BA$48)+SUM(BC$37:BC$48)+SUM(BE$37:BE$48)+SUM(BG$37:BG$48)</f>
        <v>308368.47697540058</v>
      </c>
      <c r="K133" s="106">
        <f>SUM(BI$37:BI$48)+SUM(BK$37:BK$48)+SUM(BM$37:BM$48)+SUM(BO$37:BO$48)</f>
        <v>381058.86664038216</v>
      </c>
      <c r="L133" s="106">
        <f>SUM(BQ$37:BQ$48)+SUM(BS$37:BS$48)+SUM(BU$37:BU$48)+SUM(BW$37:BW$48)</f>
        <v>297545.00739375316</v>
      </c>
      <c r="M133" s="106">
        <f>SUM(BY$37:BY$48)+SUM(CA$37:CA$48)+SUM(CC$37:CC$48)+SUM(CE$37:CE$48)</f>
        <v>251962.94808995799</v>
      </c>
      <c r="N133" s="106">
        <f>SUM(CG$37:CG$48)+SUM(CI$37:CI$48)+SUM(CK$37:CK$48)+SUM(CM$37:CM$48)</f>
        <v>360836.03913194733</v>
      </c>
      <c r="O133" s="106">
        <f>SUM(CO$37:CO$48)+SUM(CQ$37:CQ$48)+SUM(CS$37:CS$48)+SUM(CU$37:CU$48)</f>
        <v>395550.67759984592</v>
      </c>
    </row>
    <row r="134" spans="2:15">
      <c r="C134" s="105" t="s">
        <v>129</v>
      </c>
      <c r="D134" s="106">
        <f>SUM(E$49:E$70)+SUM(G$49:G$70)+SUM(I$49:I$70)+SUM(K$49:K$70)</f>
        <v>285890.30890926596</v>
      </c>
      <c r="E134" s="106">
        <f>SUM(M$49:M$70)+SUM(O$49:O$70)+SUM(Q$49:Q$70)+SUM(S$49:S$70)</f>
        <v>325234.87374208291</v>
      </c>
      <c r="F134" s="106">
        <f>SUM(U$49:U$70)+SUM(W$49:W$70)+SUM(Y$49:Y$70)+SUM(AA$49:AA$70)</f>
        <v>378451.80030929076</v>
      </c>
      <c r="G134" s="106">
        <f>SUM(AC$49:AC$70)+SUM(AE$49:AE$70)+SUM(AG$49:AG$70)+SUM(AI$49:AI$70)</f>
        <v>343324.09769427113</v>
      </c>
      <c r="H134" s="106">
        <f>SUM(AK$49:AK$70)+SUM(AM$49:AM$70)+SUM(AO$49:AO$70)+SUM(AQ$49:AQ$70)</f>
        <v>277484.75160449318</v>
      </c>
      <c r="I134" s="106">
        <f>SUM(AS$49:AS$70)+SUM(AU$49:AU$70)+SUM(AW$49:AW$70)+SUM(AY$49:AY$70)</f>
        <v>186190.036901802</v>
      </c>
      <c r="J134" s="106">
        <f>SUM(BA$49:BA$70)+SUM(BC$49:BC$70)+SUM(BE$49:BE$70)+SUM(BG$49:BG$70)</f>
        <v>294384.15990518057</v>
      </c>
      <c r="K134" s="106">
        <f>SUM(BI$49:BI$70)+SUM(BK$49:BK$70)+SUM(BM$49:BM$70)+SUM(BO$49:BO$70)</f>
        <v>315588.21340662282</v>
      </c>
      <c r="L134" s="106">
        <f>SUM(BQ$49:BQ$70)+SUM(BS$49:BS$70)+SUM(BU$49:BU$70)+SUM(BW$49:BW$70)</f>
        <v>232392.7991018132</v>
      </c>
      <c r="M134" s="106">
        <f>SUM(BY$49:BY$70)+SUM(CA$49:CA$70)+SUM(CC$49:CC$70)+SUM(CE$49:CE$70)</f>
        <v>287106.13101238606</v>
      </c>
      <c r="N134" s="106">
        <f>SUM(CG$49:CG$70)+SUM(CI$49:CI$70)+SUM(CK$49:CK$70)+SUM(CM$49:CM$70)</f>
        <v>359609.61503837671</v>
      </c>
      <c r="O134" s="106">
        <f>SUM(CO$49:CO$70)+SUM(CQ$49:CQ$70)+SUM(CS$49:CS$70)+SUM(CU$49:CU$70)</f>
        <v>290967.52735788526</v>
      </c>
    </row>
    <row r="135" spans="2:15">
      <c r="C135" s="105" t="s">
        <v>130</v>
      </c>
      <c r="D135" s="106">
        <f>SUM(E$71:E$86)+SUM(G$71:G$86)+SUM(I$71:I$86)+SUM(K$71:K$86)</f>
        <v>130755.6</v>
      </c>
      <c r="E135" s="106">
        <f>SUM(M$71:M$86)+SUM(O$71:O$86)+SUM(Q$71:Q$86)+SUM(S$71:S$86)</f>
        <v>141848.7102950128</v>
      </c>
      <c r="F135" s="106">
        <f>SUM(U$71:U$86)+SUM(W$71:W$86)+SUM(Y$71:Y$86)+SUM(AA$71:AA$86)</f>
        <v>166625.99999999997</v>
      </c>
      <c r="G135" s="106">
        <f>SUM(AC$71:AC$86)+SUM(AE$71:AE$86)+SUM(AG$71:AG$86)+SUM(AI$71:AI$86)</f>
        <v>163425.23259445856</v>
      </c>
      <c r="H135" s="106">
        <f>SUM(AK$71:AK$86)+SUM(AM$71:AM$86)+SUM(AO$71:AO$86)+SUM(AQ$71:AQ$86)</f>
        <v>114059.50197288425</v>
      </c>
      <c r="I135" s="106">
        <f>SUM(AS$71:AS$86)+SUM(AU$71:AU$86)+SUM(AW$71:AW$86)+SUM(AY$71:AY$86)</f>
        <v>116170.62828822802</v>
      </c>
      <c r="J135" s="106">
        <f>SUM(BA$71:BA$86)+SUM(BC$71:BC$86)+SUM(BE$71:BE$86)+SUM(BG$71:BG$86)</f>
        <v>141753.68800208159</v>
      </c>
      <c r="K135" s="106">
        <f>SUM(BI$71:BI$86)+SUM(BK$71:BK$86)+SUM(BM$71:BM$86)+SUM(BO$71:BO$86)</f>
        <v>152719.69639610927</v>
      </c>
      <c r="L135" s="106">
        <f>SUM(BQ$71:BQ$86)+SUM(BS$71:BS$86)+SUM(BU$71:BU$86)+SUM(BW$71:BW$86)</f>
        <v>140489.67592421605</v>
      </c>
      <c r="M135" s="106">
        <f>SUM(BY$71:BY$86)+SUM(CA$71:CA$86)+SUM(CC$71:CC$86)+SUM(CE$71:CE$86)</f>
        <v>149887.47014585283</v>
      </c>
      <c r="N135" s="106">
        <f>SUM(CG$71:CG$86)+SUM(CI$71:CI$86)+SUM(CK$71:CK$86)+SUM(CM$71:CM$86)</f>
        <v>138422.18500642836</v>
      </c>
      <c r="O135" s="106">
        <f>SUM(CO$71:CO$86)+SUM(CQ$71:CQ$86)+SUM(CS$71:CS$86)+SUM(CU$71:CU$86)</f>
        <v>169275.26511739229</v>
      </c>
    </row>
    <row r="136" spans="2:15">
      <c r="C136" s="105" t="s">
        <v>131</v>
      </c>
      <c r="D136" s="106">
        <f>SUM(E$87:E$94)+SUM(G$87:G$94)+SUM(I$87:I$94)+SUM(K$87:K$94)</f>
        <v>127010.27222691587</v>
      </c>
      <c r="E136" s="106">
        <f>SUM(M$87:M$94)+SUM(O$87:O$94)+SUM(Q$87:Q$94)+SUM(S$87:S$94)</f>
        <v>88519.318659006793</v>
      </c>
      <c r="F136" s="106">
        <f>SUM(U$87:U$94)+SUM(W$87:W$94)+SUM(Y$87:Y$94)+SUM(AA$87:AA$94)</f>
        <v>74520.388155717766</v>
      </c>
      <c r="G136" s="106">
        <f>SUM(AC$87:AC$94)+SUM(AE$87:AE$94)+SUM(AG$87:AG$94)+SUM(AI$87:AI$94)</f>
        <v>108884.35369378098</v>
      </c>
      <c r="H136" s="106">
        <f>SUM(AK$87:AK$94)+SUM(AM$87:AM$94)+SUM(AO$87:AO$94)+SUM(AQ$87:AQ$94)</f>
        <v>82763.068880040257</v>
      </c>
      <c r="I136" s="106">
        <f>SUM(AS$87:AS$94)+SUM(AU$87:AU$94)+SUM(AW$87:AW$94)+SUM(AY$87:AY$94)</f>
        <v>94600.567893474654</v>
      </c>
      <c r="J136" s="106">
        <f>SUM(BA$87:BA$94)+SUM(BC$87:BC$94)+SUM(BE$87:BE$94)+SUM(BG$87:BG$94)</f>
        <v>94587.976552829932</v>
      </c>
      <c r="K136" s="106">
        <f>SUM(BI$87:BI$94)+SUM(BK$87:BK$94)+SUM(BM$87:BM$94)+SUM(BO$87:BO$94)</f>
        <v>88342.365411350926</v>
      </c>
      <c r="L136" s="106">
        <f>SUM(BQ$87:BQ$94)+SUM(BS$87:BS$94)+SUM(BU$87:BU$94)+SUM(BW$87:BW$94)</f>
        <v>90635.670496900828</v>
      </c>
      <c r="M136" s="106">
        <f>SUM(BY$87:BY$94)+SUM(CA$87:CA$94)+SUM(CC$87:CC$94)+SUM(CE$87:CE$94)</f>
        <v>134888.05845173131</v>
      </c>
      <c r="N136" s="106">
        <f>SUM(CG$87:CG$94)+SUM(CI$87:CI$94)+SUM(CK$87:CK$94)+SUM(CM$87:CM$94)</f>
        <v>139877.62609700378</v>
      </c>
      <c r="O136" s="106">
        <f>SUM(CO$87:CO$94)+SUM(CQ$87:CQ$94)+SUM(CS$87:CS$94)+SUM(CU$87:CU$94)</f>
        <v>89848.290657227713</v>
      </c>
    </row>
    <row r="137" spans="2:15">
      <c r="C137" s="105" t="s">
        <v>132</v>
      </c>
      <c r="D137" s="106">
        <f>SUM(E$95:E$105)+SUM(G$95:G$105)+SUM(I$95:I$105)+SUM(K$95:K$105)</f>
        <v>196637.97179795417</v>
      </c>
      <c r="E137" s="106">
        <f>SUM(M$95:M$105)+SUM(O$95:O$105)+SUM(Q$95:Q$105)+SUM(S$95:S$105)</f>
        <v>168061.4047114577</v>
      </c>
      <c r="F137" s="106">
        <f>SUM(U$95:U$105)+SUM(W$95:W$105)+SUM(Y$95:Y$105)+SUM(AA$95:AA$105)</f>
        <v>172464.55706640126</v>
      </c>
      <c r="G137" s="106">
        <f>SUM(AC$95:AC$105)+SUM(AE$95:AE$105)+SUM(AG$95:AG$105)+SUM(AI$95:AI$105)</f>
        <v>266127.60692182026</v>
      </c>
      <c r="H137" s="106">
        <f>SUM(AK$95:AK$105)+SUM(AM$95:AM$105)+SUM(AO$95:AO$105)+SUM(AQ$95:AQ$105)</f>
        <v>133707.47422427018</v>
      </c>
      <c r="I137" s="106">
        <f>SUM(AS$95:AS$105)+SUM(AU$95:AU$105)+SUM(AW$95:AW$105)+SUM(AY$95:AY$105)</f>
        <v>182585.38361432921</v>
      </c>
      <c r="J137" s="106">
        <f>SUM(BA$95:BA$105)+SUM(BC$95:BC$105)+SUM(BE$95:BE$105)+SUM(BG$95:BG$105)</f>
        <v>190712.84529502905</v>
      </c>
      <c r="K137" s="106">
        <f>SUM(BI$95:BI$105)+SUM(BK$95:BK$105)+SUM(BM$95:BM$105)+SUM(BO$95:BO$105)</f>
        <v>195694.85720895533</v>
      </c>
      <c r="L137" s="106">
        <f>SUM(BQ$95:BQ$105)+SUM(BS$95:BS$105)+SUM(BU$95:BU$105)+SUM(BW$95:BW$105)</f>
        <v>125176.88455426504</v>
      </c>
      <c r="M137" s="106">
        <f>SUM(BY$95:BY$105)+SUM(CA$95:CA$105)+SUM(CC$95:CC$105)+SUM(CE$95:CE$105)</f>
        <v>154493.39442805789</v>
      </c>
      <c r="N137" s="106">
        <f>SUM(CG$95:CG$105)+SUM(CI$95:CI$105)+SUM(CK$95:CK$105)+SUM(CM$95:CM$105)</f>
        <v>176925.15021425768</v>
      </c>
      <c r="O137" s="106">
        <f>SUM(CO$95:CO$105)+SUM(CQ$95:CQ$105)+SUM(CS$95:CS$105)+SUM(CU$95:CU$105)</f>
        <v>128851.19367165305</v>
      </c>
    </row>
    <row r="138" spans="2:15">
      <c r="C138" s="105" t="s">
        <v>278</v>
      </c>
      <c r="D138" s="100">
        <f t="shared" ref="D138:O138" si="2">SUM(D$131:D$137)</f>
        <v>1457094.3408157332</v>
      </c>
      <c r="E138" s="100">
        <f t="shared" si="2"/>
        <v>1529545.9074075604</v>
      </c>
      <c r="F138" s="100">
        <f t="shared" si="2"/>
        <v>1665379.54553141</v>
      </c>
      <c r="G138" s="100">
        <f t="shared" si="2"/>
        <v>1758987.4584835069</v>
      </c>
      <c r="H138" s="100">
        <f t="shared" si="2"/>
        <v>1502197.4180128246</v>
      </c>
      <c r="I138" s="100">
        <f t="shared" si="2"/>
        <v>843323.71650261944</v>
      </c>
      <c r="J138" s="100">
        <f t="shared" si="2"/>
        <v>1436064.0514373975</v>
      </c>
      <c r="K138" s="100">
        <f t="shared" si="2"/>
        <v>1672399.4556182164</v>
      </c>
      <c r="L138" s="100">
        <f t="shared" si="2"/>
        <v>1257416.6922277613</v>
      </c>
      <c r="M138" s="100">
        <f t="shared" si="2"/>
        <v>1414271.5889993263</v>
      </c>
      <c r="N138" s="100">
        <f t="shared" si="2"/>
        <v>1739799.7894483751</v>
      </c>
      <c r="O138" s="100">
        <f t="shared" si="2"/>
        <v>1738524.6525149837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7.8694983335373356</v>
      </c>
      <c r="E6" s="100">
        <v>4551.7178361179949</v>
      </c>
      <c r="F6" s="100">
        <v>6.7813825164277297</v>
      </c>
      <c r="G6" s="100">
        <v>3922.3516475017987</v>
      </c>
      <c r="H6" s="100">
        <v>4.1181400409176394</v>
      </c>
      <c r="I6" s="100">
        <v>2381.9321996667627</v>
      </c>
      <c r="J6" s="100">
        <v>8</v>
      </c>
      <c r="K6" s="100">
        <v>4627.2</v>
      </c>
      <c r="L6" s="100">
        <v>6</v>
      </c>
      <c r="M6" s="100">
        <v>3470.3999999999996</v>
      </c>
      <c r="N6" s="100">
        <v>2.6521899205240786</v>
      </c>
      <c r="O6" s="100">
        <v>1534.026650031127</v>
      </c>
      <c r="P6" s="100">
        <v>4.4761980429336106</v>
      </c>
      <c r="Q6" s="100">
        <v>2589.0329480328</v>
      </c>
      <c r="R6" s="100">
        <v>5</v>
      </c>
      <c r="S6" s="100">
        <v>2892</v>
      </c>
      <c r="T6" s="100">
        <v>1.7865486372836297</v>
      </c>
      <c r="U6" s="100">
        <v>1033.3397318048515</v>
      </c>
      <c r="V6" s="100">
        <v>7</v>
      </c>
      <c r="W6" s="100">
        <v>4048.7999999999997</v>
      </c>
      <c r="X6" s="100">
        <v>8</v>
      </c>
      <c r="Y6" s="100">
        <v>4627.2</v>
      </c>
      <c r="Z6" s="100">
        <v>7.9183187884069088</v>
      </c>
      <c r="AA6" s="100">
        <v>4579.9555872145556</v>
      </c>
      <c r="AB6" s="100">
        <v>5.828163962004326</v>
      </c>
      <c r="AC6" s="100">
        <v>3371.010035623302</v>
      </c>
      <c r="AD6" s="100">
        <v>1.9310546688464481</v>
      </c>
      <c r="AE6" s="100">
        <v>1116.9220204607855</v>
      </c>
      <c r="AF6" s="100">
        <v>4.2084710589113055</v>
      </c>
      <c r="AG6" s="100">
        <v>2434.179660474299</v>
      </c>
      <c r="AH6" s="100">
        <v>7</v>
      </c>
      <c r="AI6" s="100">
        <v>4048.7999999999997</v>
      </c>
      <c r="AJ6" s="100">
        <v>4.6286657451207125</v>
      </c>
      <c r="AK6" s="100">
        <v>2677.2202669778198</v>
      </c>
      <c r="AL6" s="100">
        <v>7.9174331619946736</v>
      </c>
      <c r="AM6" s="100">
        <v>4579.4433408977193</v>
      </c>
      <c r="AN6" s="100">
        <v>4.3575131346761822</v>
      </c>
      <c r="AO6" s="100">
        <v>2520.3855970967038</v>
      </c>
      <c r="AP6" s="100">
        <v>5.0766919700719949E-4</v>
      </c>
      <c r="AQ6" s="100">
        <v>0.29363586354896415</v>
      </c>
      <c r="AR6" s="100">
        <v>8.2842644936838956E-4</v>
      </c>
      <c r="AS6" s="100">
        <v>0.4791618583146765</v>
      </c>
      <c r="AT6" s="100">
        <v>6.3978510704338883E-4</v>
      </c>
      <c r="AU6" s="100">
        <v>0.37005170591389608</v>
      </c>
      <c r="AV6" s="100">
        <v>8.0004107644248776</v>
      </c>
      <c r="AW6" s="100">
        <v>4627.4375861433491</v>
      </c>
      <c r="AX6" s="100">
        <v>0.5137353703934544</v>
      </c>
      <c r="AY6" s="100">
        <v>297.14453823557403</v>
      </c>
      <c r="AZ6" s="100">
        <v>10.358297872329972</v>
      </c>
      <c r="BA6" s="100">
        <v>5991.2394893556557</v>
      </c>
      <c r="BB6" s="100">
        <v>7.6462871490037951</v>
      </c>
      <c r="BC6" s="100">
        <v>4422.612486983795</v>
      </c>
      <c r="BD6" s="100">
        <v>6.0804724875288194</v>
      </c>
      <c r="BE6" s="100">
        <v>3516.9452867866689</v>
      </c>
      <c r="BF6" s="100">
        <v>7.195373049129353</v>
      </c>
      <c r="BG6" s="100">
        <v>4161.8037716164181</v>
      </c>
      <c r="BH6" s="100">
        <v>9.9763422227625842</v>
      </c>
      <c r="BI6" s="100">
        <v>5770.3163416458783</v>
      </c>
      <c r="BJ6" s="100">
        <v>4.8576479631140401</v>
      </c>
      <c r="BK6" s="100">
        <v>2809.6635818651607</v>
      </c>
      <c r="BL6" s="100">
        <v>6.2162038103647754</v>
      </c>
      <c r="BM6" s="100">
        <v>3595.4522839149859</v>
      </c>
      <c r="BN6" s="100">
        <v>4.0242747034152567E-4</v>
      </c>
      <c r="BO6" s="100">
        <v>0.23276404884553845</v>
      </c>
      <c r="BP6" s="100">
        <v>6.0002519746242857</v>
      </c>
      <c r="BQ6" s="100">
        <v>3470.5457421226865</v>
      </c>
      <c r="BR6" s="100">
        <v>8</v>
      </c>
      <c r="BS6" s="100">
        <v>4627.2</v>
      </c>
      <c r="BT6" s="100">
        <v>1.5846706619079567</v>
      </c>
      <c r="BU6" s="100">
        <v>916.57351084756215</v>
      </c>
      <c r="BV6" s="100">
        <v>4.7046849737499848E-4</v>
      </c>
      <c r="BW6" s="100">
        <v>0.27211897888169911</v>
      </c>
      <c r="BX6" s="100">
        <v>10.000370001293239</v>
      </c>
      <c r="BY6" s="100">
        <v>5784.2140087480093</v>
      </c>
      <c r="BZ6" s="100">
        <v>9</v>
      </c>
      <c r="CA6" s="100">
        <v>5205.5999999999995</v>
      </c>
      <c r="CB6" s="100">
        <v>6</v>
      </c>
      <c r="CC6" s="100">
        <v>3470.3999999999996</v>
      </c>
      <c r="CD6" s="100">
        <v>7.8290425246248292</v>
      </c>
      <c r="CE6" s="100">
        <v>4528.3181962430008</v>
      </c>
      <c r="CF6" s="100">
        <v>7.0400695117594765</v>
      </c>
      <c r="CG6" s="100">
        <v>4071.9762056016812</v>
      </c>
      <c r="CH6" s="100">
        <v>6.1608969894345032E-4</v>
      </c>
      <c r="CI6" s="100">
        <v>0.35634628186889167</v>
      </c>
      <c r="CJ6" s="100">
        <v>2.4659103050649951</v>
      </c>
      <c r="CK6" s="100">
        <v>1426.282520449593</v>
      </c>
      <c r="CL6" s="100">
        <v>7.1360355278486702</v>
      </c>
      <c r="CM6" s="100">
        <v>4127.4829493076704</v>
      </c>
      <c r="CN6" s="100">
        <v>7</v>
      </c>
      <c r="CO6" s="100">
        <v>4048.7999999999997</v>
      </c>
      <c r="CP6" s="100">
        <v>2.7262473134958944</v>
      </c>
      <c r="CQ6" s="100">
        <v>1576.8614461260254</v>
      </c>
      <c r="CR6" s="100">
        <v>5.6203658407986818</v>
      </c>
      <c r="CS6" s="100">
        <v>3250.8196023179576</v>
      </c>
      <c r="CT6" s="100">
        <v>10</v>
      </c>
      <c r="CU6" s="100">
        <v>5784</v>
      </c>
    </row>
    <row r="7" spans="1:99">
      <c r="C7" s="99" t="s">
        <v>173</v>
      </c>
      <c r="D7" s="100">
        <v>7.9937123811855271</v>
      </c>
      <c r="E7" s="100">
        <v>6302.2428413266698</v>
      </c>
      <c r="F7" s="100">
        <v>6.7813825164277297</v>
      </c>
      <c r="G7" s="100">
        <v>5346.4419759516222</v>
      </c>
      <c r="H7" s="100">
        <v>4.7064457610487311</v>
      </c>
      <c r="I7" s="100">
        <v>3710.5618380108194</v>
      </c>
      <c r="J7" s="100">
        <v>9</v>
      </c>
      <c r="K7" s="100">
        <v>7095.5999999999995</v>
      </c>
      <c r="L7" s="100">
        <v>5</v>
      </c>
      <c r="M7" s="100">
        <v>3942</v>
      </c>
      <c r="N7" s="100">
        <v>3.3152374006550986</v>
      </c>
      <c r="O7" s="100">
        <v>2613.7331666764799</v>
      </c>
      <c r="P7" s="100">
        <v>4.4761980429336106</v>
      </c>
      <c r="Q7" s="100">
        <v>3529.0345370488585</v>
      </c>
      <c r="R7" s="100">
        <v>5</v>
      </c>
      <c r="S7" s="100">
        <v>3942</v>
      </c>
      <c r="T7" s="100">
        <v>1.7865486372836297</v>
      </c>
      <c r="U7" s="100">
        <v>1408.5149456344136</v>
      </c>
      <c r="V7" s="100">
        <v>7</v>
      </c>
      <c r="W7" s="100">
        <v>5518.8</v>
      </c>
      <c r="X7" s="100">
        <v>7</v>
      </c>
      <c r="Y7" s="100">
        <v>5518.8</v>
      </c>
      <c r="Z7" s="100">
        <v>7.0385055896950304</v>
      </c>
      <c r="AA7" s="100">
        <v>5549.1578069155621</v>
      </c>
      <c r="AB7" s="100">
        <v>5.828163962004326</v>
      </c>
      <c r="AC7" s="100">
        <v>4594.9244676442104</v>
      </c>
      <c r="AD7" s="100">
        <v>1.9310546688464481</v>
      </c>
      <c r="AE7" s="100">
        <v>1522.4435009185397</v>
      </c>
      <c r="AF7" s="100">
        <v>4.8096812101843485</v>
      </c>
      <c r="AG7" s="100">
        <v>3791.95266610934</v>
      </c>
      <c r="AH7" s="100">
        <v>7</v>
      </c>
      <c r="AI7" s="100">
        <v>5518.8</v>
      </c>
      <c r="AJ7" s="100">
        <v>4.6286657451207125</v>
      </c>
      <c r="AK7" s="100">
        <v>3649.2400734531698</v>
      </c>
      <c r="AL7" s="100">
        <v>7.9174331619946736</v>
      </c>
      <c r="AM7" s="100">
        <v>6242.1043049166001</v>
      </c>
      <c r="AN7" s="100">
        <v>4.3575131346761822</v>
      </c>
      <c r="AO7" s="100">
        <v>3435.4633553787021</v>
      </c>
      <c r="AP7" s="100">
        <v>5.0766919700719949E-4</v>
      </c>
      <c r="AQ7" s="100">
        <v>0.40024639492047609</v>
      </c>
      <c r="AR7" s="100">
        <v>7.4558418908555546E-4</v>
      </c>
      <c r="AS7" s="100">
        <v>0.58781857467505194</v>
      </c>
      <c r="AT7" s="100">
        <v>6.3978465207869845E-4</v>
      </c>
      <c r="AU7" s="100">
        <v>0.5044062196988458</v>
      </c>
      <c r="AV7" s="100">
        <v>8.0004792251623567</v>
      </c>
      <c r="AW7" s="100">
        <v>6307.5778211180022</v>
      </c>
      <c r="AX7" s="100">
        <v>0.51171948383115962</v>
      </c>
      <c r="AY7" s="100">
        <v>403.43964105248625</v>
      </c>
      <c r="AZ7" s="100">
        <v>9.3071124619971197</v>
      </c>
      <c r="BA7" s="100">
        <v>7337.7274650385289</v>
      </c>
      <c r="BB7" s="100">
        <v>7.6462871490037951</v>
      </c>
      <c r="BC7" s="100">
        <v>6028.3327882745916</v>
      </c>
      <c r="BD7" s="100">
        <v>6.0965669850345829</v>
      </c>
      <c r="BE7" s="100">
        <v>4806.5334110012654</v>
      </c>
      <c r="BF7" s="100">
        <v>7.2232834847192615</v>
      </c>
      <c r="BG7" s="100">
        <v>5694.8366993526652</v>
      </c>
      <c r="BH7" s="100">
        <v>8.9787080004863267</v>
      </c>
      <c r="BI7" s="100">
        <v>7078.8133875834201</v>
      </c>
      <c r="BJ7" s="100">
        <v>4.8576479631140401</v>
      </c>
      <c r="BK7" s="100">
        <v>3829.769654119109</v>
      </c>
      <c r="BL7" s="100">
        <v>7.5975824348902812</v>
      </c>
      <c r="BM7" s="100">
        <v>5989.9339916674971</v>
      </c>
      <c r="BN7" s="100">
        <v>4.0550938912313071E-4</v>
      </c>
      <c r="BO7" s="100">
        <v>0.31970360238467627</v>
      </c>
      <c r="BP7" s="100">
        <v>5.000302369549142</v>
      </c>
      <c r="BQ7" s="100">
        <v>3942.2383881525434</v>
      </c>
      <c r="BR7" s="100">
        <v>9</v>
      </c>
      <c r="BS7" s="100">
        <v>7095.5999999999995</v>
      </c>
      <c r="BT7" s="100">
        <v>1.5846706619079567</v>
      </c>
      <c r="BU7" s="100">
        <v>1249.3543498482329</v>
      </c>
      <c r="BV7" s="100">
        <v>5.2927705954687327E-4</v>
      </c>
      <c r="BW7" s="100">
        <v>0.41728203374675488</v>
      </c>
      <c r="BX7" s="100">
        <v>9.0003700012932395</v>
      </c>
      <c r="BY7" s="100">
        <v>7095.8917090195901</v>
      </c>
      <c r="BZ7" s="100">
        <v>8</v>
      </c>
      <c r="CA7" s="100">
        <v>6307.2</v>
      </c>
      <c r="CB7" s="100">
        <v>6</v>
      </c>
      <c r="CC7" s="100">
        <v>4730.3999999999996</v>
      </c>
      <c r="CD7" s="100">
        <v>8.6119467770873133</v>
      </c>
      <c r="CE7" s="100">
        <v>6789.6588390556371</v>
      </c>
      <c r="CF7" s="100">
        <v>7.0400695117594765</v>
      </c>
      <c r="CG7" s="100">
        <v>5550.3908030711709</v>
      </c>
      <c r="CH7" s="100">
        <v>5.476352879497337E-4</v>
      </c>
      <c r="CI7" s="100">
        <v>0.43175566101957003</v>
      </c>
      <c r="CJ7" s="100">
        <v>2.2290102390269899</v>
      </c>
      <c r="CK7" s="100">
        <v>1757.3516724488788</v>
      </c>
      <c r="CL7" s="100">
        <v>8.1133629398738911</v>
      </c>
      <c r="CM7" s="100">
        <v>6396.5753417965752</v>
      </c>
      <c r="CN7" s="100">
        <v>7</v>
      </c>
      <c r="CO7" s="100">
        <v>5518.8</v>
      </c>
      <c r="CP7" s="100">
        <v>2.4303127718617343</v>
      </c>
      <c r="CQ7" s="100">
        <v>1916.0585893357913</v>
      </c>
      <c r="CR7" s="100">
        <v>4.8330430240635112</v>
      </c>
      <c r="CS7" s="100">
        <v>3810.3711201716719</v>
      </c>
      <c r="CT7" s="100">
        <v>9</v>
      </c>
      <c r="CU7" s="100">
        <v>7095.5999999999995</v>
      </c>
    </row>
    <row r="8" spans="1:99">
      <c r="C8" s="99" t="s">
        <v>174</v>
      </c>
      <c r="D8" s="100">
        <v>7.9937123811855271</v>
      </c>
      <c r="E8" s="100">
        <v>2474.8533532150391</v>
      </c>
      <c r="F8" s="100">
        <v>6.7813825164277297</v>
      </c>
      <c r="G8" s="100">
        <v>2099.5160270860247</v>
      </c>
      <c r="H8" s="100">
        <v>4.1181400409176394</v>
      </c>
      <c r="I8" s="100">
        <v>1274.9761566681011</v>
      </c>
      <c r="J8" s="100">
        <v>8</v>
      </c>
      <c r="K8" s="100">
        <v>2476.7999999999997</v>
      </c>
      <c r="L8" s="100">
        <v>6</v>
      </c>
      <c r="M8" s="100">
        <v>1857.6</v>
      </c>
      <c r="N8" s="100">
        <v>3.3152374006550986</v>
      </c>
      <c r="O8" s="100">
        <v>1026.3974992428184</v>
      </c>
      <c r="P8" s="100">
        <v>5.2222310500892117</v>
      </c>
      <c r="Q8" s="100">
        <v>1616.8027331076198</v>
      </c>
      <c r="R8" s="100">
        <v>5</v>
      </c>
      <c r="S8" s="100">
        <v>1547.9999999999998</v>
      </c>
      <c r="T8" s="100">
        <v>1.7865486372836297</v>
      </c>
      <c r="U8" s="100">
        <v>553.11545810301163</v>
      </c>
      <c r="V8" s="100">
        <v>8</v>
      </c>
      <c r="W8" s="100">
        <v>2476.7999999999997</v>
      </c>
      <c r="X8" s="100">
        <v>8</v>
      </c>
      <c r="Y8" s="100">
        <v>2476.7999999999997</v>
      </c>
      <c r="Z8" s="100">
        <v>7.9183187884069088</v>
      </c>
      <c r="AA8" s="100">
        <v>2451.5114968907787</v>
      </c>
      <c r="AB8" s="100">
        <v>6.5566844572548666</v>
      </c>
      <c r="AC8" s="100">
        <v>2029.9495079661065</v>
      </c>
      <c r="AD8" s="100">
        <v>1.9310546688464481</v>
      </c>
      <c r="AE8" s="100">
        <v>597.85452547486022</v>
      </c>
      <c r="AF8" s="100">
        <v>4.8096812101843485</v>
      </c>
      <c r="AG8" s="100">
        <v>1489.0773026730742</v>
      </c>
      <c r="AH8" s="100">
        <v>8</v>
      </c>
      <c r="AI8" s="100">
        <v>2476.7999999999997</v>
      </c>
      <c r="AJ8" s="100">
        <v>4.6286657451207125</v>
      </c>
      <c r="AK8" s="100">
        <v>1433.0349146893725</v>
      </c>
      <c r="AL8" s="100">
        <v>7.9174331619946736</v>
      </c>
      <c r="AM8" s="100">
        <v>2451.2373069535506</v>
      </c>
      <c r="AN8" s="100">
        <v>4.3575131346761822</v>
      </c>
      <c r="AO8" s="100">
        <v>1349.0860664957459</v>
      </c>
      <c r="AP8" s="100">
        <v>5.0766919700719949E-4</v>
      </c>
      <c r="AQ8" s="100">
        <v>0.15717438339342896</v>
      </c>
      <c r="AR8" s="100">
        <v>8.2842644936838956E-4</v>
      </c>
      <c r="AS8" s="100">
        <v>0.25648082872445338</v>
      </c>
      <c r="AT8" s="100">
        <v>6.3978510704338883E-4</v>
      </c>
      <c r="AU8" s="100">
        <v>0.19807746914063315</v>
      </c>
      <c r="AV8" s="100">
        <v>9.0004792251623567</v>
      </c>
      <c r="AW8" s="100">
        <v>2786.5483681102655</v>
      </c>
      <c r="AX8" s="100">
        <v>0.45620568778033826</v>
      </c>
      <c r="AY8" s="100">
        <v>141.24128093679272</v>
      </c>
      <c r="AZ8" s="100">
        <v>10.30711246199712</v>
      </c>
      <c r="BA8" s="100">
        <v>3191.0820182343077</v>
      </c>
      <c r="BB8" s="100">
        <v>7.6462871490037951</v>
      </c>
      <c r="BC8" s="100">
        <v>2367.2905013315749</v>
      </c>
      <c r="BD8" s="100">
        <v>6.0804724875288194</v>
      </c>
      <c r="BE8" s="100">
        <v>1882.5142821389222</v>
      </c>
      <c r="BF8" s="100">
        <v>7.2232834847192615</v>
      </c>
      <c r="BG8" s="100">
        <v>2236.3285668690833</v>
      </c>
      <c r="BH8" s="100">
        <v>9.9763422227625842</v>
      </c>
      <c r="BI8" s="100">
        <v>3088.6755521672958</v>
      </c>
      <c r="BJ8" s="100">
        <v>5.667255956966379</v>
      </c>
      <c r="BK8" s="100">
        <v>1754.5824442767907</v>
      </c>
      <c r="BL8" s="100">
        <v>6.9068931226275279</v>
      </c>
      <c r="BM8" s="100">
        <v>2138.3741107654823</v>
      </c>
      <c r="BN8" s="100">
        <v>3.4049275658727961E-4</v>
      </c>
      <c r="BO8" s="100">
        <v>0.10541655743942176</v>
      </c>
      <c r="BP8" s="100">
        <v>6.0002519746242857</v>
      </c>
      <c r="BQ8" s="100">
        <v>1857.6780113436787</v>
      </c>
      <c r="BR8" s="100">
        <v>10</v>
      </c>
      <c r="BS8" s="100">
        <v>3095.9999999999995</v>
      </c>
      <c r="BT8" s="100">
        <v>1.5846706619079567</v>
      </c>
      <c r="BU8" s="100">
        <v>490.61403692670336</v>
      </c>
      <c r="BV8" s="100">
        <v>5.2927705954687327E-4</v>
      </c>
      <c r="BW8" s="100">
        <v>0.16386417763571196</v>
      </c>
      <c r="BX8" s="100">
        <v>11.000370001293239</v>
      </c>
      <c r="BY8" s="100">
        <v>3405.7145524003868</v>
      </c>
      <c r="BZ8" s="100">
        <v>9</v>
      </c>
      <c r="CA8" s="100">
        <v>2786.3999999999996</v>
      </c>
      <c r="CB8" s="100">
        <v>7</v>
      </c>
      <c r="CC8" s="100">
        <v>2167.1999999999998</v>
      </c>
      <c r="CD8" s="100">
        <v>8.6119467770873133</v>
      </c>
      <c r="CE8" s="100">
        <v>2666.2587221862318</v>
      </c>
      <c r="CF8" s="100">
        <v>7.920078200729411</v>
      </c>
      <c r="CG8" s="100">
        <v>2452.0562109458256</v>
      </c>
      <c r="CH8" s="100">
        <v>5.476352879497337E-4</v>
      </c>
      <c r="CI8" s="100">
        <v>0.16954788514923755</v>
      </c>
      <c r="CJ8" s="100">
        <v>2.4659103050649951</v>
      </c>
      <c r="CK8" s="100">
        <v>763.44583044812236</v>
      </c>
      <c r="CL8" s="100">
        <v>8.1360355278486693</v>
      </c>
      <c r="CM8" s="100">
        <v>2518.9165994219479</v>
      </c>
      <c r="CN8" s="100">
        <v>6</v>
      </c>
      <c r="CO8" s="100">
        <v>1857.6</v>
      </c>
      <c r="CP8" s="100">
        <v>2.7262473134958944</v>
      </c>
      <c r="CQ8" s="100">
        <v>844.04616825832886</v>
      </c>
      <c r="CR8" s="100">
        <v>5.6203658407986818</v>
      </c>
      <c r="CS8" s="100">
        <v>1740.0652643112717</v>
      </c>
      <c r="CT8" s="100">
        <v>9</v>
      </c>
      <c r="CU8" s="100">
        <v>2786.3999999999996</v>
      </c>
    </row>
    <row r="9" spans="1:99">
      <c r="C9" s="99" t="s">
        <v>175</v>
      </c>
      <c r="D9" s="100">
        <v>7.8694983335373356</v>
      </c>
      <c r="E9" s="100">
        <v>5524.3878301432096</v>
      </c>
      <c r="F9" s="100">
        <v>6.7813825164277297</v>
      </c>
      <c r="G9" s="100">
        <v>4760.5305265322659</v>
      </c>
      <c r="H9" s="100">
        <v>4.1181400409176394</v>
      </c>
      <c r="I9" s="100">
        <v>2890.9343087241828</v>
      </c>
      <c r="J9" s="100">
        <v>9</v>
      </c>
      <c r="K9" s="100">
        <v>6318</v>
      </c>
      <c r="L9" s="100">
        <v>5</v>
      </c>
      <c r="M9" s="100">
        <v>3510</v>
      </c>
      <c r="N9" s="100">
        <v>3.3152374006550986</v>
      </c>
      <c r="O9" s="100">
        <v>2327.2966552598791</v>
      </c>
      <c r="P9" s="100">
        <v>4.4761980429336106</v>
      </c>
      <c r="Q9" s="100">
        <v>3142.2910261393945</v>
      </c>
      <c r="R9" s="100">
        <v>5</v>
      </c>
      <c r="S9" s="100">
        <v>3510</v>
      </c>
      <c r="T9" s="100">
        <v>1.7865486372836297</v>
      </c>
      <c r="U9" s="100">
        <v>1254.1571433731081</v>
      </c>
      <c r="V9" s="100">
        <v>8</v>
      </c>
      <c r="W9" s="100">
        <v>5616</v>
      </c>
      <c r="X9" s="100">
        <v>7</v>
      </c>
      <c r="Y9" s="100">
        <v>4914</v>
      </c>
      <c r="Z9" s="100">
        <v>7.9183187884069088</v>
      </c>
      <c r="AA9" s="100">
        <v>5558.6597894616498</v>
      </c>
      <c r="AB9" s="100">
        <v>6.5566844572548666</v>
      </c>
      <c r="AC9" s="100">
        <v>4602.7924889929163</v>
      </c>
      <c r="AD9" s="100">
        <v>1.9310546688464481</v>
      </c>
      <c r="AE9" s="100">
        <v>1355.6003775302065</v>
      </c>
      <c r="AF9" s="100">
        <v>4.2084710589113055</v>
      </c>
      <c r="AG9" s="100">
        <v>2954.3466833557363</v>
      </c>
      <c r="AH9" s="100">
        <v>7</v>
      </c>
      <c r="AI9" s="100">
        <v>4914</v>
      </c>
      <c r="AJ9" s="100">
        <v>4.6286657451207125</v>
      </c>
      <c r="AK9" s="100">
        <v>3249.3233530747402</v>
      </c>
      <c r="AL9" s="100">
        <v>7.0377183662174874</v>
      </c>
      <c r="AM9" s="100">
        <v>4940.4782930846759</v>
      </c>
      <c r="AN9" s="100">
        <v>4.3575131346761822</v>
      </c>
      <c r="AO9" s="100">
        <v>3058.9742205426801</v>
      </c>
      <c r="AP9" s="100">
        <v>5.0766919700719949E-4</v>
      </c>
      <c r="AQ9" s="100">
        <v>0.35638377629905404</v>
      </c>
      <c r="AR9" s="100">
        <v>7.4558418908555546E-4</v>
      </c>
      <c r="AS9" s="100">
        <v>0.52340010073805998</v>
      </c>
      <c r="AT9" s="100">
        <v>6.3978465207869845E-4</v>
      </c>
      <c r="AU9" s="100">
        <v>0.44912882575924629</v>
      </c>
      <c r="AV9" s="100">
        <v>9.0004107644248776</v>
      </c>
      <c r="AW9" s="100">
        <v>6318.2883566262644</v>
      </c>
      <c r="AX9" s="100">
        <v>0.51171948383115962</v>
      </c>
      <c r="AY9" s="100">
        <v>359.22707764947404</v>
      </c>
      <c r="AZ9" s="100">
        <v>9.3071124619971197</v>
      </c>
      <c r="BA9" s="100">
        <v>6533.5929483219779</v>
      </c>
      <c r="BB9" s="100">
        <v>8.4958746100042166</v>
      </c>
      <c r="BC9" s="100">
        <v>5964.1039762229602</v>
      </c>
      <c r="BD9" s="100">
        <v>6.0965669850345829</v>
      </c>
      <c r="BE9" s="100">
        <v>4279.7900234942772</v>
      </c>
      <c r="BF9" s="100">
        <v>8.2232834847192606</v>
      </c>
      <c r="BG9" s="100">
        <v>5772.7450062729213</v>
      </c>
      <c r="BH9" s="100">
        <v>7.9810737782100682</v>
      </c>
      <c r="BI9" s="100">
        <v>5602.7137923034679</v>
      </c>
      <c r="BJ9" s="100">
        <v>4.8576479631140401</v>
      </c>
      <c r="BK9" s="100">
        <v>3410.0688701060562</v>
      </c>
      <c r="BL9" s="100">
        <v>7.5975824348902812</v>
      </c>
      <c r="BM9" s="100">
        <v>5333.5028692929773</v>
      </c>
      <c r="BN9" s="100">
        <v>3.4049275658727961E-4</v>
      </c>
      <c r="BO9" s="100">
        <v>0.23902591512427029</v>
      </c>
      <c r="BP9" s="100">
        <v>6.000302369549142</v>
      </c>
      <c r="BQ9" s="100">
        <v>4212.2122634234975</v>
      </c>
      <c r="BR9" s="100">
        <v>9</v>
      </c>
      <c r="BS9" s="100">
        <v>6318</v>
      </c>
      <c r="BT9" s="100">
        <v>1.3205588849232972</v>
      </c>
      <c r="BU9" s="100">
        <v>927.03233721615459</v>
      </c>
      <c r="BV9" s="100">
        <v>5.2927705954687327E-4</v>
      </c>
      <c r="BW9" s="100">
        <v>0.37155249580190503</v>
      </c>
      <c r="BX9" s="100">
        <v>10.000370001293239</v>
      </c>
      <c r="BY9" s="100">
        <v>7020.2597409078544</v>
      </c>
      <c r="BZ9" s="100">
        <v>9</v>
      </c>
      <c r="CA9" s="100">
        <v>6318</v>
      </c>
      <c r="CB9" s="100">
        <v>6</v>
      </c>
      <c r="CC9" s="100">
        <v>4212</v>
      </c>
      <c r="CD9" s="100">
        <v>7.8290425246248292</v>
      </c>
      <c r="CE9" s="100">
        <v>5495.9878522866302</v>
      </c>
      <c r="CF9" s="100">
        <v>7.0400695117594765</v>
      </c>
      <c r="CG9" s="100">
        <v>4942.1287972551527</v>
      </c>
      <c r="CH9" s="100">
        <v>6.1608969894345032E-4</v>
      </c>
      <c r="CI9" s="100">
        <v>0.43249496865830211</v>
      </c>
      <c r="CJ9" s="100">
        <v>2.2182425007286626</v>
      </c>
      <c r="CK9" s="100">
        <v>1557.2062355115211</v>
      </c>
      <c r="CL9" s="100">
        <v>7.1133629398738911</v>
      </c>
      <c r="CM9" s="100">
        <v>4993.5807837914717</v>
      </c>
      <c r="CN9" s="100">
        <v>7</v>
      </c>
      <c r="CO9" s="100">
        <v>4914</v>
      </c>
      <c r="CP9" s="100">
        <v>2.4365964157405799</v>
      </c>
      <c r="CQ9" s="100">
        <v>1710.4906838498871</v>
      </c>
      <c r="CR9" s="100">
        <v>4.8603195549766323</v>
      </c>
      <c r="CS9" s="100">
        <v>3411.944327593596</v>
      </c>
      <c r="CT9" s="100">
        <v>9</v>
      </c>
      <c r="CU9" s="100">
        <v>6318</v>
      </c>
    </row>
    <row r="10" spans="1:99">
      <c r="C10" s="99" t="s">
        <v>176</v>
      </c>
      <c r="D10" s="100">
        <v>7.8694983335373356</v>
      </c>
      <c r="E10" s="100">
        <v>4287.3026921111405</v>
      </c>
      <c r="F10" s="100">
        <v>6.7813825164277297</v>
      </c>
      <c r="G10" s="100">
        <v>3694.4971949498267</v>
      </c>
      <c r="H10" s="100">
        <v>4.7064457610487311</v>
      </c>
      <c r="I10" s="100">
        <v>2564.0716506193485</v>
      </c>
      <c r="J10" s="100">
        <v>9</v>
      </c>
      <c r="K10" s="100">
        <v>4903.2</v>
      </c>
      <c r="L10" s="100">
        <v>5</v>
      </c>
      <c r="M10" s="100">
        <v>2724</v>
      </c>
      <c r="N10" s="100">
        <v>3.3152374006550986</v>
      </c>
      <c r="O10" s="100">
        <v>1806.1413358768975</v>
      </c>
      <c r="P10" s="100">
        <v>4.4761980429336106</v>
      </c>
      <c r="Q10" s="100">
        <v>2438.6326937902309</v>
      </c>
      <c r="R10" s="100">
        <v>6</v>
      </c>
      <c r="S10" s="100">
        <v>3268.7999999999997</v>
      </c>
      <c r="T10" s="100">
        <v>1.7865486372836297</v>
      </c>
      <c r="U10" s="100">
        <v>973.31169759212139</v>
      </c>
      <c r="V10" s="100">
        <v>7</v>
      </c>
      <c r="W10" s="100">
        <v>3813.5999999999995</v>
      </c>
      <c r="X10" s="100">
        <v>8</v>
      </c>
      <c r="Y10" s="100">
        <v>4358.3999999999996</v>
      </c>
      <c r="Z10" s="100">
        <v>7.0385055896950304</v>
      </c>
      <c r="AA10" s="100">
        <v>3834.5778452658524</v>
      </c>
      <c r="AB10" s="100">
        <v>6.5566844572548666</v>
      </c>
      <c r="AC10" s="100">
        <v>3572.0816923124512</v>
      </c>
      <c r="AD10" s="100">
        <v>1.9310546688464481</v>
      </c>
      <c r="AE10" s="100">
        <v>1052.0385835875447</v>
      </c>
      <c r="AF10" s="100">
        <v>4.8096812101843485</v>
      </c>
      <c r="AG10" s="100">
        <v>2620.3143233084329</v>
      </c>
      <c r="AH10" s="100">
        <v>6</v>
      </c>
      <c r="AI10" s="100">
        <v>3268.7999999999997</v>
      </c>
      <c r="AJ10" s="100">
        <v>4.6286657451207125</v>
      </c>
      <c r="AK10" s="100">
        <v>2521.6970979417638</v>
      </c>
      <c r="AL10" s="100">
        <v>7.9174331619946736</v>
      </c>
      <c r="AM10" s="100">
        <v>4313.4175866546975</v>
      </c>
      <c r="AN10" s="100">
        <v>4.3575131346761822</v>
      </c>
      <c r="AO10" s="100">
        <v>2373.9731557715841</v>
      </c>
      <c r="AP10" s="100">
        <v>5.0766919700719949E-4</v>
      </c>
      <c r="AQ10" s="100">
        <v>0.27657817852952227</v>
      </c>
      <c r="AR10" s="100">
        <v>7.4558418908555546E-4</v>
      </c>
      <c r="AS10" s="100">
        <v>0.40619426621381061</v>
      </c>
      <c r="AT10" s="100">
        <v>7.1975784732970836E-4</v>
      </c>
      <c r="AU10" s="100">
        <v>0.39212407522522508</v>
      </c>
      <c r="AV10" s="100">
        <v>8.0004792251623567</v>
      </c>
      <c r="AW10" s="100">
        <v>4358.6610818684512</v>
      </c>
      <c r="AX10" s="100">
        <v>0.5137353703934544</v>
      </c>
      <c r="AY10" s="100">
        <v>279.88302979035393</v>
      </c>
      <c r="AZ10" s="100">
        <v>9.3582978723299721</v>
      </c>
      <c r="BA10" s="100">
        <v>5098.4006808453687</v>
      </c>
      <c r="BB10" s="100">
        <v>8.4958746100042166</v>
      </c>
      <c r="BC10" s="100">
        <v>4628.5524875302972</v>
      </c>
      <c r="BD10" s="100">
        <v>7.0965669850345829</v>
      </c>
      <c r="BE10" s="100">
        <v>3866.2096934468404</v>
      </c>
      <c r="BF10" s="100">
        <v>7.2511939203091691</v>
      </c>
      <c r="BG10" s="100">
        <v>3950.4504477844348</v>
      </c>
      <c r="BH10" s="100">
        <v>8.9787080004863267</v>
      </c>
      <c r="BI10" s="100">
        <v>4891.6001186649501</v>
      </c>
      <c r="BJ10" s="100">
        <v>4.8576479631140401</v>
      </c>
      <c r="BK10" s="100">
        <v>2646.4466103045288</v>
      </c>
      <c r="BL10" s="100">
        <v>7.5975824348902812</v>
      </c>
      <c r="BM10" s="100">
        <v>4139.1629105282245</v>
      </c>
      <c r="BN10" s="100">
        <v>4.0242747034152567E-4</v>
      </c>
      <c r="BO10" s="100">
        <v>0.21924248584206316</v>
      </c>
      <c r="BP10" s="100">
        <v>5.0002519746242857</v>
      </c>
      <c r="BQ10" s="100">
        <v>2724.1372757753106</v>
      </c>
      <c r="BR10" s="100">
        <v>8</v>
      </c>
      <c r="BS10" s="100">
        <v>4358.3999999999996</v>
      </c>
      <c r="BT10" s="100">
        <v>1.5846706619079567</v>
      </c>
      <c r="BU10" s="100">
        <v>863.32857660745469</v>
      </c>
      <c r="BV10" s="100">
        <v>5.2927705954687327E-4</v>
      </c>
      <c r="BW10" s="100">
        <v>0.28835014204113651</v>
      </c>
      <c r="BX10" s="100">
        <v>10.000370001293239</v>
      </c>
      <c r="BY10" s="100">
        <v>5448.2015767045568</v>
      </c>
      <c r="BZ10" s="100">
        <v>8</v>
      </c>
      <c r="CA10" s="100">
        <v>4358.3999999999996</v>
      </c>
      <c r="CB10" s="100">
        <v>6</v>
      </c>
      <c r="CC10" s="100">
        <v>3268.7999999999997</v>
      </c>
      <c r="CD10" s="100">
        <v>7.8290425246248292</v>
      </c>
      <c r="CE10" s="100">
        <v>4265.2623674156066</v>
      </c>
      <c r="CF10" s="100">
        <v>6.1600608227895419</v>
      </c>
      <c r="CG10" s="100">
        <v>3356.001136255742</v>
      </c>
      <c r="CH10" s="100">
        <v>6.1608969894345032E-4</v>
      </c>
      <c r="CI10" s="100">
        <v>0.33564566798439172</v>
      </c>
      <c r="CJ10" s="100">
        <v>2.4659103050649951</v>
      </c>
      <c r="CK10" s="100">
        <v>1343.4279341994093</v>
      </c>
      <c r="CL10" s="100">
        <v>7.1360355278486702</v>
      </c>
      <c r="CM10" s="100">
        <v>3887.712155571955</v>
      </c>
      <c r="CN10" s="100">
        <v>6</v>
      </c>
      <c r="CO10" s="100">
        <v>3268.7999999999997</v>
      </c>
      <c r="CP10" s="100">
        <v>2.4303127718617343</v>
      </c>
      <c r="CQ10" s="100">
        <v>1324.0343981102728</v>
      </c>
      <c r="CR10" s="100">
        <v>5.6476423717118029</v>
      </c>
      <c r="CS10" s="100">
        <v>3076.83556410859</v>
      </c>
      <c r="CT10" s="100">
        <v>9</v>
      </c>
      <c r="CU10" s="100">
        <v>4903.2</v>
      </c>
    </row>
    <row r="11" spans="1:99">
      <c r="C11" s="99" t="s">
        <v>177</v>
      </c>
      <c r="D11" s="100">
        <v>7.8694983335373356</v>
      </c>
      <c r="E11" s="100">
        <v>4192.8687121086923</v>
      </c>
      <c r="F11" s="100">
        <v>6.7813825164277297</v>
      </c>
      <c r="G11" s="100">
        <v>3613.1206047526939</v>
      </c>
      <c r="H11" s="100">
        <v>4.1181400409176394</v>
      </c>
      <c r="I11" s="100">
        <v>2194.1450138009182</v>
      </c>
      <c r="J11" s="100">
        <v>8</v>
      </c>
      <c r="K11" s="100">
        <v>4262.3999999999996</v>
      </c>
      <c r="L11" s="100">
        <v>6</v>
      </c>
      <c r="M11" s="100">
        <v>3196.7999999999997</v>
      </c>
      <c r="N11" s="100">
        <v>3.3152374006550986</v>
      </c>
      <c r="O11" s="100">
        <v>1766.3584870690363</v>
      </c>
      <c r="P11" s="100">
        <v>4.4761980429336106</v>
      </c>
      <c r="Q11" s="100">
        <v>2384.9183172750277</v>
      </c>
      <c r="R11" s="100">
        <v>6</v>
      </c>
      <c r="S11" s="100">
        <v>3196.7999999999997</v>
      </c>
      <c r="T11" s="100">
        <v>2.1438583647403555</v>
      </c>
      <c r="U11" s="100">
        <v>1142.2477367336612</v>
      </c>
      <c r="V11" s="100">
        <v>7</v>
      </c>
      <c r="W11" s="100">
        <v>3729.5999999999995</v>
      </c>
      <c r="X11" s="100">
        <v>7</v>
      </c>
      <c r="Y11" s="100">
        <v>3729.5999999999995</v>
      </c>
      <c r="Z11" s="100">
        <v>7.0385055896950304</v>
      </c>
      <c r="AA11" s="100">
        <v>3750.1157781895117</v>
      </c>
      <c r="AB11" s="100">
        <v>5.828163962004326</v>
      </c>
      <c r="AC11" s="100">
        <v>3105.2457589559044</v>
      </c>
      <c r="AD11" s="100">
        <v>1.9310546688464481</v>
      </c>
      <c r="AE11" s="100">
        <v>1028.8659275613875</v>
      </c>
      <c r="AF11" s="100">
        <v>4.2084710589113055</v>
      </c>
      <c r="AG11" s="100">
        <v>2242.2733801879435</v>
      </c>
      <c r="AH11" s="100">
        <v>8</v>
      </c>
      <c r="AI11" s="100">
        <v>4262.3999999999996</v>
      </c>
      <c r="AJ11" s="100">
        <v>4.6286657451207125</v>
      </c>
      <c r="AK11" s="100">
        <v>2466.1531090003155</v>
      </c>
      <c r="AL11" s="100">
        <v>7.9174331619946736</v>
      </c>
      <c r="AM11" s="100">
        <v>4218.4083887107618</v>
      </c>
      <c r="AN11" s="100">
        <v>4.3575131346761822</v>
      </c>
      <c r="AO11" s="100">
        <v>2321.6829981554697</v>
      </c>
      <c r="AP11" s="100">
        <v>5.0766919700719949E-4</v>
      </c>
      <c r="AQ11" s="100">
        <v>0.27048614816543587</v>
      </c>
      <c r="AR11" s="100">
        <v>8.2842693018589559E-4</v>
      </c>
      <c r="AS11" s="100">
        <v>0.44138586840304511</v>
      </c>
      <c r="AT11" s="100">
        <v>6.3978465207869845E-4</v>
      </c>
      <c r="AU11" s="100">
        <v>0.34087726262753049</v>
      </c>
      <c r="AV11" s="100">
        <v>8.0004792251623567</v>
      </c>
      <c r="AW11" s="100">
        <v>4262.6553311665029</v>
      </c>
      <c r="AX11" s="100">
        <v>0.45822157434263311</v>
      </c>
      <c r="AY11" s="100">
        <v>244.14045480975489</v>
      </c>
      <c r="AZ11" s="100">
        <v>8.3582978723299721</v>
      </c>
      <c r="BA11" s="100">
        <v>4453.3011063774084</v>
      </c>
      <c r="BB11" s="100">
        <v>7.6462871490037951</v>
      </c>
      <c r="BC11" s="100">
        <v>4073.9417929892215</v>
      </c>
      <c r="BD11" s="100">
        <v>6.0965669850345829</v>
      </c>
      <c r="BE11" s="100">
        <v>3248.2508896264253</v>
      </c>
      <c r="BF11" s="100">
        <v>8.195373049129353</v>
      </c>
      <c r="BG11" s="100">
        <v>4366.494760576119</v>
      </c>
      <c r="BH11" s="100">
        <v>9.9763422227625842</v>
      </c>
      <c r="BI11" s="100">
        <v>5315.3951362879043</v>
      </c>
      <c r="BJ11" s="100">
        <v>5.667255956966379</v>
      </c>
      <c r="BK11" s="100">
        <v>3019.5139738716866</v>
      </c>
      <c r="BL11" s="100">
        <v>7.5975824348902812</v>
      </c>
      <c r="BM11" s="100">
        <v>4047.9919213095413</v>
      </c>
      <c r="BN11" s="100">
        <v>3.4049275658727961E-4</v>
      </c>
      <c r="BO11" s="100">
        <v>0.18141454070970256</v>
      </c>
      <c r="BP11" s="100">
        <v>5.000302369549142</v>
      </c>
      <c r="BQ11" s="100">
        <v>2664.1611024957824</v>
      </c>
      <c r="BR11" s="100">
        <v>9</v>
      </c>
      <c r="BS11" s="100">
        <v>4795.2</v>
      </c>
      <c r="BT11" s="100">
        <v>1.5846706619079567</v>
      </c>
      <c r="BU11" s="100">
        <v>844.3125286645593</v>
      </c>
      <c r="BV11" s="100">
        <v>4.7046849737499848E-4</v>
      </c>
      <c r="BW11" s="100">
        <v>0.25066561540139914</v>
      </c>
      <c r="BX11" s="100">
        <v>10.000370001293239</v>
      </c>
      <c r="BY11" s="100">
        <v>5328.1971366890375</v>
      </c>
      <c r="BZ11" s="100">
        <v>9</v>
      </c>
      <c r="CA11" s="100">
        <v>4795.2</v>
      </c>
      <c r="CB11" s="100">
        <v>6</v>
      </c>
      <c r="CC11" s="100">
        <v>3196.7999999999997</v>
      </c>
      <c r="CD11" s="100">
        <v>8.6119467770873133</v>
      </c>
      <c r="CE11" s="100">
        <v>4588.4452428321201</v>
      </c>
      <c r="CF11" s="100">
        <v>7.0400695117594765</v>
      </c>
      <c r="CG11" s="100">
        <v>3750.9490358654489</v>
      </c>
      <c r="CH11" s="100">
        <v>6.1608969894345032E-4</v>
      </c>
      <c r="CI11" s="100">
        <v>0.32825259159707032</v>
      </c>
      <c r="CJ11" s="100">
        <v>2.4659103050649951</v>
      </c>
      <c r="CK11" s="100">
        <v>1313.8370105386293</v>
      </c>
      <c r="CL11" s="100">
        <v>7.1133629398738911</v>
      </c>
      <c r="CM11" s="100">
        <v>3789.9997743648087</v>
      </c>
      <c r="CN11" s="100">
        <v>7</v>
      </c>
      <c r="CO11" s="100">
        <v>3729.5999999999995</v>
      </c>
      <c r="CP11" s="100">
        <v>2.7199636696170479</v>
      </c>
      <c r="CQ11" s="100">
        <v>1449.1966431719629</v>
      </c>
      <c r="CR11" s="100">
        <v>4.8603195549766323</v>
      </c>
      <c r="CS11" s="100">
        <v>2589.5782588915495</v>
      </c>
      <c r="CT11" s="100">
        <v>10</v>
      </c>
      <c r="CU11" s="100">
        <v>5328</v>
      </c>
    </row>
    <row r="12" spans="1:99">
      <c r="C12" s="99" t="s">
        <v>178</v>
      </c>
      <c r="D12" s="100">
        <v>6.8694983335373356</v>
      </c>
      <c r="E12" s="100">
        <v>3866.1536621148121</v>
      </c>
      <c r="F12" s="100">
        <v>7.6290553309811964</v>
      </c>
      <c r="G12" s="100">
        <v>4293.6323402762173</v>
      </c>
      <c r="H12" s="100">
        <v>4.1181400409176394</v>
      </c>
      <c r="I12" s="100">
        <v>2317.6892150284471</v>
      </c>
      <c r="J12" s="100">
        <v>8</v>
      </c>
      <c r="K12" s="100">
        <v>4502.3999999999996</v>
      </c>
      <c r="L12" s="100">
        <v>5</v>
      </c>
      <c r="M12" s="100">
        <v>2814</v>
      </c>
      <c r="N12" s="100">
        <v>2.6521899205240786</v>
      </c>
      <c r="O12" s="100">
        <v>1492.6524872709513</v>
      </c>
      <c r="P12" s="100">
        <v>4.4761980429336106</v>
      </c>
      <c r="Q12" s="100">
        <v>2519.2042585630356</v>
      </c>
      <c r="R12" s="100">
        <v>6</v>
      </c>
      <c r="S12" s="100">
        <v>3376.7999999999997</v>
      </c>
      <c r="T12" s="100">
        <v>1.7865486372836297</v>
      </c>
      <c r="U12" s="100">
        <v>1005.4695730632267</v>
      </c>
      <c r="V12" s="100">
        <v>7</v>
      </c>
      <c r="W12" s="100">
        <v>3939.5999999999995</v>
      </c>
      <c r="X12" s="100">
        <v>8</v>
      </c>
      <c r="Y12" s="100">
        <v>4502.3999999999996</v>
      </c>
      <c r="Z12" s="100">
        <v>7.9183187884069088</v>
      </c>
      <c r="AA12" s="100">
        <v>4456.4298141154077</v>
      </c>
      <c r="AB12" s="100">
        <v>6.5566844572548666</v>
      </c>
      <c r="AC12" s="100">
        <v>3690.1020125430387</v>
      </c>
      <c r="AD12" s="100">
        <v>1.9310546688464481</v>
      </c>
      <c r="AE12" s="100">
        <v>1086.7975676267808</v>
      </c>
      <c r="AF12" s="100">
        <v>4.2084710589113055</v>
      </c>
      <c r="AG12" s="100">
        <v>2368.5275119552825</v>
      </c>
      <c r="AH12" s="100">
        <v>8</v>
      </c>
      <c r="AI12" s="100">
        <v>4502.3999999999996</v>
      </c>
      <c r="AJ12" s="100">
        <v>4.6286657451207125</v>
      </c>
      <c r="AK12" s="100">
        <v>2605.0130813539367</v>
      </c>
      <c r="AL12" s="100">
        <v>7.9174331619946736</v>
      </c>
      <c r="AM12" s="100">
        <v>4455.9313835706016</v>
      </c>
      <c r="AN12" s="100">
        <v>4.3575131346761822</v>
      </c>
      <c r="AO12" s="100">
        <v>2452.4083921957549</v>
      </c>
      <c r="AP12" s="100">
        <v>5.0766919700719949E-4</v>
      </c>
      <c r="AQ12" s="100">
        <v>0.28571622407565184</v>
      </c>
      <c r="AR12" s="100">
        <v>7.4558466990306161E-4</v>
      </c>
      <c r="AS12" s="100">
        <v>0.41961505222144302</v>
      </c>
      <c r="AT12" s="100">
        <v>5.598123667570694E-4</v>
      </c>
      <c r="AU12" s="100">
        <v>0.31506240001087865</v>
      </c>
      <c r="AV12" s="100">
        <v>8.0004792251623567</v>
      </c>
      <c r="AW12" s="100">
        <v>4502.6697079213736</v>
      </c>
      <c r="AX12" s="100">
        <v>0.51171948383115962</v>
      </c>
      <c r="AY12" s="100">
        <v>287.9957255001766</v>
      </c>
      <c r="AZ12" s="100">
        <v>9.3071124619971197</v>
      </c>
      <c r="BA12" s="100">
        <v>5238.0428936119788</v>
      </c>
      <c r="BB12" s="100">
        <v>7.6462871490037951</v>
      </c>
      <c r="BC12" s="100">
        <v>4303.3304074593352</v>
      </c>
      <c r="BD12" s="100">
        <v>6.0965669850345829</v>
      </c>
      <c r="BE12" s="100">
        <v>3431.1478991774629</v>
      </c>
      <c r="BF12" s="100">
        <v>7.2232834847192615</v>
      </c>
      <c r="BG12" s="100">
        <v>4065.2639451999999</v>
      </c>
      <c r="BH12" s="100">
        <v>9.9763422227625842</v>
      </c>
      <c r="BI12" s="100">
        <v>5614.685402970782</v>
      </c>
      <c r="BJ12" s="100">
        <v>5.667255956966379</v>
      </c>
      <c r="BK12" s="100">
        <v>3189.5316525806779</v>
      </c>
      <c r="BL12" s="100">
        <v>6.9068931226275279</v>
      </c>
      <c r="BM12" s="100">
        <v>3887.1994494147725</v>
      </c>
      <c r="BN12" s="100">
        <v>4.0242747034152567E-4</v>
      </c>
      <c r="BO12" s="100">
        <v>0.22648618030821063</v>
      </c>
      <c r="BP12" s="100">
        <v>5.0002519746242857</v>
      </c>
      <c r="BQ12" s="100">
        <v>2814.1418113185478</v>
      </c>
      <c r="BR12" s="100">
        <v>8</v>
      </c>
      <c r="BS12" s="100">
        <v>4502.3999999999996</v>
      </c>
      <c r="BT12" s="100">
        <v>1.5846706619079567</v>
      </c>
      <c r="BU12" s="100">
        <v>891.85264852179796</v>
      </c>
      <c r="BV12" s="100">
        <v>5.2927705954687327E-4</v>
      </c>
      <c r="BW12" s="100">
        <v>0.29787712911298025</v>
      </c>
      <c r="BX12" s="100">
        <v>10.000370001293239</v>
      </c>
      <c r="BY12" s="100">
        <v>5628.2082367278344</v>
      </c>
      <c r="BZ12" s="100">
        <v>8</v>
      </c>
      <c r="CA12" s="100">
        <v>4502.3999999999996</v>
      </c>
      <c r="CB12" s="100">
        <v>6</v>
      </c>
      <c r="CC12" s="100">
        <v>3376.7999999999997</v>
      </c>
      <c r="CD12" s="100">
        <v>7.8290425246248292</v>
      </c>
      <c r="CE12" s="100">
        <v>4406.1851328588536</v>
      </c>
      <c r="CF12" s="100">
        <v>6.1600608227895419</v>
      </c>
      <c r="CG12" s="100">
        <v>3466.8822310659539</v>
      </c>
      <c r="CH12" s="100">
        <v>6.1608969894345032E-4</v>
      </c>
      <c r="CI12" s="100">
        <v>0.34673528256537384</v>
      </c>
      <c r="CJ12" s="100">
        <v>2.4551425667666678</v>
      </c>
      <c r="CK12" s="100">
        <v>1381.7542365762804</v>
      </c>
      <c r="CL12" s="100">
        <v>8.1133629398738911</v>
      </c>
      <c r="CM12" s="100">
        <v>4566.2006625610256</v>
      </c>
      <c r="CN12" s="100">
        <v>7</v>
      </c>
      <c r="CO12" s="100">
        <v>3939.5999999999995</v>
      </c>
      <c r="CP12" s="100">
        <v>2.7325309573747396</v>
      </c>
      <c r="CQ12" s="100">
        <v>1537.8684228105033</v>
      </c>
      <c r="CR12" s="100">
        <v>4.8603195549766323</v>
      </c>
      <c r="CS12" s="100">
        <v>2735.3878455408485</v>
      </c>
      <c r="CT12" s="100">
        <v>10</v>
      </c>
      <c r="CU12" s="100">
        <v>5628</v>
      </c>
    </row>
    <row r="13" spans="1:99">
      <c r="C13" s="99" t="s">
        <v>179</v>
      </c>
      <c r="D13" s="100">
        <v>7.8694983335373356</v>
      </c>
      <c r="E13" s="100">
        <v>670.48125801738104</v>
      </c>
      <c r="F13" s="100">
        <v>7.6290553309811964</v>
      </c>
      <c r="G13" s="100">
        <v>649.99551419959801</v>
      </c>
      <c r="H13" s="100">
        <v>4.7064457610487311</v>
      </c>
      <c r="I13" s="100">
        <v>400.98917884135193</v>
      </c>
      <c r="J13" s="100">
        <v>9</v>
      </c>
      <c r="K13" s="100">
        <v>766.80000000000007</v>
      </c>
      <c r="L13" s="100">
        <v>6</v>
      </c>
      <c r="M13" s="100">
        <v>511.20000000000005</v>
      </c>
      <c r="N13" s="100">
        <v>3.3152374006550986</v>
      </c>
      <c r="O13" s="100">
        <v>282.45822653581439</v>
      </c>
      <c r="P13" s="100">
        <v>5.2222310500892117</v>
      </c>
      <c r="Q13" s="100">
        <v>444.93408546760088</v>
      </c>
      <c r="R13" s="100">
        <v>6</v>
      </c>
      <c r="S13" s="100">
        <v>511.20000000000005</v>
      </c>
      <c r="T13" s="100">
        <v>2.1438583647403555</v>
      </c>
      <c r="U13" s="100">
        <v>182.65673267587829</v>
      </c>
      <c r="V13" s="100">
        <v>8</v>
      </c>
      <c r="W13" s="100">
        <v>681.6</v>
      </c>
      <c r="X13" s="100">
        <v>8</v>
      </c>
      <c r="Y13" s="100">
        <v>681.6</v>
      </c>
      <c r="Z13" s="100">
        <v>7.9183187884069088</v>
      </c>
      <c r="AA13" s="100">
        <v>674.64076077226866</v>
      </c>
      <c r="AB13" s="100">
        <v>5.828163962004326</v>
      </c>
      <c r="AC13" s="100">
        <v>496.55956956276862</v>
      </c>
      <c r="AD13" s="100">
        <v>2.1724365024522538</v>
      </c>
      <c r="AE13" s="100">
        <v>185.09159000893203</v>
      </c>
      <c r="AF13" s="100">
        <v>4.8096812101843485</v>
      </c>
      <c r="AG13" s="100">
        <v>409.78483910770649</v>
      </c>
      <c r="AH13" s="100">
        <v>7</v>
      </c>
      <c r="AI13" s="100">
        <v>596.4</v>
      </c>
      <c r="AJ13" s="100">
        <v>5.5509246278121909</v>
      </c>
      <c r="AK13" s="100">
        <v>472.9387782895987</v>
      </c>
      <c r="AL13" s="100">
        <v>7.9174331619946736</v>
      </c>
      <c r="AM13" s="100">
        <v>674.56530540194626</v>
      </c>
      <c r="AN13" s="100">
        <v>4.3575131346761822</v>
      </c>
      <c r="AO13" s="100">
        <v>371.26011907441074</v>
      </c>
      <c r="AP13" s="100">
        <v>5.0766919700719949E-4</v>
      </c>
      <c r="AQ13" s="100">
        <v>4.3253415585013395E-2</v>
      </c>
      <c r="AR13" s="100">
        <v>7.4558466990306161E-4</v>
      </c>
      <c r="AS13" s="100">
        <v>6.3523813875740853E-2</v>
      </c>
      <c r="AT13" s="100">
        <v>6.3978510704338883E-4</v>
      </c>
      <c r="AU13" s="100">
        <v>5.450969112009673E-2</v>
      </c>
      <c r="AV13" s="100">
        <v>8.0004792251623567</v>
      </c>
      <c r="AW13" s="100">
        <v>681.64082998383276</v>
      </c>
      <c r="AX13" s="100">
        <v>0.5137353703934544</v>
      </c>
      <c r="AY13" s="100">
        <v>43.770253557522317</v>
      </c>
      <c r="AZ13" s="100">
        <v>10.358297872329972</v>
      </c>
      <c r="BA13" s="100">
        <v>882.5269787225136</v>
      </c>
      <c r="BB13" s="100">
        <v>8.4958746100042166</v>
      </c>
      <c r="BC13" s="100">
        <v>723.84851677235929</v>
      </c>
      <c r="BD13" s="100">
        <v>7.0965669850345829</v>
      </c>
      <c r="BE13" s="100">
        <v>604.62750712494653</v>
      </c>
      <c r="BF13" s="100">
        <v>8.2232834847192606</v>
      </c>
      <c r="BG13" s="100">
        <v>700.62375289808108</v>
      </c>
      <c r="BH13" s="100">
        <v>8.9787080004863267</v>
      </c>
      <c r="BI13" s="100">
        <v>764.98592164143508</v>
      </c>
      <c r="BJ13" s="100">
        <v>4.8576479631140401</v>
      </c>
      <c r="BK13" s="100">
        <v>413.8716064573162</v>
      </c>
      <c r="BL13" s="100">
        <v>6.9068931226275279</v>
      </c>
      <c r="BM13" s="100">
        <v>588.46729404786538</v>
      </c>
      <c r="BN13" s="100">
        <v>3.4665659415048953E-4</v>
      </c>
      <c r="BO13" s="100">
        <v>2.9535141821621709E-2</v>
      </c>
      <c r="BP13" s="100">
        <v>5.000302369549142</v>
      </c>
      <c r="BQ13" s="100">
        <v>426.02576188558692</v>
      </c>
      <c r="BR13" s="100">
        <v>10</v>
      </c>
      <c r="BS13" s="100">
        <v>852</v>
      </c>
      <c r="BT13" s="100">
        <v>1.5846706619079567</v>
      </c>
      <c r="BU13" s="100">
        <v>135.01394039455792</v>
      </c>
      <c r="BV13" s="100">
        <v>5.2927705954687327E-4</v>
      </c>
      <c r="BW13" s="100">
        <v>4.5094405473393606E-2</v>
      </c>
      <c r="BX13" s="100">
        <v>9.0003700012932395</v>
      </c>
      <c r="BY13" s="100">
        <v>766.83152411018398</v>
      </c>
      <c r="BZ13" s="100">
        <v>8</v>
      </c>
      <c r="CA13" s="100">
        <v>681.6</v>
      </c>
      <c r="CB13" s="100">
        <v>6</v>
      </c>
      <c r="CC13" s="100">
        <v>511.20000000000005</v>
      </c>
      <c r="CD13" s="100">
        <v>8.6119467770873133</v>
      </c>
      <c r="CE13" s="100">
        <v>733.73786540783908</v>
      </c>
      <c r="CF13" s="100">
        <v>7.0400695117594765</v>
      </c>
      <c r="CG13" s="100">
        <v>599.81392240190746</v>
      </c>
      <c r="CH13" s="100">
        <v>6.1608969894345032E-4</v>
      </c>
      <c r="CI13" s="100">
        <v>5.249084234998197E-2</v>
      </c>
      <c r="CJ13" s="100">
        <v>2.4659103050649951</v>
      </c>
      <c r="CK13" s="100">
        <v>210.09555799153759</v>
      </c>
      <c r="CL13" s="100">
        <v>8.1133629398738911</v>
      </c>
      <c r="CM13" s="100">
        <v>691.2585224772555</v>
      </c>
      <c r="CN13" s="100">
        <v>7</v>
      </c>
      <c r="CO13" s="100">
        <v>596.4</v>
      </c>
      <c r="CP13" s="100">
        <v>3.0221818551300541</v>
      </c>
      <c r="CQ13" s="100">
        <v>257.48989405708062</v>
      </c>
      <c r="CR13" s="100">
        <v>6.3531355957076112</v>
      </c>
      <c r="CS13" s="100">
        <v>541.28715275428851</v>
      </c>
      <c r="CT13" s="100">
        <v>10</v>
      </c>
      <c r="CU13" s="100">
        <v>852</v>
      </c>
    </row>
    <row r="14" spans="1:99">
      <c r="C14" s="99" t="s">
        <v>180</v>
      </c>
      <c r="D14" s="100">
        <v>7.8694983335373356</v>
      </c>
      <c r="E14" s="100">
        <v>3843.4629860996347</v>
      </c>
      <c r="F14" s="100">
        <v>6.7813825164277297</v>
      </c>
      <c r="G14" s="100">
        <v>3312.0272210233029</v>
      </c>
      <c r="H14" s="100">
        <v>4.1181400409176394</v>
      </c>
      <c r="I14" s="100">
        <v>2011.2995959841751</v>
      </c>
      <c r="J14" s="100">
        <v>8</v>
      </c>
      <c r="K14" s="100">
        <v>3907.2</v>
      </c>
      <c r="L14" s="100">
        <v>5</v>
      </c>
      <c r="M14" s="100">
        <v>2442</v>
      </c>
      <c r="N14" s="100">
        <v>3.3152374006550986</v>
      </c>
      <c r="O14" s="100">
        <v>1619.1619464799501</v>
      </c>
      <c r="P14" s="100">
        <v>5.2222310500892117</v>
      </c>
      <c r="Q14" s="100">
        <v>2550.5376448635707</v>
      </c>
      <c r="R14" s="100">
        <v>6</v>
      </c>
      <c r="S14" s="100">
        <v>2930.3999999999996</v>
      </c>
      <c r="T14" s="100">
        <v>1.7865486372836297</v>
      </c>
      <c r="U14" s="100">
        <v>872.55035444932469</v>
      </c>
      <c r="V14" s="100">
        <v>8</v>
      </c>
      <c r="W14" s="100">
        <v>3907.2</v>
      </c>
      <c r="X14" s="100">
        <v>7</v>
      </c>
      <c r="Y14" s="100">
        <v>3418.7999999999997</v>
      </c>
      <c r="Z14" s="100">
        <v>7.9183187884069088</v>
      </c>
      <c r="AA14" s="100">
        <v>3867.3068962579341</v>
      </c>
      <c r="AB14" s="100">
        <v>5.828163962004326</v>
      </c>
      <c r="AC14" s="100">
        <v>2846.4752790429125</v>
      </c>
      <c r="AD14" s="100">
        <v>1.9310546688464481</v>
      </c>
      <c r="AE14" s="100">
        <v>943.12710026460513</v>
      </c>
      <c r="AF14" s="100">
        <v>4.8096812101843485</v>
      </c>
      <c r="AG14" s="100">
        <v>2349.0483030540358</v>
      </c>
      <c r="AH14" s="100">
        <v>7</v>
      </c>
      <c r="AI14" s="100">
        <v>3418.7999999999997</v>
      </c>
      <c r="AJ14" s="100">
        <v>4.6460370767840322</v>
      </c>
      <c r="AK14" s="100">
        <v>2269.1245083013214</v>
      </c>
      <c r="AL14" s="100">
        <v>7.9174331619946736</v>
      </c>
      <c r="AM14" s="100">
        <v>3866.8743563181984</v>
      </c>
      <c r="AN14" s="100">
        <v>4.3575131346761822</v>
      </c>
      <c r="AO14" s="100">
        <v>2128.2094149758473</v>
      </c>
      <c r="AP14" s="100">
        <v>5.0766919700719949E-4</v>
      </c>
      <c r="AQ14" s="100">
        <v>0.24794563581831622</v>
      </c>
      <c r="AR14" s="100">
        <v>8.2842644936838956E-4</v>
      </c>
      <c r="AS14" s="100">
        <v>0.40460347787152146</v>
      </c>
      <c r="AT14" s="100">
        <v>7.1975784732970836E-4</v>
      </c>
      <c r="AU14" s="100">
        <v>0.35152973263582954</v>
      </c>
      <c r="AV14" s="100">
        <v>8.0004792251623567</v>
      </c>
      <c r="AW14" s="100">
        <v>3907.434053569295</v>
      </c>
      <c r="AX14" s="100">
        <v>0.51171948383115962</v>
      </c>
      <c r="AY14" s="100">
        <v>249.92379590313834</v>
      </c>
      <c r="AZ14" s="100">
        <v>8.3071124619971197</v>
      </c>
      <c r="BA14" s="100">
        <v>4057.1937264393932</v>
      </c>
      <c r="BB14" s="100">
        <v>7.6462871490037951</v>
      </c>
      <c r="BC14" s="100">
        <v>3734.4466435734535</v>
      </c>
      <c r="BD14" s="100">
        <v>6.0804724875288194</v>
      </c>
      <c r="BE14" s="100">
        <v>2969.7027629090753</v>
      </c>
      <c r="BF14" s="100">
        <v>8.2232834847192606</v>
      </c>
      <c r="BG14" s="100">
        <v>4016.2516539368867</v>
      </c>
      <c r="BH14" s="100">
        <v>7.9810737782100682</v>
      </c>
      <c r="BI14" s="100">
        <v>3897.9564332777973</v>
      </c>
      <c r="BJ14" s="100">
        <v>5.667255956966379</v>
      </c>
      <c r="BK14" s="100">
        <v>2767.8878093823791</v>
      </c>
      <c r="BL14" s="100">
        <v>6.9068931226275279</v>
      </c>
      <c r="BM14" s="100">
        <v>3373.3266010912844</v>
      </c>
      <c r="BN14" s="100">
        <v>4.0550938912313071E-4</v>
      </c>
      <c r="BO14" s="100">
        <v>0.19805078564773704</v>
      </c>
      <c r="BP14" s="100">
        <v>6.0002519746242857</v>
      </c>
      <c r="BQ14" s="100">
        <v>2930.5230644065009</v>
      </c>
      <c r="BR14" s="100">
        <v>9</v>
      </c>
      <c r="BS14" s="100">
        <v>4395.5999999999995</v>
      </c>
      <c r="BT14" s="100">
        <v>1.5846706619079567</v>
      </c>
      <c r="BU14" s="100">
        <v>773.95315127584604</v>
      </c>
      <c r="BV14" s="100">
        <v>5.2927705954687327E-4</v>
      </c>
      <c r="BW14" s="100">
        <v>0.25849891588269291</v>
      </c>
      <c r="BX14" s="100">
        <v>10.000370001293239</v>
      </c>
      <c r="BY14" s="100">
        <v>4884.1807086316176</v>
      </c>
      <c r="BZ14" s="100">
        <v>9</v>
      </c>
      <c r="CA14" s="100">
        <v>4395.5999999999995</v>
      </c>
      <c r="CB14" s="100">
        <v>6</v>
      </c>
      <c r="CC14" s="100">
        <v>2930.3999999999996</v>
      </c>
      <c r="CD14" s="100">
        <v>7.8290425246248292</v>
      </c>
      <c r="CE14" s="100">
        <v>3823.7043690267665</v>
      </c>
      <c r="CF14" s="100">
        <v>7.0400695117594765</v>
      </c>
      <c r="CG14" s="100">
        <v>3438.3699495433279</v>
      </c>
      <c r="CH14" s="100">
        <v>6.1608969894345032E-4</v>
      </c>
      <c r="CI14" s="100">
        <v>0.30089820896398112</v>
      </c>
      <c r="CJ14" s="100">
        <v>2.2290102390269899</v>
      </c>
      <c r="CK14" s="100">
        <v>1088.6486007407818</v>
      </c>
      <c r="CL14" s="100">
        <v>8.1360355278486693</v>
      </c>
      <c r="CM14" s="100">
        <v>3973.63975180129</v>
      </c>
      <c r="CN14" s="100">
        <v>8</v>
      </c>
      <c r="CO14" s="100">
        <v>3907.2</v>
      </c>
      <c r="CP14" s="100">
        <v>2.7262473134958944</v>
      </c>
      <c r="CQ14" s="100">
        <v>1331.4991879113948</v>
      </c>
      <c r="CR14" s="100">
        <v>5.5930893098855607</v>
      </c>
      <c r="CS14" s="100">
        <v>2731.6648189481079</v>
      </c>
      <c r="CT14" s="100">
        <v>9</v>
      </c>
      <c r="CU14" s="100">
        <v>4395.5999999999995</v>
      </c>
    </row>
    <row r="15" spans="1:99">
      <c r="C15" s="99" t="s">
        <v>181</v>
      </c>
      <c r="D15" s="100">
        <v>7.8694983335373356</v>
      </c>
      <c r="E15" s="100">
        <v>6006.0011281556945</v>
      </c>
      <c r="F15" s="100">
        <v>5.9337097018742639</v>
      </c>
      <c r="G15" s="100">
        <v>4528.6072444704378</v>
      </c>
      <c r="H15" s="100">
        <v>4.1181400409176394</v>
      </c>
      <c r="I15" s="100">
        <v>3142.964479228342</v>
      </c>
      <c r="J15" s="100">
        <v>8</v>
      </c>
      <c r="K15" s="100">
        <v>6105.5999999999995</v>
      </c>
      <c r="L15" s="100">
        <v>6</v>
      </c>
      <c r="M15" s="100">
        <v>4579.2</v>
      </c>
      <c r="N15" s="100">
        <v>3.3152374006550986</v>
      </c>
      <c r="O15" s="100">
        <v>2530.1891841799711</v>
      </c>
      <c r="P15" s="100">
        <v>4.4761980429336106</v>
      </c>
      <c r="Q15" s="100">
        <v>3416.2343463669313</v>
      </c>
      <c r="R15" s="100">
        <v>6</v>
      </c>
      <c r="S15" s="100">
        <v>4579.2</v>
      </c>
      <c r="T15" s="100">
        <v>1.7865486372836297</v>
      </c>
      <c r="U15" s="100">
        <v>1363.493919974866</v>
      </c>
      <c r="V15" s="100">
        <v>8</v>
      </c>
      <c r="W15" s="100">
        <v>6105.5999999999995</v>
      </c>
      <c r="X15" s="100">
        <v>7</v>
      </c>
      <c r="Y15" s="100">
        <v>5342.4</v>
      </c>
      <c r="Z15" s="100">
        <v>7.0385055896950304</v>
      </c>
      <c r="AA15" s="100">
        <v>5371.787466055247</v>
      </c>
      <c r="AB15" s="100">
        <v>5.828163962004326</v>
      </c>
      <c r="AC15" s="100">
        <v>4448.0547358017011</v>
      </c>
      <c r="AD15" s="100">
        <v>2.1724365024522538</v>
      </c>
      <c r="AE15" s="100">
        <v>1658.0035386715599</v>
      </c>
      <c r="AF15" s="100">
        <v>4.8096812101843485</v>
      </c>
      <c r="AG15" s="100">
        <v>3670.7486996126945</v>
      </c>
      <c r="AH15" s="100">
        <v>8</v>
      </c>
      <c r="AI15" s="100">
        <v>6105.5999999999995</v>
      </c>
      <c r="AJ15" s="100">
        <v>4.6460370767840322</v>
      </c>
      <c r="AK15" s="100">
        <v>3545.855497001573</v>
      </c>
      <c r="AL15" s="100">
        <v>7.0377183662174874</v>
      </c>
      <c r="AM15" s="100">
        <v>5371.1866570971861</v>
      </c>
      <c r="AN15" s="100">
        <v>4.3575131346761822</v>
      </c>
      <c r="AO15" s="100">
        <v>3325.6540243848617</v>
      </c>
      <c r="AP15" s="100">
        <v>5.0766919700719949E-4</v>
      </c>
      <c r="AQ15" s="100">
        <v>0.38745313115589464</v>
      </c>
      <c r="AR15" s="100">
        <v>7.4558466990306161E-4</v>
      </c>
      <c r="AS15" s="100">
        <v>0.56903022007001658</v>
      </c>
      <c r="AT15" s="100">
        <v>6.3978510704338883E-4</v>
      </c>
      <c r="AU15" s="100">
        <v>0.48828399369551428</v>
      </c>
      <c r="AV15" s="100">
        <v>7.0004792251623575</v>
      </c>
      <c r="AW15" s="100">
        <v>5342.7657446439107</v>
      </c>
      <c r="AX15" s="100">
        <v>0.51171948383115962</v>
      </c>
      <c r="AY15" s="100">
        <v>390.54431005994098</v>
      </c>
      <c r="AZ15" s="100">
        <v>8.3071124619971197</v>
      </c>
      <c r="BA15" s="100">
        <v>6339.9882309962013</v>
      </c>
      <c r="BB15" s="100">
        <v>8.4958746100042166</v>
      </c>
      <c r="BC15" s="100">
        <v>6484.051502355218</v>
      </c>
      <c r="BD15" s="100">
        <v>5.0965669850345829</v>
      </c>
      <c r="BE15" s="100">
        <v>3889.6999229783933</v>
      </c>
      <c r="BF15" s="100">
        <v>7.2232834847192615</v>
      </c>
      <c r="BG15" s="100">
        <v>5512.8099555377403</v>
      </c>
      <c r="BH15" s="100">
        <v>8.9787080004863267</v>
      </c>
      <c r="BI15" s="100">
        <v>6852.5499459711637</v>
      </c>
      <c r="BJ15" s="100">
        <v>4.8576479631140401</v>
      </c>
      <c r="BK15" s="100">
        <v>3707.3569254486351</v>
      </c>
      <c r="BL15" s="100">
        <v>6.9068931226275279</v>
      </c>
      <c r="BM15" s="100">
        <v>5271.340831189329</v>
      </c>
      <c r="BN15" s="100">
        <v>3.4049275658727961E-4</v>
      </c>
      <c r="BO15" s="100">
        <v>0.25986407182741178</v>
      </c>
      <c r="BP15" s="100">
        <v>6.000302369549142</v>
      </c>
      <c r="BQ15" s="100">
        <v>4579.4307684399046</v>
      </c>
      <c r="BR15" s="100">
        <v>8</v>
      </c>
      <c r="BS15" s="100">
        <v>6105.5999999999995</v>
      </c>
      <c r="BT15" s="100">
        <v>1.3205588849232972</v>
      </c>
      <c r="BU15" s="100">
        <v>1007.8505409734603</v>
      </c>
      <c r="BV15" s="100">
        <v>4.7046849737499848E-4</v>
      </c>
      <c r="BW15" s="100">
        <v>0.35906155719659882</v>
      </c>
      <c r="BX15" s="100">
        <v>10.000370001293239</v>
      </c>
      <c r="BY15" s="100">
        <v>7632.2823849870001</v>
      </c>
      <c r="BZ15" s="100">
        <v>9</v>
      </c>
      <c r="CA15" s="100">
        <v>6868.7999999999993</v>
      </c>
      <c r="CB15" s="100">
        <v>6</v>
      </c>
      <c r="CC15" s="100">
        <v>4579.2</v>
      </c>
      <c r="CD15" s="100">
        <v>8.6119467770873133</v>
      </c>
      <c r="CE15" s="100">
        <v>6572.6377802730367</v>
      </c>
      <c r="CF15" s="100">
        <v>6.1600608227895419</v>
      </c>
      <c r="CG15" s="100">
        <v>4701.3584199529778</v>
      </c>
      <c r="CH15" s="100">
        <v>5.476352879497337E-4</v>
      </c>
      <c r="CI15" s="100">
        <v>0.41795525176323672</v>
      </c>
      <c r="CJ15" s="100">
        <v>2.2182425007286626</v>
      </c>
      <c r="CK15" s="100">
        <v>1692.9626765561152</v>
      </c>
      <c r="CL15" s="100">
        <v>8.1133629398738911</v>
      </c>
      <c r="CM15" s="100">
        <v>6192.1185957117532</v>
      </c>
      <c r="CN15" s="100">
        <v>7</v>
      </c>
      <c r="CO15" s="100">
        <v>5342.4</v>
      </c>
      <c r="CP15" s="100">
        <v>2.7199636696170479</v>
      </c>
      <c r="CQ15" s="100">
        <v>2075.8762726517307</v>
      </c>
      <c r="CR15" s="100">
        <v>5.5930893098855607</v>
      </c>
      <c r="CS15" s="100">
        <v>4268.6457613046596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7.8694983335373356</v>
      </c>
      <c r="E16" s="100">
        <v>2681.9250320695241</v>
      </c>
      <c r="F16" s="100">
        <v>6.7813825164277297</v>
      </c>
      <c r="G16" s="100">
        <v>2311.0951615985705</v>
      </c>
      <c r="H16" s="100">
        <v>4.1181400409176394</v>
      </c>
      <c r="I16" s="100">
        <v>1403.4621259447315</v>
      </c>
      <c r="J16" s="100">
        <v>8</v>
      </c>
      <c r="K16" s="100">
        <v>2726.4</v>
      </c>
      <c r="L16" s="100">
        <v>6</v>
      </c>
      <c r="M16" s="100">
        <v>2044.8000000000002</v>
      </c>
      <c r="N16" s="100">
        <v>3.3152374006550986</v>
      </c>
      <c r="O16" s="100">
        <v>1129.8329061432576</v>
      </c>
      <c r="P16" s="100">
        <v>5.2222310500892117</v>
      </c>
      <c r="Q16" s="100">
        <v>1779.7363418704035</v>
      </c>
      <c r="R16" s="100">
        <v>6</v>
      </c>
      <c r="S16" s="100">
        <v>2044.8000000000002</v>
      </c>
      <c r="T16" s="100">
        <v>2.1438583647403555</v>
      </c>
      <c r="U16" s="100">
        <v>730.62693070351315</v>
      </c>
      <c r="V16" s="100">
        <v>8</v>
      </c>
      <c r="W16" s="100">
        <v>2726.4</v>
      </c>
      <c r="X16" s="100">
        <v>8</v>
      </c>
      <c r="Y16" s="100">
        <v>2726.4</v>
      </c>
      <c r="Z16" s="100">
        <v>7.9183187884069088</v>
      </c>
      <c r="AA16" s="100">
        <v>2698.5630430890747</v>
      </c>
      <c r="AB16" s="100">
        <v>6.5566844572548666</v>
      </c>
      <c r="AC16" s="100">
        <v>2234.5180630324585</v>
      </c>
      <c r="AD16" s="100">
        <v>2.1724365024522538</v>
      </c>
      <c r="AE16" s="100">
        <v>740.36636003572812</v>
      </c>
      <c r="AF16" s="100">
        <v>4.2084710589113055</v>
      </c>
      <c r="AG16" s="100">
        <v>1434.246936876973</v>
      </c>
      <c r="AH16" s="100">
        <v>7</v>
      </c>
      <c r="AI16" s="100">
        <v>2385.6</v>
      </c>
      <c r="AJ16" s="100">
        <v>4.6460370767840322</v>
      </c>
      <c r="AK16" s="100">
        <v>1583.3694357679983</v>
      </c>
      <c r="AL16" s="100">
        <v>7.0377183662174874</v>
      </c>
      <c r="AM16" s="100">
        <v>2398.4544192069197</v>
      </c>
      <c r="AN16" s="100">
        <v>4.3575131346761822</v>
      </c>
      <c r="AO16" s="100">
        <v>1485.040476297643</v>
      </c>
      <c r="AP16" s="100">
        <v>6.0920303640863945E-4</v>
      </c>
      <c r="AQ16" s="100">
        <v>0.20761639480806432</v>
      </c>
      <c r="AR16" s="100">
        <v>8.2842693018589559E-4</v>
      </c>
      <c r="AS16" s="100">
        <v>0.28232789780735323</v>
      </c>
      <c r="AT16" s="100">
        <v>6.3978510704338883E-4</v>
      </c>
      <c r="AU16" s="100">
        <v>0.21803876448038692</v>
      </c>
      <c r="AV16" s="100">
        <v>8.0004792251623567</v>
      </c>
      <c r="AW16" s="100">
        <v>2726.563319935331</v>
      </c>
      <c r="AX16" s="100">
        <v>0.45620568778033826</v>
      </c>
      <c r="AY16" s="100">
        <v>155.4748983955393</v>
      </c>
      <c r="AZ16" s="100">
        <v>9.3582978723299721</v>
      </c>
      <c r="BA16" s="100">
        <v>3189.3079148900547</v>
      </c>
      <c r="BB16" s="100">
        <v>7.6462871490037951</v>
      </c>
      <c r="BC16" s="100">
        <v>2605.8546603804934</v>
      </c>
      <c r="BD16" s="100">
        <v>6.0804724875288194</v>
      </c>
      <c r="BE16" s="100">
        <v>2072.2250237498215</v>
      </c>
      <c r="BF16" s="100">
        <v>8.195373049129353</v>
      </c>
      <c r="BG16" s="100">
        <v>2792.9831351432836</v>
      </c>
      <c r="BH16" s="100">
        <v>9.9763422227625842</v>
      </c>
      <c r="BI16" s="100">
        <v>3399.9374295174889</v>
      </c>
      <c r="BJ16" s="100">
        <v>4.8576479631140401</v>
      </c>
      <c r="BK16" s="100">
        <v>1655.4864258292648</v>
      </c>
      <c r="BL16" s="100">
        <v>7.5975824348902812</v>
      </c>
      <c r="BM16" s="100">
        <v>2589.256093810608</v>
      </c>
      <c r="BN16" s="100">
        <v>3.4049275658727961E-4</v>
      </c>
      <c r="BO16" s="100">
        <v>0.1160399314449449</v>
      </c>
      <c r="BP16" s="100">
        <v>6.0002519746242857</v>
      </c>
      <c r="BQ16" s="100">
        <v>2044.8858729519566</v>
      </c>
      <c r="BR16" s="100">
        <v>8</v>
      </c>
      <c r="BS16" s="100">
        <v>2726.4</v>
      </c>
      <c r="BT16" s="100">
        <v>1.5846706619079567</v>
      </c>
      <c r="BU16" s="100">
        <v>540.05576157823168</v>
      </c>
      <c r="BV16" s="100">
        <v>5.2927705954687327E-4</v>
      </c>
      <c r="BW16" s="100">
        <v>0.18037762189357442</v>
      </c>
      <c r="BX16" s="100">
        <v>11.000370001293239</v>
      </c>
      <c r="BY16" s="100">
        <v>3748.9260964407363</v>
      </c>
      <c r="BZ16" s="100">
        <v>8</v>
      </c>
      <c r="CA16" s="100">
        <v>2726.4</v>
      </c>
      <c r="CB16" s="100">
        <v>6</v>
      </c>
      <c r="CC16" s="100">
        <v>2044.8000000000002</v>
      </c>
      <c r="CD16" s="100">
        <v>8.6119467770873133</v>
      </c>
      <c r="CE16" s="100">
        <v>2934.9514616313563</v>
      </c>
      <c r="CF16" s="100">
        <v>7.0400695117594765</v>
      </c>
      <c r="CG16" s="100">
        <v>2399.2556896076298</v>
      </c>
      <c r="CH16" s="100">
        <v>6.1608969894345032E-4</v>
      </c>
      <c r="CI16" s="100">
        <v>0.20996336939992788</v>
      </c>
      <c r="CJ16" s="100">
        <v>2.2182425007286626</v>
      </c>
      <c r="CK16" s="100">
        <v>755.97704424832818</v>
      </c>
      <c r="CL16" s="100">
        <v>7.1133629398738911</v>
      </c>
      <c r="CM16" s="100">
        <v>2424.2340899090223</v>
      </c>
      <c r="CN16" s="100">
        <v>6</v>
      </c>
      <c r="CO16" s="100">
        <v>2044.8000000000002</v>
      </c>
      <c r="CP16" s="100">
        <v>2.7262473134958944</v>
      </c>
      <c r="CQ16" s="100">
        <v>929.10508443940091</v>
      </c>
      <c r="CR16" s="100">
        <v>5.6476423717118029</v>
      </c>
      <c r="CS16" s="100">
        <v>1924.7165202793826</v>
      </c>
      <c r="CT16" s="100">
        <v>10.345582152897478</v>
      </c>
      <c r="CU16" s="100">
        <v>3525.7743977074606</v>
      </c>
    </row>
    <row r="17" spans="2:99">
      <c r="C17" s="99" t="s">
        <v>183</v>
      </c>
      <c r="D17" s="100">
        <v>6.8694983335373356</v>
      </c>
      <c r="E17" s="100">
        <v>2901.6760960861702</v>
      </c>
      <c r="F17" s="100">
        <v>6.7813825164277297</v>
      </c>
      <c r="G17" s="100">
        <v>2864.4559749390728</v>
      </c>
      <c r="H17" s="100">
        <v>4.7064457610487311</v>
      </c>
      <c r="I17" s="100">
        <v>1988.0026894669838</v>
      </c>
      <c r="J17" s="100">
        <v>9</v>
      </c>
      <c r="K17" s="100">
        <v>3801.6</v>
      </c>
      <c r="L17" s="100">
        <v>6</v>
      </c>
      <c r="M17" s="100">
        <v>2534.3999999999996</v>
      </c>
      <c r="N17" s="100">
        <v>3.3152374006550986</v>
      </c>
      <c r="O17" s="100">
        <v>1400.3562780367135</v>
      </c>
      <c r="P17" s="100">
        <v>4.4761980429336106</v>
      </c>
      <c r="Q17" s="100">
        <v>1890.7460533351571</v>
      </c>
      <c r="R17" s="100">
        <v>5</v>
      </c>
      <c r="S17" s="100">
        <v>2112</v>
      </c>
      <c r="T17" s="100">
        <v>1.7865486372836297</v>
      </c>
      <c r="U17" s="100">
        <v>754.63814438860516</v>
      </c>
      <c r="V17" s="100">
        <v>7</v>
      </c>
      <c r="W17" s="100">
        <v>2956.7999999999997</v>
      </c>
      <c r="X17" s="100">
        <v>8</v>
      </c>
      <c r="Y17" s="100">
        <v>3379.2</v>
      </c>
      <c r="Z17" s="100">
        <v>8.7981319871187882</v>
      </c>
      <c r="AA17" s="100">
        <v>3716.3309513589761</v>
      </c>
      <c r="AB17" s="100">
        <v>6.5566844572548666</v>
      </c>
      <c r="AC17" s="100">
        <v>2769.5435147444555</v>
      </c>
      <c r="AD17" s="100">
        <v>1.9310546688464481</v>
      </c>
      <c r="AE17" s="100">
        <v>815.67749212073966</v>
      </c>
      <c r="AF17" s="100">
        <v>4.8096812101843485</v>
      </c>
      <c r="AG17" s="100">
        <v>2031.6093431818688</v>
      </c>
      <c r="AH17" s="100">
        <v>7</v>
      </c>
      <c r="AI17" s="100">
        <v>2956.7999999999997</v>
      </c>
      <c r="AJ17" s="100">
        <v>4.6286657451207125</v>
      </c>
      <c r="AK17" s="100">
        <v>1955.1484107389888</v>
      </c>
      <c r="AL17" s="100">
        <v>7.9174331619946736</v>
      </c>
      <c r="AM17" s="100">
        <v>3344.3237676265499</v>
      </c>
      <c r="AN17" s="100">
        <v>4.3575131346761822</v>
      </c>
      <c r="AO17" s="100">
        <v>1840.6135480872192</v>
      </c>
      <c r="AP17" s="100">
        <v>6.0920303640863945E-4</v>
      </c>
      <c r="AQ17" s="100">
        <v>0.25732736257900929</v>
      </c>
      <c r="AR17" s="100">
        <v>8.2842693018589559E-4</v>
      </c>
      <c r="AS17" s="100">
        <v>0.34992753531052229</v>
      </c>
      <c r="AT17" s="100">
        <v>6.3978510704338883E-4</v>
      </c>
      <c r="AU17" s="100">
        <v>0.27024522921512745</v>
      </c>
      <c r="AV17" s="100">
        <v>9.0004792251623567</v>
      </c>
      <c r="AW17" s="100">
        <v>3801.8024247085791</v>
      </c>
      <c r="AX17" s="100">
        <v>0.51171948383115962</v>
      </c>
      <c r="AY17" s="100">
        <v>216.1503099702818</v>
      </c>
      <c r="AZ17" s="100">
        <v>9.3582978723299721</v>
      </c>
      <c r="BA17" s="100">
        <v>3952.9450212721799</v>
      </c>
      <c r="BB17" s="100">
        <v>7.6462871490037951</v>
      </c>
      <c r="BC17" s="100">
        <v>3229.7916917392031</v>
      </c>
      <c r="BD17" s="100">
        <v>6.0965669850345829</v>
      </c>
      <c r="BE17" s="100">
        <v>2575.1898944786076</v>
      </c>
      <c r="BF17" s="100">
        <v>8.2232834847192606</v>
      </c>
      <c r="BG17" s="100">
        <v>3473.5149439454153</v>
      </c>
      <c r="BH17" s="100">
        <v>9.9763422227625842</v>
      </c>
      <c r="BI17" s="100">
        <v>4214.006954894915</v>
      </c>
      <c r="BJ17" s="100">
        <v>5.667255956966379</v>
      </c>
      <c r="BK17" s="100">
        <v>2393.8489162225983</v>
      </c>
      <c r="BL17" s="100">
        <v>6.9068931226275279</v>
      </c>
      <c r="BM17" s="100">
        <v>2917.4716549978675</v>
      </c>
      <c r="BN17" s="100">
        <v>4.0242747034152567E-4</v>
      </c>
      <c r="BO17" s="100">
        <v>0.16998536347226043</v>
      </c>
      <c r="BP17" s="100">
        <v>6.000302369549142</v>
      </c>
      <c r="BQ17" s="100">
        <v>2534.5277208975576</v>
      </c>
      <c r="BR17" s="100">
        <v>9</v>
      </c>
      <c r="BS17" s="100">
        <v>3801.6</v>
      </c>
      <c r="BT17" s="100">
        <v>1.5846706619079567</v>
      </c>
      <c r="BU17" s="100">
        <v>669.36488758992084</v>
      </c>
      <c r="BV17" s="100">
        <v>4.7046849737499848E-4</v>
      </c>
      <c r="BW17" s="100">
        <v>0.19872589329119936</v>
      </c>
      <c r="BX17" s="100">
        <v>9.0003700012932395</v>
      </c>
      <c r="BY17" s="100">
        <v>3801.7562885462639</v>
      </c>
      <c r="BZ17" s="100">
        <v>8</v>
      </c>
      <c r="CA17" s="100">
        <v>3379.2</v>
      </c>
      <c r="CB17" s="100">
        <v>7</v>
      </c>
      <c r="CC17" s="100">
        <v>2956.7999999999997</v>
      </c>
      <c r="CD17" s="100">
        <v>8.6119467770873133</v>
      </c>
      <c r="CE17" s="100">
        <v>3637.6863186416808</v>
      </c>
      <c r="CF17" s="100">
        <v>7.0400695117594765</v>
      </c>
      <c r="CG17" s="100">
        <v>2973.7253617672027</v>
      </c>
      <c r="CH17" s="100">
        <v>6.8454410993716705E-4</v>
      </c>
      <c r="CI17" s="100">
        <v>0.28915143203745935</v>
      </c>
      <c r="CJ17" s="100">
        <v>2.2290102390269899</v>
      </c>
      <c r="CK17" s="100">
        <v>941.53392496500044</v>
      </c>
      <c r="CL17" s="100">
        <v>8.1133629398738911</v>
      </c>
      <c r="CM17" s="100">
        <v>3427.0845058027312</v>
      </c>
      <c r="CN17" s="100">
        <v>6</v>
      </c>
      <c r="CO17" s="100">
        <v>2534.3999999999996</v>
      </c>
      <c r="CP17" s="100">
        <v>3.0284654990088997</v>
      </c>
      <c r="CQ17" s="100">
        <v>1279.2238267813591</v>
      </c>
      <c r="CR17" s="100">
        <v>5.6203658407986818</v>
      </c>
      <c r="CS17" s="100">
        <v>2374.0425311533631</v>
      </c>
      <c r="CT17" s="100">
        <v>11</v>
      </c>
      <c r="CU17" s="100">
        <v>4646.3999999999996</v>
      </c>
    </row>
    <row r="18" spans="2:99">
      <c r="C18" s="99" t="s">
        <v>184</v>
      </c>
      <c r="D18" s="100">
        <v>6.8694983335373356</v>
      </c>
      <c r="E18" s="100">
        <v>4484.4085121331727</v>
      </c>
      <c r="F18" s="100">
        <v>6.7813825164277297</v>
      </c>
      <c r="G18" s="100">
        <v>4426.8865067240213</v>
      </c>
      <c r="H18" s="100">
        <v>4.1181400409176394</v>
      </c>
      <c r="I18" s="100">
        <v>2688.3218187110347</v>
      </c>
      <c r="J18" s="100">
        <v>9</v>
      </c>
      <c r="K18" s="100">
        <v>5875.2</v>
      </c>
      <c r="L18" s="100">
        <v>5</v>
      </c>
      <c r="M18" s="100">
        <v>3264</v>
      </c>
      <c r="N18" s="100">
        <v>2.6521899205240786</v>
      </c>
      <c r="O18" s="100">
        <v>1731.3495801181184</v>
      </c>
      <c r="P18" s="100">
        <v>5.2222310500892117</v>
      </c>
      <c r="Q18" s="100">
        <v>3409.0724294982374</v>
      </c>
      <c r="R18" s="100">
        <v>6</v>
      </c>
      <c r="S18" s="100">
        <v>3916.7999999999997</v>
      </c>
      <c r="T18" s="100">
        <v>2.1438583647403555</v>
      </c>
      <c r="U18" s="100">
        <v>1399.5107405025039</v>
      </c>
      <c r="V18" s="100">
        <v>7</v>
      </c>
      <c r="W18" s="100">
        <v>4569.5999999999995</v>
      </c>
      <c r="X18" s="100">
        <v>8</v>
      </c>
      <c r="Y18" s="100">
        <v>5222.3999999999996</v>
      </c>
      <c r="Z18" s="100">
        <v>7.9183187884069088</v>
      </c>
      <c r="AA18" s="100">
        <v>5169.0785050720297</v>
      </c>
      <c r="AB18" s="100">
        <v>5.828163962004326</v>
      </c>
      <c r="AC18" s="100">
        <v>3804.6254343964238</v>
      </c>
      <c r="AD18" s="100">
        <v>1.9310546688464481</v>
      </c>
      <c r="AE18" s="100">
        <v>1260.5924878229612</v>
      </c>
      <c r="AF18" s="100">
        <v>4.2084710589113055</v>
      </c>
      <c r="AG18" s="100">
        <v>2747.2899072573</v>
      </c>
      <c r="AH18" s="100">
        <v>7</v>
      </c>
      <c r="AI18" s="100">
        <v>4569.5999999999995</v>
      </c>
      <c r="AJ18" s="100">
        <v>4.6460370767840322</v>
      </c>
      <c r="AK18" s="100">
        <v>3032.9330037246159</v>
      </c>
      <c r="AL18" s="100">
        <v>7.0377183662174874</v>
      </c>
      <c r="AM18" s="100">
        <v>4594.2225494667755</v>
      </c>
      <c r="AN18" s="100">
        <v>4.3575131346761822</v>
      </c>
      <c r="AO18" s="100">
        <v>2844.5845743166115</v>
      </c>
      <c r="AP18" s="100">
        <v>6.0920303640863945E-4</v>
      </c>
      <c r="AQ18" s="100">
        <v>0.39768774216755981</v>
      </c>
      <c r="AR18" s="100">
        <v>6.6274240962022751E-4</v>
      </c>
      <c r="AS18" s="100">
        <v>0.43263824500008446</v>
      </c>
      <c r="AT18" s="100">
        <v>7.1975784732970836E-4</v>
      </c>
      <c r="AU18" s="100">
        <v>0.46985792273683358</v>
      </c>
      <c r="AV18" s="100">
        <v>8.0004792251623567</v>
      </c>
      <c r="AW18" s="100">
        <v>5222.7128381859857</v>
      </c>
      <c r="AX18" s="100">
        <v>0.51171948383115962</v>
      </c>
      <c r="AY18" s="100">
        <v>334.05047904498099</v>
      </c>
      <c r="AZ18" s="100">
        <v>9.3582978723299721</v>
      </c>
      <c r="BA18" s="100">
        <v>6109.0968510570056</v>
      </c>
      <c r="BB18" s="100">
        <v>7.6462871490037951</v>
      </c>
      <c r="BC18" s="100">
        <v>4991.4962508696772</v>
      </c>
      <c r="BD18" s="100">
        <v>6.0965669850345829</v>
      </c>
      <c r="BE18" s="100">
        <v>3979.8389278305754</v>
      </c>
      <c r="BF18" s="100">
        <v>8.2232834847192606</v>
      </c>
      <c r="BG18" s="100">
        <v>5368.1594588247326</v>
      </c>
      <c r="BH18" s="100">
        <v>8.9787080004863267</v>
      </c>
      <c r="BI18" s="100">
        <v>5861.3005827174738</v>
      </c>
      <c r="BJ18" s="100">
        <v>4.8576479631140401</v>
      </c>
      <c r="BK18" s="100">
        <v>3171.0725903208454</v>
      </c>
      <c r="BL18" s="100">
        <v>7.5975824348902812</v>
      </c>
      <c r="BM18" s="100">
        <v>4959.7018134963755</v>
      </c>
      <c r="BN18" s="100">
        <v>3.4049275658727961E-4</v>
      </c>
      <c r="BO18" s="100">
        <v>0.2222736715001761</v>
      </c>
      <c r="BP18" s="100">
        <v>6.000302369549142</v>
      </c>
      <c r="BQ18" s="100">
        <v>3916.9973868416796</v>
      </c>
      <c r="BR18" s="100">
        <v>8</v>
      </c>
      <c r="BS18" s="100">
        <v>5222.3999999999996</v>
      </c>
      <c r="BT18" s="100">
        <v>1.5846706619079567</v>
      </c>
      <c r="BU18" s="100">
        <v>1034.473008093514</v>
      </c>
      <c r="BV18" s="100">
        <v>5.2927705954687327E-4</v>
      </c>
      <c r="BW18" s="100">
        <v>0.34551206447219884</v>
      </c>
      <c r="BX18" s="100">
        <v>10.000370001293239</v>
      </c>
      <c r="BY18" s="100">
        <v>6528.2415368442262</v>
      </c>
      <c r="BZ18" s="100">
        <v>8</v>
      </c>
      <c r="CA18" s="100">
        <v>5222.3999999999996</v>
      </c>
      <c r="CB18" s="100">
        <v>6</v>
      </c>
      <c r="CC18" s="100">
        <v>3916.7999999999997</v>
      </c>
      <c r="CD18" s="100">
        <v>7.8290425246248292</v>
      </c>
      <c r="CE18" s="100">
        <v>5110.798960075088</v>
      </c>
      <c r="CF18" s="100">
        <v>6.1600608227895419</v>
      </c>
      <c r="CG18" s="100">
        <v>4021.2877051170126</v>
      </c>
      <c r="CH18" s="100">
        <v>6.1608969894345032E-4</v>
      </c>
      <c r="CI18" s="100">
        <v>0.40218335547028433</v>
      </c>
      <c r="CJ18" s="100">
        <v>2.4659103050649951</v>
      </c>
      <c r="CK18" s="100">
        <v>1609.7462471464287</v>
      </c>
      <c r="CL18" s="100">
        <v>7.1133629398738911</v>
      </c>
      <c r="CM18" s="100">
        <v>4643.6033271496754</v>
      </c>
      <c r="CN18" s="100">
        <v>7</v>
      </c>
      <c r="CO18" s="100">
        <v>4569.5999999999995</v>
      </c>
      <c r="CP18" s="100">
        <v>2.4303127718617343</v>
      </c>
      <c r="CQ18" s="100">
        <v>1586.5081774713401</v>
      </c>
      <c r="CR18" s="100">
        <v>4.8330430240635112</v>
      </c>
      <c r="CS18" s="100">
        <v>3155.0104861086597</v>
      </c>
      <c r="CT18" s="100">
        <v>9</v>
      </c>
      <c r="CU18" s="100">
        <v>5875.2</v>
      </c>
    </row>
    <row r="19" spans="2:99">
      <c r="C19" s="99" t="s">
        <v>185</v>
      </c>
      <c r="D19" s="100">
        <v>6.8694983335373356</v>
      </c>
      <c r="E19" s="100">
        <v>2266.9344500673205</v>
      </c>
      <c r="F19" s="100">
        <v>7.6290553309811964</v>
      </c>
      <c r="G19" s="100">
        <v>2517.5882592237949</v>
      </c>
      <c r="H19" s="100">
        <v>4.1181400409176394</v>
      </c>
      <c r="I19" s="100">
        <v>1358.9862135028211</v>
      </c>
      <c r="J19" s="100">
        <v>9</v>
      </c>
      <c r="K19" s="100">
        <v>2970</v>
      </c>
      <c r="L19" s="100">
        <v>6</v>
      </c>
      <c r="M19" s="100">
        <v>1980</v>
      </c>
      <c r="N19" s="100">
        <v>3.3152374006550986</v>
      </c>
      <c r="O19" s="100">
        <v>1094.0283422161826</v>
      </c>
      <c r="P19" s="100">
        <v>5.2222310500892117</v>
      </c>
      <c r="Q19" s="100">
        <v>1723.3362465294399</v>
      </c>
      <c r="R19" s="100">
        <v>6</v>
      </c>
      <c r="S19" s="100">
        <v>1980</v>
      </c>
      <c r="T19" s="100">
        <v>2.1438583647403555</v>
      </c>
      <c r="U19" s="100">
        <v>707.4732603643173</v>
      </c>
      <c r="V19" s="100">
        <v>8</v>
      </c>
      <c r="W19" s="100">
        <v>2640</v>
      </c>
      <c r="X19" s="100">
        <v>8</v>
      </c>
      <c r="Y19" s="100">
        <v>2640</v>
      </c>
      <c r="Z19" s="100">
        <v>7.9183187884069088</v>
      </c>
      <c r="AA19" s="100">
        <v>2613.0452001742801</v>
      </c>
      <c r="AB19" s="100">
        <v>5.828163962004326</v>
      </c>
      <c r="AC19" s="100">
        <v>1923.2941074614275</v>
      </c>
      <c r="AD19" s="100">
        <v>2.1724365024522538</v>
      </c>
      <c r="AE19" s="100">
        <v>716.90404580924371</v>
      </c>
      <c r="AF19" s="100">
        <v>4.8096812101843485</v>
      </c>
      <c r="AG19" s="100">
        <v>1587.1947993608351</v>
      </c>
      <c r="AH19" s="100">
        <v>8</v>
      </c>
      <c r="AI19" s="100">
        <v>2640</v>
      </c>
      <c r="AJ19" s="100">
        <v>4.6460370767840322</v>
      </c>
      <c r="AK19" s="100">
        <v>1533.1922353387306</v>
      </c>
      <c r="AL19" s="100">
        <v>7.9174331619946736</v>
      </c>
      <c r="AM19" s="100">
        <v>2612.7529434582425</v>
      </c>
      <c r="AN19" s="100">
        <v>4.3575131346761822</v>
      </c>
      <c r="AO19" s="100">
        <v>1437.97933444314</v>
      </c>
      <c r="AP19" s="100">
        <v>5.0766919700719949E-4</v>
      </c>
      <c r="AQ19" s="100">
        <v>0.16753083501237584</v>
      </c>
      <c r="AR19" s="100">
        <v>8.2842693018589559E-4</v>
      </c>
      <c r="AS19" s="100">
        <v>0.27338088696134555</v>
      </c>
      <c r="AT19" s="100">
        <v>7.1975739236501788E-4</v>
      </c>
      <c r="AU19" s="100">
        <v>0.23751993948045591</v>
      </c>
      <c r="AV19" s="100">
        <v>9.0004107644248776</v>
      </c>
      <c r="AW19" s="100">
        <v>2970.1355522602098</v>
      </c>
      <c r="AX19" s="100">
        <v>0.45822157434263311</v>
      </c>
      <c r="AY19" s="100">
        <v>151.21311953306892</v>
      </c>
      <c r="AZ19" s="100">
        <v>9.3582978723299721</v>
      </c>
      <c r="BA19" s="100">
        <v>3088.2382978688906</v>
      </c>
      <c r="BB19" s="100">
        <v>8.4958746100042166</v>
      </c>
      <c r="BC19" s="100">
        <v>2803.6386213013916</v>
      </c>
      <c r="BD19" s="100">
        <v>6.0965669850345829</v>
      </c>
      <c r="BE19" s="100">
        <v>2011.8671050614123</v>
      </c>
      <c r="BF19" s="100">
        <v>7.2232834847192615</v>
      </c>
      <c r="BG19" s="100">
        <v>2383.6835499573563</v>
      </c>
      <c r="BH19" s="100">
        <v>8.9787080004863267</v>
      </c>
      <c r="BI19" s="100">
        <v>2962.9736401604878</v>
      </c>
      <c r="BJ19" s="100">
        <v>4.8576479631140401</v>
      </c>
      <c r="BK19" s="100">
        <v>1603.0238278276333</v>
      </c>
      <c r="BL19" s="100">
        <v>8.2882717471530345</v>
      </c>
      <c r="BM19" s="100">
        <v>2735.1296765605016</v>
      </c>
      <c r="BN19" s="100">
        <v>4.0859130790473559E-4</v>
      </c>
      <c r="BO19" s="100">
        <v>0.13483513160856275</v>
      </c>
      <c r="BP19" s="100">
        <v>6.000302369549142</v>
      </c>
      <c r="BQ19" s="100">
        <v>1980.0997819512168</v>
      </c>
      <c r="BR19" s="100">
        <v>9</v>
      </c>
      <c r="BS19" s="100">
        <v>2970</v>
      </c>
      <c r="BT19" s="100">
        <v>1.5846706619079567</v>
      </c>
      <c r="BU19" s="100">
        <v>522.94131842962565</v>
      </c>
      <c r="BV19" s="100">
        <v>5.2927705954687327E-4</v>
      </c>
      <c r="BW19" s="100">
        <v>0.17466142965046819</v>
      </c>
      <c r="BX19" s="100">
        <v>10.000370001293239</v>
      </c>
      <c r="BY19" s="100">
        <v>3300.1221004267691</v>
      </c>
      <c r="BZ19" s="100">
        <v>9</v>
      </c>
      <c r="CA19" s="100">
        <v>2970</v>
      </c>
      <c r="CB19" s="100">
        <v>5</v>
      </c>
      <c r="CC19" s="100">
        <v>1650</v>
      </c>
      <c r="CD19" s="100">
        <v>8.6119467770873133</v>
      </c>
      <c r="CE19" s="100">
        <v>2841.9424364388133</v>
      </c>
      <c r="CF19" s="100">
        <v>6.1600608227895419</v>
      </c>
      <c r="CG19" s="100">
        <v>2032.8200715205489</v>
      </c>
      <c r="CH19" s="100">
        <v>5.476352879497337E-4</v>
      </c>
      <c r="CI19" s="100">
        <v>0.18071964502341212</v>
      </c>
      <c r="CJ19" s="100">
        <v>2.2290102390269899</v>
      </c>
      <c r="CK19" s="100">
        <v>735.57337887890662</v>
      </c>
      <c r="CL19" s="100">
        <v>8.1360355278486693</v>
      </c>
      <c r="CM19" s="100">
        <v>2684.8917241900608</v>
      </c>
      <c r="CN19" s="100">
        <v>7</v>
      </c>
      <c r="CO19" s="100">
        <v>2310</v>
      </c>
      <c r="CP19" s="100">
        <v>2.4303127718617343</v>
      </c>
      <c r="CQ19" s="100">
        <v>802.00321471437235</v>
      </c>
      <c r="CR19" s="100">
        <v>6.3804121266207314</v>
      </c>
      <c r="CS19" s="100">
        <v>2105.5360017848416</v>
      </c>
      <c r="CT19" s="100">
        <v>9.3455821528974781</v>
      </c>
      <c r="CU19" s="100">
        <v>3084.0421104561678</v>
      </c>
    </row>
    <row r="20" spans="2:99">
      <c r="B20" s="99" t="s">
        <v>127</v>
      </c>
      <c r="C20" s="99" t="s">
        <v>186</v>
      </c>
      <c r="D20" s="100">
        <v>7.2421404764819091</v>
      </c>
      <c r="E20" s="100">
        <v>2077.0458886550118</v>
      </c>
      <c r="F20" s="100">
        <v>5.9337097018742639</v>
      </c>
      <c r="G20" s="100">
        <v>1701.787942497539</v>
      </c>
      <c r="H20" s="100">
        <v>4.7064457610487311</v>
      </c>
      <c r="I20" s="100">
        <v>1349.8086442687761</v>
      </c>
      <c r="J20" s="100">
        <v>8</v>
      </c>
      <c r="K20" s="100">
        <v>2294.4</v>
      </c>
      <c r="L20" s="100">
        <v>9</v>
      </c>
      <c r="M20" s="100">
        <v>2581.2000000000003</v>
      </c>
      <c r="N20" s="100">
        <v>5.3043798410481573</v>
      </c>
      <c r="O20" s="100">
        <v>1521.2961384126115</v>
      </c>
      <c r="P20" s="100">
        <v>4.4761980429336106</v>
      </c>
      <c r="Q20" s="100">
        <v>1283.7735987133597</v>
      </c>
      <c r="R20" s="100">
        <v>10</v>
      </c>
      <c r="S20" s="100">
        <v>2868</v>
      </c>
      <c r="T20" s="100">
        <v>3.5730972745672593</v>
      </c>
      <c r="U20" s="100">
        <v>1024.76429834589</v>
      </c>
      <c r="V20" s="100">
        <v>11</v>
      </c>
      <c r="W20" s="100">
        <v>3154.8</v>
      </c>
      <c r="X20" s="100">
        <v>10</v>
      </c>
      <c r="Y20" s="100">
        <v>2868</v>
      </c>
      <c r="Z20" s="100">
        <v>7.9183187884069088</v>
      </c>
      <c r="AA20" s="100">
        <v>2270.9738285151016</v>
      </c>
      <c r="AB20" s="100">
        <v>6.5566844572548666</v>
      </c>
      <c r="AC20" s="100">
        <v>1880.4571023406959</v>
      </c>
      <c r="AD20" s="100">
        <v>2.8965820032696721</v>
      </c>
      <c r="AE20" s="100">
        <v>830.73971853774196</v>
      </c>
      <c r="AF20" s="100">
        <v>6.0121015127304362</v>
      </c>
      <c r="AG20" s="100">
        <v>1724.2707138510891</v>
      </c>
      <c r="AH20" s="100">
        <v>9</v>
      </c>
      <c r="AI20" s="100">
        <v>2581.2000000000003</v>
      </c>
      <c r="AJ20" s="100">
        <v>9.9537630613097505</v>
      </c>
      <c r="AK20" s="100">
        <v>2854.7392459836365</v>
      </c>
      <c r="AL20" s="100">
        <v>9.6768627535490452</v>
      </c>
      <c r="AM20" s="100">
        <v>2775.3242377178663</v>
      </c>
      <c r="AN20" s="100">
        <v>8.7150262693523644</v>
      </c>
      <c r="AO20" s="100">
        <v>2499.4695340502581</v>
      </c>
      <c r="AP20" s="100">
        <v>1.2184060728172789E-3</v>
      </c>
      <c r="AQ20" s="100">
        <v>0.34943886168399563</v>
      </c>
      <c r="AR20" s="100">
        <v>8.2842933427342642E-4</v>
      </c>
      <c r="AS20" s="100">
        <v>0.2375935330696187</v>
      </c>
      <c r="AT20" s="100">
        <v>9.5967970790619033E-4</v>
      </c>
      <c r="AU20" s="100">
        <v>0.27523614022749537</v>
      </c>
      <c r="AV20" s="100">
        <v>6.0007530681122763</v>
      </c>
      <c r="AW20" s="100">
        <v>1721.0159799346009</v>
      </c>
      <c r="AX20" s="100">
        <v>0.31587082493770657</v>
      </c>
      <c r="AY20" s="100">
        <v>90.591752592134256</v>
      </c>
      <c r="AZ20" s="100">
        <v>8.7165957446599442</v>
      </c>
      <c r="BA20" s="100">
        <v>2499.9196595684721</v>
      </c>
      <c r="BB20" s="100">
        <v>9.3454620710046381</v>
      </c>
      <c r="BC20" s="100">
        <v>2680.2785219641305</v>
      </c>
      <c r="BD20" s="100">
        <v>10.160944975057639</v>
      </c>
      <c r="BE20" s="100">
        <v>2914.1590188465311</v>
      </c>
      <c r="BF20" s="100">
        <v>6.3628356626687994</v>
      </c>
      <c r="BG20" s="100">
        <v>1824.8612680534118</v>
      </c>
      <c r="BH20" s="100">
        <v>6.9834395559338089</v>
      </c>
      <c r="BI20" s="100">
        <v>2002.8504646418164</v>
      </c>
      <c r="BJ20" s="100">
        <v>7.2864719446710593</v>
      </c>
      <c r="BK20" s="100">
        <v>2089.76015373166</v>
      </c>
      <c r="BL20" s="100">
        <v>7.5975824348902812</v>
      </c>
      <c r="BM20" s="100">
        <v>2178.9866423265325</v>
      </c>
      <c r="BN20" s="100">
        <v>7.2442871423917588E-4</v>
      </c>
      <c r="BO20" s="100">
        <v>0.20776615524379566</v>
      </c>
      <c r="BP20" s="100">
        <v>10.000503949248571</v>
      </c>
      <c r="BQ20" s="100">
        <v>2868.1445326444905</v>
      </c>
      <c r="BR20" s="100">
        <v>10</v>
      </c>
      <c r="BS20" s="100">
        <v>2868</v>
      </c>
      <c r="BT20" s="100">
        <v>1.848782438892616</v>
      </c>
      <c r="BU20" s="100">
        <v>530.23080347440225</v>
      </c>
      <c r="BV20" s="100">
        <v>7.6451130823437254E-4</v>
      </c>
      <c r="BW20" s="100">
        <v>0.21926184320161804</v>
      </c>
      <c r="BX20" s="100">
        <v>7.0004162514548938</v>
      </c>
      <c r="BY20" s="100">
        <v>2007.7193809172636</v>
      </c>
      <c r="BZ20" s="100">
        <v>11</v>
      </c>
      <c r="CA20" s="100">
        <v>3154.8</v>
      </c>
      <c r="CB20" s="100">
        <v>12</v>
      </c>
      <c r="CC20" s="100">
        <v>3441.6000000000004</v>
      </c>
      <c r="CD20" s="100">
        <v>8.6119467770873133</v>
      </c>
      <c r="CE20" s="100">
        <v>2469.9063356686415</v>
      </c>
      <c r="CF20" s="100">
        <v>7.0400695117594765</v>
      </c>
      <c r="CG20" s="100">
        <v>2019.0919359726179</v>
      </c>
      <c r="CH20" s="100">
        <v>4.7918087695601698E-4</v>
      </c>
      <c r="CI20" s="100">
        <v>0.13742907551098568</v>
      </c>
      <c r="CJ20" s="100">
        <v>1.6152196855979224</v>
      </c>
      <c r="CK20" s="100">
        <v>463.24500582948417</v>
      </c>
      <c r="CL20" s="100">
        <v>9.2267258797477822</v>
      </c>
      <c r="CM20" s="100">
        <v>2646.224982311664</v>
      </c>
      <c r="CN20" s="100">
        <v>7</v>
      </c>
      <c r="CO20" s="100">
        <v>2007.6000000000001</v>
      </c>
      <c r="CP20" s="100">
        <v>3.2552799579757576</v>
      </c>
      <c r="CQ20" s="100">
        <v>933.61429194744733</v>
      </c>
      <c r="CR20" s="100">
        <v>6.0803702865764002</v>
      </c>
      <c r="CS20" s="100">
        <v>1743.8501981901115</v>
      </c>
      <c r="CT20" s="100">
        <v>7.6047687675705857</v>
      </c>
      <c r="CU20" s="100">
        <v>2181.0476825392439</v>
      </c>
    </row>
    <row r="21" spans="2:99">
      <c r="C21" s="99" t="s">
        <v>187</v>
      </c>
      <c r="D21" s="100">
        <v>7.2421404764819091</v>
      </c>
      <c r="E21" s="100">
        <v>451.90956573247109</v>
      </c>
      <c r="F21" s="100">
        <v>6.7813825164277297</v>
      </c>
      <c r="G21" s="100">
        <v>423.15826902509031</v>
      </c>
      <c r="H21" s="100">
        <v>5.294751481179822</v>
      </c>
      <c r="I21" s="100">
        <v>330.3924924256209</v>
      </c>
      <c r="J21" s="100">
        <v>9</v>
      </c>
      <c r="K21" s="100">
        <v>561.6</v>
      </c>
      <c r="L21" s="100">
        <v>8</v>
      </c>
      <c r="M21" s="100">
        <v>499.2</v>
      </c>
      <c r="N21" s="100">
        <v>5.3043798410481573</v>
      </c>
      <c r="O21" s="100">
        <v>330.99330208140503</v>
      </c>
      <c r="P21" s="100">
        <v>4.4761980429336106</v>
      </c>
      <c r="Q21" s="100">
        <v>279.31475787905731</v>
      </c>
      <c r="R21" s="100">
        <v>10</v>
      </c>
      <c r="S21" s="100">
        <v>624</v>
      </c>
      <c r="T21" s="100">
        <v>3.5730972745672593</v>
      </c>
      <c r="U21" s="100">
        <v>222.96126993299697</v>
      </c>
      <c r="V21" s="100">
        <v>10</v>
      </c>
      <c r="W21" s="100">
        <v>624</v>
      </c>
      <c r="X21" s="100">
        <v>10</v>
      </c>
      <c r="Y21" s="100">
        <v>624</v>
      </c>
      <c r="Z21" s="100">
        <v>8.7981319871187882</v>
      </c>
      <c r="AA21" s="100">
        <v>549.00343599621237</v>
      </c>
      <c r="AB21" s="100">
        <v>6.5566844572548666</v>
      </c>
      <c r="AC21" s="100">
        <v>409.13711013270364</v>
      </c>
      <c r="AD21" s="100">
        <v>2.6552001696638659</v>
      </c>
      <c r="AE21" s="100">
        <v>165.68449058702524</v>
      </c>
      <c r="AF21" s="100">
        <v>6.0121015127304362</v>
      </c>
      <c r="AG21" s="100">
        <v>375.15513439437922</v>
      </c>
      <c r="AH21" s="100">
        <v>10</v>
      </c>
      <c r="AI21" s="100">
        <v>624</v>
      </c>
      <c r="AJ21" s="100">
        <v>9.9537630613097505</v>
      </c>
      <c r="AK21" s="100">
        <v>621.11481502572838</v>
      </c>
      <c r="AL21" s="100">
        <v>10.556577549326231</v>
      </c>
      <c r="AM21" s="100">
        <v>658.73043907795682</v>
      </c>
      <c r="AN21" s="100">
        <v>9.5865288962876019</v>
      </c>
      <c r="AO21" s="100">
        <v>598.19940312834638</v>
      </c>
      <c r="AP21" s="100">
        <v>1.1168722334158388E-3</v>
      </c>
      <c r="AQ21" s="100">
        <v>6.9692827365148341E-2</v>
      </c>
      <c r="AR21" s="100">
        <v>8.2842981509093257E-4</v>
      </c>
      <c r="AS21" s="100">
        <v>5.1694020461674192E-2</v>
      </c>
      <c r="AT21" s="100">
        <v>8.7970742258456139E-4</v>
      </c>
      <c r="AU21" s="100">
        <v>5.4893743169276629E-2</v>
      </c>
      <c r="AV21" s="100">
        <v>7.0006846073747964</v>
      </c>
      <c r="AW21" s="100">
        <v>436.84271950018729</v>
      </c>
      <c r="AX21" s="100">
        <v>0.37541639411311734</v>
      </c>
      <c r="AY21" s="100">
        <v>23.425982992658522</v>
      </c>
      <c r="AZ21" s="100">
        <v>7.7677811549927984</v>
      </c>
      <c r="BA21" s="100">
        <v>484.70954407155062</v>
      </c>
      <c r="BB21" s="100">
        <v>9.3454620710046381</v>
      </c>
      <c r="BC21" s="100">
        <v>583.15683323068936</v>
      </c>
      <c r="BD21" s="100">
        <v>11.193133970069166</v>
      </c>
      <c r="BE21" s="100">
        <v>698.4515597323159</v>
      </c>
      <c r="BF21" s="100">
        <v>7.390746098258707</v>
      </c>
      <c r="BG21" s="100">
        <v>461.18255653134332</v>
      </c>
      <c r="BH21" s="100">
        <v>6.9834395559338089</v>
      </c>
      <c r="BI21" s="100">
        <v>435.76662829026969</v>
      </c>
      <c r="BJ21" s="100">
        <v>7.2864719446710593</v>
      </c>
      <c r="BK21" s="100">
        <v>454.67584934747407</v>
      </c>
      <c r="BL21" s="100">
        <v>6.9068931226275279</v>
      </c>
      <c r="BM21" s="100">
        <v>430.9901308519577</v>
      </c>
      <c r="BN21" s="100">
        <v>7.2751063302078076E-4</v>
      </c>
      <c r="BO21" s="100">
        <v>4.5396663500496717E-2</v>
      </c>
      <c r="BP21" s="100">
        <v>11.000554344173429</v>
      </c>
      <c r="BQ21" s="100">
        <v>686.43459107642195</v>
      </c>
      <c r="BR21" s="100">
        <v>10</v>
      </c>
      <c r="BS21" s="100">
        <v>624</v>
      </c>
      <c r="BT21" s="100">
        <v>2.3770059928619349</v>
      </c>
      <c r="BU21" s="100">
        <v>148.32517395458473</v>
      </c>
      <c r="BV21" s="100">
        <v>7.6451130823437254E-4</v>
      </c>
      <c r="BW21" s="100">
        <v>4.7705505633824842E-2</v>
      </c>
      <c r="BX21" s="100">
        <v>7.0004162514548938</v>
      </c>
      <c r="BY21" s="100">
        <v>436.82597409078534</v>
      </c>
      <c r="BZ21" s="100">
        <v>13</v>
      </c>
      <c r="CA21" s="100">
        <v>811.19999999999993</v>
      </c>
      <c r="CB21" s="100">
        <v>11</v>
      </c>
      <c r="CC21" s="100">
        <v>686.4</v>
      </c>
      <c r="CD21" s="100">
        <v>8.6119467770873133</v>
      </c>
      <c r="CE21" s="100">
        <v>537.38547889024835</v>
      </c>
      <c r="CF21" s="100">
        <v>7.0400695117594765</v>
      </c>
      <c r="CG21" s="100">
        <v>439.30033753379132</v>
      </c>
      <c r="CH21" s="100">
        <v>4.7918087695601698E-4</v>
      </c>
      <c r="CI21" s="100">
        <v>2.9900886722055459E-2</v>
      </c>
      <c r="CJ21" s="100">
        <v>1.8305842750392722</v>
      </c>
      <c r="CK21" s="100">
        <v>114.22845876245059</v>
      </c>
      <c r="CL21" s="100">
        <v>8.2267258797477822</v>
      </c>
      <c r="CM21" s="100">
        <v>513.3476948962616</v>
      </c>
      <c r="CN21" s="100">
        <v>6</v>
      </c>
      <c r="CO21" s="100">
        <v>374.4</v>
      </c>
      <c r="CP21" s="100">
        <v>3.2552799579757576</v>
      </c>
      <c r="CQ21" s="100">
        <v>203.12946937768729</v>
      </c>
      <c r="CR21" s="100">
        <v>5.3203240007543497</v>
      </c>
      <c r="CS21" s="100">
        <v>331.98821764707139</v>
      </c>
      <c r="CT21" s="100">
        <v>8.6047687675705866</v>
      </c>
      <c r="CU21" s="100">
        <v>536.93757109640455</v>
      </c>
    </row>
    <row r="22" spans="2:99">
      <c r="C22" s="99" t="s">
        <v>188</v>
      </c>
      <c r="D22" s="100">
        <v>7.2421404764819091</v>
      </c>
      <c r="E22" s="100">
        <v>1355.7286971974133</v>
      </c>
      <c r="F22" s="100">
        <v>5.9337097018742639</v>
      </c>
      <c r="G22" s="100">
        <v>1110.7904561908622</v>
      </c>
      <c r="H22" s="100">
        <v>5.294751481179822</v>
      </c>
      <c r="I22" s="100">
        <v>991.17747727686265</v>
      </c>
      <c r="J22" s="100">
        <v>9</v>
      </c>
      <c r="K22" s="100">
        <v>1684.8</v>
      </c>
      <c r="L22" s="100">
        <v>8</v>
      </c>
      <c r="M22" s="100">
        <v>1497.6</v>
      </c>
      <c r="N22" s="100">
        <v>5.9674273211791773</v>
      </c>
      <c r="O22" s="100">
        <v>1117.1023945247418</v>
      </c>
      <c r="P22" s="100">
        <v>4.4761980429336106</v>
      </c>
      <c r="Q22" s="100">
        <v>837.94427363717182</v>
      </c>
      <c r="R22" s="100">
        <v>9</v>
      </c>
      <c r="S22" s="100">
        <v>1684.8</v>
      </c>
      <c r="T22" s="100">
        <v>3.2157875471105331</v>
      </c>
      <c r="U22" s="100">
        <v>601.99542881909179</v>
      </c>
      <c r="V22" s="100">
        <v>10</v>
      </c>
      <c r="W22" s="100">
        <v>1872</v>
      </c>
      <c r="X22" s="100">
        <v>10</v>
      </c>
      <c r="Y22" s="100">
        <v>1872</v>
      </c>
      <c r="Z22" s="100">
        <v>8.7981319871187882</v>
      </c>
      <c r="AA22" s="100">
        <v>1647.0103079886371</v>
      </c>
      <c r="AB22" s="100">
        <v>6.5566844572548666</v>
      </c>
      <c r="AC22" s="100">
        <v>1227.411330398111</v>
      </c>
      <c r="AD22" s="100">
        <v>2.8965820032696721</v>
      </c>
      <c r="AE22" s="100">
        <v>542.24015101208261</v>
      </c>
      <c r="AF22" s="100">
        <v>6.0121015127304362</v>
      </c>
      <c r="AG22" s="100">
        <v>1125.4654031831376</v>
      </c>
      <c r="AH22" s="100">
        <v>10</v>
      </c>
      <c r="AI22" s="100">
        <v>1872</v>
      </c>
      <c r="AJ22" s="100">
        <v>8.1439879592534314</v>
      </c>
      <c r="AK22" s="100">
        <v>1524.5545459722423</v>
      </c>
      <c r="AL22" s="100">
        <v>9.6768627535490452</v>
      </c>
      <c r="AM22" s="100">
        <v>1811.5087074643811</v>
      </c>
      <c r="AN22" s="100">
        <v>8.7150262693523644</v>
      </c>
      <c r="AO22" s="100">
        <v>1631.4529176227625</v>
      </c>
      <c r="AP22" s="100">
        <v>1.2184060728172789E-3</v>
      </c>
      <c r="AQ22" s="100">
        <v>0.22808561683139458</v>
      </c>
      <c r="AR22" s="100">
        <v>9.112715945562603E-4</v>
      </c>
      <c r="AS22" s="100">
        <v>0.1705900425009319</v>
      </c>
      <c r="AT22" s="100">
        <v>8.7970787754925188E-4</v>
      </c>
      <c r="AU22" s="100">
        <v>0.16468131467721994</v>
      </c>
      <c r="AV22" s="100">
        <v>6.0008215288497553</v>
      </c>
      <c r="AW22" s="100">
        <v>1123.3537902006742</v>
      </c>
      <c r="AX22" s="100">
        <v>0.37541639411311734</v>
      </c>
      <c r="AY22" s="100">
        <v>70.277948977975555</v>
      </c>
      <c r="AZ22" s="100">
        <v>8.7165957446599442</v>
      </c>
      <c r="BA22" s="100">
        <v>1631.7467234003414</v>
      </c>
      <c r="BB22" s="100">
        <v>9.3454620710046381</v>
      </c>
      <c r="BC22" s="100">
        <v>1749.4704996920682</v>
      </c>
      <c r="BD22" s="100">
        <v>9.1609449750576388</v>
      </c>
      <c r="BE22" s="100">
        <v>1714.9288993307898</v>
      </c>
      <c r="BF22" s="100">
        <v>7.390746098258707</v>
      </c>
      <c r="BG22" s="100">
        <v>1383.5476695940299</v>
      </c>
      <c r="BH22" s="100">
        <v>7.9810737782100682</v>
      </c>
      <c r="BI22" s="100">
        <v>1494.0570112809246</v>
      </c>
      <c r="BJ22" s="100">
        <v>7.2864719446710593</v>
      </c>
      <c r="BK22" s="100">
        <v>1364.0275480424223</v>
      </c>
      <c r="BL22" s="100">
        <v>6.9068931226275279</v>
      </c>
      <c r="BM22" s="100">
        <v>1292.9703925558731</v>
      </c>
      <c r="BN22" s="100">
        <v>6.5941208170332472E-4</v>
      </c>
      <c r="BO22" s="100">
        <v>0.12344194169486238</v>
      </c>
      <c r="BP22" s="100">
        <v>11.000554344173429</v>
      </c>
      <c r="BQ22" s="100">
        <v>2059.3037732292655</v>
      </c>
      <c r="BR22" s="100">
        <v>10</v>
      </c>
      <c r="BS22" s="100">
        <v>1872</v>
      </c>
      <c r="BT22" s="100">
        <v>2.1128942158772754</v>
      </c>
      <c r="BU22" s="100">
        <v>395.53379721222592</v>
      </c>
      <c r="BV22" s="100">
        <v>7.6451130823437254E-4</v>
      </c>
      <c r="BW22" s="100">
        <v>0.14311651690147453</v>
      </c>
      <c r="BX22" s="100">
        <v>8.0004625016165498</v>
      </c>
      <c r="BY22" s="100">
        <v>1497.686580302618</v>
      </c>
      <c r="BZ22" s="100">
        <v>13</v>
      </c>
      <c r="CA22" s="100">
        <v>2433.6</v>
      </c>
      <c r="CB22" s="100">
        <v>11</v>
      </c>
      <c r="CC22" s="100">
        <v>2059.1999999999998</v>
      </c>
      <c r="CD22" s="100">
        <v>7.8290425246248292</v>
      </c>
      <c r="CE22" s="100">
        <v>1465.5967606097679</v>
      </c>
      <c r="CF22" s="100">
        <v>7.0400695117594765</v>
      </c>
      <c r="CG22" s="100">
        <v>1317.9010126013738</v>
      </c>
      <c r="CH22" s="100">
        <v>5.476352879497337E-4</v>
      </c>
      <c r="CI22" s="100">
        <v>0.10251732590419015</v>
      </c>
      <c r="CJ22" s="100">
        <v>1.8305842750392722</v>
      </c>
      <c r="CK22" s="100">
        <v>342.68537628735174</v>
      </c>
      <c r="CL22" s="100">
        <v>8.2493984677225622</v>
      </c>
      <c r="CM22" s="100">
        <v>1544.2873931576635</v>
      </c>
      <c r="CN22" s="100">
        <v>7</v>
      </c>
      <c r="CO22" s="100">
        <v>1310.3999999999999</v>
      </c>
      <c r="CP22" s="100">
        <v>2.9593454163415975</v>
      </c>
      <c r="CQ22" s="100">
        <v>553.98946193914708</v>
      </c>
      <c r="CR22" s="100">
        <v>5.3203240007543497</v>
      </c>
      <c r="CS22" s="100">
        <v>995.96465294121424</v>
      </c>
      <c r="CT22" s="100">
        <v>8.6479665366827714</v>
      </c>
      <c r="CU22" s="100">
        <v>1618.8993356670146</v>
      </c>
    </row>
    <row r="23" spans="2:99">
      <c r="C23" s="99" t="s">
        <v>189</v>
      </c>
      <c r="D23" s="100">
        <v>8.2421404764819091</v>
      </c>
      <c r="E23" s="100">
        <v>2423.1893000856812</v>
      </c>
      <c r="F23" s="100">
        <v>6.7813825164277297</v>
      </c>
      <c r="G23" s="100">
        <v>1993.7264598297525</v>
      </c>
      <c r="H23" s="100">
        <v>4.7064457610487311</v>
      </c>
      <c r="I23" s="100">
        <v>1383.6950537483269</v>
      </c>
      <c r="J23" s="100">
        <v>8</v>
      </c>
      <c r="K23" s="100">
        <v>2352</v>
      </c>
      <c r="L23" s="100">
        <v>7</v>
      </c>
      <c r="M23" s="100">
        <v>2058</v>
      </c>
      <c r="N23" s="100">
        <v>5.3043798410481573</v>
      </c>
      <c r="O23" s="100">
        <v>1559.4876732681582</v>
      </c>
      <c r="P23" s="100">
        <v>4.4761980429336106</v>
      </c>
      <c r="Q23" s="100">
        <v>1316.0022246224814</v>
      </c>
      <c r="R23" s="100">
        <v>10</v>
      </c>
      <c r="S23" s="100">
        <v>2940</v>
      </c>
      <c r="T23" s="100">
        <v>3.2157875471105331</v>
      </c>
      <c r="U23" s="100">
        <v>945.44153885049673</v>
      </c>
      <c r="V23" s="100">
        <v>11</v>
      </c>
      <c r="W23" s="100">
        <v>3234</v>
      </c>
      <c r="X23" s="100">
        <v>11</v>
      </c>
      <c r="Y23" s="100">
        <v>3234</v>
      </c>
      <c r="Z23" s="100">
        <v>9.6779451858306675</v>
      </c>
      <c r="AA23" s="100">
        <v>2845.3158846342162</v>
      </c>
      <c r="AB23" s="100">
        <v>7.2852049525054072</v>
      </c>
      <c r="AC23" s="100">
        <v>2141.8502560365896</v>
      </c>
      <c r="AD23" s="100">
        <v>2.8965820032696721</v>
      </c>
      <c r="AE23" s="100">
        <v>851.59510896128359</v>
      </c>
      <c r="AF23" s="100">
        <v>5.4108913614573924</v>
      </c>
      <c r="AG23" s="100">
        <v>1590.8020602684733</v>
      </c>
      <c r="AH23" s="100">
        <v>9</v>
      </c>
      <c r="AI23" s="100">
        <v>2646</v>
      </c>
      <c r="AJ23" s="100">
        <v>9.0488755102815919</v>
      </c>
      <c r="AK23" s="100">
        <v>2660.3694000227879</v>
      </c>
      <c r="AL23" s="100">
        <v>9.6768627535490452</v>
      </c>
      <c r="AM23" s="100">
        <v>2844.9976495434194</v>
      </c>
      <c r="AN23" s="100">
        <v>10.458031523222838</v>
      </c>
      <c r="AO23" s="100">
        <v>3074.6612678275142</v>
      </c>
      <c r="AP23" s="100">
        <v>1.1168722334158388E-3</v>
      </c>
      <c r="AQ23" s="100">
        <v>0.32836043662425662</v>
      </c>
      <c r="AR23" s="100">
        <v>9.112715945562603E-4</v>
      </c>
      <c r="AS23" s="100">
        <v>0.26791384879954055</v>
      </c>
      <c r="AT23" s="100">
        <v>9.5968016287088082E-4</v>
      </c>
      <c r="AU23" s="100">
        <v>0.28214596788403895</v>
      </c>
      <c r="AV23" s="100">
        <v>6.0006846073747964</v>
      </c>
      <c r="AW23" s="100">
        <v>1764.2012745681902</v>
      </c>
      <c r="AX23" s="100">
        <v>0.426898417039349</v>
      </c>
      <c r="AY23" s="100">
        <v>125.5081346095686</v>
      </c>
      <c r="AZ23" s="100">
        <v>8.7165957446599442</v>
      </c>
      <c r="BA23" s="100">
        <v>2562.6791489300235</v>
      </c>
      <c r="BB23" s="100">
        <v>9.3454620710046381</v>
      </c>
      <c r="BC23" s="100">
        <v>2747.5658488753638</v>
      </c>
      <c r="BD23" s="100">
        <v>10.193133970069166</v>
      </c>
      <c r="BE23" s="100">
        <v>2996.7813872003348</v>
      </c>
      <c r="BF23" s="100">
        <v>6.390746098258707</v>
      </c>
      <c r="BG23" s="100">
        <v>1878.8793528880599</v>
      </c>
      <c r="BH23" s="100">
        <v>7.9810737782100682</v>
      </c>
      <c r="BI23" s="100">
        <v>2346.4356907937599</v>
      </c>
      <c r="BJ23" s="100">
        <v>7.2864719446710593</v>
      </c>
      <c r="BK23" s="100">
        <v>2142.2227517332913</v>
      </c>
      <c r="BL23" s="100">
        <v>8.2882717471530345</v>
      </c>
      <c r="BM23" s="100">
        <v>2436.7518936629922</v>
      </c>
      <c r="BN23" s="100">
        <v>7.2134679545757079E-4</v>
      </c>
      <c r="BO23" s="100">
        <v>0.21207595786452582</v>
      </c>
      <c r="BP23" s="100">
        <v>9.0005543441734286</v>
      </c>
      <c r="BQ23" s="100">
        <v>2646.162977186988</v>
      </c>
      <c r="BR23" s="100">
        <v>9</v>
      </c>
      <c r="BS23" s="100">
        <v>2646</v>
      </c>
      <c r="BT23" s="100">
        <v>2.1128942158772754</v>
      </c>
      <c r="BU23" s="100">
        <v>621.19089946791894</v>
      </c>
      <c r="BV23" s="100">
        <v>7.6451130823437254E-4</v>
      </c>
      <c r="BW23" s="100">
        <v>0.22476632462090554</v>
      </c>
      <c r="BX23" s="100">
        <v>8.0004162514548938</v>
      </c>
      <c r="BY23" s="100">
        <v>2352.1223779277389</v>
      </c>
      <c r="BZ23" s="100">
        <v>12</v>
      </c>
      <c r="CA23" s="100">
        <v>3528</v>
      </c>
      <c r="CB23" s="100">
        <v>11</v>
      </c>
      <c r="CC23" s="100">
        <v>3234</v>
      </c>
      <c r="CD23" s="100">
        <v>8.6119467770873133</v>
      </c>
      <c r="CE23" s="100">
        <v>2531.9123524636702</v>
      </c>
      <c r="CF23" s="100">
        <v>7.0400695117594765</v>
      </c>
      <c r="CG23" s="100">
        <v>2069.7804364572862</v>
      </c>
      <c r="CH23" s="100">
        <v>4.7918087695601698E-4</v>
      </c>
      <c r="CI23" s="100">
        <v>0.14087917782506898</v>
      </c>
      <c r="CJ23" s="100">
        <v>1.5936842090012675</v>
      </c>
      <c r="CK23" s="100">
        <v>468.54315744637267</v>
      </c>
      <c r="CL23" s="100">
        <v>9.2720710556973405</v>
      </c>
      <c r="CM23" s="100">
        <v>2725.9888903750179</v>
      </c>
      <c r="CN23" s="100">
        <v>6</v>
      </c>
      <c r="CO23" s="100">
        <v>1764</v>
      </c>
      <c r="CP23" s="100">
        <v>3.2552799579757576</v>
      </c>
      <c r="CQ23" s="100">
        <v>957.05230764487271</v>
      </c>
      <c r="CR23" s="100">
        <v>5.3203240007543497</v>
      </c>
      <c r="CS23" s="100">
        <v>1564.1752562217789</v>
      </c>
      <c r="CT23" s="100">
        <v>7.6047687675705857</v>
      </c>
      <c r="CU23" s="100">
        <v>2235.8020176657524</v>
      </c>
    </row>
    <row r="24" spans="2:99">
      <c r="C24" s="99" t="s">
        <v>190</v>
      </c>
      <c r="D24" s="100">
        <v>7.3663545241300996</v>
      </c>
      <c r="E24" s="100">
        <v>2704.9253812605725</v>
      </c>
      <c r="F24" s="100">
        <v>6.7813825164277297</v>
      </c>
      <c r="G24" s="100">
        <v>2490.1236600322623</v>
      </c>
      <c r="H24" s="100">
        <v>4.7064457610487311</v>
      </c>
      <c r="I24" s="100">
        <v>1728.2068834570939</v>
      </c>
      <c r="J24" s="100">
        <v>9</v>
      </c>
      <c r="K24" s="100">
        <v>3304.7999999999997</v>
      </c>
      <c r="L24" s="100">
        <v>8</v>
      </c>
      <c r="M24" s="100">
        <v>2937.6</v>
      </c>
      <c r="N24" s="100">
        <v>5.3043798410481573</v>
      </c>
      <c r="O24" s="100">
        <v>1947.7682776328834</v>
      </c>
      <c r="P24" s="100">
        <v>4.4761980429336106</v>
      </c>
      <c r="Q24" s="100">
        <v>1643.6599213652219</v>
      </c>
      <c r="R24" s="100">
        <v>10</v>
      </c>
      <c r="S24" s="100">
        <v>3672</v>
      </c>
      <c r="T24" s="100">
        <v>3.2157875471105331</v>
      </c>
      <c r="U24" s="100">
        <v>1180.8371872989876</v>
      </c>
      <c r="V24" s="100">
        <v>10</v>
      </c>
      <c r="W24" s="100">
        <v>3672</v>
      </c>
      <c r="X24" s="100">
        <v>10</v>
      </c>
      <c r="Y24" s="100">
        <v>3672</v>
      </c>
      <c r="Z24" s="100">
        <v>8.7981319871187882</v>
      </c>
      <c r="AA24" s="100">
        <v>3230.674065670019</v>
      </c>
      <c r="AB24" s="100">
        <v>7.2852049525054072</v>
      </c>
      <c r="AC24" s="100">
        <v>2675.1272585599854</v>
      </c>
      <c r="AD24" s="100">
        <v>2.8965820032696721</v>
      </c>
      <c r="AE24" s="100">
        <v>1063.6249116006236</v>
      </c>
      <c r="AF24" s="100">
        <v>5.4108913614573924</v>
      </c>
      <c r="AG24" s="100">
        <v>1986.8793079271545</v>
      </c>
      <c r="AH24" s="100">
        <v>9</v>
      </c>
      <c r="AI24" s="100">
        <v>3304.7999999999997</v>
      </c>
      <c r="AJ24" s="100">
        <v>9.0488755102815919</v>
      </c>
      <c r="AK24" s="100">
        <v>3322.7470873754005</v>
      </c>
      <c r="AL24" s="100">
        <v>8.797147957771859</v>
      </c>
      <c r="AM24" s="100">
        <v>3230.3127300938263</v>
      </c>
      <c r="AN24" s="100">
        <v>8.7150262693523644</v>
      </c>
      <c r="AO24" s="100">
        <v>3200.1576461061882</v>
      </c>
      <c r="AP24" s="100">
        <v>1.015338394014399E-3</v>
      </c>
      <c r="AQ24" s="100">
        <v>0.37283225828208727</v>
      </c>
      <c r="AR24" s="100">
        <v>8.2842885345592017E-4</v>
      </c>
      <c r="AS24" s="100">
        <v>0.30419907498901388</v>
      </c>
      <c r="AT24" s="100">
        <v>9.5968016287088082E-4</v>
      </c>
      <c r="AU24" s="100">
        <v>0.35239455580618745</v>
      </c>
      <c r="AV24" s="100">
        <v>6.0006846073747964</v>
      </c>
      <c r="AW24" s="100">
        <v>2203.451387828025</v>
      </c>
      <c r="AX24" s="100">
        <v>0.3199025980622961</v>
      </c>
      <c r="AY24" s="100">
        <v>117.46823400847512</v>
      </c>
      <c r="AZ24" s="100">
        <v>7.8189665653256517</v>
      </c>
      <c r="BA24" s="100">
        <v>2871.1245227875793</v>
      </c>
      <c r="BB24" s="100">
        <v>8.4958746100042166</v>
      </c>
      <c r="BC24" s="100">
        <v>3119.6851567935482</v>
      </c>
      <c r="BD24" s="100">
        <v>10.193133970069166</v>
      </c>
      <c r="BE24" s="100">
        <v>3742.9187938093978</v>
      </c>
      <c r="BF24" s="100">
        <v>6.3349252270788918</v>
      </c>
      <c r="BG24" s="100">
        <v>2326.1845433833691</v>
      </c>
      <c r="BH24" s="100">
        <v>7.9810737782100682</v>
      </c>
      <c r="BI24" s="100">
        <v>2930.6502913587369</v>
      </c>
      <c r="BJ24" s="100">
        <v>7.2864719446710593</v>
      </c>
      <c r="BK24" s="100">
        <v>2675.5924980832128</v>
      </c>
      <c r="BL24" s="100">
        <v>7.5975824348902812</v>
      </c>
      <c r="BM24" s="100">
        <v>2789.8322700917111</v>
      </c>
      <c r="BN24" s="100">
        <v>6.5941208170332472E-4</v>
      </c>
      <c r="BO24" s="100">
        <v>0.24213611640146082</v>
      </c>
      <c r="BP24" s="100">
        <v>9.0005543441734286</v>
      </c>
      <c r="BQ24" s="100">
        <v>3305.0035551804831</v>
      </c>
      <c r="BR24" s="100">
        <v>10</v>
      </c>
      <c r="BS24" s="100">
        <v>3672</v>
      </c>
      <c r="BT24" s="100">
        <v>1.848782438892616</v>
      </c>
      <c r="BU24" s="100">
        <v>678.8729115613686</v>
      </c>
      <c r="BV24" s="100">
        <v>7.057027460624977E-4</v>
      </c>
      <c r="BW24" s="100">
        <v>0.25913404835414916</v>
      </c>
      <c r="BX24" s="100">
        <v>7.0004162514548938</v>
      </c>
      <c r="BY24" s="100">
        <v>2570.5528475342371</v>
      </c>
      <c r="BZ24" s="100">
        <v>11</v>
      </c>
      <c r="CA24" s="100">
        <v>4039.2</v>
      </c>
      <c r="CB24" s="100">
        <v>11</v>
      </c>
      <c r="CC24" s="100">
        <v>4039.2</v>
      </c>
      <c r="CD24" s="100">
        <v>7.8290425246248292</v>
      </c>
      <c r="CE24" s="100">
        <v>2874.824415042237</v>
      </c>
      <c r="CF24" s="100">
        <v>7.0400695117594765</v>
      </c>
      <c r="CG24" s="100">
        <v>2585.1135247180796</v>
      </c>
      <c r="CH24" s="100">
        <v>4.7918087695601698E-4</v>
      </c>
      <c r="CI24" s="100">
        <v>0.17595521801824943</v>
      </c>
      <c r="CJ24" s="100">
        <v>1.5829164707029402</v>
      </c>
      <c r="CK24" s="100">
        <v>581.24692804211963</v>
      </c>
      <c r="CL24" s="100">
        <v>8.2267258797477822</v>
      </c>
      <c r="CM24" s="100">
        <v>3020.8537430433857</v>
      </c>
      <c r="CN24" s="100">
        <v>7</v>
      </c>
      <c r="CO24" s="100">
        <v>2570.4</v>
      </c>
      <c r="CP24" s="100">
        <v>3.2552799579757576</v>
      </c>
      <c r="CQ24" s="100">
        <v>1195.3388005686982</v>
      </c>
      <c r="CR24" s="100">
        <v>5.3203240007543497</v>
      </c>
      <c r="CS24" s="100">
        <v>1953.6229730769971</v>
      </c>
      <c r="CT24" s="100">
        <v>7.5615709984584019</v>
      </c>
      <c r="CU24" s="100">
        <v>2776.6088706339251</v>
      </c>
    </row>
    <row r="25" spans="2:99">
      <c r="C25" s="99" t="s">
        <v>191</v>
      </c>
      <c r="D25" s="100">
        <v>7.3663545241300996</v>
      </c>
      <c r="E25" s="100">
        <v>3907.1144395986048</v>
      </c>
      <c r="F25" s="100">
        <v>5.9337097018742639</v>
      </c>
      <c r="G25" s="100">
        <v>3147.2396258741096</v>
      </c>
      <c r="H25" s="100">
        <v>4.7064457610487311</v>
      </c>
      <c r="I25" s="100">
        <v>2496.2988316602468</v>
      </c>
      <c r="J25" s="100">
        <v>8</v>
      </c>
      <c r="K25" s="100">
        <v>4243.2</v>
      </c>
      <c r="L25" s="100">
        <v>8</v>
      </c>
      <c r="M25" s="100">
        <v>4243.2</v>
      </c>
      <c r="N25" s="100">
        <v>5.9674273211791773</v>
      </c>
      <c r="O25" s="100">
        <v>3165.1234511534353</v>
      </c>
      <c r="P25" s="100">
        <v>4.4761980429336106</v>
      </c>
      <c r="Q25" s="100">
        <v>2374.1754419719869</v>
      </c>
      <c r="R25" s="100">
        <v>9</v>
      </c>
      <c r="S25" s="100">
        <v>4773.5999999999995</v>
      </c>
      <c r="T25" s="100">
        <v>3.2157875471105331</v>
      </c>
      <c r="U25" s="100">
        <v>1705.6537149874266</v>
      </c>
      <c r="V25" s="100">
        <v>9</v>
      </c>
      <c r="W25" s="100">
        <v>4773.5999999999995</v>
      </c>
      <c r="X25" s="100">
        <v>11</v>
      </c>
      <c r="Y25" s="100">
        <v>5834.4</v>
      </c>
      <c r="Z25" s="100">
        <v>7.9183187884069088</v>
      </c>
      <c r="AA25" s="100">
        <v>4199.8762853710241</v>
      </c>
      <c r="AB25" s="100">
        <v>6.5566844572548666</v>
      </c>
      <c r="AC25" s="100">
        <v>3477.6654361279811</v>
      </c>
      <c r="AD25" s="100">
        <v>2.4138183360580601</v>
      </c>
      <c r="AE25" s="100">
        <v>1280.2892454451951</v>
      </c>
      <c r="AF25" s="100">
        <v>5.4108913614573924</v>
      </c>
      <c r="AG25" s="100">
        <v>2869.9367781170008</v>
      </c>
      <c r="AH25" s="100">
        <v>10</v>
      </c>
      <c r="AI25" s="100">
        <v>5304</v>
      </c>
      <c r="AJ25" s="100">
        <v>9.0488755102815919</v>
      </c>
      <c r="AK25" s="100">
        <v>4799.5235706533558</v>
      </c>
      <c r="AL25" s="100">
        <v>9.6768627535490452</v>
      </c>
      <c r="AM25" s="100">
        <v>5132.608004482413</v>
      </c>
      <c r="AN25" s="100">
        <v>9.5865288962876019</v>
      </c>
      <c r="AO25" s="100">
        <v>5084.6949265909434</v>
      </c>
      <c r="AP25" s="100">
        <v>1.015338394014399E-3</v>
      </c>
      <c r="AQ25" s="100">
        <v>0.53853548418523722</v>
      </c>
      <c r="AR25" s="100">
        <v>8.2842981509093257E-4</v>
      </c>
      <c r="AS25" s="100">
        <v>0.43939917392423061</v>
      </c>
      <c r="AT25" s="100">
        <v>7.9973468229824186E-4</v>
      </c>
      <c r="AU25" s="100">
        <v>0.42417927549098744</v>
      </c>
      <c r="AV25" s="100">
        <v>6.0007530681122763</v>
      </c>
      <c r="AW25" s="100">
        <v>3182.7994273267514</v>
      </c>
      <c r="AX25" s="100">
        <v>0.37743228067541212</v>
      </c>
      <c r="AY25" s="100">
        <v>200.19008167023858</v>
      </c>
      <c r="AZ25" s="100">
        <v>8.8189665653256508</v>
      </c>
      <c r="BA25" s="100">
        <v>4677.579866248725</v>
      </c>
      <c r="BB25" s="100">
        <v>7.6462871490037951</v>
      </c>
      <c r="BC25" s="100">
        <v>4055.5907038316127</v>
      </c>
      <c r="BD25" s="100">
        <v>9.1931339700691659</v>
      </c>
      <c r="BE25" s="100">
        <v>4876.0382577246855</v>
      </c>
      <c r="BF25" s="100">
        <v>7.3628356626687994</v>
      </c>
      <c r="BG25" s="100">
        <v>3905.2480354795312</v>
      </c>
      <c r="BH25" s="100">
        <v>7.9810737782100682</v>
      </c>
      <c r="BI25" s="100">
        <v>4233.1615319626198</v>
      </c>
      <c r="BJ25" s="100">
        <v>6.4768639508187196</v>
      </c>
      <c r="BK25" s="100">
        <v>3435.3286395142486</v>
      </c>
      <c r="BL25" s="100">
        <v>6.9068931226275279</v>
      </c>
      <c r="BM25" s="100">
        <v>3663.4161122416408</v>
      </c>
      <c r="BN25" s="100">
        <v>7.182648766759659E-4</v>
      </c>
      <c r="BO25" s="100">
        <v>0.38096769058893232</v>
      </c>
      <c r="BP25" s="100">
        <v>9.0005543441734286</v>
      </c>
      <c r="BQ25" s="100">
        <v>4773.8940241495866</v>
      </c>
      <c r="BR25" s="100">
        <v>9</v>
      </c>
      <c r="BS25" s="100">
        <v>4773.5999999999995</v>
      </c>
      <c r="BT25" s="100">
        <v>2.1128942158772754</v>
      </c>
      <c r="BU25" s="100">
        <v>1120.6790921013069</v>
      </c>
      <c r="BV25" s="100">
        <v>7.057027460624977E-4</v>
      </c>
      <c r="BW25" s="100">
        <v>0.37430473651154877</v>
      </c>
      <c r="BX25" s="100">
        <v>7.0004625016165489</v>
      </c>
      <c r="BY25" s="100">
        <v>3713.0453108574175</v>
      </c>
      <c r="BZ25" s="100">
        <v>11</v>
      </c>
      <c r="CA25" s="100">
        <v>5834.4</v>
      </c>
      <c r="CB25" s="100">
        <v>11</v>
      </c>
      <c r="CC25" s="100">
        <v>5834.4</v>
      </c>
      <c r="CD25" s="100">
        <v>8.6119467770873133</v>
      </c>
      <c r="CE25" s="100">
        <v>4567.7765705671109</v>
      </c>
      <c r="CF25" s="100">
        <v>6.1600608227895419</v>
      </c>
      <c r="CG25" s="100">
        <v>3267.2962604075728</v>
      </c>
      <c r="CH25" s="100">
        <v>4.7918087695601698E-4</v>
      </c>
      <c r="CI25" s="100">
        <v>0.25415753713747141</v>
      </c>
      <c r="CJ25" s="100">
        <v>1.8413520133375998</v>
      </c>
      <c r="CK25" s="100">
        <v>976.6531078742629</v>
      </c>
      <c r="CL25" s="100">
        <v>8.2720710556973405</v>
      </c>
      <c r="CM25" s="100">
        <v>4387.5064879418696</v>
      </c>
      <c r="CN25" s="100">
        <v>6</v>
      </c>
      <c r="CO25" s="100">
        <v>3182.3999999999996</v>
      </c>
      <c r="CP25" s="100">
        <v>2.9593454163415975</v>
      </c>
      <c r="CQ25" s="100">
        <v>1569.6368088275833</v>
      </c>
      <c r="CR25" s="100">
        <v>6.0803702865764002</v>
      </c>
      <c r="CS25" s="100">
        <v>3225.0284000001225</v>
      </c>
      <c r="CT25" s="100">
        <v>8.6047687675705866</v>
      </c>
      <c r="CU25" s="100">
        <v>4563.9693543194389</v>
      </c>
    </row>
    <row r="26" spans="2:99">
      <c r="C26" s="99" t="s">
        <v>192</v>
      </c>
      <c r="D26" s="100">
        <v>8.3663545241300987</v>
      </c>
      <c r="E26" s="100">
        <v>4066.048298727228</v>
      </c>
      <c r="F26" s="100">
        <v>5.0860368873207982</v>
      </c>
      <c r="G26" s="100">
        <v>2471.813927237908</v>
      </c>
      <c r="H26" s="100">
        <v>4.1181400409176394</v>
      </c>
      <c r="I26" s="100">
        <v>2001.4160598859728</v>
      </c>
      <c r="J26" s="100">
        <v>8</v>
      </c>
      <c r="K26" s="100">
        <v>3888</v>
      </c>
      <c r="L26" s="100">
        <v>8</v>
      </c>
      <c r="M26" s="100">
        <v>3888</v>
      </c>
      <c r="N26" s="100">
        <v>5.9674273211791773</v>
      </c>
      <c r="O26" s="100">
        <v>2900.1696780930802</v>
      </c>
      <c r="P26" s="100">
        <v>5.2222310500892117</v>
      </c>
      <c r="Q26" s="100">
        <v>2538.0042903433568</v>
      </c>
      <c r="R26" s="100">
        <v>9</v>
      </c>
      <c r="S26" s="100">
        <v>4374</v>
      </c>
      <c r="T26" s="100">
        <v>3.5730972745672593</v>
      </c>
      <c r="U26" s="100">
        <v>1736.5252754396881</v>
      </c>
      <c r="V26" s="100">
        <v>10</v>
      </c>
      <c r="W26" s="100">
        <v>4860</v>
      </c>
      <c r="X26" s="100">
        <v>9</v>
      </c>
      <c r="Y26" s="100">
        <v>4374</v>
      </c>
      <c r="Z26" s="100">
        <v>7.9183187884069088</v>
      </c>
      <c r="AA26" s="100">
        <v>3848.3029311657579</v>
      </c>
      <c r="AB26" s="100">
        <v>7.2852049525054072</v>
      </c>
      <c r="AC26" s="100">
        <v>3540.6096069176278</v>
      </c>
      <c r="AD26" s="100">
        <v>2.4138183360580601</v>
      </c>
      <c r="AE26" s="100">
        <v>1173.1157113242173</v>
      </c>
      <c r="AF26" s="100">
        <v>5.4108913614573924</v>
      </c>
      <c r="AG26" s="100">
        <v>2629.6932016682927</v>
      </c>
      <c r="AH26" s="100">
        <v>9</v>
      </c>
      <c r="AI26" s="100">
        <v>4374</v>
      </c>
      <c r="AJ26" s="100">
        <v>9.0488755102815919</v>
      </c>
      <c r="AK26" s="100">
        <v>4397.7534979968541</v>
      </c>
      <c r="AL26" s="100">
        <v>8.797147957771859</v>
      </c>
      <c r="AM26" s="100">
        <v>4275.4139074771238</v>
      </c>
      <c r="AN26" s="100">
        <v>9.5865288962876019</v>
      </c>
      <c r="AO26" s="100">
        <v>4659.0530435957744</v>
      </c>
      <c r="AP26" s="100">
        <v>1.1168722334158388E-3</v>
      </c>
      <c r="AQ26" s="100">
        <v>0.54279990544009771</v>
      </c>
      <c r="AR26" s="100">
        <v>8.2842933427342642E-4</v>
      </c>
      <c r="AS26" s="100">
        <v>0.40261665645688527</v>
      </c>
      <c r="AT26" s="100">
        <v>8.7970696761987079E-4</v>
      </c>
      <c r="AU26" s="100">
        <v>0.42753758626325722</v>
      </c>
      <c r="AV26" s="100">
        <v>6.0007530681122763</v>
      </c>
      <c r="AW26" s="100">
        <v>2916.3659911025661</v>
      </c>
      <c r="AX26" s="100">
        <v>0.37541639411311734</v>
      </c>
      <c r="AY26" s="100">
        <v>182.45236753897501</v>
      </c>
      <c r="AZ26" s="100">
        <v>8.7677811549927984</v>
      </c>
      <c r="BA26" s="100">
        <v>4261.1416413264997</v>
      </c>
      <c r="BB26" s="100">
        <v>7.6462871490037951</v>
      </c>
      <c r="BC26" s="100">
        <v>3716.0955544158446</v>
      </c>
      <c r="BD26" s="100">
        <v>9.1931339700691659</v>
      </c>
      <c r="BE26" s="100">
        <v>4467.8631094536149</v>
      </c>
      <c r="BF26" s="100">
        <v>6.3628356626687994</v>
      </c>
      <c r="BG26" s="100">
        <v>3092.3381320570365</v>
      </c>
      <c r="BH26" s="100">
        <v>7.9810737782100682</v>
      </c>
      <c r="BI26" s="100">
        <v>3878.8018562100933</v>
      </c>
      <c r="BJ26" s="100">
        <v>7.2864719446710593</v>
      </c>
      <c r="BK26" s="100">
        <v>3541.225365110135</v>
      </c>
      <c r="BL26" s="100">
        <v>7.5975824348902812</v>
      </c>
      <c r="BM26" s="100">
        <v>3692.4250633566767</v>
      </c>
      <c r="BN26" s="100">
        <v>6.5633016292171984E-4</v>
      </c>
      <c r="BO26" s="100">
        <v>0.31897645917995582</v>
      </c>
      <c r="BP26" s="100">
        <v>9.0005039492485714</v>
      </c>
      <c r="BQ26" s="100">
        <v>4374.2449193348057</v>
      </c>
      <c r="BR26" s="100">
        <v>9</v>
      </c>
      <c r="BS26" s="100">
        <v>4374</v>
      </c>
      <c r="BT26" s="100">
        <v>1.848782438892616</v>
      </c>
      <c r="BU26" s="100">
        <v>898.50826530181132</v>
      </c>
      <c r="BV26" s="100">
        <v>6.4689418389062296E-4</v>
      </c>
      <c r="BW26" s="100">
        <v>0.31439057337084275</v>
      </c>
      <c r="BX26" s="100">
        <v>7.0004625016165489</v>
      </c>
      <c r="BY26" s="100">
        <v>3402.2247757856426</v>
      </c>
      <c r="BZ26" s="100">
        <v>11</v>
      </c>
      <c r="CA26" s="100">
        <v>5346</v>
      </c>
      <c r="CB26" s="100">
        <v>11</v>
      </c>
      <c r="CC26" s="100">
        <v>5346</v>
      </c>
      <c r="CD26" s="100">
        <v>8.6119467770873133</v>
      </c>
      <c r="CE26" s="100">
        <v>4185.4061336644345</v>
      </c>
      <c r="CF26" s="100">
        <v>6.1600608227895419</v>
      </c>
      <c r="CG26" s="100">
        <v>2993.7895598757173</v>
      </c>
      <c r="CH26" s="100">
        <v>5.476352879497337E-4</v>
      </c>
      <c r="CI26" s="100">
        <v>0.26615074994357057</v>
      </c>
      <c r="CJ26" s="100">
        <v>1.5829164707029402</v>
      </c>
      <c r="CK26" s="100">
        <v>769.29740476162897</v>
      </c>
      <c r="CL26" s="100">
        <v>9.2493984677225622</v>
      </c>
      <c r="CM26" s="100">
        <v>4495.2076553131656</v>
      </c>
      <c r="CN26" s="100">
        <v>6</v>
      </c>
      <c r="CO26" s="100">
        <v>2916</v>
      </c>
      <c r="CP26" s="100">
        <v>2.9593454163415975</v>
      </c>
      <c r="CQ26" s="100">
        <v>1438.2418723420164</v>
      </c>
      <c r="CR26" s="100">
        <v>6.0803702865764002</v>
      </c>
      <c r="CS26" s="100">
        <v>2955.0599592761305</v>
      </c>
      <c r="CT26" s="100">
        <v>7.6047687675705857</v>
      </c>
      <c r="CU26" s="100">
        <v>3695.9176210393048</v>
      </c>
    </row>
    <row r="27" spans="2:99">
      <c r="C27" s="99" t="s">
        <v>193</v>
      </c>
      <c r="D27" s="100">
        <v>7.2421404764819091</v>
      </c>
      <c r="E27" s="100">
        <v>3093.8424115530715</v>
      </c>
      <c r="F27" s="100">
        <v>6.7813825164277297</v>
      </c>
      <c r="G27" s="100">
        <v>2897.0066110179259</v>
      </c>
      <c r="H27" s="100">
        <v>4.1181400409176394</v>
      </c>
      <c r="I27" s="100">
        <v>1759.2694254800156</v>
      </c>
      <c r="J27" s="100">
        <v>8</v>
      </c>
      <c r="K27" s="100">
        <v>3417.6</v>
      </c>
      <c r="L27" s="100">
        <v>9</v>
      </c>
      <c r="M27" s="100">
        <v>3844.7999999999997</v>
      </c>
      <c r="N27" s="100">
        <v>5.3043798410481573</v>
      </c>
      <c r="O27" s="100">
        <v>2266.0310680957728</v>
      </c>
      <c r="P27" s="100">
        <v>4.4761980429336106</v>
      </c>
      <c r="Q27" s="100">
        <v>1912.2318039412385</v>
      </c>
      <c r="R27" s="100">
        <v>10</v>
      </c>
      <c r="S27" s="100">
        <v>4272</v>
      </c>
      <c r="T27" s="100">
        <v>3.2157875471105331</v>
      </c>
      <c r="U27" s="100">
        <v>1373.7844401256198</v>
      </c>
      <c r="V27" s="100">
        <v>10</v>
      </c>
      <c r="W27" s="100">
        <v>4272</v>
      </c>
      <c r="X27" s="100">
        <v>9</v>
      </c>
      <c r="Y27" s="100">
        <v>3844.7999999999997</v>
      </c>
      <c r="Z27" s="100">
        <v>8.7981319871187882</v>
      </c>
      <c r="AA27" s="100">
        <v>3758.5619848971464</v>
      </c>
      <c r="AB27" s="100">
        <v>7.2852049525054072</v>
      </c>
      <c r="AC27" s="100">
        <v>3112.23955571031</v>
      </c>
      <c r="AD27" s="100">
        <v>2.6552001696638659</v>
      </c>
      <c r="AE27" s="100">
        <v>1134.3015124804035</v>
      </c>
      <c r="AF27" s="100">
        <v>5.4108913614573924</v>
      </c>
      <c r="AG27" s="100">
        <v>2311.5327896145977</v>
      </c>
      <c r="AH27" s="100">
        <v>10</v>
      </c>
      <c r="AI27" s="100">
        <v>4272</v>
      </c>
      <c r="AJ27" s="100">
        <v>9.0488755102815919</v>
      </c>
      <c r="AK27" s="100">
        <v>3865.6796179922958</v>
      </c>
      <c r="AL27" s="100">
        <v>9.6768627535490452</v>
      </c>
      <c r="AM27" s="100">
        <v>4133.955768316152</v>
      </c>
      <c r="AN27" s="100">
        <v>9.5865288962876019</v>
      </c>
      <c r="AO27" s="100">
        <v>4095.3651444940633</v>
      </c>
      <c r="AP27" s="100">
        <v>1.1168722334158388E-3</v>
      </c>
      <c r="AQ27" s="100">
        <v>0.47712781811524635</v>
      </c>
      <c r="AR27" s="100">
        <v>8.2842933427342642E-4</v>
      </c>
      <c r="AS27" s="100">
        <v>0.35390501160160776</v>
      </c>
      <c r="AT27" s="100">
        <v>9.5967970790619033E-4</v>
      </c>
      <c r="AU27" s="100">
        <v>0.40997517121752453</v>
      </c>
      <c r="AV27" s="100">
        <v>6.0008215288497553</v>
      </c>
      <c r="AW27" s="100">
        <v>2563.5509571246153</v>
      </c>
      <c r="AX27" s="100">
        <v>0.37541639411311734</v>
      </c>
      <c r="AY27" s="100">
        <v>160.37788356512371</v>
      </c>
      <c r="AZ27" s="100">
        <v>7.7677811549927984</v>
      </c>
      <c r="BA27" s="100">
        <v>3318.3961094129236</v>
      </c>
      <c r="BB27" s="100">
        <v>8.4958746100042166</v>
      </c>
      <c r="BC27" s="100">
        <v>3629.4376333938012</v>
      </c>
      <c r="BD27" s="100">
        <v>10.193133970069166</v>
      </c>
      <c r="BE27" s="100">
        <v>4354.5068320135479</v>
      </c>
      <c r="BF27" s="100">
        <v>5.390746098258707</v>
      </c>
      <c r="BG27" s="100">
        <v>2302.9267331761193</v>
      </c>
      <c r="BH27" s="100">
        <v>7.9810737782100682</v>
      </c>
      <c r="BI27" s="100">
        <v>3409.5147180513409</v>
      </c>
      <c r="BJ27" s="100">
        <v>5.667255956966379</v>
      </c>
      <c r="BK27" s="100">
        <v>2421.0517448160372</v>
      </c>
      <c r="BL27" s="100">
        <v>6.9068931226275279</v>
      </c>
      <c r="BM27" s="100">
        <v>2950.6247419864799</v>
      </c>
      <c r="BN27" s="100">
        <v>6.5941208170332472E-4</v>
      </c>
      <c r="BO27" s="100">
        <v>0.2817008413036603</v>
      </c>
      <c r="BP27" s="100">
        <v>9.0005039492485714</v>
      </c>
      <c r="BQ27" s="100">
        <v>3845.0152871189898</v>
      </c>
      <c r="BR27" s="100">
        <v>10</v>
      </c>
      <c r="BS27" s="100">
        <v>4272</v>
      </c>
      <c r="BT27" s="100">
        <v>2.1128942158772754</v>
      </c>
      <c r="BU27" s="100">
        <v>902.62840902277208</v>
      </c>
      <c r="BV27" s="100">
        <v>6.4689418389062296E-4</v>
      </c>
      <c r="BW27" s="100">
        <v>0.27635319535807412</v>
      </c>
      <c r="BX27" s="100">
        <v>8.0004162514548938</v>
      </c>
      <c r="BY27" s="100">
        <v>3417.7778226215305</v>
      </c>
      <c r="BZ27" s="100">
        <v>12</v>
      </c>
      <c r="CA27" s="100">
        <v>5126.3999999999996</v>
      </c>
      <c r="CB27" s="100">
        <v>10</v>
      </c>
      <c r="CC27" s="100">
        <v>4272</v>
      </c>
      <c r="CD27" s="100">
        <v>7.8290425246248292</v>
      </c>
      <c r="CE27" s="100">
        <v>3344.566966519727</v>
      </c>
      <c r="CF27" s="100">
        <v>7.0400695117594765</v>
      </c>
      <c r="CG27" s="100">
        <v>3007.5176954236481</v>
      </c>
      <c r="CH27" s="100">
        <v>4.7918087695601698E-4</v>
      </c>
      <c r="CI27" s="100">
        <v>0.20470607063561044</v>
      </c>
      <c r="CJ27" s="100">
        <v>1.5936842090012675</v>
      </c>
      <c r="CK27" s="100">
        <v>680.82189408534146</v>
      </c>
      <c r="CL27" s="100">
        <v>8.2720710556973405</v>
      </c>
      <c r="CM27" s="100">
        <v>3533.8287549939037</v>
      </c>
      <c r="CN27" s="100">
        <v>7</v>
      </c>
      <c r="CO27" s="100">
        <v>2990.4</v>
      </c>
      <c r="CP27" s="100">
        <v>2.9593454163415975</v>
      </c>
      <c r="CQ27" s="100">
        <v>1264.2323618611304</v>
      </c>
      <c r="CR27" s="100">
        <v>5.3203240007543497</v>
      </c>
      <c r="CS27" s="100">
        <v>2272.8424131222582</v>
      </c>
      <c r="CT27" s="100">
        <v>7.5615709984584019</v>
      </c>
      <c r="CU27" s="100">
        <v>3230.3031305414293</v>
      </c>
    </row>
    <row r="28" spans="2:99">
      <c r="C28" s="99" t="s">
        <v>194</v>
      </c>
      <c r="D28" s="100">
        <v>7.2421404764819091</v>
      </c>
      <c r="E28" s="100">
        <v>5344.6996716436488</v>
      </c>
      <c r="F28" s="100">
        <v>5.9337097018742639</v>
      </c>
      <c r="G28" s="100">
        <v>4379.0777599832072</v>
      </c>
      <c r="H28" s="100">
        <v>4.1181400409176394</v>
      </c>
      <c r="I28" s="100">
        <v>3039.1873501972177</v>
      </c>
      <c r="J28" s="100">
        <v>9</v>
      </c>
      <c r="K28" s="100">
        <v>6642</v>
      </c>
      <c r="L28" s="100">
        <v>7</v>
      </c>
      <c r="M28" s="100">
        <v>5166</v>
      </c>
      <c r="N28" s="100">
        <v>5.3043798410481573</v>
      </c>
      <c r="O28" s="100">
        <v>3914.6323226935401</v>
      </c>
      <c r="P28" s="100">
        <v>4.4761980429336106</v>
      </c>
      <c r="Q28" s="100">
        <v>3303.4341556850045</v>
      </c>
      <c r="R28" s="100">
        <v>10</v>
      </c>
      <c r="S28" s="100">
        <v>7380</v>
      </c>
      <c r="T28" s="100">
        <v>3.2157875471105331</v>
      </c>
      <c r="U28" s="100">
        <v>2373.2512097675735</v>
      </c>
      <c r="V28" s="100">
        <v>11</v>
      </c>
      <c r="W28" s="100">
        <v>8118</v>
      </c>
      <c r="X28" s="100">
        <v>10</v>
      </c>
      <c r="Y28" s="100">
        <v>7380</v>
      </c>
      <c r="Z28" s="100">
        <v>7.9183187884069088</v>
      </c>
      <c r="AA28" s="100">
        <v>5843.7192658442991</v>
      </c>
      <c r="AB28" s="100">
        <v>6.5566844572548666</v>
      </c>
      <c r="AC28" s="100">
        <v>4838.8331294540912</v>
      </c>
      <c r="AD28" s="100">
        <v>2.6552001696638659</v>
      </c>
      <c r="AE28" s="100">
        <v>1959.5377252119331</v>
      </c>
      <c r="AF28" s="100">
        <v>4.8096812101843485</v>
      </c>
      <c r="AG28" s="100">
        <v>3549.544733116049</v>
      </c>
      <c r="AH28" s="100">
        <v>9</v>
      </c>
      <c r="AI28" s="100">
        <v>6642</v>
      </c>
      <c r="AJ28" s="100">
        <v>8.1439879592534314</v>
      </c>
      <c r="AK28" s="100">
        <v>6010.2631139290324</v>
      </c>
      <c r="AL28" s="100">
        <v>9.6768627535490452</v>
      </c>
      <c r="AM28" s="100">
        <v>7141.5247121191951</v>
      </c>
      <c r="AN28" s="100">
        <v>7.8435236424171286</v>
      </c>
      <c r="AO28" s="100">
        <v>5788.5204481038409</v>
      </c>
      <c r="AP28" s="100">
        <v>1.2184060728172789E-3</v>
      </c>
      <c r="AQ28" s="100">
        <v>0.89918368173915186</v>
      </c>
      <c r="AR28" s="100">
        <v>8.2842885345592017E-4</v>
      </c>
      <c r="AS28" s="100">
        <v>0.61138049385046911</v>
      </c>
      <c r="AT28" s="100">
        <v>8.7970651265518031E-4</v>
      </c>
      <c r="AU28" s="100">
        <v>0.64922340633952302</v>
      </c>
      <c r="AV28" s="100">
        <v>6.0007530681122763</v>
      </c>
      <c r="AW28" s="100">
        <v>4428.55576426686</v>
      </c>
      <c r="AX28" s="100">
        <v>0.36936873442623308</v>
      </c>
      <c r="AY28" s="100">
        <v>272.59412600656003</v>
      </c>
      <c r="AZ28" s="100">
        <v>7.6654103343270918</v>
      </c>
      <c r="BA28" s="100">
        <v>5657.0728267333934</v>
      </c>
      <c r="BB28" s="100">
        <v>7.6462871490037951</v>
      </c>
      <c r="BC28" s="100">
        <v>5642.9599159648005</v>
      </c>
      <c r="BD28" s="100">
        <v>9.1931339700691659</v>
      </c>
      <c r="BE28" s="100">
        <v>6784.5328699110441</v>
      </c>
      <c r="BF28" s="100">
        <v>6.3349252270788918</v>
      </c>
      <c r="BG28" s="100">
        <v>4675.1748175842222</v>
      </c>
      <c r="BH28" s="100">
        <v>6.9834395559338089</v>
      </c>
      <c r="BI28" s="100">
        <v>5153.7783922791514</v>
      </c>
      <c r="BJ28" s="100">
        <v>6.4768639508187196</v>
      </c>
      <c r="BK28" s="100">
        <v>4779.9255957042151</v>
      </c>
      <c r="BL28" s="100">
        <v>6.9068931226275279</v>
      </c>
      <c r="BM28" s="100">
        <v>5097.2871244991156</v>
      </c>
      <c r="BN28" s="100">
        <v>6.0055928673068376E-4</v>
      </c>
      <c r="BO28" s="100">
        <v>0.4432127536072446</v>
      </c>
      <c r="BP28" s="100">
        <v>9.0005039492485714</v>
      </c>
      <c r="BQ28" s="100">
        <v>6642.3719145454461</v>
      </c>
      <c r="BR28" s="100">
        <v>10</v>
      </c>
      <c r="BS28" s="100">
        <v>7380</v>
      </c>
      <c r="BT28" s="100">
        <v>2.1128942158772754</v>
      </c>
      <c r="BU28" s="100">
        <v>1559.3159313174292</v>
      </c>
      <c r="BV28" s="100">
        <v>6.4689418389062296E-4</v>
      </c>
      <c r="BW28" s="100">
        <v>0.47740790771127972</v>
      </c>
      <c r="BX28" s="100">
        <v>7.0004625016165489</v>
      </c>
      <c r="BY28" s="100">
        <v>5166.3413261930127</v>
      </c>
      <c r="BZ28" s="100">
        <v>11</v>
      </c>
      <c r="CA28" s="100">
        <v>8118</v>
      </c>
      <c r="CB28" s="100">
        <v>12</v>
      </c>
      <c r="CC28" s="100">
        <v>8856</v>
      </c>
      <c r="CD28" s="100">
        <v>7.8290425246248292</v>
      </c>
      <c r="CE28" s="100">
        <v>5777.8333831731243</v>
      </c>
      <c r="CF28" s="100">
        <v>6.1600608227895419</v>
      </c>
      <c r="CG28" s="100">
        <v>4546.1248872186816</v>
      </c>
      <c r="CH28" s="100">
        <v>4.7918087695601698E-4</v>
      </c>
      <c r="CI28" s="100">
        <v>0.35363548719354054</v>
      </c>
      <c r="CJ28" s="100">
        <v>1.5936842090012675</v>
      </c>
      <c r="CK28" s="100">
        <v>1176.1389462429354</v>
      </c>
      <c r="CL28" s="100">
        <v>8.2267258797477822</v>
      </c>
      <c r="CM28" s="100">
        <v>6071.3236992538632</v>
      </c>
      <c r="CN28" s="100">
        <v>6</v>
      </c>
      <c r="CO28" s="100">
        <v>4428</v>
      </c>
      <c r="CP28" s="100">
        <v>2.9593454163415975</v>
      </c>
      <c r="CQ28" s="100">
        <v>2183.9969172600991</v>
      </c>
      <c r="CR28" s="100">
        <v>5.3203240007543497</v>
      </c>
      <c r="CS28" s="100">
        <v>3926.39911255671</v>
      </c>
      <c r="CT28" s="100">
        <v>7.6479665366827714</v>
      </c>
      <c r="CU28" s="100">
        <v>5644.1993040718853</v>
      </c>
    </row>
    <row r="29" spans="2:99">
      <c r="C29" s="99" t="s">
        <v>195</v>
      </c>
      <c r="D29" s="100">
        <v>7.2421404764819091</v>
      </c>
      <c r="E29" s="100">
        <v>2450.7403372414778</v>
      </c>
      <c r="F29" s="100">
        <v>5.9337097018742639</v>
      </c>
      <c r="G29" s="100">
        <v>2007.9673631142507</v>
      </c>
      <c r="H29" s="100">
        <v>4.7064457610487311</v>
      </c>
      <c r="I29" s="100">
        <v>1592.6612455388904</v>
      </c>
      <c r="J29" s="100">
        <v>9</v>
      </c>
      <c r="K29" s="100">
        <v>3045.6</v>
      </c>
      <c r="L29" s="100">
        <v>7</v>
      </c>
      <c r="M29" s="100">
        <v>2368.7999999999997</v>
      </c>
      <c r="N29" s="100">
        <v>5.9674273211791773</v>
      </c>
      <c r="O29" s="100">
        <v>2019.3774054870335</v>
      </c>
      <c r="P29" s="100">
        <v>4.4761980429336106</v>
      </c>
      <c r="Q29" s="100">
        <v>1514.7454177287336</v>
      </c>
      <c r="R29" s="100">
        <v>10</v>
      </c>
      <c r="S29" s="100">
        <v>3384</v>
      </c>
      <c r="T29" s="100">
        <v>3.5730972745672593</v>
      </c>
      <c r="U29" s="100">
        <v>1209.1361177135605</v>
      </c>
      <c r="V29" s="100">
        <v>10</v>
      </c>
      <c r="W29" s="100">
        <v>3384</v>
      </c>
      <c r="X29" s="100">
        <v>11</v>
      </c>
      <c r="Y29" s="100">
        <v>3722.3999999999996</v>
      </c>
      <c r="Z29" s="100">
        <v>8.7981319871187882</v>
      </c>
      <c r="AA29" s="100">
        <v>2977.2878644409975</v>
      </c>
      <c r="AB29" s="100">
        <v>7.2852049525054072</v>
      </c>
      <c r="AC29" s="100">
        <v>2465.3133559278294</v>
      </c>
      <c r="AD29" s="100">
        <v>2.4138183360580601</v>
      </c>
      <c r="AE29" s="100">
        <v>816.83612492204747</v>
      </c>
      <c r="AF29" s="100">
        <v>6.0121015127304362</v>
      </c>
      <c r="AG29" s="100">
        <v>2034.4951519079796</v>
      </c>
      <c r="AH29" s="100">
        <v>9</v>
      </c>
      <c r="AI29" s="100">
        <v>3045.6</v>
      </c>
      <c r="AJ29" s="100">
        <v>9.9537630613097505</v>
      </c>
      <c r="AK29" s="100">
        <v>3368.3534199472192</v>
      </c>
      <c r="AL29" s="100">
        <v>9.6768627535490452</v>
      </c>
      <c r="AM29" s="100">
        <v>3274.6503558009967</v>
      </c>
      <c r="AN29" s="100">
        <v>9.5865288962876019</v>
      </c>
      <c r="AO29" s="100">
        <v>3244.0813785037244</v>
      </c>
      <c r="AP29" s="100">
        <v>1.1168722334158388E-3</v>
      </c>
      <c r="AQ29" s="100">
        <v>0.37794956378791983</v>
      </c>
      <c r="AR29" s="100">
        <v>9.1127207537376655E-4</v>
      </c>
      <c r="AS29" s="100">
        <v>0.30837447030648257</v>
      </c>
      <c r="AT29" s="100">
        <v>9.5968061783557131E-4</v>
      </c>
      <c r="AU29" s="100">
        <v>0.32475592107555729</v>
      </c>
      <c r="AV29" s="100">
        <v>5.0007530681122763</v>
      </c>
      <c r="AW29" s="100">
        <v>1692.2548382491941</v>
      </c>
      <c r="AX29" s="100">
        <v>0.37340050755082255</v>
      </c>
      <c r="AY29" s="100">
        <v>126.35873175519833</v>
      </c>
      <c r="AZ29" s="100">
        <v>8.7165957446599442</v>
      </c>
      <c r="BA29" s="100">
        <v>2949.695999992925</v>
      </c>
      <c r="BB29" s="100">
        <v>8.4958746100042166</v>
      </c>
      <c r="BC29" s="100">
        <v>2875.0039680254267</v>
      </c>
      <c r="BD29" s="100">
        <v>10.177039472563402</v>
      </c>
      <c r="BE29" s="100">
        <v>3443.910157515455</v>
      </c>
      <c r="BF29" s="100">
        <v>6.390746098258707</v>
      </c>
      <c r="BG29" s="100">
        <v>2162.6284796507462</v>
      </c>
      <c r="BH29" s="100">
        <v>7.9810737782100682</v>
      </c>
      <c r="BI29" s="100">
        <v>2700.7953665462869</v>
      </c>
      <c r="BJ29" s="100">
        <v>6.4768639508187196</v>
      </c>
      <c r="BK29" s="100">
        <v>2191.7707609570543</v>
      </c>
      <c r="BL29" s="100">
        <v>7.5975824348902812</v>
      </c>
      <c r="BM29" s="100">
        <v>2571.0218959668709</v>
      </c>
      <c r="BN29" s="100">
        <v>6.655759192665347E-4</v>
      </c>
      <c r="BO29" s="100">
        <v>0.22523089107979533</v>
      </c>
      <c r="BP29" s="100">
        <v>10.000503949248571</v>
      </c>
      <c r="BQ29" s="100">
        <v>3384.1705364257164</v>
      </c>
      <c r="BR29" s="100">
        <v>10</v>
      </c>
      <c r="BS29" s="100">
        <v>3384</v>
      </c>
      <c r="BT29" s="100">
        <v>2.3770059928619349</v>
      </c>
      <c r="BU29" s="100">
        <v>804.37882798447868</v>
      </c>
      <c r="BV29" s="100">
        <v>7.6451130823437254E-4</v>
      </c>
      <c r="BW29" s="100">
        <v>0.25871062670651163</v>
      </c>
      <c r="BX29" s="100">
        <v>7.0004625016165489</v>
      </c>
      <c r="BY29" s="100">
        <v>2368.9565105470401</v>
      </c>
      <c r="BZ29" s="100">
        <v>12</v>
      </c>
      <c r="CA29" s="100">
        <v>4060.7999999999997</v>
      </c>
      <c r="CB29" s="100">
        <v>11</v>
      </c>
      <c r="CC29" s="100">
        <v>3722.3999999999996</v>
      </c>
      <c r="CD29" s="100">
        <v>8.6119467770873133</v>
      </c>
      <c r="CE29" s="100">
        <v>2914.2827893663466</v>
      </c>
      <c r="CF29" s="100">
        <v>7.920078200729411</v>
      </c>
      <c r="CG29" s="100">
        <v>2680.1544631268325</v>
      </c>
      <c r="CH29" s="100">
        <v>4.7918087695601698E-4</v>
      </c>
      <c r="CI29" s="100">
        <v>0.16215480876191612</v>
      </c>
      <c r="CJ29" s="100">
        <v>1.5936842090012675</v>
      </c>
      <c r="CK29" s="100">
        <v>539.30273632602893</v>
      </c>
      <c r="CL29" s="100">
        <v>8.2493984677225622</v>
      </c>
      <c r="CM29" s="100">
        <v>2791.5964414773148</v>
      </c>
      <c r="CN29" s="100">
        <v>7</v>
      </c>
      <c r="CO29" s="100">
        <v>2368.7999999999997</v>
      </c>
      <c r="CP29" s="100">
        <v>2.9593454163415975</v>
      </c>
      <c r="CQ29" s="100">
        <v>1001.4424888899965</v>
      </c>
      <c r="CR29" s="100">
        <v>6.0803702865764002</v>
      </c>
      <c r="CS29" s="100">
        <v>2057.5973049774539</v>
      </c>
      <c r="CT29" s="100">
        <v>8.6047687675705866</v>
      </c>
      <c r="CU29" s="100">
        <v>2911.8537509458865</v>
      </c>
    </row>
    <row r="30" spans="2:99">
      <c r="C30" s="99" t="s">
        <v>196</v>
      </c>
      <c r="D30" s="100">
        <v>7.2421404764819091</v>
      </c>
      <c r="E30" s="100">
        <v>1008.1059543262817</v>
      </c>
      <c r="F30" s="100">
        <v>6.7813825164277297</v>
      </c>
      <c r="G30" s="100">
        <v>943.96844628673989</v>
      </c>
      <c r="H30" s="100">
        <v>5.294751481179822</v>
      </c>
      <c r="I30" s="100">
        <v>737.02940618023115</v>
      </c>
      <c r="J30" s="100">
        <v>9</v>
      </c>
      <c r="K30" s="100">
        <v>1252.8</v>
      </c>
      <c r="L30" s="100">
        <v>8</v>
      </c>
      <c r="M30" s="100">
        <v>1113.5999999999999</v>
      </c>
      <c r="N30" s="100">
        <v>5.9674273211791773</v>
      </c>
      <c r="O30" s="100">
        <v>830.66588310814143</v>
      </c>
      <c r="P30" s="100">
        <v>4.4761980429336106</v>
      </c>
      <c r="Q30" s="100">
        <v>623.08676757635851</v>
      </c>
      <c r="R30" s="100">
        <v>10</v>
      </c>
      <c r="S30" s="100">
        <v>1392</v>
      </c>
      <c r="T30" s="100">
        <v>3.2157875471105331</v>
      </c>
      <c r="U30" s="100">
        <v>447.63762655778618</v>
      </c>
      <c r="V30" s="100">
        <v>12</v>
      </c>
      <c r="W30" s="100">
        <v>1670.3999999999999</v>
      </c>
      <c r="X30" s="100">
        <v>10</v>
      </c>
      <c r="Y30" s="100">
        <v>1392</v>
      </c>
      <c r="Z30" s="100">
        <v>8.7981319871187882</v>
      </c>
      <c r="AA30" s="100">
        <v>1224.6999726069353</v>
      </c>
      <c r="AB30" s="100">
        <v>7.2852049525054072</v>
      </c>
      <c r="AC30" s="100">
        <v>1014.1005293887526</v>
      </c>
      <c r="AD30" s="100">
        <v>2.8965820032696721</v>
      </c>
      <c r="AE30" s="100">
        <v>403.20421485513833</v>
      </c>
      <c r="AF30" s="100">
        <v>4.8096812101843485</v>
      </c>
      <c r="AG30" s="100">
        <v>669.50762445766122</v>
      </c>
      <c r="AH30" s="100">
        <v>9</v>
      </c>
      <c r="AI30" s="100">
        <v>1252.8</v>
      </c>
      <c r="AJ30" s="100">
        <v>9.0488755102815919</v>
      </c>
      <c r="AK30" s="100">
        <v>1259.6034710311974</v>
      </c>
      <c r="AL30" s="100">
        <v>9.6768627535490452</v>
      </c>
      <c r="AM30" s="100">
        <v>1347.019295294027</v>
      </c>
      <c r="AN30" s="100">
        <v>10.458031523222838</v>
      </c>
      <c r="AO30" s="100">
        <v>1455.7579880326189</v>
      </c>
      <c r="AP30" s="100">
        <v>1.2184060728172789E-3</v>
      </c>
      <c r="AQ30" s="100">
        <v>0.1696021253361652</v>
      </c>
      <c r="AR30" s="100">
        <v>9.9411385483909429E-4</v>
      </c>
      <c r="AS30" s="100">
        <v>0.13838064859360191</v>
      </c>
      <c r="AT30" s="100">
        <v>9.5968016287088082E-4</v>
      </c>
      <c r="AU30" s="100">
        <v>0.1335874786716266</v>
      </c>
      <c r="AV30" s="100">
        <v>7.0006846073747964</v>
      </c>
      <c r="AW30" s="100">
        <v>974.49529734657153</v>
      </c>
      <c r="AX30" s="100">
        <v>0.43093019016393858</v>
      </c>
      <c r="AY30" s="100">
        <v>59.985482470820244</v>
      </c>
      <c r="AZ30" s="100">
        <v>9.7165957446599442</v>
      </c>
      <c r="BA30" s="100">
        <v>1352.550127656664</v>
      </c>
      <c r="BB30" s="100">
        <v>8.4958746100042166</v>
      </c>
      <c r="BC30" s="100">
        <v>1182.6257457125869</v>
      </c>
      <c r="BD30" s="100">
        <v>10.177039472563402</v>
      </c>
      <c r="BE30" s="100">
        <v>1416.6438945808254</v>
      </c>
      <c r="BF30" s="100">
        <v>6.3628356626687994</v>
      </c>
      <c r="BG30" s="100">
        <v>885.70672424349675</v>
      </c>
      <c r="BH30" s="100">
        <v>6.9834395559338089</v>
      </c>
      <c r="BI30" s="100">
        <v>972.0947861859861</v>
      </c>
      <c r="BJ30" s="100">
        <v>7.2864719446710593</v>
      </c>
      <c r="BK30" s="100">
        <v>1014.2768946982113</v>
      </c>
      <c r="BL30" s="100">
        <v>8.2882717471530345</v>
      </c>
      <c r="BM30" s="100">
        <v>1153.7274272037023</v>
      </c>
      <c r="BN30" s="100">
        <v>7.2751063302078076E-4</v>
      </c>
      <c r="BO30" s="100">
        <v>0.10126948011649267</v>
      </c>
      <c r="BP30" s="100">
        <v>9.0005039492485714</v>
      </c>
      <c r="BQ30" s="100">
        <v>1252.8701497354011</v>
      </c>
      <c r="BR30" s="100">
        <v>11</v>
      </c>
      <c r="BS30" s="100">
        <v>1531.1999999999998</v>
      </c>
      <c r="BT30" s="100">
        <v>2.1128942158772754</v>
      </c>
      <c r="BU30" s="100">
        <v>294.11487485011673</v>
      </c>
      <c r="BV30" s="100">
        <v>7.057027460624977E-4</v>
      </c>
      <c r="BW30" s="100">
        <v>9.8233822251899666E-2</v>
      </c>
      <c r="BX30" s="100">
        <v>7.0004625016165489</v>
      </c>
      <c r="BY30" s="100">
        <v>974.46438022502355</v>
      </c>
      <c r="BZ30" s="100">
        <v>11</v>
      </c>
      <c r="CA30" s="100">
        <v>1531.1999999999998</v>
      </c>
      <c r="CB30" s="100">
        <v>12</v>
      </c>
      <c r="CC30" s="100">
        <v>1670.3999999999999</v>
      </c>
      <c r="CD30" s="100">
        <v>8.6119467770873133</v>
      </c>
      <c r="CE30" s="100">
        <v>1198.7829913705539</v>
      </c>
      <c r="CF30" s="100">
        <v>7.0400695117594765</v>
      </c>
      <c r="CG30" s="100">
        <v>979.97767603691909</v>
      </c>
      <c r="CH30" s="100">
        <v>5.476352879497337E-4</v>
      </c>
      <c r="CI30" s="100">
        <v>7.6230832082602923E-2</v>
      </c>
      <c r="CJ30" s="100">
        <v>1.6152196855979224</v>
      </c>
      <c r="CK30" s="100">
        <v>224.83858023523078</v>
      </c>
      <c r="CL30" s="100">
        <v>8.2493984677225622</v>
      </c>
      <c r="CM30" s="100">
        <v>1148.3162667069805</v>
      </c>
      <c r="CN30" s="100">
        <v>7</v>
      </c>
      <c r="CO30" s="100">
        <v>974.39999999999986</v>
      </c>
      <c r="CP30" s="100">
        <v>2.9593454163415975</v>
      </c>
      <c r="CQ30" s="100">
        <v>411.94088195475035</v>
      </c>
      <c r="CR30" s="100">
        <v>6.0803702865764002</v>
      </c>
      <c r="CS30" s="100">
        <v>846.3875438914348</v>
      </c>
      <c r="CT30" s="100">
        <v>8.6479665366827714</v>
      </c>
      <c r="CU30" s="100">
        <v>1203.7969419062417</v>
      </c>
    </row>
    <row r="31" spans="2:99">
      <c r="C31" s="99" t="s">
        <v>197</v>
      </c>
      <c r="D31" s="100">
        <v>7.2421404764819091</v>
      </c>
      <c r="E31" s="100">
        <v>2468.1214743850346</v>
      </c>
      <c r="F31" s="100">
        <v>5.9337097018742639</v>
      </c>
      <c r="G31" s="100">
        <v>2022.2082663987492</v>
      </c>
      <c r="H31" s="100">
        <v>4.7064457610487311</v>
      </c>
      <c r="I31" s="100">
        <v>1603.9567153654077</v>
      </c>
      <c r="J31" s="100">
        <v>9</v>
      </c>
      <c r="K31" s="100">
        <v>3067.2000000000003</v>
      </c>
      <c r="L31" s="100">
        <v>8</v>
      </c>
      <c r="M31" s="100">
        <v>2726.4</v>
      </c>
      <c r="N31" s="100">
        <v>5.9674273211791773</v>
      </c>
      <c r="O31" s="100">
        <v>2033.6992310578637</v>
      </c>
      <c r="P31" s="100">
        <v>4.4761980429336106</v>
      </c>
      <c r="Q31" s="100">
        <v>1525.4882930317744</v>
      </c>
      <c r="R31" s="100">
        <v>9</v>
      </c>
      <c r="S31" s="100">
        <v>3067.2000000000003</v>
      </c>
      <c r="T31" s="100">
        <v>3.5730972745672593</v>
      </c>
      <c r="U31" s="100">
        <v>1217.7115511725219</v>
      </c>
      <c r="V31" s="100">
        <v>10</v>
      </c>
      <c r="W31" s="100">
        <v>3408</v>
      </c>
      <c r="X31" s="100">
        <v>10</v>
      </c>
      <c r="Y31" s="100">
        <v>3408</v>
      </c>
      <c r="Z31" s="100">
        <v>7.9183187884069088</v>
      </c>
      <c r="AA31" s="100">
        <v>2698.5630430890747</v>
      </c>
      <c r="AB31" s="100">
        <v>7.2852049525054072</v>
      </c>
      <c r="AC31" s="100">
        <v>2482.797847813843</v>
      </c>
      <c r="AD31" s="100">
        <v>2.4138183360580601</v>
      </c>
      <c r="AE31" s="100">
        <v>822.6292889285869</v>
      </c>
      <c r="AF31" s="100">
        <v>5.4108913614573924</v>
      </c>
      <c r="AG31" s="100">
        <v>1844.0317759846794</v>
      </c>
      <c r="AH31" s="100">
        <v>8</v>
      </c>
      <c r="AI31" s="100">
        <v>2726.4</v>
      </c>
      <c r="AJ31" s="100">
        <v>9.0488755102815919</v>
      </c>
      <c r="AK31" s="100">
        <v>3083.8567739039668</v>
      </c>
      <c r="AL31" s="100">
        <v>8.797147957771859</v>
      </c>
      <c r="AM31" s="100">
        <v>2998.0680240086494</v>
      </c>
      <c r="AN31" s="100">
        <v>8.7150262693523644</v>
      </c>
      <c r="AO31" s="100">
        <v>2970.0809525952859</v>
      </c>
      <c r="AP31" s="100">
        <v>1.2184060728172789E-3</v>
      </c>
      <c r="AQ31" s="100">
        <v>0.41523278961612864</v>
      </c>
      <c r="AR31" s="100">
        <v>8.2842981509093257E-4</v>
      </c>
      <c r="AS31" s="100">
        <v>0.2823288809829898</v>
      </c>
      <c r="AT31" s="100">
        <v>7.9973513726293245E-4</v>
      </c>
      <c r="AU31" s="100">
        <v>0.27254973477920741</v>
      </c>
      <c r="AV31" s="100">
        <v>6.0008215288497553</v>
      </c>
      <c r="AW31" s="100">
        <v>2045.0799770319966</v>
      </c>
      <c r="AX31" s="100">
        <v>0.37340050755082255</v>
      </c>
      <c r="AY31" s="100">
        <v>127.25489297332032</v>
      </c>
      <c r="AZ31" s="100">
        <v>8.8189665653256508</v>
      </c>
      <c r="BA31" s="100">
        <v>3005.5038054629817</v>
      </c>
      <c r="BB31" s="100">
        <v>8.4958746100042166</v>
      </c>
      <c r="BC31" s="100">
        <v>2895.3940670894372</v>
      </c>
      <c r="BD31" s="100">
        <v>9.1770394725634024</v>
      </c>
      <c r="BE31" s="100">
        <v>3127.5350522496078</v>
      </c>
      <c r="BF31" s="100">
        <v>6.3628356626687994</v>
      </c>
      <c r="BG31" s="100">
        <v>2168.4543938375268</v>
      </c>
      <c r="BH31" s="100">
        <v>7.9810737782100682</v>
      </c>
      <c r="BI31" s="100">
        <v>2719.9499436139913</v>
      </c>
      <c r="BJ31" s="100">
        <v>7.2864719446710593</v>
      </c>
      <c r="BK31" s="100">
        <v>2483.2296387438969</v>
      </c>
      <c r="BL31" s="100">
        <v>8.2882717471530345</v>
      </c>
      <c r="BM31" s="100">
        <v>2824.6430114297541</v>
      </c>
      <c r="BN31" s="100">
        <v>6.5941208170332472E-4</v>
      </c>
      <c r="BO31" s="100">
        <v>0.22472763744449306</v>
      </c>
      <c r="BP31" s="100">
        <v>10.000554344173429</v>
      </c>
      <c r="BQ31" s="100">
        <v>3408.1889204943045</v>
      </c>
      <c r="BR31" s="100">
        <v>9</v>
      </c>
      <c r="BS31" s="100">
        <v>3067.2000000000003</v>
      </c>
      <c r="BT31" s="100">
        <v>2.1128942158772754</v>
      </c>
      <c r="BU31" s="100">
        <v>720.07434877097546</v>
      </c>
      <c r="BV31" s="100">
        <v>7.057027460624977E-4</v>
      </c>
      <c r="BW31" s="100">
        <v>0.24050349585809921</v>
      </c>
      <c r="BX31" s="100">
        <v>8.0004162514548938</v>
      </c>
      <c r="BY31" s="100">
        <v>2726.5418584958279</v>
      </c>
      <c r="BZ31" s="100">
        <v>11</v>
      </c>
      <c r="CA31" s="100">
        <v>3748.8</v>
      </c>
      <c r="CB31" s="100">
        <v>12</v>
      </c>
      <c r="CC31" s="100">
        <v>4089.6000000000004</v>
      </c>
      <c r="CD31" s="100">
        <v>8.6119467770873133</v>
      </c>
      <c r="CE31" s="100">
        <v>2934.9514616313563</v>
      </c>
      <c r="CF31" s="100">
        <v>7.920078200729411</v>
      </c>
      <c r="CG31" s="100">
        <v>2699.1626508085833</v>
      </c>
      <c r="CH31" s="100">
        <v>4.7918087695601698E-4</v>
      </c>
      <c r="CI31" s="100">
        <v>0.16330484286661059</v>
      </c>
      <c r="CJ31" s="100">
        <v>1.6044519472995948</v>
      </c>
      <c r="CK31" s="100">
        <v>546.79722363970188</v>
      </c>
      <c r="CL31" s="100">
        <v>9.2720710556973405</v>
      </c>
      <c r="CM31" s="100">
        <v>3159.9218157816535</v>
      </c>
      <c r="CN31" s="100">
        <v>7</v>
      </c>
      <c r="CO31" s="100">
        <v>2385.6</v>
      </c>
      <c r="CP31" s="100">
        <v>3.2552799579757576</v>
      </c>
      <c r="CQ31" s="100">
        <v>1109.3994096781382</v>
      </c>
      <c r="CR31" s="100">
        <v>6.0803702865764002</v>
      </c>
      <c r="CS31" s="100">
        <v>2072.1901936652371</v>
      </c>
      <c r="CT31" s="100">
        <v>7.6047687675705857</v>
      </c>
      <c r="CU31" s="100">
        <v>2591.7051959880555</v>
      </c>
    </row>
    <row r="32" spans="2:99">
      <c r="C32" s="99" t="s">
        <v>198</v>
      </c>
      <c r="D32" s="100">
        <v>7.2421404764819091</v>
      </c>
      <c r="E32" s="100">
        <v>6083.3980002448034</v>
      </c>
      <c r="F32" s="100">
        <v>5.9337097018742639</v>
      </c>
      <c r="G32" s="100">
        <v>4984.3161495743816</v>
      </c>
      <c r="H32" s="100">
        <v>4.7064457610487311</v>
      </c>
      <c r="I32" s="100">
        <v>3953.4144392809339</v>
      </c>
      <c r="J32" s="100">
        <v>8</v>
      </c>
      <c r="K32" s="100">
        <v>6720</v>
      </c>
      <c r="L32" s="100">
        <v>8</v>
      </c>
      <c r="M32" s="100">
        <v>6720</v>
      </c>
      <c r="N32" s="100">
        <v>5.9674273211791773</v>
      </c>
      <c r="O32" s="100">
        <v>5012.6389497905093</v>
      </c>
      <c r="P32" s="100">
        <v>3.7301650357780081</v>
      </c>
      <c r="Q32" s="100">
        <v>3133.3386300535267</v>
      </c>
      <c r="R32" s="100">
        <v>10</v>
      </c>
      <c r="S32" s="100">
        <v>8400</v>
      </c>
      <c r="T32" s="100">
        <v>3.5730972745672593</v>
      </c>
      <c r="U32" s="100">
        <v>3001.4017106364977</v>
      </c>
      <c r="V32" s="100">
        <v>11</v>
      </c>
      <c r="W32" s="100">
        <v>9240</v>
      </c>
      <c r="X32" s="100">
        <v>10</v>
      </c>
      <c r="Y32" s="100">
        <v>8400</v>
      </c>
      <c r="Z32" s="100">
        <v>7.9183187884069088</v>
      </c>
      <c r="AA32" s="100">
        <v>6651.3877822618033</v>
      </c>
      <c r="AB32" s="100">
        <v>7.2852049525054072</v>
      </c>
      <c r="AC32" s="100">
        <v>6119.5721601045425</v>
      </c>
      <c r="AD32" s="100">
        <v>2.4138183360580601</v>
      </c>
      <c r="AE32" s="100">
        <v>2027.6074022887703</v>
      </c>
      <c r="AF32" s="100">
        <v>5.4108913614573924</v>
      </c>
      <c r="AG32" s="100">
        <v>4545.1487436242096</v>
      </c>
      <c r="AH32" s="100">
        <v>8</v>
      </c>
      <c r="AI32" s="100">
        <v>6720</v>
      </c>
      <c r="AJ32" s="100">
        <v>9.0488755102815919</v>
      </c>
      <c r="AK32" s="100">
        <v>7601.0554286365368</v>
      </c>
      <c r="AL32" s="100">
        <v>7.9174331619946736</v>
      </c>
      <c r="AM32" s="100">
        <v>6650.6438560755259</v>
      </c>
      <c r="AN32" s="100">
        <v>7.8435236424171286</v>
      </c>
      <c r="AO32" s="100">
        <v>6588.559859630388</v>
      </c>
      <c r="AP32" s="100">
        <v>1.1168722334158388E-3</v>
      </c>
      <c r="AQ32" s="100">
        <v>0.93817267606930466</v>
      </c>
      <c r="AR32" s="100">
        <v>9.112715945562603E-4</v>
      </c>
      <c r="AS32" s="100">
        <v>0.76546813942725866</v>
      </c>
      <c r="AT32" s="100">
        <v>7.9973422733355148E-4</v>
      </c>
      <c r="AU32" s="100">
        <v>0.67177675096018319</v>
      </c>
      <c r="AV32" s="100">
        <v>6.0006846073747964</v>
      </c>
      <c r="AW32" s="100">
        <v>5040.5750701948291</v>
      </c>
      <c r="AX32" s="100">
        <v>0.37541639411311734</v>
      </c>
      <c r="AY32" s="100">
        <v>315.34977105501855</v>
      </c>
      <c r="AZ32" s="100">
        <v>7.7165957446599451</v>
      </c>
      <c r="BA32" s="100">
        <v>6481.9404255143536</v>
      </c>
      <c r="BB32" s="100">
        <v>7.6462871490037951</v>
      </c>
      <c r="BC32" s="100">
        <v>6422.8812051631876</v>
      </c>
      <c r="BD32" s="100">
        <v>9.1931339700691659</v>
      </c>
      <c r="BE32" s="100">
        <v>7722.2325348580989</v>
      </c>
      <c r="BF32" s="100">
        <v>6.390746098258707</v>
      </c>
      <c r="BG32" s="100">
        <v>5368.2267225373134</v>
      </c>
      <c r="BH32" s="100">
        <v>7.9810737782100682</v>
      </c>
      <c r="BI32" s="100">
        <v>6704.1019736964572</v>
      </c>
      <c r="BJ32" s="100">
        <v>6.4768639508187196</v>
      </c>
      <c r="BK32" s="100">
        <v>5440.5657186877243</v>
      </c>
      <c r="BL32" s="100">
        <v>6.9068931226275279</v>
      </c>
      <c r="BM32" s="100">
        <v>5801.7902230071231</v>
      </c>
      <c r="BN32" s="100">
        <v>6.5941208170332472E-4</v>
      </c>
      <c r="BO32" s="100">
        <v>0.55390614863079279</v>
      </c>
      <c r="BP32" s="100">
        <v>8.0005039492485714</v>
      </c>
      <c r="BQ32" s="100">
        <v>6720.4233173687999</v>
      </c>
      <c r="BR32" s="100">
        <v>9</v>
      </c>
      <c r="BS32" s="100">
        <v>7560</v>
      </c>
      <c r="BT32" s="100">
        <v>2.1128942158772754</v>
      </c>
      <c r="BU32" s="100">
        <v>1774.8311413369113</v>
      </c>
      <c r="BV32" s="100">
        <v>5.8808562171874812E-4</v>
      </c>
      <c r="BW32" s="100">
        <v>0.49399192224374844</v>
      </c>
      <c r="BX32" s="100">
        <v>7.0004162514548938</v>
      </c>
      <c r="BY32" s="100">
        <v>5880.3496512221109</v>
      </c>
      <c r="BZ32" s="100">
        <v>10</v>
      </c>
      <c r="CA32" s="100">
        <v>8400</v>
      </c>
      <c r="CB32" s="100">
        <v>10</v>
      </c>
      <c r="CC32" s="100">
        <v>8400</v>
      </c>
      <c r="CD32" s="100">
        <v>8.6119467770873133</v>
      </c>
      <c r="CE32" s="100">
        <v>7234.0352927533431</v>
      </c>
      <c r="CF32" s="100">
        <v>7.0400695117594765</v>
      </c>
      <c r="CG32" s="100">
        <v>5913.65838987796</v>
      </c>
      <c r="CH32" s="100">
        <v>4.7918087695601698E-4</v>
      </c>
      <c r="CI32" s="100">
        <v>0.40251193664305424</v>
      </c>
      <c r="CJ32" s="100">
        <v>1.5936842090012675</v>
      </c>
      <c r="CK32" s="100">
        <v>1338.6947355610646</v>
      </c>
      <c r="CL32" s="100">
        <v>9.2493984677225622</v>
      </c>
      <c r="CM32" s="100">
        <v>7769.4947128869526</v>
      </c>
      <c r="CN32" s="100">
        <v>7</v>
      </c>
      <c r="CO32" s="100">
        <v>5880</v>
      </c>
      <c r="CP32" s="100">
        <v>2.9593454163415975</v>
      </c>
      <c r="CQ32" s="100">
        <v>2485.8501497269417</v>
      </c>
      <c r="CR32" s="100">
        <v>5.3203240007543497</v>
      </c>
      <c r="CS32" s="100">
        <v>4469.0721606336538</v>
      </c>
      <c r="CT32" s="100">
        <v>7.5615709984584019</v>
      </c>
      <c r="CU32" s="100">
        <v>6351.7196387050572</v>
      </c>
    </row>
    <row r="33" spans="2:99">
      <c r="C33" s="99" t="s">
        <v>199</v>
      </c>
      <c r="D33" s="100">
        <v>8.3663545241300987</v>
      </c>
      <c r="E33" s="100">
        <v>3965.652044437667</v>
      </c>
      <c r="F33" s="100">
        <v>5.9337097018742639</v>
      </c>
      <c r="G33" s="100">
        <v>2812.5783986884012</v>
      </c>
      <c r="H33" s="100">
        <v>4.1181400409176394</v>
      </c>
      <c r="I33" s="100">
        <v>1951.9983793949611</v>
      </c>
      <c r="J33" s="100">
        <v>9</v>
      </c>
      <c r="K33" s="100">
        <v>4266</v>
      </c>
      <c r="L33" s="100">
        <v>8</v>
      </c>
      <c r="M33" s="100">
        <v>3792</v>
      </c>
      <c r="N33" s="100">
        <v>5.9674273211791773</v>
      </c>
      <c r="O33" s="100">
        <v>2828.5605502389299</v>
      </c>
      <c r="P33" s="100">
        <v>4.4761980429336106</v>
      </c>
      <c r="Q33" s="100">
        <v>2121.7178723505313</v>
      </c>
      <c r="R33" s="100">
        <v>9</v>
      </c>
      <c r="S33" s="100">
        <v>4266</v>
      </c>
      <c r="T33" s="100">
        <v>3.5730972745672593</v>
      </c>
      <c r="U33" s="100">
        <v>1693.648108144881</v>
      </c>
      <c r="V33" s="100">
        <v>10</v>
      </c>
      <c r="W33" s="100">
        <v>4740</v>
      </c>
      <c r="X33" s="100">
        <v>11</v>
      </c>
      <c r="Y33" s="100">
        <v>5214</v>
      </c>
      <c r="Z33" s="100">
        <v>8.7981319871187882</v>
      </c>
      <c r="AA33" s="100">
        <v>4170.3145618943054</v>
      </c>
      <c r="AB33" s="100">
        <v>7.2852049525054072</v>
      </c>
      <c r="AC33" s="100">
        <v>3453.1871474875629</v>
      </c>
      <c r="AD33" s="100">
        <v>2.8965820032696721</v>
      </c>
      <c r="AE33" s="100">
        <v>1372.9798695498246</v>
      </c>
      <c r="AF33" s="100">
        <v>5.4108913614573924</v>
      </c>
      <c r="AG33" s="100">
        <v>2564.7625053308038</v>
      </c>
      <c r="AH33" s="100">
        <v>9</v>
      </c>
      <c r="AI33" s="100">
        <v>4266</v>
      </c>
      <c r="AJ33" s="100">
        <v>9.0488755102815919</v>
      </c>
      <c r="AK33" s="100">
        <v>4289.1669918734742</v>
      </c>
      <c r="AL33" s="100">
        <v>9.6768627535490452</v>
      </c>
      <c r="AM33" s="100">
        <v>4586.8329451822474</v>
      </c>
      <c r="AN33" s="100">
        <v>9.5865288962876019</v>
      </c>
      <c r="AO33" s="100">
        <v>4544.0146968403233</v>
      </c>
      <c r="AP33" s="100">
        <v>1.1168722334158388E-3</v>
      </c>
      <c r="AQ33" s="100">
        <v>0.5293974386391076</v>
      </c>
      <c r="AR33" s="100">
        <v>9.112715945562603E-4</v>
      </c>
      <c r="AS33" s="100">
        <v>0.43194273581966736</v>
      </c>
      <c r="AT33" s="100">
        <v>8.7970696761987079E-4</v>
      </c>
      <c r="AU33" s="100">
        <v>0.41698110265181876</v>
      </c>
      <c r="AV33" s="100">
        <v>6.0007530681122763</v>
      </c>
      <c r="AW33" s="100">
        <v>2844.3569542852188</v>
      </c>
      <c r="AX33" s="100">
        <v>0.36936873442623308</v>
      </c>
      <c r="AY33" s="100">
        <v>175.08078011803448</v>
      </c>
      <c r="AZ33" s="100">
        <v>8.8189665653256508</v>
      </c>
      <c r="BA33" s="100">
        <v>4180.1901519643588</v>
      </c>
      <c r="BB33" s="100">
        <v>8.4958746100042166</v>
      </c>
      <c r="BC33" s="100">
        <v>4027.0445651419986</v>
      </c>
      <c r="BD33" s="100">
        <v>9.1770394725634024</v>
      </c>
      <c r="BE33" s="100">
        <v>4349.9167099950528</v>
      </c>
      <c r="BF33" s="100">
        <v>6.390746098258707</v>
      </c>
      <c r="BG33" s="100">
        <v>3029.2136505746271</v>
      </c>
      <c r="BH33" s="100">
        <v>7.9810737782100682</v>
      </c>
      <c r="BI33" s="100">
        <v>3783.0289708715723</v>
      </c>
      <c r="BJ33" s="100">
        <v>7.2864719446710593</v>
      </c>
      <c r="BK33" s="100">
        <v>3453.7877017740821</v>
      </c>
      <c r="BL33" s="100">
        <v>7.5975824348902812</v>
      </c>
      <c r="BM33" s="100">
        <v>3601.2540741379935</v>
      </c>
      <c r="BN33" s="100">
        <v>7.182648766759659E-4</v>
      </c>
      <c r="BO33" s="100">
        <v>0.34045755154440782</v>
      </c>
      <c r="BP33" s="100">
        <v>10.000503949248571</v>
      </c>
      <c r="BQ33" s="100">
        <v>4740.2388719438231</v>
      </c>
      <c r="BR33" s="100">
        <v>10</v>
      </c>
      <c r="BS33" s="100">
        <v>4740</v>
      </c>
      <c r="BT33" s="100">
        <v>2.1128942158772754</v>
      </c>
      <c r="BU33" s="100">
        <v>1001.5118583258286</v>
      </c>
      <c r="BV33" s="100">
        <v>7.057027460624977E-4</v>
      </c>
      <c r="BW33" s="100">
        <v>0.3345031016336239</v>
      </c>
      <c r="BX33" s="100">
        <v>8.0004625016165498</v>
      </c>
      <c r="BY33" s="100">
        <v>3792.2192257662446</v>
      </c>
      <c r="BZ33" s="100">
        <v>11</v>
      </c>
      <c r="CA33" s="100">
        <v>5214</v>
      </c>
      <c r="CB33" s="100">
        <v>10</v>
      </c>
      <c r="CC33" s="100">
        <v>4740</v>
      </c>
      <c r="CD33" s="100">
        <v>8.6119467770873133</v>
      </c>
      <c r="CE33" s="100">
        <v>4082.0627723393864</v>
      </c>
      <c r="CF33" s="100">
        <v>7.0400695117594765</v>
      </c>
      <c r="CG33" s="100">
        <v>3336.9929485739917</v>
      </c>
      <c r="CH33" s="100">
        <v>4.7918087695601698E-4</v>
      </c>
      <c r="CI33" s="100">
        <v>0.22713173567715206</v>
      </c>
      <c r="CJ33" s="100">
        <v>1.5829164707029402</v>
      </c>
      <c r="CK33" s="100">
        <v>750.30240711319368</v>
      </c>
      <c r="CL33" s="100">
        <v>8.2720710556973405</v>
      </c>
      <c r="CM33" s="100">
        <v>3920.9616804005395</v>
      </c>
      <c r="CN33" s="100">
        <v>6</v>
      </c>
      <c r="CO33" s="100">
        <v>2844</v>
      </c>
      <c r="CP33" s="100">
        <v>2.9593454163415975</v>
      </c>
      <c r="CQ33" s="100">
        <v>1402.7297273459171</v>
      </c>
      <c r="CR33" s="100">
        <v>5.3203240007543497</v>
      </c>
      <c r="CS33" s="100">
        <v>2521.8335763575619</v>
      </c>
      <c r="CT33" s="100">
        <v>8.5615709984584019</v>
      </c>
      <c r="CU33" s="100">
        <v>4058.1846532692825</v>
      </c>
    </row>
    <row r="34" spans="2:99">
      <c r="C34" s="99" t="s">
        <v>200</v>
      </c>
      <c r="D34" s="100">
        <v>7.2421404764819091</v>
      </c>
      <c r="E34" s="100">
        <v>3971.5898373026789</v>
      </c>
      <c r="F34" s="100">
        <v>5.9337097018742639</v>
      </c>
      <c r="G34" s="100">
        <v>3254.0464005078461</v>
      </c>
      <c r="H34" s="100">
        <v>4.7064457610487311</v>
      </c>
      <c r="I34" s="100">
        <v>2581.0148553591239</v>
      </c>
      <c r="J34" s="100">
        <v>8</v>
      </c>
      <c r="K34" s="100">
        <v>4387.2</v>
      </c>
      <c r="L34" s="100">
        <v>7</v>
      </c>
      <c r="M34" s="100">
        <v>3838.7999999999997</v>
      </c>
      <c r="N34" s="100">
        <v>5.9674273211791773</v>
      </c>
      <c r="O34" s="100">
        <v>3272.5371429346606</v>
      </c>
      <c r="P34" s="100">
        <v>5.2222310500892117</v>
      </c>
      <c r="Q34" s="100">
        <v>2863.8715078689238</v>
      </c>
      <c r="R34" s="100">
        <v>9</v>
      </c>
      <c r="S34" s="100">
        <v>4935.5999999999995</v>
      </c>
      <c r="T34" s="100">
        <v>3.2157875471105331</v>
      </c>
      <c r="U34" s="100">
        <v>1763.5378908354162</v>
      </c>
      <c r="V34" s="100">
        <v>11</v>
      </c>
      <c r="W34" s="100">
        <v>6032.4</v>
      </c>
      <c r="X34" s="100">
        <v>11</v>
      </c>
      <c r="Y34" s="100">
        <v>6032.4</v>
      </c>
      <c r="Z34" s="100">
        <v>7.9183187884069088</v>
      </c>
      <c r="AA34" s="100">
        <v>4342.4060235623483</v>
      </c>
      <c r="AB34" s="100">
        <v>6.5566844572548666</v>
      </c>
      <c r="AC34" s="100">
        <v>3595.6857563585686</v>
      </c>
      <c r="AD34" s="100">
        <v>2.4138183360580601</v>
      </c>
      <c r="AE34" s="100">
        <v>1323.7379754942401</v>
      </c>
      <c r="AF34" s="100">
        <v>4.8096812101843485</v>
      </c>
      <c r="AG34" s="100">
        <v>2637.6291756650967</v>
      </c>
      <c r="AH34" s="100">
        <v>10</v>
      </c>
      <c r="AI34" s="100">
        <v>5484</v>
      </c>
      <c r="AJ34" s="100">
        <v>9.0488755102815919</v>
      </c>
      <c r="AK34" s="100">
        <v>4962.4033298384247</v>
      </c>
      <c r="AL34" s="100">
        <v>8.797147957771859</v>
      </c>
      <c r="AM34" s="100">
        <v>4824.3559400420872</v>
      </c>
      <c r="AN34" s="100">
        <v>9.5865288962876019</v>
      </c>
      <c r="AO34" s="100">
        <v>5257.252446724121</v>
      </c>
      <c r="AP34" s="100">
        <v>1.015338394014399E-3</v>
      </c>
      <c r="AQ34" s="100">
        <v>0.55681157527749636</v>
      </c>
      <c r="AR34" s="100">
        <v>8.2842933427342642E-4</v>
      </c>
      <c r="AS34" s="100">
        <v>0.45431064691554701</v>
      </c>
      <c r="AT34" s="100">
        <v>8.7970696761987079E-4</v>
      </c>
      <c r="AU34" s="100">
        <v>0.48243130104273713</v>
      </c>
      <c r="AV34" s="100">
        <v>5.0007530681122763</v>
      </c>
      <c r="AW34" s="100">
        <v>2742.4129825527721</v>
      </c>
      <c r="AX34" s="100">
        <v>0.37541639411311734</v>
      </c>
      <c r="AY34" s="100">
        <v>205.87835053163354</v>
      </c>
      <c r="AZ34" s="100">
        <v>8.7677811549927984</v>
      </c>
      <c r="BA34" s="100">
        <v>4808.2511853980504</v>
      </c>
      <c r="BB34" s="100">
        <v>7.6462871490037951</v>
      </c>
      <c r="BC34" s="100">
        <v>4193.2238725136813</v>
      </c>
      <c r="BD34" s="100">
        <v>9.1770394725634024</v>
      </c>
      <c r="BE34" s="100">
        <v>5032.6884467537693</v>
      </c>
      <c r="BF34" s="100">
        <v>6.390746098258707</v>
      </c>
      <c r="BG34" s="100">
        <v>3504.6851602850747</v>
      </c>
      <c r="BH34" s="100">
        <v>7.9810737782100682</v>
      </c>
      <c r="BI34" s="100">
        <v>4376.8208599704012</v>
      </c>
      <c r="BJ34" s="100">
        <v>6.4768639508187196</v>
      </c>
      <c r="BK34" s="100">
        <v>3551.9121906289856</v>
      </c>
      <c r="BL34" s="100">
        <v>6.9068931226275279</v>
      </c>
      <c r="BM34" s="100">
        <v>3787.7401884489359</v>
      </c>
      <c r="BN34" s="100">
        <v>6.655759192665347E-4</v>
      </c>
      <c r="BO34" s="100">
        <v>0.36500183412576759</v>
      </c>
      <c r="BP34" s="100">
        <v>10.000554344173429</v>
      </c>
      <c r="BQ34" s="100">
        <v>5484.3040023447084</v>
      </c>
      <c r="BR34" s="100">
        <v>9</v>
      </c>
      <c r="BS34" s="100">
        <v>4935.5999999999995</v>
      </c>
      <c r="BT34" s="100">
        <v>2.1128942158772754</v>
      </c>
      <c r="BU34" s="100">
        <v>1158.7111879870979</v>
      </c>
      <c r="BV34" s="100">
        <v>7.057027460624977E-4</v>
      </c>
      <c r="BW34" s="100">
        <v>0.38700738594067374</v>
      </c>
      <c r="BX34" s="100">
        <v>7.0004625016165489</v>
      </c>
      <c r="BY34" s="100">
        <v>3839.0536358865152</v>
      </c>
      <c r="BZ34" s="100">
        <v>11</v>
      </c>
      <c r="CA34" s="100">
        <v>6032.4</v>
      </c>
      <c r="CB34" s="100">
        <v>11</v>
      </c>
      <c r="CC34" s="100">
        <v>6032.4</v>
      </c>
      <c r="CD34" s="100">
        <v>7.0461382721623469</v>
      </c>
      <c r="CE34" s="100">
        <v>3864.1022284538308</v>
      </c>
      <c r="CF34" s="100">
        <v>7.0400695117594765</v>
      </c>
      <c r="CG34" s="100">
        <v>3860.7741202488969</v>
      </c>
      <c r="CH34" s="100">
        <v>4.7918087695601698E-4</v>
      </c>
      <c r="CI34" s="100">
        <v>0.2627827929226797</v>
      </c>
      <c r="CJ34" s="100">
        <v>1.8413520133375998</v>
      </c>
      <c r="CK34" s="100">
        <v>1009.7974441143397</v>
      </c>
      <c r="CL34" s="100">
        <v>8.2720710556973405</v>
      </c>
      <c r="CM34" s="100">
        <v>4536.4037669444215</v>
      </c>
      <c r="CN34" s="100">
        <v>6</v>
      </c>
      <c r="CO34" s="100">
        <v>3290.3999999999996</v>
      </c>
      <c r="CP34" s="100">
        <v>3.0787346500396642</v>
      </c>
      <c r="CQ34" s="100">
        <v>1688.3780820817517</v>
      </c>
      <c r="CR34" s="100">
        <v>6.0803702865764002</v>
      </c>
      <c r="CS34" s="100">
        <v>3334.4750651584977</v>
      </c>
      <c r="CT34" s="100">
        <v>7.5615709984584019</v>
      </c>
      <c r="CU34" s="100">
        <v>4146.7655355545876</v>
      </c>
    </row>
    <row r="35" spans="2:99">
      <c r="C35" s="99" t="s">
        <v>201</v>
      </c>
      <c r="D35" s="100">
        <v>7.3663545241300996</v>
      </c>
      <c r="E35" s="100">
        <v>3703.8030547326134</v>
      </c>
      <c r="F35" s="100">
        <v>5.0860368873207982</v>
      </c>
      <c r="G35" s="100">
        <v>2557.2593469448966</v>
      </c>
      <c r="H35" s="100">
        <v>4.1181400409176394</v>
      </c>
      <c r="I35" s="100">
        <v>2070.6008125733888</v>
      </c>
      <c r="J35" s="100">
        <v>9</v>
      </c>
      <c r="K35" s="100">
        <v>4525.1999999999989</v>
      </c>
      <c r="L35" s="100">
        <v>7</v>
      </c>
      <c r="M35" s="100">
        <v>3519.5999999999995</v>
      </c>
      <c r="N35" s="100">
        <v>5.3043798410481573</v>
      </c>
      <c r="O35" s="100">
        <v>2667.0421840790132</v>
      </c>
      <c r="P35" s="100">
        <v>4.4761980429336106</v>
      </c>
      <c r="Q35" s="100">
        <v>2250.6323759870188</v>
      </c>
      <c r="R35" s="100">
        <v>9</v>
      </c>
      <c r="S35" s="100">
        <v>4525.1999999999989</v>
      </c>
      <c r="T35" s="100">
        <v>3.5730972745672593</v>
      </c>
      <c r="U35" s="100">
        <v>1796.5533096524177</v>
      </c>
      <c r="V35" s="100">
        <v>11</v>
      </c>
      <c r="W35" s="100">
        <v>5530.7999999999993</v>
      </c>
      <c r="X35" s="100">
        <v>9</v>
      </c>
      <c r="Y35" s="100">
        <v>4525.1999999999989</v>
      </c>
      <c r="Z35" s="100">
        <v>7.9183187884069088</v>
      </c>
      <c r="AA35" s="100">
        <v>3981.330686810993</v>
      </c>
      <c r="AB35" s="100">
        <v>7.2852049525054072</v>
      </c>
      <c r="AC35" s="100">
        <v>3663.001050119718</v>
      </c>
      <c r="AD35" s="100">
        <v>2.4138183360580601</v>
      </c>
      <c r="AE35" s="100">
        <v>1213.6678593699924</v>
      </c>
      <c r="AF35" s="100">
        <v>6.0121015127304362</v>
      </c>
      <c r="AG35" s="100">
        <v>3022.8846406008629</v>
      </c>
      <c r="AH35" s="100">
        <v>10</v>
      </c>
      <c r="AI35" s="100">
        <v>5027.9999999999991</v>
      </c>
      <c r="AJ35" s="100">
        <v>9.0488755102815919</v>
      </c>
      <c r="AK35" s="100">
        <v>4549.7746065695837</v>
      </c>
      <c r="AL35" s="100">
        <v>10.556577549326231</v>
      </c>
      <c r="AM35" s="100">
        <v>5307.8471918012283</v>
      </c>
      <c r="AN35" s="100">
        <v>9.5865288962876019</v>
      </c>
      <c r="AO35" s="100">
        <v>4820.1067290534056</v>
      </c>
      <c r="AP35" s="100">
        <v>1.015338394014399E-3</v>
      </c>
      <c r="AQ35" s="100">
        <v>0.51051214451043969</v>
      </c>
      <c r="AR35" s="100">
        <v>8.2842885345592017E-4</v>
      </c>
      <c r="AS35" s="100">
        <v>0.41653402751763657</v>
      </c>
      <c r="AT35" s="100">
        <v>7.9973422733355148E-4</v>
      </c>
      <c r="AU35" s="100">
        <v>0.40210636950330958</v>
      </c>
      <c r="AV35" s="100">
        <v>6.0007530681122763</v>
      </c>
      <c r="AW35" s="100">
        <v>3017.178642646852</v>
      </c>
      <c r="AX35" s="100">
        <v>0.31788671150000136</v>
      </c>
      <c r="AY35" s="100">
        <v>159.83343854220064</v>
      </c>
      <c r="AZ35" s="100">
        <v>8.7677811549927984</v>
      </c>
      <c r="BA35" s="100">
        <v>4408.440364730378</v>
      </c>
      <c r="BB35" s="100">
        <v>8.4958746100042166</v>
      </c>
      <c r="BC35" s="100">
        <v>4271.7257539101192</v>
      </c>
      <c r="BD35" s="100">
        <v>10.177039472563402</v>
      </c>
      <c r="BE35" s="100">
        <v>5117.0154468048777</v>
      </c>
      <c r="BF35" s="100">
        <v>6</v>
      </c>
      <c r="BG35" s="100">
        <v>3016.7999999999993</v>
      </c>
      <c r="BH35" s="100">
        <v>7.9810737782100682</v>
      </c>
      <c r="BI35" s="100">
        <v>4012.8838956840214</v>
      </c>
      <c r="BJ35" s="100">
        <v>6.4768639508187196</v>
      </c>
      <c r="BK35" s="100">
        <v>3256.5671944716514</v>
      </c>
      <c r="BL35" s="100">
        <v>7.5975824348902812</v>
      </c>
      <c r="BM35" s="100">
        <v>3820.0644482628327</v>
      </c>
      <c r="BN35" s="100">
        <v>6.6249400048492982E-4</v>
      </c>
      <c r="BO35" s="100">
        <v>0.33310198344382264</v>
      </c>
      <c r="BP35" s="100">
        <v>10.000554344173429</v>
      </c>
      <c r="BQ35" s="100">
        <v>5028.2787242503991</v>
      </c>
      <c r="BR35" s="100">
        <v>9</v>
      </c>
      <c r="BS35" s="100">
        <v>4525.1999999999989</v>
      </c>
      <c r="BT35" s="100">
        <v>2.1128942158772754</v>
      </c>
      <c r="BU35" s="100">
        <v>1062.3632117430939</v>
      </c>
      <c r="BV35" s="100">
        <v>7.057027460624977E-4</v>
      </c>
      <c r="BW35" s="100">
        <v>0.35482734072022376</v>
      </c>
      <c r="BX35" s="100">
        <v>7.0004162514548938</v>
      </c>
      <c r="BY35" s="100">
        <v>3519.8092912315201</v>
      </c>
      <c r="BZ35" s="100">
        <v>10</v>
      </c>
      <c r="CA35" s="100">
        <v>5027.9999999999991</v>
      </c>
      <c r="CB35" s="100">
        <v>10</v>
      </c>
      <c r="CC35" s="100">
        <v>5027.9999999999991</v>
      </c>
      <c r="CD35" s="100">
        <v>8.6119467770873133</v>
      </c>
      <c r="CE35" s="100">
        <v>4330.0868395195002</v>
      </c>
      <c r="CF35" s="100">
        <v>6.1600608227895419</v>
      </c>
      <c r="CG35" s="100">
        <v>3097.2785816985811</v>
      </c>
      <c r="CH35" s="100">
        <v>4.7918087695601698E-4</v>
      </c>
      <c r="CI35" s="100">
        <v>0.24093214493348528</v>
      </c>
      <c r="CJ35" s="100">
        <v>1.5936842090012675</v>
      </c>
      <c r="CK35" s="100">
        <v>801.30442028583718</v>
      </c>
      <c r="CL35" s="100">
        <v>8.2267258797477822</v>
      </c>
      <c r="CM35" s="100">
        <v>4136.3977723371845</v>
      </c>
      <c r="CN35" s="100">
        <v>6</v>
      </c>
      <c r="CO35" s="100">
        <v>3016.7999999999993</v>
      </c>
      <c r="CP35" s="100">
        <v>3.2552799579757576</v>
      </c>
      <c r="CQ35" s="100">
        <v>1636.7547628702107</v>
      </c>
      <c r="CR35" s="100">
        <v>5.3203240007543497</v>
      </c>
      <c r="CS35" s="100">
        <v>2675.0589075792864</v>
      </c>
      <c r="CT35" s="100">
        <v>7.6047687675705857</v>
      </c>
      <c r="CU35" s="100">
        <v>3823.6777363344895</v>
      </c>
    </row>
    <row r="36" spans="2:99">
      <c r="C36" s="99" t="s">
        <v>202</v>
      </c>
      <c r="D36" s="100">
        <v>7.2421404764819091</v>
      </c>
      <c r="E36" s="100">
        <v>5509.8204745074363</v>
      </c>
      <c r="F36" s="100">
        <v>5.9337097018742639</v>
      </c>
      <c r="G36" s="100">
        <v>4514.3663411859397</v>
      </c>
      <c r="H36" s="100">
        <v>4.1181400409176394</v>
      </c>
      <c r="I36" s="100">
        <v>3133.08094313014</v>
      </c>
      <c r="J36" s="100">
        <v>8</v>
      </c>
      <c r="K36" s="100">
        <v>6086.4</v>
      </c>
      <c r="L36" s="100">
        <v>7</v>
      </c>
      <c r="M36" s="100">
        <v>5325.5999999999995</v>
      </c>
      <c r="N36" s="100">
        <v>5.3043798410481573</v>
      </c>
      <c r="O36" s="100">
        <v>4035.5721830694379</v>
      </c>
      <c r="P36" s="100">
        <v>4.4761980429336106</v>
      </c>
      <c r="Q36" s="100">
        <v>3405.4914710638909</v>
      </c>
      <c r="R36" s="100">
        <v>10</v>
      </c>
      <c r="S36" s="100">
        <v>7608</v>
      </c>
      <c r="T36" s="100">
        <v>3.5730972745672593</v>
      </c>
      <c r="U36" s="100">
        <v>2718.4124064907705</v>
      </c>
      <c r="V36" s="100">
        <v>10</v>
      </c>
      <c r="W36" s="100">
        <v>7608</v>
      </c>
      <c r="X36" s="100">
        <v>10</v>
      </c>
      <c r="Y36" s="100">
        <v>7608</v>
      </c>
      <c r="Z36" s="100">
        <v>7.0385055896950304</v>
      </c>
      <c r="AA36" s="100">
        <v>5354.8950526399785</v>
      </c>
      <c r="AB36" s="100">
        <v>7.2852049525054072</v>
      </c>
      <c r="AC36" s="100">
        <v>5542.5839278661133</v>
      </c>
      <c r="AD36" s="100">
        <v>2.4138183360580601</v>
      </c>
      <c r="AE36" s="100">
        <v>1836.432990072972</v>
      </c>
      <c r="AF36" s="100">
        <v>4.8096812101843485</v>
      </c>
      <c r="AG36" s="100">
        <v>3659.2054647082523</v>
      </c>
      <c r="AH36" s="100">
        <v>9</v>
      </c>
      <c r="AI36" s="100">
        <v>6847.2</v>
      </c>
      <c r="AJ36" s="100">
        <v>8.1439879592534314</v>
      </c>
      <c r="AK36" s="100">
        <v>6195.9460394000107</v>
      </c>
      <c r="AL36" s="100">
        <v>7.9174331619946736</v>
      </c>
      <c r="AM36" s="100">
        <v>6023.5831496455476</v>
      </c>
      <c r="AN36" s="100">
        <v>9.5865288962876019</v>
      </c>
      <c r="AO36" s="100">
        <v>7293.4311842956067</v>
      </c>
      <c r="AP36" s="100">
        <v>1.015338394014399E-3</v>
      </c>
      <c r="AQ36" s="100">
        <v>0.77246945016615465</v>
      </c>
      <c r="AR36" s="100">
        <v>9.1127111373875416E-4</v>
      </c>
      <c r="AS36" s="100">
        <v>0.69329506333244417</v>
      </c>
      <c r="AT36" s="100">
        <v>8.7970787754925188E-4</v>
      </c>
      <c r="AU36" s="100">
        <v>0.66928175323947081</v>
      </c>
      <c r="AV36" s="100">
        <v>6.0006161466373165</v>
      </c>
      <c r="AW36" s="100">
        <v>4565.26876436167</v>
      </c>
      <c r="AX36" s="100">
        <v>0.36936873442623308</v>
      </c>
      <c r="AY36" s="100">
        <v>281.01573315147812</v>
      </c>
      <c r="AZ36" s="100">
        <v>8.7165957446599442</v>
      </c>
      <c r="BA36" s="100">
        <v>6631.5860425372848</v>
      </c>
      <c r="BB36" s="100">
        <v>7.6462871490037951</v>
      </c>
      <c r="BC36" s="100">
        <v>5817.2952629620868</v>
      </c>
      <c r="BD36" s="100">
        <v>9.1931339700691659</v>
      </c>
      <c r="BE36" s="100">
        <v>6994.1363244286213</v>
      </c>
      <c r="BF36" s="100">
        <v>5</v>
      </c>
      <c r="BG36" s="100">
        <v>3804</v>
      </c>
      <c r="BH36" s="100">
        <v>6.9834395559338089</v>
      </c>
      <c r="BI36" s="100">
        <v>5313.0008141544413</v>
      </c>
      <c r="BJ36" s="100">
        <v>6.4768639508187196</v>
      </c>
      <c r="BK36" s="100">
        <v>4927.5980937828817</v>
      </c>
      <c r="BL36" s="100">
        <v>7.5975824348902812</v>
      </c>
      <c r="BM36" s="100">
        <v>5780.2407164645256</v>
      </c>
      <c r="BN36" s="100">
        <v>6.6249400048492982E-4</v>
      </c>
      <c r="BO36" s="100">
        <v>0.50402543556893453</v>
      </c>
      <c r="BP36" s="100">
        <v>10.000503949248571</v>
      </c>
      <c r="BQ36" s="100">
        <v>7608.3834045883123</v>
      </c>
      <c r="BR36" s="100">
        <v>9</v>
      </c>
      <c r="BS36" s="100">
        <v>6847.2</v>
      </c>
      <c r="BT36" s="100">
        <v>1.848782438892616</v>
      </c>
      <c r="BU36" s="100">
        <v>1406.5536795095022</v>
      </c>
      <c r="BV36" s="100">
        <v>7.057027460624977E-4</v>
      </c>
      <c r="BW36" s="100">
        <v>0.53689864920434827</v>
      </c>
      <c r="BX36" s="100">
        <v>7.0004625016165489</v>
      </c>
      <c r="BY36" s="100">
        <v>5325.9518712298704</v>
      </c>
      <c r="BZ36" s="100">
        <v>10</v>
      </c>
      <c r="CA36" s="100">
        <v>7608</v>
      </c>
      <c r="CB36" s="100">
        <v>12</v>
      </c>
      <c r="CC36" s="100">
        <v>9129.5999999999985</v>
      </c>
      <c r="CD36" s="100">
        <v>7.8290425246248292</v>
      </c>
      <c r="CE36" s="100">
        <v>5956.3355527345693</v>
      </c>
      <c r="CF36" s="100">
        <v>6.1600608227895419</v>
      </c>
      <c r="CG36" s="100">
        <v>4686.5742739782836</v>
      </c>
      <c r="CH36" s="100">
        <v>4.1072646596230025E-4</v>
      </c>
      <c r="CI36" s="100">
        <v>0.31248069530411798</v>
      </c>
      <c r="CJ36" s="100">
        <v>1.5936842090012675</v>
      </c>
      <c r="CK36" s="100">
        <v>1212.4749462081643</v>
      </c>
      <c r="CL36" s="100">
        <v>7.2493984677225614</v>
      </c>
      <c r="CM36" s="100">
        <v>5515.3423542433247</v>
      </c>
      <c r="CN36" s="100">
        <v>7</v>
      </c>
      <c r="CO36" s="100">
        <v>5325.5999999999995</v>
      </c>
      <c r="CP36" s="100">
        <v>2.9593454163415975</v>
      </c>
      <c r="CQ36" s="100">
        <v>2251.4699927526872</v>
      </c>
      <c r="CR36" s="100">
        <v>5.3203240007543497</v>
      </c>
      <c r="CS36" s="100">
        <v>4047.702499773909</v>
      </c>
      <c r="CT36" s="100">
        <v>8.6047687675705866</v>
      </c>
      <c r="CU36" s="100">
        <v>6546.5080783677022</v>
      </c>
    </row>
    <row r="37" spans="2:99">
      <c r="B37" s="99" t="s">
        <v>128</v>
      </c>
      <c r="C37" s="99" t="s">
        <v>203</v>
      </c>
      <c r="D37" s="100">
        <v>20.993712381185528</v>
      </c>
      <c r="E37" s="100">
        <v>18062.990132772029</v>
      </c>
      <c r="F37" s="100">
        <v>14.410437847408927</v>
      </c>
      <c r="G37" s="100">
        <v>12398.74072391064</v>
      </c>
      <c r="H37" s="100">
        <v>7.6479743617041889</v>
      </c>
      <c r="I37" s="100">
        <v>6580.3171408102835</v>
      </c>
      <c r="J37" s="100">
        <v>16</v>
      </c>
      <c r="K37" s="100">
        <v>13766.4</v>
      </c>
      <c r="L37" s="100">
        <v>12</v>
      </c>
      <c r="M37" s="100">
        <v>10324.799999999999</v>
      </c>
      <c r="N37" s="100">
        <v>9.2826647218342764</v>
      </c>
      <c r="O37" s="100">
        <v>7986.8047266662115</v>
      </c>
      <c r="P37" s="100">
        <v>14.174627135956431</v>
      </c>
      <c r="Q37" s="100">
        <v>12195.849187776914</v>
      </c>
      <c r="R37" s="100">
        <v>10</v>
      </c>
      <c r="S37" s="100">
        <v>8604</v>
      </c>
      <c r="T37" s="100">
        <v>4.287716729480711</v>
      </c>
      <c r="U37" s="100">
        <v>3689.1514740452035</v>
      </c>
      <c r="V37" s="100">
        <v>17</v>
      </c>
      <c r="W37" s="100">
        <v>14626.8</v>
      </c>
      <c r="X37" s="100">
        <v>13</v>
      </c>
      <c r="Y37" s="100">
        <v>11185.199999999999</v>
      </c>
      <c r="Z37" s="100">
        <v>15.836637576813818</v>
      </c>
      <c r="AA37" s="100">
        <v>13625.842971090608</v>
      </c>
      <c r="AB37" s="100">
        <v>11.656327924008652</v>
      </c>
      <c r="AC37" s="100">
        <v>10029.104545817045</v>
      </c>
      <c r="AD37" s="100">
        <v>3.1379638368754779</v>
      </c>
      <c r="AE37" s="100">
        <v>2699.904085247661</v>
      </c>
      <c r="AF37" s="100">
        <v>7.2145218152765231</v>
      </c>
      <c r="AG37" s="100">
        <v>6207.3745698639204</v>
      </c>
      <c r="AH37" s="100">
        <v>21</v>
      </c>
      <c r="AI37" s="100">
        <v>18068.399999999998</v>
      </c>
      <c r="AJ37" s="100">
        <v>10.092733714616307</v>
      </c>
      <c r="AK37" s="100">
        <v>8683.7880880558696</v>
      </c>
      <c r="AL37" s="100">
        <v>10.556577549326231</v>
      </c>
      <c r="AM37" s="100">
        <v>9082.8793234402892</v>
      </c>
      <c r="AN37" s="100">
        <v>18.301555165639964</v>
      </c>
      <c r="AO37" s="100">
        <v>15746.658064516625</v>
      </c>
      <c r="AP37" s="100">
        <v>1.1168722334158388E-3</v>
      </c>
      <c r="AQ37" s="100">
        <v>0.9609568696309877</v>
      </c>
      <c r="AR37" s="100">
        <v>1.65684905219673E-3</v>
      </c>
      <c r="AS37" s="100">
        <v>1.4255529245100664</v>
      </c>
      <c r="AT37" s="100">
        <v>1.5194884349457362E-3</v>
      </c>
      <c r="AU37" s="100">
        <v>1.3073678494273113</v>
      </c>
      <c r="AV37" s="100">
        <v>19.000479225162358</v>
      </c>
      <c r="AW37" s="100">
        <v>16348.012325329693</v>
      </c>
      <c r="AX37" s="100">
        <v>1.1899803558147828</v>
      </c>
      <c r="AY37" s="100">
        <v>1023.8590981430391</v>
      </c>
      <c r="AZ37" s="100">
        <v>14.30711246199712</v>
      </c>
      <c r="BA37" s="100">
        <v>12309.839562302321</v>
      </c>
      <c r="BB37" s="100">
        <v>9.3454620710046381</v>
      </c>
      <c r="BC37" s="100">
        <v>8040.8355658923902</v>
      </c>
      <c r="BD37" s="100">
        <v>17.128755980046112</v>
      </c>
      <c r="BE37" s="100">
        <v>14737.581645231674</v>
      </c>
      <c r="BF37" s="100">
        <v>18.25119392030917</v>
      </c>
      <c r="BG37" s="100">
        <v>15703.32724903401</v>
      </c>
      <c r="BH37" s="100">
        <v>18.955050223248911</v>
      </c>
      <c r="BI37" s="100">
        <v>16308.925212083363</v>
      </c>
      <c r="BJ37" s="100">
        <v>17.00176787089914</v>
      </c>
      <c r="BK37" s="100">
        <v>14628.32107612162</v>
      </c>
      <c r="BL37" s="100">
        <v>11.051028996204046</v>
      </c>
      <c r="BM37" s="100">
        <v>9508.3053483339609</v>
      </c>
      <c r="BN37" s="100">
        <v>9.5059413778492575E-4</v>
      </c>
      <c r="BO37" s="100">
        <v>0.81789119615015005</v>
      </c>
      <c r="BP37" s="100">
        <v>22.000453554323713</v>
      </c>
      <c r="BQ37" s="100">
        <v>18929.190238140123</v>
      </c>
      <c r="BR37" s="100">
        <v>13</v>
      </c>
      <c r="BS37" s="100">
        <v>11185.199999999999</v>
      </c>
      <c r="BT37" s="100">
        <v>4.8032149925973133</v>
      </c>
      <c r="BU37" s="100">
        <v>4132.6861796307285</v>
      </c>
      <c r="BV37" s="100">
        <v>1.1173626812656214E-3</v>
      </c>
      <c r="BW37" s="100">
        <v>0.96137885096094067</v>
      </c>
      <c r="BX37" s="100">
        <v>19.000277500969929</v>
      </c>
      <c r="BY37" s="100">
        <v>16347.838761834526</v>
      </c>
      <c r="BZ37" s="100">
        <v>14</v>
      </c>
      <c r="CA37" s="100">
        <v>12045.6</v>
      </c>
      <c r="CB37" s="100">
        <v>18</v>
      </c>
      <c r="CC37" s="100">
        <v>15487.199999999999</v>
      </c>
      <c r="CD37" s="100">
        <v>11.743563786937244</v>
      </c>
      <c r="CE37" s="100">
        <v>10104.162282280804</v>
      </c>
      <c r="CF37" s="100">
        <v>12.320121645579084</v>
      </c>
      <c r="CG37" s="100">
        <v>10600.232663856243</v>
      </c>
      <c r="CH37" s="100">
        <v>1.0268161649057506E-3</v>
      </c>
      <c r="CI37" s="100">
        <v>0.8834726282849078</v>
      </c>
      <c r="CJ37" s="100">
        <v>4.3826463099656889</v>
      </c>
      <c r="CK37" s="100">
        <v>3770.8288850944787</v>
      </c>
      <c r="CL37" s="100">
        <v>18.158708115823448</v>
      </c>
      <c r="CM37" s="100">
        <v>15623.752462854494</v>
      </c>
      <c r="CN37" s="100">
        <v>10</v>
      </c>
      <c r="CO37" s="100">
        <v>8604</v>
      </c>
      <c r="CP37" s="100">
        <v>6.2146253743173556</v>
      </c>
      <c r="CQ37" s="100">
        <v>5347.0636720626526</v>
      </c>
      <c r="CR37" s="100">
        <v>10.913413310639912</v>
      </c>
      <c r="CS37" s="100">
        <v>9389.9008124745797</v>
      </c>
      <c r="CT37" s="100">
        <v>10.345582152897478</v>
      </c>
      <c r="CU37" s="100">
        <v>8901.3388843529901</v>
      </c>
    </row>
    <row r="38" spans="2:99">
      <c r="C38" s="99" t="s">
        <v>204</v>
      </c>
      <c r="D38" s="100">
        <v>20.117926428833719</v>
      </c>
      <c r="E38" s="100">
        <v>24986.464624611479</v>
      </c>
      <c r="F38" s="100">
        <v>15.258110661962393</v>
      </c>
      <c r="G38" s="100">
        <v>18950.573442157292</v>
      </c>
      <c r="H38" s="100">
        <v>7.0596686415730963</v>
      </c>
      <c r="I38" s="100">
        <v>8768.1084528337851</v>
      </c>
      <c r="J38" s="100">
        <v>16</v>
      </c>
      <c r="K38" s="100">
        <v>19872</v>
      </c>
      <c r="L38" s="100">
        <v>11</v>
      </c>
      <c r="M38" s="100">
        <v>13662</v>
      </c>
      <c r="N38" s="100">
        <v>7.9565697615722364</v>
      </c>
      <c r="O38" s="100">
        <v>9882.0596438727171</v>
      </c>
      <c r="P38" s="100">
        <v>14.174627135956431</v>
      </c>
      <c r="Q38" s="100">
        <v>17604.886902857888</v>
      </c>
      <c r="R38" s="100">
        <v>10</v>
      </c>
      <c r="S38" s="100">
        <v>12420</v>
      </c>
      <c r="T38" s="100">
        <v>3.5730972745672593</v>
      </c>
      <c r="U38" s="100">
        <v>4437.786815012536</v>
      </c>
      <c r="V38" s="100">
        <v>16</v>
      </c>
      <c r="W38" s="100">
        <v>19872</v>
      </c>
      <c r="X38" s="100">
        <v>12</v>
      </c>
      <c r="Y38" s="100">
        <v>14904</v>
      </c>
      <c r="Z38" s="100">
        <v>14.95682437810194</v>
      </c>
      <c r="AA38" s="100">
        <v>18576.375877602608</v>
      </c>
      <c r="AB38" s="100">
        <v>10.92780742875811</v>
      </c>
      <c r="AC38" s="100">
        <v>13572.336826517572</v>
      </c>
      <c r="AD38" s="100">
        <v>2.8965820032696721</v>
      </c>
      <c r="AE38" s="100">
        <v>3597.5548480609327</v>
      </c>
      <c r="AF38" s="100">
        <v>7.2145218152765231</v>
      </c>
      <c r="AG38" s="100">
        <v>8960.4360945734425</v>
      </c>
      <c r="AH38" s="100">
        <v>18</v>
      </c>
      <c r="AI38" s="100">
        <v>22356</v>
      </c>
      <c r="AJ38" s="100">
        <v>9.9537630613097505</v>
      </c>
      <c r="AK38" s="100">
        <v>12362.57372214671</v>
      </c>
      <c r="AL38" s="100">
        <v>10.556577549326231</v>
      </c>
      <c r="AM38" s="100">
        <v>13111.26931626318</v>
      </c>
      <c r="AN38" s="100">
        <v>17.430052538704729</v>
      </c>
      <c r="AO38" s="100">
        <v>21648.125253071274</v>
      </c>
      <c r="AP38" s="100">
        <v>1.1168722334158388E-3</v>
      </c>
      <c r="AQ38" s="100">
        <v>1.3871553139024719</v>
      </c>
      <c r="AR38" s="100">
        <v>1.574006791913896E-3</v>
      </c>
      <c r="AS38" s="100">
        <v>1.9549164355570587</v>
      </c>
      <c r="AT38" s="100">
        <v>1.2795693041573969E-3</v>
      </c>
      <c r="AU38" s="100">
        <v>1.5892250757634869</v>
      </c>
      <c r="AV38" s="100">
        <v>17.000479225162358</v>
      </c>
      <c r="AW38" s="100">
        <v>21114.595197651648</v>
      </c>
      <c r="AX38" s="100">
        <v>1.1324506732016668</v>
      </c>
      <c r="AY38" s="100">
        <v>1406.5037361164702</v>
      </c>
      <c r="AZ38" s="100">
        <v>14.358297872329972</v>
      </c>
      <c r="BA38" s="100">
        <v>17833.005957433827</v>
      </c>
      <c r="BB38" s="100">
        <v>7.6462871490037951</v>
      </c>
      <c r="BC38" s="100">
        <v>9496.6886390627133</v>
      </c>
      <c r="BD38" s="100">
        <v>19.128755980046112</v>
      </c>
      <c r="BE38" s="100">
        <v>23757.914927217273</v>
      </c>
      <c r="BF38" s="100">
        <v>17.223283484719261</v>
      </c>
      <c r="BG38" s="100">
        <v>21391.318088021322</v>
      </c>
      <c r="BH38" s="100">
        <v>18.955050223248911</v>
      </c>
      <c r="BI38" s="100">
        <v>23542.172377275147</v>
      </c>
      <c r="BJ38" s="100">
        <v>15.382551883194457</v>
      </c>
      <c r="BK38" s="100">
        <v>19105.129438927517</v>
      </c>
      <c r="BL38" s="100">
        <v>11.741718308466798</v>
      </c>
      <c r="BM38" s="100">
        <v>14583.214139115762</v>
      </c>
      <c r="BN38" s="100">
        <v>8.3288854783964339E-4</v>
      </c>
      <c r="BO38" s="100">
        <v>1.034447576416837</v>
      </c>
      <c r="BP38" s="100">
        <v>19.000453554323713</v>
      </c>
      <c r="BQ38" s="100">
        <v>23598.563314470051</v>
      </c>
      <c r="BR38" s="100">
        <v>13</v>
      </c>
      <c r="BS38" s="100">
        <v>16146</v>
      </c>
      <c r="BT38" s="100">
        <v>3.9616766547698914</v>
      </c>
      <c r="BU38" s="100">
        <v>4920.4024052242048</v>
      </c>
      <c r="BV38" s="100">
        <v>9.997455569218717E-4</v>
      </c>
      <c r="BW38" s="100">
        <v>1.2416839816969647</v>
      </c>
      <c r="BX38" s="100">
        <v>16.000277500969929</v>
      </c>
      <c r="BY38" s="100">
        <v>19872.344656204652</v>
      </c>
      <c r="BZ38" s="100">
        <v>13</v>
      </c>
      <c r="CA38" s="100">
        <v>16146</v>
      </c>
      <c r="CB38" s="100">
        <v>16</v>
      </c>
      <c r="CC38" s="100">
        <v>19872</v>
      </c>
      <c r="CD38" s="100">
        <v>11.743563786937244</v>
      </c>
      <c r="CE38" s="100">
        <v>14585.506223376058</v>
      </c>
      <c r="CF38" s="100">
        <v>13.200130334549019</v>
      </c>
      <c r="CG38" s="100">
        <v>16394.56187550988</v>
      </c>
      <c r="CH38" s="100">
        <v>1.0268161649057506E-3</v>
      </c>
      <c r="CI38" s="100">
        <v>1.2753056768129423</v>
      </c>
      <c r="CJ38" s="100">
        <v>4.5011012547220917</v>
      </c>
      <c r="CK38" s="100">
        <v>5590.3677583648378</v>
      </c>
      <c r="CL38" s="100">
        <v>18.136035527848669</v>
      </c>
      <c r="CM38" s="100">
        <v>22524.956125588047</v>
      </c>
      <c r="CN38" s="100">
        <v>10</v>
      </c>
      <c r="CO38" s="100">
        <v>12420</v>
      </c>
      <c r="CP38" s="100">
        <v>6.2146253743173556</v>
      </c>
      <c r="CQ38" s="100">
        <v>7718.5647149021561</v>
      </c>
      <c r="CR38" s="100">
        <v>11.64618306554884</v>
      </c>
      <c r="CS38" s="100">
        <v>14464.559367411659</v>
      </c>
      <c r="CT38" s="100">
        <v>10.345582152897478</v>
      </c>
      <c r="CU38" s="100">
        <v>12849.213033898668</v>
      </c>
    </row>
    <row r="39" spans="2:99">
      <c r="C39" s="99" t="s">
        <v>205</v>
      </c>
      <c r="D39" s="100">
        <v>17.993712381185528</v>
      </c>
      <c r="E39" s="100">
        <v>25608.651460903246</v>
      </c>
      <c r="F39" s="100">
        <v>12.715092218301995</v>
      </c>
      <c r="G39" s="100">
        <v>18096.1192450874</v>
      </c>
      <c r="H39" s="100">
        <v>7.0596686415730963</v>
      </c>
      <c r="I39" s="100">
        <v>10047.320410686831</v>
      </c>
      <c r="J39" s="100">
        <v>14</v>
      </c>
      <c r="K39" s="100">
        <v>19924.8</v>
      </c>
      <c r="L39" s="100">
        <v>10</v>
      </c>
      <c r="M39" s="100">
        <v>14232</v>
      </c>
      <c r="N39" s="100">
        <v>8.6196172417032564</v>
      </c>
      <c r="O39" s="100">
        <v>12267.439258392074</v>
      </c>
      <c r="P39" s="100">
        <v>13.42859412880083</v>
      </c>
      <c r="Q39" s="100">
        <v>19111.575164109341</v>
      </c>
      <c r="R39" s="100">
        <v>10</v>
      </c>
      <c r="S39" s="100">
        <v>14232</v>
      </c>
      <c r="T39" s="100">
        <v>3.5730972745672593</v>
      </c>
      <c r="U39" s="100">
        <v>5085.232041164124</v>
      </c>
      <c r="V39" s="100">
        <v>18</v>
      </c>
      <c r="W39" s="100">
        <v>25617.600000000002</v>
      </c>
      <c r="X39" s="100">
        <v>15</v>
      </c>
      <c r="Y39" s="100">
        <v>21348</v>
      </c>
      <c r="Z39" s="100">
        <v>17.596263974237576</v>
      </c>
      <c r="AA39" s="100">
        <v>25043.002888134921</v>
      </c>
      <c r="AB39" s="100">
        <v>10.199286933507571</v>
      </c>
      <c r="AC39" s="100">
        <v>14515.625163767974</v>
      </c>
      <c r="AD39" s="100">
        <v>3.3793456704812836</v>
      </c>
      <c r="AE39" s="100">
        <v>4809.4847582289631</v>
      </c>
      <c r="AF39" s="100">
        <v>7.2145218152765231</v>
      </c>
      <c r="AG39" s="100">
        <v>10267.707447501549</v>
      </c>
      <c r="AH39" s="100">
        <v>17</v>
      </c>
      <c r="AI39" s="100">
        <v>24194.400000000001</v>
      </c>
      <c r="AJ39" s="100">
        <v>9.0488755102815919</v>
      </c>
      <c r="AK39" s="100">
        <v>12878.359626232763</v>
      </c>
      <c r="AL39" s="100">
        <v>8.797147957771859</v>
      </c>
      <c r="AM39" s="100">
        <v>12520.10097350091</v>
      </c>
      <c r="AN39" s="100">
        <v>17.430052538704729</v>
      </c>
      <c r="AO39" s="100">
        <v>24806.450773084569</v>
      </c>
      <c r="AP39" s="100">
        <v>1.1168722334158388E-3</v>
      </c>
      <c r="AQ39" s="100">
        <v>1.5895325625974219</v>
      </c>
      <c r="AR39" s="100">
        <v>1.5740063110963897E-3</v>
      </c>
      <c r="AS39" s="100">
        <v>2.2401257819523819</v>
      </c>
      <c r="AT39" s="100">
        <v>1.1995974738004582E-3</v>
      </c>
      <c r="AU39" s="100">
        <v>1.7072671247128122</v>
      </c>
      <c r="AV39" s="100">
        <v>15.000410764424878</v>
      </c>
      <c r="AW39" s="100">
        <v>21348.584599929487</v>
      </c>
      <c r="AX39" s="100">
        <v>1.0769368771508456</v>
      </c>
      <c r="AY39" s="100">
        <v>1532.6965635610836</v>
      </c>
      <c r="AZ39" s="100">
        <v>13.30711246199712</v>
      </c>
      <c r="BA39" s="100">
        <v>18938.682455914302</v>
      </c>
      <c r="BB39" s="100">
        <v>8.4958746100042166</v>
      </c>
      <c r="BC39" s="100">
        <v>12091.328744958002</v>
      </c>
      <c r="BD39" s="100">
        <v>17.112661482540346</v>
      </c>
      <c r="BE39" s="100">
        <v>24354.739821951422</v>
      </c>
      <c r="BF39" s="100">
        <v>19.25119392030917</v>
      </c>
      <c r="BG39" s="100">
        <v>27398.299187384011</v>
      </c>
      <c r="BH39" s="100">
        <v>19.952684445525168</v>
      </c>
      <c r="BI39" s="100">
        <v>28396.660502871422</v>
      </c>
      <c r="BJ39" s="100">
        <v>16.192159877046798</v>
      </c>
      <c r="BK39" s="100">
        <v>23044.681937013003</v>
      </c>
      <c r="BL39" s="100">
        <v>11.741718308466798</v>
      </c>
      <c r="BM39" s="100">
        <v>16710.813496609946</v>
      </c>
      <c r="BN39" s="100">
        <v>8.8865942403067958E-4</v>
      </c>
      <c r="BO39" s="100">
        <v>1.2647400922804632</v>
      </c>
      <c r="BP39" s="100">
        <v>19.000453554323713</v>
      </c>
      <c r="BQ39" s="100">
        <v>27041.445498513509</v>
      </c>
      <c r="BR39" s="100">
        <v>14</v>
      </c>
      <c r="BS39" s="100">
        <v>19924.8</v>
      </c>
      <c r="BT39" s="100">
        <v>4.2257884317545509</v>
      </c>
      <c r="BU39" s="100">
        <v>6014.1420960730766</v>
      </c>
      <c r="BV39" s="100">
        <v>9.997455569218717E-4</v>
      </c>
      <c r="BW39" s="100">
        <v>1.4228378766112078</v>
      </c>
      <c r="BX39" s="100">
        <v>16.000231250808273</v>
      </c>
      <c r="BY39" s="100">
        <v>22771.529116150334</v>
      </c>
      <c r="BZ39" s="100">
        <v>13</v>
      </c>
      <c r="CA39" s="100">
        <v>18501.600000000002</v>
      </c>
      <c r="CB39" s="100">
        <v>16</v>
      </c>
      <c r="CC39" s="100">
        <v>22771.200000000001</v>
      </c>
      <c r="CD39" s="100">
        <v>11.743563786937244</v>
      </c>
      <c r="CE39" s="100">
        <v>16713.439981569085</v>
      </c>
      <c r="CF39" s="100">
        <v>11.440112956609148</v>
      </c>
      <c r="CG39" s="100">
        <v>16281.568759846141</v>
      </c>
      <c r="CH39" s="100">
        <v>9.5836175391203395E-4</v>
      </c>
      <c r="CI39" s="100">
        <v>1.3639404481676067</v>
      </c>
      <c r="CJ39" s="100">
        <v>4.5011012547220917</v>
      </c>
      <c r="CK39" s="100">
        <v>6405.9673057204809</v>
      </c>
      <c r="CL39" s="100">
        <v>20.136035527848669</v>
      </c>
      <c r="CM39" s="100">
        <v>28657.605763234227</v>
      </c>
      <c r="CN39" s="100">
        <v>11</v>
      </c>
      <c r="CO39" s="100">
        <v>15655.2</v>
      </c>
      <c r="CP39" s="100">
        <v>6.2146253743173556</v>
      </c>
      <c r="CQ39" s="100">
        <v>8844.65483272846</v>
      </c>
      <c r="CR39" s="100">
        <v>10.098813962991619</v>
      </c>
      <c r="CS39" s="100">
        <v>14372.632032129672</v>
      </c>
      <c r="CT39" s="100">
        <v>10.345582152897478</v>
      </c>
      <c r="CU39" s="100">
        <v>14723.832520003691</v>
      </c>
    </row>
    <row r="40" spans="2:99">
      <c r="C40" s="99" t="s">
        <v>206</v>
      </c>
      <c r="D40" s="100">
        <v>19.993712381185528</v>
      </c>
      <c r="E40" s="100">
        <v>14491.44273388327</v>
      </c>
      <c r="F40" s="100">
        <v>16.10578347651586</v>
      </c>
      <c r="G40" s="100">
        <v>11673.471863778695</v>
      </c>
      <c r="H40" s="100">
        <v>7.6479743617041889</v>
      </c>
      <c r="I40" s="100">
        <v>5543.2518173631961</v>
      </c>
      <c r="J40" s="100">
        <v>16</v>
      </c>
      <c r="K40" s="100">
        <v>11596.8</v>
      </c>
      <c r="L40" s="100">
        <v>11</v>
      </c>
      <c r="M40" s="100">
        <v>7972.7999999999993</v>
      </c>
      <c r="N40" s="100">
        <v>9.2826647218342764</v>
      </c>
      <c r="O40" s="100">
        <v>6728.0753903854829</v>
      </c>
      <c r="P40" s="100">
        <v>14.920660143112032</v>
      </c>
      <c r="Q40" s="100">
        <v>10814.494471727601</v>
      </c>
      <c r="R40" s="100">
        <v>10</v>
      </c>
      <c r="S40" s="100">
        <v>7248</v>
      </c>
      <c r="T40" s="100">
        <v>3.9304070020239852</v>
      </c>
      <c r="U40" s="100">
        <v>2848.7589950669844</v>
      </c>
      <c r="V40" s="100">
        <v>19</v>
      </c>
      <c r="W40" s="100">
        <v>13771.199999999999</v>
      </c>
      <c r="X40" s="100">
        <v>14</v>
      </c>
      <c r="Y40" s="100">
        <v>10147.199999999999</v>
      </c>
      <c r="Z40" s="100">
        <v>17.596263974237576</v>
      </c>
      <c r="AA40" s="100">
        <v>12753.772128527395</v>
      </c>
      <c r="AB40" s="100">
        <v>10.92780742875811</v>
      </c>
      <c r="AC40" s="100">
        <v>7920.4748243638769</v>
      </c>
      <c r="AD40" s="100">
        <v>3.3793456704812836</v>
      </c>
      <c r="AE40" s="100">
        <v>2449.3497419648343</v>
      </c>
      <c r="AF40" s="100">
        <v>7.815731966549567</v>
      </c>
      <c r="AG40" s="100">
        <v>5664.8425293551254</v>
      </c>
      <c r="AH40" s="100">
        <v>18</v>
      </c>
      <c r="AI40" s="100">
        <v>13046.4</v>
      </c>
      <c r="AJ40" s="100">
        <v>10.092733714616307</v>
      </c>
      <c r="AK40" s="100">
        <v>7315.2133963538981</v>
      </c>
      <c r="AL40" s="100">
        <v>10.556577549326231</v>
      </c>
      <c r="AM40" s="100">
        <v>7651.4074077516525</v>
      </c>
      <c r="AN40" s="100">
        <v>20.044560419510439</v>
      </c>
      <c r="AO40" s="100">
        <v>14528.297392061166</v>
      </c>
      <c r="AP40" s="100">
        <v>1.1168722334158388E-3</v>
      </c>
      <c r="AQ40" s="100">
        <v>0.80950899477979998</v>
      </c>
      <c r="AR40" s="100">
        <v>1.4083222713482278E-3</v>
      </c>
      <c r="AS40" s="100">
        <v>1.0207519822731954</v>
      </c>
      <c r="AT40" s="100">
        <v>1.5194879799810459E-3</v>
      </c>
      <c r="AU40" s="100">
        <v>1.1013248878902619</v>
      </c>
      <c r="AV40" s="100">
        <v>19.000410764424878</v>
      </c>
      <c r="AW40" s="100">
        <v>13771.49772205515</v>
      </c>
      <c r="AX40" s="100">
        <v>1.1899803558147828</v>
      </c>
      <c r="AY40" s="100">
        <v>862.49776189455451</v>
      </c>
      <c r="AZ40" s="100">
        <v>14.30711246199712</v>
      </c>
      <c r="BA40" s="100">
        <v>10369.795112455511</v>
      </c>
      <c r="BB40" s="100">
        <v>8.4958746100042166</v>
      </c>
      <c r="BC40" s="100">
        <v>6157.8099173310557</v>
      </c>
      <c r="BD40" s="100">
        <v>20.112661482540346</v>
      </c>
      <c r="BE40" s="100">
        <v>14577.657042545243</v>
      </c>
      <c r="BF40" s="100">
        <v>20.25119392030917</v>
      </c>
      <c r="BG40" s="100">
        <v>14678.065353440086</v>
      </c>
      <c r="BH40" s="100">
        <v>17.957416000972653</v>
      </c>
      <c r="BI40" s="100">
        <v>13015.535117504978</v>
      </c>
      <c r="BJ40" s="100">
        <v>15.382551883194457</v>
      </c>
      <c r="BK40" s="100">
        <v>11149.273604939342</v>
      </c>
      <c r="BL40" s="100">
        <v>13.123096932992302</v>
      </c>
      <c r="BM40" s="100">
        <v>9511.6206570328195</v>
      </c>
      <c r="BN40" s="100">
        <v>8.9174134281228457E-4</v>
      </c>
      <c r="BO40" s="100">
        <v>0.64633412527034384</v>
      </c>
      <c r="BP40" s="100">
        <v>20.000453554323713</v>
      </c>
      <c r="BQ40" s="100">
        <v>14496.328736173826</v>
      </c>
      <c r="BR40" s="100">
        <v>13</v>
      </c>
      <c r="BS40" s="100">
        <v>9422.4</v>
      </c>
      <c r="BT40" s="100">
        <v>5.0181237627085293</v>
      </c>
      <c r="BU40" s="100">
        <v>3637.1361032111417</v>
      </c>
      <c r="BV40" s="100">
        <v>1.1761712434374962E-3</v>
      </c>
      <c r="BW40" s="100">
        <v>0.85248891724349718</v>
      </c>
      <c r="BX40" s="100">
        <v>19.000323751131585</v>
      </c>
      <c r="BY40" s="100">
        <v>13771.434654820172</v>
      </c>
      <c r="BZ40" s="100">
        <v>13</v>
      </c>
      <c r="CA40" s="100">
        <v>9422.4</v>
      </c>
      <c r="CB40" s="100">
        <v>18</v>
      </c>
      <c r="CC40" s="100">
        <v>13046.4</v>
      </c>
      <c r="CD40" s="100">
        <v>11.743563786937244</v>
      </c>
      <c r="CE40" s="100">
        <v>8511.7350327721142</v>
      </c>
      <c r="CF40" s="100">
        <v>12.320121645579084</v>
      </c>
      <c r="CG40" s="100">
        <v>8929.6241687157199</v>
      </c>
      <c r="CH40" s="100">
        <v>1.0268161649057506E-3</v>
      </c>
      <c r="CI40" s="100">
        <v>0.74423635632368801</v>
      </c>
      <c r="CJ40" s="100">
        <v>4.7380013207600964</v>
      </c>
      <c r="CK40" s="100">
        <v>3434.1033572869178</v>
      </c>
      <c r="CL40" s="100">
        <v>20.158708115823448</v>
      </c>
      <c r="CM40" s="100">
        <v>14611.031642348833</v>
      </c>
      <c r="CN40" s="100">
        <v>12</v>
      </c>
      <c r="CO40" s="100">
        <v>8697.5999999999985</v>
      </c>
      <c r="CP40" s="100">
        <v>6.5105599159515153</v>
      </c>
      <c r="CQ40" s="100">
        <v>4718.853827081658</v>
      </c>
      <c r="CR40" s="100">
        <v>12.406229351370891</v>
      </c>
      <c r="CS40" s="100">
        <v>8992.0350338736207</v>
      </c>
      <c r="CT40" s="100">
        <v>12.345582152897478</v>
      </c>
      <c r="CU40" s="100">
        <v>8948.0779444200907</v>
      </c>
    </row>
    <row r="41" spans="2:99">
      <c r="C41" s="99" t="s">
        <v>207</v>
      </c>
      <c r="D41" s="100">
        <v>21.117926428833719</v>
      </c>
      <c r="E41" s="100">
        <v>13937.831443030254</v>
      </c>
      <c r="F41" s="100">
        <v>14.410437847408927</v>
      </c>
      <c r="G41" s="100">
        <v>9510.8889792898917</v>
      </c>
      <c r="H41" s="100">
        <v>8.2362800818352788</v>
      </c>
      <c r="I41" s="100">
        <v>5435.9448540112844</v>
      </c>
      <c r="J41" s="100">
        <v>16</v>
      </c>
      <c r="K41" s="100">
        <v>10560</v>
      </c>
      <c r="L41" s="100">
        <v>11</v>
      </c>
      <c r="M41" s="100">
        <v>7260</v>
      </c>
      <c r="N41" s="100">
        <v>9.2826647218342764</v>
      </c>
      <c r="O41" s="100">
        <v>6126.5587164106228</v>
      </c>
      <c r="P41" s="100">
        <v>14.174627135956431</v>
      </c>
      <c r="Q41" s="100">
        <v>9355.2539097312438</v>
      </c>
      <c r="R41" s="100">
        <v>12</v>
      </c>
      <c r="S41" s="100">
        <v>7920</v>
      </c>
      <c r="T41" s="100">
        <v>4.287716729480711</v>
      </c>
      <c r="U41" s="100">
        <v>2829.8930414572692</v>
      </c>
      <c r="V41" s="100">
        <v>16</v>
      </c>
      <c r="W41" s="100">
        <v>10560</v>
      </c>
      <c r="X41" s="100">
        <v>15</v>
      </c>
      <c r="Y41" s="100">
        <v>9900</v>
      </c>
      <c r="Z41" s="100">
        <v>17.596263974237576</v>
      </c>
      <c r="AA41" s="100">
        <v>11613.534222996801</v>
      </c>
      <c r="AB41" s="100">
        <v>10.92780742875811</v>
      </c>
      <c r="AC41" s="100">
        <v>7212.3529029803522</v>
      </c>
      <c r="AD41" s="100">
        <v>3.3793456704812836</v>
      </c>
      <c r="AE41" s="100">
        <v>2230.3681425176474</v>
      </c>
      <c r="AF41" s="100">
        <v>6.6133116640034793</v>
      </c>
      <c r="AG41" s="100">
        <v>4364.7856982422963</v>
      </c>
      <c r="AH41" s="100">
        <v>21</v>
      </c>
      <c r="AI41" s="100">
        <v>13860</v>
      </c>
      <c r="AJ41" s="100">
        <v>10.110105046279626</v>
      </c>
      <c r="AK41" s="100">
        <v>6672.6693305445533</v>
      </c>
      <c r="AL41" s="100">
        <v>9.6768627535490452</v>
      </c>
      <c r="AM41" s="100">
        <v>6386.7294173423697</v>
      </c>
      <c r="AN41" s="100">
        <v>19.173057792575204</v>
      </c>
      <c r="AO41" s="100">
        <v>12654.218143099635</v>
      </c>
      <c r="AP41" s="100">
        <v>1.1168722334158388E-3</v>
      </c>
      <c r="AQ41" s="100">
        <v>0.73713567405445368</v>
      </c>
      <c r="AR41" s="100">
        <v>1.491164531631062E-3</v>
      </c>
      <c r="AS41" s="100">
        <v>0.98416859087650088</v>
      </c>
      <c r="AT41" s="100">
        <v>1.4395161496241074E-3</v>
      </c>
      <c r="AU41" s="100">
        <v>0.95008065875191094</v>
      </c>
      <c r="AV41" s="100">
        <v>18.000410764424878</v>
      </c>
      <c r="AW41" s="100">
        <v>11880.27110452042</v>
      </c>
      <c r="AX41" s="100">
        <v>1.1364824463262566</v>
      </c>
      <c r="AY41" s="100">
        <v>750.07841457532936</v>
      </c>
      <c r="AZ41" s="100">
        <v>15.358297872329972</v>
      </c>
      <c r="BA41" s="100">
        <v>10136.476595737782</v>
      </c>
      <c r="BB41" s="100">
        <v>9.3454620710046381</v>
      </c>
      <c r="BC41" s="100">
        <v>6168.0049668630609</v>
      </c>
      <c r="BD41" s="100">
        <v>18.144850477551874</v>
      </c>
      <c r="BE41" s="100">
        <v>11975.601315184236</v>
      </c>
      <c r="BF41" s="100">
        <v>21.279104355899076</v>
      </c>
      <c r="BG41" s="100">
        <v>14044.208874893389</v>
      </c>
      <c r="BH41" s="100">
        <v>18.955050223248911</v>
      </c>
      <c r="BI41" s="100">
        <v>12510.333147344281</v>
      </c>
      <c r="BJ41" s="100">
        <v>17.00176787089914</v>
      </c>
      <c r="BK41" s="100">
        <v>11221.166794793433</v>
      </c>
      <c r="BL41" s="100">
        <v>11.741718308466798</v>
      </c>
      <c r="BM41" s="100">
        <v>7749.5340835880861</v>
      </c>
      <c r="BN41" s="100">
        <v>8.9482326159388945E-4</v>
      </c>
      <c r="BO41" s="100">
        <v>0.59058335265196704</v>
      </c>
      <c r="BP41" s="100">
        <v>21.000453554323713</v>
      </c>
      <c r="BQ41" s="100">
        <v>13860.299345853651</v>
      </c>
      <c r="BR41" s="100">
        <v>14</v>
      </c>
      <c r="BS41" s="100">
        <v>9240</v>
      </c>
      <c r="BT41" s="100">
        <v>4.7540119857238698</v>
      </c>
      <c r="BU41" s="100">
        <v>3137.6479105777539</v>
      </c>
      <c r="BV41" s="100">
        <v>1.2937883677812459E-3</v>
      </c>
      <c r="BW41" s="100">
        <v>0.85390032273562233</v>
      </c>
      <c r="BX41" s="100">
        <v>19.000323751131585</v>
      </c>
      <c r="BY41" s="100">
        <v>12540.213675746847</v>
      </c>
      <c r="BZ41" s="100">
        <v>14</v>
      </c>
      <c r="CA41" s="100">
        <v>9240</v>
      </c>
      <c r="CB41" s="100">
        <v>19</v>
      </c>
      <c r="CC41" s="100">
        <v>12540</v>
      </c>
      <c r="CD41" s="100">
        <v>10.960659534474761</v>
      </c>
      <c r="CE41" s="100">
        <v>7234.0352927533422</v>
      </c>
      <c r="CF41" s="100">
        <v>12.320121645579084</v>
      </c>
      <c r="CG41" s="100">
        <v>8131.2802860821957</v>
      </c>
      <c r="CH41" s="100">
        <v>1.163724986893184E-3</v>
      </c>
      <c r="CI41" s="100">
        <v>0.76805849134950144</v>
      </c>
      <c r="CJ41" s="100">
        <v>4.7380013207600964</v>
      </c>
      <c r="CK41" s="100">
        <v>3127.0808717016635</v>
      </c>
      <c r="CL41" s="100">
        <v>20.158708115823448</v>
      </c>
      <c r="CM41" s="100">
        <v>13304.747356443475</v>
      </c>
      <c r="CN41" s="100">
        <v>11</v>
      </c>
      <c r="CO41" s="100">
        <v>7260</v>
      </c>
      <c r="CP41" s="100">
        <v>7.1024289992198346</v>
      </c>
      <c r="CQ41" s="100">
        <v>4687.6031394850907</v>
      </c>
      <c r="CR41" s="100">
        <v>12.406229351370891</v>
      </c>
      <c r="CS41" s="100">
        <v>8188.111371904788</v>
      </c>
      <c r="CT41" s="100">
        <v>11.388779922009663</v>
      </c>
      <c r="CU41" s="100">
        <v>7516.5947485263778</v>
      </c>
    </row>
    <row r="42" spans="2:99">
      <c r="C42" s="99" t="s">
        <v>208</v>
      </c>
      <c r="D42" s="100">
        <v>20.117926428833719</v>
      </c>
      <c r="E42" s="100">
        <v>17019.765758793328</v>
      </c>
      <c r="F42" s="100">
        <v>15.258110661962393</v>
      </c>
      <c r="G42" s="100">
        <v>12908.361620020185</v>
      </c>
      <c r="H42" s="100">
        <v>8.8245858019663697</v>
      </c>
      <c r="I42" s="100">
        <v>7465.5995884635486</v>
      </c>
      <c r="J42" s="100">
        <v>18</v>
      </c>
      <c r="K42" s="100">
        <v>15228</v>
      </c>
      <c r="L42" s="100">
        <v>11</v>
      </c>
      <c r="M42" s="100">
        <v>9306</v>
      </c>
      <c r="N42" s="100">
        <v>9.2826647218342764</v>
      </c>
      <c r="O42" s="100">
        <v>7853.1343546717981</v>
      </c>
      <c r="P42" s="100">
        <v>15.666693150267635</v>
      </c>
      <c r="Q42" s="100">
        <v>13254.022405126419</v>
      </c>
      <c r="R42" s="100">
        <v>11</v>
      </c>
      <c r="S42" s="100">
        <v>9306</v>
      </c>
      <c r="T42" s="100">
        <v>3.9304070020239852</v>
      </c>
      <c r="U42" s="100">
        <v>3325.1243237122912</v>
      </c>
      <c r="V42" s="100">
        <v>19</v>
      </c>
      <c r="W42" s="100">
        <v>16074</v>
      </c>
      <c r="X42" s="100">
        <v>15</v>
      </c>
      <c r="Y42" s="100">
        <v>12690</v>
      </c>
      <c r="Z42" s="100">
        <v>17.596263974237576</v>
      </c>
      <c r="AA42" s="100">
        <v>14886.439322204989</v>
      </c>
      <c r="AB42" s="100">
        <v>11.656327924008652</v>
      </c>
      <c r="AC42" s="100">
        <v>9861.2534237113196</v>
      </c>
      <c r="AD42" s="100">
        <v>3.1379638368754779</v>
      </c>
      <c r="AE42" s="100">
        <v>2654.7174059966542</v>
      </c>
      <c r="AF42" s="100">
        <v>6.6133116640034793</v>
      </c>
      <c r="AG42" s="100">
        <v>5594.8616677469436</v>
      </c>
      <c r="AH42" s="100">
        <v>18</v>
      </c>
      <c r="AI42" s="100">
        <v>15228</v>
      </c>
      <c r="AJ42" s="100">
        <v>9.9537630613097505</v>
      </c>
      <c r="AK42" s="100">
        <v>8420.8835498680492</v>
      </c>
      <c r="AL42" s="100">
        <v>9.6768627535490452</v>
      </c>
      <c r="AM42" s="100">
        <v>8186.6258895024921</v>
      </c>
      <c r="AN42" s="100">
        <v>19.173057792575204</v>
      </c>
      <c r="AO42" s="100">
        <v>16220.406892518622</v>
      </c>
      <c r="AP42" s="100">
        <v>1.1168722334158388E-3</v>
      </c>
      <c r="AQ42" s="100">
        <v>0.94487390946979966</v>
      </c>
      <c r="AR42" s="100">
        <v>1.65684905219673E-3</v>
      </c>
      <c r="AS42" s="100">
        <v>1.4016942981584335</v>
      </c>
      <c r="AT42" s="100">
        <v>1.3595434093377878E-3</v>
      </c>
      <c r="AU42" s="100">
        <v>1.1501737242997685</v>
      </c>
      <c r="AV42" s="100">
        <v>17.000410764424878</v>
      </c>
      <c r="AW42" s="100">
        <v>14382.347506703447</v>
      </c>
      <c r="AX42" s="100">
        <v>1.187964469252488</v>
      </c>
      <c r="AY42" s="100">
        <v>1005.0179409876049</v>
      </c>
      <c r="AZ42" s="100">
        <v>12.30711246199712</v>
      </c>
      <c r="BA42" s="100">
        <v>10411.817142849563</v>
      </c>
      <c r="BB42" s="100">
        <v>10.19504953200506</v>
      </c>
      <c r="BC42" s="100">
        <v>8625.0119040762802</v>
      </c>
      <c r="BD42" s="100">
        <v>19.128755980046112</v>
      </c>
      <c r="BE42" s="100">
        <v>16182.927559119011</v>
      </c>
      <c r="BF42" s="100">
        <v>19.279104355899076</v>
      </c>
      <c r="BG42" s="100">
        <v>16310.122285090618</v>
      </c>
      <c r="BH42" s="100">
        <v>19.952684445525168</v>
      </c>
      <c r="BI42" s="100">
        <v>16879.971040914294</v>
      </c>
      <c r="BJ42" s="100">
        <v>17.00176787089914</v>
      </c>
      <c r="BK42" s="100">
        <v>14383.495618780673</v>
      </c>
      <c r="BL42" s="100">
        <v>13.123096932992302</v>
      </c>
      <c r="BM42" s="100">
        <v>11102.140005311488</v>
      </c>
      <c r="BN42" s="100">
        <v>9.5675797534813551E-4</v>
      </c>
      <c r="BO42" s="100">
        <v>0.80941724714452268</v>
      </c>
      <c r="BP42" s="100">
        <v>22.000453554323713</v>
      </c>
      <c r="BQ42" s="100">
        <v>18612.383706957862</v>
      </c>
      <c r="BR42" s="100">
        <v>15</v>
      </c>
      <c r="BS42" s="100">
        <v>12690</v>
      </c>
      <c r="BT42" s="100">
        <v>4.8081352932846579</v>
      </c>
      <c r="BU42" s="100">
        <v>4067.6824581188207</v>
      </c>
      <c r="BV42" s="100">
        <v>1.2349798056093709E-3</v>
      </c>
      <c r="BW42" s="100">
        <v>1.0447929155455278</v>
      </c>
      <c r="BX42" s="100">
        <v>18.000277500969929</v>
      </c>
      <c r="BY42" s="100">
        <v>15228.23476582056</v>
      </c>
      <c r="BZ42" s="100">
        <v>12</v>
      </c>
      <c r="CA42" s="100">
        <v>10152</v>
      </c>
      <c r="CB42" s="100">
        <v>17</v>
      </c>
      <c r="CC42" s="100">
        <v>14382</v>
      </c>
      <c r="CD42" s="100">
        <v>11.743563786937244</v>
      </c>
      <c r="CE42" s="100">
        <v>9935.0549637489094</v>
      </c>
      <c r="CF42" s="100">
        <v>13.200130334549019</v>
      </c>
      <c r="CG42" s="100">
        <v>11167.31026302847</v>
      </c>
      <c r="CH42" s="100">
        <v>9.5836175391203395E-4</v>
      </c>
      <c r="CI42" s="100">
        <v>0.81077404380958074</v>
      </c>
      <c r="CJ42" s="100">
        <v>4.5011012547220917</v>
      </c>
      <c r="CK42" s="100">
        <v>3807.9316614948893</v>
      </c>
      <c r="CL42" s="100">
        <v>19.158708115823448</v>
      </c>
      <c r="CM42" s="100">
        <v>16208.267065986636</v>
      </c>
      <c r="CN42" s="100">
        <v>10</v>
      </c>
      <c r="CO42" s="100">
        <v>8460</v>
      </c>
      <c r="CP42" s="100">
        <v>6.2146253743173556</v>
      </c>
      <c r="CQ42" s="100">
        <v>5257.573066672483</v>
      </c>
      <c r="CR42" s="100">
        <v>12.43350588228401</v>
      </c>
      <c r="CS42" s="100">
        <v>10518.745976412272</v>
      </c>
      <c r="CT42" s="100">
        <v>10.345582152897478</v>
      </c>
      <c r="CU42" s="100">
        <v>8752.3625013512665</v>
      </c>
    </row>
    <row r="43" spans="2:99">
      <c r="C43" s="99" t="s">
        <v>209</v>
      </c>
      <c r="D43" s="100">
        <v>18.993712381185528</v>
      </c>
      <c r="E43" s="100">
        <v>19419.171538524082</v>
      </c>
      <c r="F43" s="100">
        <v>14.410437847408927</v>
      </c>
      <c r="G43" s="100">
        <v>14733.231655190886</v>
      </c>
      <c r="H43" s="100">
        <v>7.0596686415730963</v>
      </c>
      <c r="I43" s="100">
        <v>7217.805219144333</v>
      </c>
      <c r="J43" s="100">
        <v>16</v>
      </c>
      <c r="K43" s="100">
        <v>16358.4</v>
      </c>
      <c r="L43" s="100">
        <v>12</v>
      </c>
      <c r="M43" s="100">
        <v>12268.8</v>
      </c>
      <c r="N43" s="100">
        <v>7.9565697615722364</v>
      </c>
      <c r="O43" s="100">
        <v>8134.7969242314539</v>
      </c>
      <c r="P43" s="100">
        <v>14.920660143112032</v>
      </c>
      <c r="Q43" s="100">
        <v>15254.882930317741</v>
      </c>
      <c r="R43" s="100">
        <v>12</v>
      </c>
      <c r="S43" s="100">
        <v>12268.8</v>
      </c>
      <c r="T43" s="100">
        <v>4.287716729480711</v>
      </c>
      <c r="U43" s="100">
        <v>4383.7615842210789</v>
      </c>
      <c r="V43" s="100">
        <v>17</v>
      </c>
      <c r="W43" s="100">
        <v>17380.8</v>
      </c>
      <c r="X43" s="100">
        <v>13</v>
      </c>
      <c r="Y43" s="100">
        <v>13291.199999999999</v>
      </c>
      <c r="Z43" s="100">
        <v>14.95682437810194</v>
      </c>
      <c r="AA43" s="100">
        <v>15291.857244171424</v>
      </c>
      <c r="AB43" s="100">
        <v>10.92780742875811</v>
      </c>
      <c r="AC43" s="100">
        <v>11172.590315162292</v>
      </c>
      <c r="AD43" s="100">
        <v>3.1379638368754779</v>
      </c>
      <c r="AE43" s="100">
        <v>3208.2542268214884</v>
      </c>
      <c r="AF43" s="100">
        <v>7.2145218152765231</v>
      </c>
      <c r="AG43" s="100">
        <v>7376.1271039387175</v>
      </c>
      <c r="AH43" s="100">
        <v>20</v>
      </c>
      <c r="AI43" s="100">
        <v>20448</v>
      </c>
      <c r="AJ43" s="100">
        <v>9.0488755102815919</v>
      </c>
      <c r="AK43" s="100">
        <v>9251.5703217118989</v>
      </c>
      <c r="AL43" s="100">
        <v>9.6768627535490452</v>
      </c>
      <c r="AM43" s="100">
        <v>9893.6244792285434</v>
      </c>
      <c r="AN43" s="100">
        <v>17.430052538704729</v>
      </c>
      <c r="AO43" s="100">
        <v>17820.485715571715</v>
      </c>
      <c r="AP43" s="100">
        <v>1.1168722334158388E-3</v>
      </c>
      <c r="AQ43" s="100">
        <v>1.1418901714443537</v>
      </c>
      <c r="AR43" s="100">
        <v>1.65684905219673E-3</v>
      </c>
      <c r="AS43" s="100">
        <v>1.6939624709659367</v>
      </c>
      <c r="AT43" s="100">
        <v>1.5194879799810459E-3</v>
      </c>
      <c r="AU43" s="100">
        <v>1.5535245107326212</v>
      </c>
      <c r="AV43" s="100">
        <v>18.000479225162358</v>
      </c>
      <c r="AW43" s="100">
        <v>18403.689959805994</v>
      </c>
      <c r="AX43" s="100">
        <v>1.1364824463262566</v>
      </c>
      <c r="AY43" s="100">
        <v>1161.9396531239647</v>
      </c>
      <c r="AZ43" s="100">
        <v>13.30711246199712</v>
      </c>
      <c r="BA43" s="100">
        <v>13605.191781145855</v>
      </c>
      <c r="BB43" s="100">
        <v>8.4958746100042166</v>
      </c>
      <c r="BC43" s="100">
        <v>8686.1822012683115</v>
      </c>
      <c r="BD43" s="100">
        <v>17.128755980046112</v>
      </c>
      <c r="BE43" s="100">
        <v>17512.440113999146</v>
      </c>
      <c r="BF43" s="100">
        <v>18.25119392030917</v>
      </c>
      <c r="BG43" s="100">
        <v>18660.020664124095</v>
      </c>
      <c r="BH43" s="100">
        <v>18.955050223248911</v>
      </c>
      <c r="BI43" s="100">
        <v>19379.643348249687</v>
      </c>
      <c r="BJ43" s="100">
        <v>17.00176787089914</v>
      </c>
      <c r="BK43" s="100">
        <v>17382.60747120728</v>
      </c>
      <c r="BL43" s="100">
        <v>11.051028996204046</v>
      </c>
      <c r="BM43" s="100">
        <v>11298.572045719016</v>
      </c>
      <c r="BN43" s="100">
        <v>8.3288854783964339E-4</v>
      </c>
      <c r="BO43" s="100">
        <v>0.85154525131125136</v>
      </c>
      <c r="BP43" s="100">
        <v>20.000403159398857</v>
      </c>
      <c r="BQ43" s="100">
        <v>20448.412190169391</v>
      </c>
      <c r="BR43" s="100">
        <v>13</v>
      </c>
      <c r="BS43" s="100">
        <v>13291.199999999999</v>
      </c>
      <c r="BT43" s="100">
        <v>4.4899002087392104</v>
      </c>
      <c r="BU43" s="100">
        <v>4590.4739734149689</v>
      </c>
      <c r="BV43" s="100">
        <v>1.1173626812656214E-3</v>
      </c>
      <c r="BW43" s="100">
        <v>1.1423916053259713</v>
      </c>
      <c r="BX43" s="100">
        <v>18.000277500969929</v>
      </c>
      <c r="BY43" s="100">
        <v>18403.483716991654</v>
      </c>
      <c r="BZ43" s="100">
        <v>13</v>
      </c>
      <c r="CA43" s="100">
        <v>13291.199999999999</v>
      </c>
      <c r="CB43" s="100">
        <v>18</v>
      </c>
      <c r="CC43" s="100">
        <v>18403.2</v>
      </c>
      <c r="CD43" s="100">
        <v>10.960659534474761</v>
      </c>
      <c r="CE43" s="100">
        <v>11206.178308046996</v>
      </c>
      <c r="CF43" s="100">
        <v>12.320121645579084</v>
      </c>
      <c r="CG43" s="100">
        <v>12596.092370440056</v>
      </c>
      <c r="CH43" s="100">
        <v>1.0268161649057506E-3</v>
      </c>
      <c r="CI43" s="100">
        <v>1.0498168469996394</v>
      </c>
      <c r="CJ43" s="100">
        <v>4.2642011886840869</v>
      </c>
      <c r="CK43" s="100">
        <v>4359.7192953106105</v>
      </c>
      <c r="CL43" s="100">
        <v>19.136035527848669</v>
      </c>
      <c r="CM43" s="100">
        <v>19564.682723672478</v>
      </c>
      <c r="CN43" s="100">
        <v>11</v>
      </c>
      <c r="CO43" s="100">
        <v>11246.4</v>
      </c>
      <c r="CP43" s="100">
        <v>6.2146253743173556</v>
      </c>
      <c r="CQ43" s="100">
        <v>6353.8329827020643</v>
      </c>
      <c r="CR43" s="100">
        <v>12.406229351370891</v>
      </c>
      <c r="CS43" s="100">
        <v>12684.128888841598</v>
      </c>
      <c r="CT43" s="100">
        <v>10.302384383785293</v>
      </c>
      <c r="CU43" s="100">
        <v>10533.157793982084</v>
      </c>
    </row>
    <row r="44" spans="2:99">
      <c r="C44" s="99" t="s">
        <v>210</v>
      </c>
      <c r="D44" s="100">
        <v>20.993712381185528</v>
      </c>
      <c r="E44" s="100">
        <v>21463.971538524082</v>
      </c>
      <c r="F44" s="100">
        <v>13.562765032855459</v>
      </c>
      <c r="G44" s="100">
        <v>13866.570969591421</v>
      </c>
      <c r="H44" s="100">
        <v>7.6479743617041889</v>
      </c>
      <c r="I44" s="100">
        <v>7819.2889874063621</v>
      </c>
      <c r="J44" s="100">
        <v>16</v>
      </c>
      <c r="K44" s="100">
        <v>16358.4</v>
      </c>
      <c r="L44" s="100">
        <v>12</v>
      </c>
      <c r="M44" s="100">
        <v>12268.8</v>
      </c>
      <c r="N44" s="100">
        <v>8.6196172417032564</v>
      </c>
      <c r="O44" s="100">
        <v>8812.6966679174093</v>
      </c>
      <c r="P44" s="100">
        <v>14.174627135956431</v>
      </c>
      <c r="Q44" s="100">
        <v>14492.138783801855</v>
      </c>
      <c r="R44" s="100">
        <v>11</v>
      </c>
      <c r="S44" s="100">
        <v>11246.4</v>
      </c>
      <c r="T44" s="100">
        <v>3.5730972745672593</v>
      </c>
      <c r="U44" s="100">
        <v>3653.1346535175658</v>
      </c>
      <c r="V44" s="100">
        <v>18</v>
      </c>
      <c r="W44" s="100">
        <v>18403.2</v>
      </c>
      <c r="X44" s="100">
        <v>15</v>
      </c>
      <c r="Y44" s="100">
        <v>15336</v>
      </c>
      <c r="Z44" s="100">
        <v>16.716450775525697</v>
      </c>
      <c r="AA44" s="100">
        <v>17090.899272897474</v>
      </c>
      <c r="AB44" s="100">
        <v>10.199286933507571</v>
      </c>
      <c r="AC44" s="100">
        <v>10427.750960818141</v>
      </c>
      <c r="AD44" s="100">
        <v>3.1379638368754779</v>
      </c>
      <c r="AE44" s="100">
        <v>3208.2542268214884</v>
      </c>
      <c r="AF44" s="100">
        <v>6.0121015127304362</v>
      </c>
      <c r="AG44" s="100">
        <v>6146.7725866155979</v>
      </c>
      <c r="AH44" s="100">
        <v>19</v>
      </c>
      <c r="AI44" s="100">
        <v>19425.599999999999</v>
      </c>
      <c r="AJ44" s="100">
        <v>9.0488755102815919</v>
      </c>
      <c r="AK44" s="100">
        <v>9251.5703217118989</v>
      </c>
      <c r="AL44" s="100">
        <v>10.556577549326231</v>
      </c>
      <c r="AM44" s="100">
        <v>10793.044886431138</v>
      </c>
      <c r="AN44" s="100">
        <v>16.558549911769493</v>
      </c>
      <c r="AO44" s="100">
        <v>16929.461429793129</v>
      </c>
      <c r="AP44" s="100">
        <v>1.1168722334158388E-3</v>
      </c>
      <c r="AQ44" s="100">
        <v>1.1418901714443537</v>
      </c>
      <c r="AR44" s="100">
        <v>1.6568495330142362E-3</v>
      </c>
      <c r="AS44" s="100">
        <v>1.6939629625537551</v>
      </c>
      <c r="AT44" s="100">
        <v>1.4395156946594167E-3</v>
      </c>
      <c r="AU44" s="100">
        <v>1.4717608462197875</v>
      </c>
      <c r="AV44" s="100">
        <v>18.000410764424878</v>
      </c>
      <c r="AW44" s="100">
        <v>18403.619965547994</v>
      </c>
      <c r="AX44" s="100">
        <v>1.0234389676623192</v>
      </c>
      <c r="AY44" s="100">
        <v>1046.3640005379552</v>
      </c>
      <c r="AZ44" s="100">
        <v>13.30711246199712</v>
      </c>
      <c r="BA44" s="100">
        <v>13605.191781145855</v>
      </c>
      <c r="BB44" s="100">
        <v>9.3454620710046381</v>
      </c>
      <c r="BC44" s="100">
        <v>9554.8004213951426</v>
      </c>
      <c r="BD44" s="100">
        <v>19.144850477551874</v>
      </c>
      <c r="BE44" s="100">
        <v>19573.695128249034</v>
      </c>
      <c r="BF44" s="100">
        <v>20.25119392030917</v>
      </c>
      <c r="BG44" s="100">
        <v>20704.820664124094</v>
      </c>
      <c r="BH44" s="100">
        <v>18.955050223248911</v>
      </c>
      <c r="BI44" s="100">
        <v>19379.643348249687</v>
      </c>
      <c r="BJ44" s="100">
        <v>17.00176787089914</v>
      </c>
      <c r="BK44" s="100">
        <v>17382.60747120728</v>
      </c>
      <c r="BL44" s="100">
        <v>12.432407620729551</v>
      </c>
      <c r="BM44" s="100">
        <v>12710.893551433892</v>
      </c>
      <c r="BN44" s="100">
        <v>8.9174134281228457E-4</v>
      </c>
      <c r="BO44" s="100">
        <v>0.91171634889127973</v>
      </c>
      <c r="BP44" s="100">
        <v>20.000453554323713</v>
      </c>
      <c r="BQ44" s="100">
        <v>20448.463713940564</v>
      </c>
      <c r="BR44" s="100">
        <v>15</v>
      </c>
      <c r="BS44" s="100">
        <v>15336</v>
      </c>
      <c r="BT44" s="100">
        <v>4.2749914386279952</v>
      </c>
      <c r="BU44" s="100">
        <v>4370.7512468532623</v>
      </c>
      <c r="BV44" s="100">
        <v>1.2349798056093709E-3</v>
      </c>
      <c r="BW44" s="100">
        <v>1.2626433532550208</v>
      </c>
      <c r="BX44" s="100">
        <v>17.000231250808273</v>
      </c>
      <c r="BY44" s="100">
        <v>17381.036430826378</v>
      </c>
      <c r="BZ44" s="100">
        <v>13</v>
      </c>
      <c r="CA44" s="100">
        <v>13291.199999999999</v>
      </c>
      <c r="CB44" s="100">
        <v>18</v>
      </c>
      <c r="CC44" s="100">
        <v>18403.2</v>
      </c>
      <c r="CD44" s="100">
        <v>10.960659534474761</v>
      </c>
      <c r="CE44" s="100">
        <v>11206.178308046996</v>
      </c>
      <c r="CF44" s="100">
        <v>12.320121645579084</v>
      </c>
      <c r="CG44" s="100">
        <v>12596.092370440056</v>
      </c>
      <c r="CH44" s="100">
        <v>1.0952705758994674E-3</v>
      </c>
      <c r="CI44" s="100">
        <v>1.1198046367996155</v>
      </c>
      <c r="CJ44" s="100">
        <v>4.7380013207600964</v>
      </c>
      <c r="CK44" s="100">
        <v>4844.1325503451226</v>
      </c>
      <c r="CL44" s="100">
        <v>18.158708115823448</v>
      </c>
      <c r="CM44" s="100">
        <v>18565.463177617894</v>
      </c>
      <c r="CN44" s="100">
        <v>10</v>
      </c>
      <c r="CO44" s="100">
        <v>10224</v>
      </c>
      <c r="CP44" s="100">
        <v>5.6227562910490354</v>
      </c>
      <c r="CQ44" s="100">
        <v>5748.7060319685334</v>
      </c>
      <c r="CR44" s="100">
        <v>10.88613677972679</v>
      </c>
      <c r="CS44" s="100">
        <v>11129.98624359267</v>
      </c>
      <c r="CT44" s="100">
        <v>11.345582152897478</v>
      </c>
      <c r="CU44" s="100">
        <v>11599.723193122381</v>
      </c>
    </row>
    <row r="45" spans="2:99">
      <c r="C45" s="99" t="s">
        <v>211</v>
      </c>
      <c r="D45" s="100">
        <v>18.993712381185528</v>
      </c>
      <c r="E45" s="100">
        <v>23726.945506576962</v>
      </c>
      <c r="F45" s="100">
        <v>14.410437847408927</v>
      </c>
      <c r="G45" s="100">
        <v>18001.518958983233</v>
      </c>
      <c r="H45" s="100">
        <v>7.0596686415730963</v>
      </c>
      <c r="I45" s="100">
        <v>8818.9380670531118</v>
      </c>
      <c r="J45" s="100">
        <v>16</v>
      </c>
      <c r="K45" s="100">
        <v>19987.2</v>
      </c>
      <c r="L45" s="100">
        <v>11</v>
      </c>
      <c r="M45" s="100">
        <v>13741.2</v>
      </c>
      <c r="N45" s="100">
        <v>9.2826647218342764</v>
      </c>
      <c r="O45" s="100">
        <v>11595.904770515379</v>
      </c>
      <c r="P45" s="100">
        <v>14.920660143112032</v>
      </c>
      <c r="Q45" s="100">
        <v>18638.888650775552</v>
      </c>
      <c r="R45" s="100">
        <v>10</v>
      </c>
      <c r="S45" s="100">
        <v>12492</v>
      </c>
      <c r="T45" s="100">
        <v>3.5730972745672593</v>
      </c>
      <c r="U45" s="100">
        <v>4463.5131153894208</v>
      </c>
      <c r="V45" s="100">
        <v>15</v>
      </c>
      <c r="W45" s="100">
        <v>18738</v>
      </c>
      <c r="X45" s="100">
        <v>15</v>
      </c>
      <c r="Y45" s="100">
        <v>18738</v>
      </c>
      <c r="Z45" s="100">
        <v>14.95682437810194</v>
      </c>
      <c r="AA45" s="100">
        <v>18684.065013124946</v>
      </c>
      <c r="AB45" s="100">
        <v>10.199286933507571</v>
      </c>
      <c r="AC45" s="100">
        <v>12740.949237337658</v>
      </c>
      <c r="AD45" s="100">
        <v>3.1379638368754779</v>
      </c>
      <c r="AE45" s="100">
        <v>3919.9444250248471</v>
      </c>
      <c r="AF45" s="100">
        <v>6.0121015127304362</v>
      </c>
      <c r="AG45" s="100">
        <v>7510.317209702861</v>
      </c>
      <c r="AH45" s="100">
        <v>20</v>
      </c>
      <c r="AI45" s="100">
        <v>24984</v>
      </c>
      <c r="AJ45" s="100">
        <v>9.0488755102815919</v>
      </c>
      <c r="AK45" s="100">
        <v>11303.855287443765</v>
      </c>
      <c r="AL45" s="100">
        <v>9.6768627535490452</v>
      </c>
      <c r="AM45" s="100">
        <v>12088.336951733469</v>
      </c>
      <c r="AN45" s="100">
        <v>18.301555165639964</v>
      </c>
      <c r="AO45" s="100">
        <v>22862.302712917444</v>
      </c>
      <c r="AP45" s="100">
        <v>1.1168722334158388E-3</v>
      </c>
      <c r="AQ45" s="100">
        <v>1.3951967939830658</v>
      </c>
      <c r="AR45" s="100">
        <v>1.574006791913896E-3</v>
      </c>
      <c r="AS45" s="100">
        <v>1.9662492844588388</v>
      </c>
      <c r="AT45" s="100">
        <v>1.199597018835768E-3</v>
      </c>
      <c r="AU45" s="100">
        <v>1.4985365959296415</v>
      </c>
      <c r="AV45" s="100">
        <v>17.000410764424878</v>
      </c>
      <c r="AW45" s="100">
        <v>21236.913126919557</v>
      </c>
      <c r="AX45" s="100">
        <v>1.1324506732016668</v>
      </c>
      <c r="AY45" s="100">
        <v>1414.6573809635222</v>
      </c>
      <c r="AZ45" s="100">
        <v>13.30711246199712</v>
      </c>
      <c r="BA45" s="100">
        <v>16623.244887526802</v>
      </c>
      <c r="BB45" s="100">
        <v>8.4958746100042166</v>
      </c>
      <c r="BC45" s="100">
        <v>10613.046562817268</v>
      </c>
      <c r="BD45" s="100">
        <v>16.128755980046112</v>
      </c>
      <c r="BE45" s="100">
        <v>20148.041970273604</v>
      </c>
      <c r="BF45" s="100">
        <v>18.25119392030917</v>
      </c>
      <c r="BG45" s="100">
        <v>22799.391445250218</v>
      </c>
      <c r="BH45" s="100">
        <v>16.959781778696396</v>
      </c>
      <c r="BI45" s="100">
        <v>21186.15939794754</v>
      </c>
      <c r="BJ45" s="100">
        <v>14.572943889342119</v>
      </c>
      <c r="BK45" s="100">
        <v>18204.521506566176</v>
      </c>
      <c r="BL45" s="100">
        <v>12.432407620729551</v>
      </c>
      <c r="BM45" s="100">
        <v>15530.563599815356</v>
      </c>
      <c r="BN45" s="100">
        <v>7.6787191530379233E-4</v>
      </c>
      <c r="BO45" s="100">
        <v>0.9592255965974974</v>
      </c>
      <c r="BP45" s="100">
        <v>21.000403159398857</v>
      </c>
      <c r="BQ45" s="100">
        <v>26233.703626721053</v>
      </c>
      <c r="BR45" s="100">
        <v>12</v>
      </c>
      <c r="BS45" s="100">
        <v>14990.400000000001</v>
      </c>
      <c r="BT45" s="100">
        <v>3.9616766547698914</v>
      </c>
      <c r="BU45" s="100">
        <v>4948.9264771385488</v>
      </c>
      <c r="BV45" s="100">
        <v>1.1173626812656214E-3</v>
      </c>
      <c r="BW45" s="100">
        <v>1.3958094614370142</v>
      </c>
      <c r="BX45" s="100">
        <v>15.000277500969929</v>
      </c>
      <c r="BY45" s="100">
        <v>18738.346654211637</v>
      </c>
      <c r="BZ45" s="100">
        <v>13</v>
      </c>
      <c r="CA45" s="100">
        <v>16239.6</v>
      </c>
      <c r="CB45" s="100">
        <v>16</v>
      </c>
      <c r="CC45" s="100">
        <v>19987.2</v>
      </c>
      <c r="CD45" s="100">
        <v>10.960659534474761</v>
      </c>
      <c r="CE45" s="100">
        <v>13692.055890465872</v>
      </c>
      <c r="CF45" s="100">
        <v>12.320121645579084</v>
      </c>
      <c r="CG45" s="100">
        <v>15390.295959657393</v>
      </c>
      <c r="CH45" s="100">
        <v>8.8990734291831723E-4</v>
      </c>
      <c r="CI45" s="100">
        <v>1.1116722527735619</v>
      </c>
      <c r="CJ45" s="100">
        <v>4.2642011886840869</v>
      </c>
      <c r="CK45" s="100">
        <v>5326.8401249041617</v>
      </c>
      <c r="CL45" s="100">
        <v>20.136035527848669</v>
      </c>
      <c r="CM45" s="100">
        <v>25153.93558138856</v>
      </c>
      <c r="CN45" s="100">
        <v>10</v>
      </c>
      <c r="CO45" s="100">
        <v>12492</v>
      </c>
      <c r="CP45" s="100">
        <v>5.3268217494148757</v>
      </c>
      <c r="CQ45" s="100">
        <v>6654.2657293690627</v>
      </c>
      <c r="CR45" s="100">
        <v>12.406229351370891</v>
      </c>
      <c r="CS45" s="100">
        <v>15497.861705732517</v>
      </c>
      <c r="CT45" s="100">
        <v>11.345582152897478</v>
      </c>
      <c r="CU45" s="100">
        <v>14172.90122539953</v>
      </c>
    </row>
    <row r="46" spans="2:99">
      <c r="C46" s="99" t="s">
        <v>212</v>
      </c>
      <c r="D46" s="100">
        <v>19.993712381185528</v>
      </c>
      <c r="E46" s="100">
        <v>24232.37940599686</v>
      </c>
      <c r="F46" s="100">
        <v>14.410437847408927</v>
      </c>
      <c r="G46" s="100">
        <v>17465.450671059618</v>
      </c>
      <c r="H46" s="100">
        <v>7.0596686415730963</v>
      </c>
      <c r="I46" s="100">
        <v>8556.3183935865927</v>
      </c>
      <c r="J46" s="100">
        <v>14</v>
      </c>
      <c r="K46" s="100">
        <v>16968</v>
      </c>
      <c r="L46" s="100">
        <v>11</v>
      </c>
      <c r="M46" s="100">
        <v>13332</v>
      </c>
      <c r="N46" s="100">
        <v>8.6196172417032564</v>
      </c>
      <c r="O46" s="100">
        <v>10446.976096944347</v>
      </c>
      <c r="P46" s="100">
        <v>15.666693150267635</v>
      </c>
      <c r="Q46" s="100">
        <v>18988.032098124375</v>
      </c>
      <c r="R46" s="100">
        <v>11</v>
      </c>
      <c r="S46" s="100">
        <v>13332</v>
      </c>
      <c r="T46" s="100">
        <v>3.9304070020239852</v>
      </c>
      <c r="U46" s="100">
        <v>4763.65328645307</v>
      </c>
      <c r="V46" s="100">
        <v>18</v>
      </c>
      <c r="W46" s="100">
        <v>21816</v>
      </c>
      <c r="X46" s="100">
        <v>14</v>
      </c>
      <c r="Y46" s="100">
        <v>16968</v>
      </c>
      <c r="Z46" s="100">
        <v>15.836637576813818</v>
      </c>
      <c r="AA46" s="100">
        <v>19194.004743098347</v>
      </c>
      <c r="AB46" s="100">
        <v>10.199286933507571</v>
      </c>
      <c r="AC46" s="100">
        <v>12361.535763411175</v>
      </c>
      <c r="AD46" s="100">
        <v>3.1379638368754779</v>
      </c>
      <c r="AE46" s="100">
        <v>3803.212170293079</v>
      </c>
      <c r="AF46" s="100">
        <v>7.2145218152765231</v>
      </c>
      <c r="AG46" s="100">
        <v>8744.0004401151455</v>
      </c>
      <c r="AH46" s="100">
        <v>17</v>
      </c>
      <c r="AI46" s="100">
        <v>20604</v>
      </c>
      <c r="AJ46" s="100">
        <v>9.0488755102815919</v>
      </c>
      <c r="AK46" s="100">
        <v>10967.237118461289</v>
      </c>
      <c r="AL46" s="100">
        <v>10.556577549326231</v>
      </c>
      <c r="AM46" s="100">
        <v>12794.571989783393</v>
      </c>
      <c r="AN46" s="100">
        <v>18.301555165639964</v>
      </c>
      <c r="AO46" s="100">
        <v>22181.484860755638</v>
      </c>
      <c r="AP46" s="100">
        <v>1.2184060728172789E-3</v>
      </c>
      <c r="AQ46" s="100">
        <v>1.476708160254542</v>
      </c>
      <c r="AR46" s="100">
        <v>1.4083222713482278E-3</v>
      </c>
      <c r="AS46" s="100">
        <v>1.706886592874052</v>
      </c>
      <c r="AT46" s="100">
        <v>1.3595424994084068E-3</v>
      </c>
      <c r="AU46" s="100">
        <v>1.647765509282989</v>
      </c>
      <c r="AV46" s="100">
        <v>17.000410764424878</v>
      </c>
      <c r="AW46" s="100">
        <v>20604.497846482951</v>
      </c>
      <c r="AX46" s="100">
        <v>1.1344665597639616</v>
      </c>
      <c r="AY46" s="100">
        <v>1374.9734704339214</v>
      </c>
      <c r="AZ46" s="100">
        <v>13.30711246199712</v>
      </c>
      <c r="BA46" s="100">
        <v>16128.220303940509</v>
      </c>
      <c r="BB46" s="100">
        <v>8.4958746100042166</v>
      </c>
      <c r="BC46" s="100">
        <v>10297.00002732511</v>
      </c>
      <c r="BD46" s="100">
        <v>17.128755980046112</v>
      </c>
      <c r="BE46" s="100">
        <v>20760.052247815889</v>
      </c>
      <c r="BF46" s="100">
        <v>17.25119392030917</v>
      </c>
      <c r="BG46" s="100">
        <v>20908.447031414715</v>
      </c>
      <c r="BH46" s="100">
        <v>17.957416000972653</v>
      </c>
      <c r="BI46" s="100">
        <v>21764.388193178856</v>
      </c>
      <c r="BJ46" s="100">
        <v>14.572943889342119</v>
      </c>
      <c r="BK46" s="100">
        <v>17662.407993882647</v>
      </c>
      <c r="BL46" s="100">
        <v>11.741718308466798</v>
      </c>
      <c r="BM46" s="100">
        <v>14230.962589861758</v>
      </c>
      <c r="BN46" s="100">
        <v>7.6787191530379233E-4</v>
      </c>
      <c r="BO46" s="100">
        <v>0.93066076134819631</v>
      </c>
      <c r="BP46" s="100">
        <v>21.000453554323713</v>
      </c>
      <c r="BQ46" s="100">
        <v>25452.549707840339</v>
      </c>
      <c r="BR46" s="100">
        <v>13</v>
      </c>
      <c r="BS46" s="100">
        <v>15756</v>
      </c>
      <c r="BT46" s="100">
        <v>4.4899002087392104</v>
      </c>
      <c r="BU46" s="100">
        <v>5441.7590529919225</v>
      </c>
      <c r="BV46" s="100">
        <v>1.0585541190937465E-3</v>
      </c>
      <c r="BW46" s="100">
        <v>1.2829675923416208</v>
      </c>
      <c r="BX46" s="100">
        <v>17.000277500969929</v>
      </c>
      <c r="BY46" s="100">
        <v>20604.336331175553</v>
      </c>
      <c r="BZ46" s="100">
        <v>12</v>
      </c>
      <c r="CA46" s="100">
        <v>14544</v>
      </c>
      <c r="CB46" s="100">
        <v>16</v>
      </c>
      <c r="CC46" s="100">
        <v>19392</v>
      </c>
      <c r="CD46" s="100">
        <v>10.177755282012278</v>
      </c>
      <c r="CE46" s="100">
        <v>12335.439401798882</v>
      </c>
      <c r="CF46" s="100">
        <v>13.200130334549019</v>
      </c>
      <c r="CG46" s="100">
        <v>15998.557965473412</v>
      </c>
      <c r="CH46" s="100">
        <v>8.8990734291831723E-4</v>
      </c>
      <c r="CI46" s="100">
        <v>1.0785676996170004</v>
      </c>
      <c r="CJ46" s="100">
        <v>4.5011012547220917</v>
      </c>
      <c r="CK46" s="100">
        <v>5455.3347207231755</v>
      </c>
      <c r="CL46" s="100">
        <v>19.158708115823448</v>
      </c>
      <c r="CM46" s="100">
        <v>23220.354236378018</v>
      </c>
      <c r="CN46" s="100">
        <v>10</v>
      </c>
      <c r="CO46" s="100">
        <v>12120</v>
      </c>
      <c r="CP46" s="100">
        <v>5.6227562910490354</v>
      </c>
      <c r="CQ46" s="100">
        <v>6814.7806247514309</v>
      </c>
      <c r="CR46" s="100">
        <v>11.64618306554884</v>
      </c>
      <c r="CS46" s="100">
        <v>14115.173875445194</v>
      </c>
      <c r="CT46" s="100">
        <v>11.345582152897478</v>
      </c>
      <c r="CU46" s="100">
        <v>13750.845569311743</v>
      </c>
    </row>
    <row r="47" spans="2:99">
      <c r="C47" s="99" t="s">
        <v>213</v>
      </c>
      <c r="D47" s="100">
        <v>19.117926428833719</v>
      </c>
      <c r="E47" s="100">
        <v>29204.544412686388</v>
      </c>
      <c r="F47" s="100">
        <v>14.410437847408927</v>
      </c>
      <c r="G47" s="100">
        <v>22013.384855701875</v>
      </c>
      <c r="H47" s="100">
        <v>7.6479743617041889</v>
      </c>
      <c r="I47" s="100">
        <v>11683.045634939319</v>
      </c>
      <c r="J47" s="100">
        <v>15</v>
      </c>
      <c r="K47" s="100">
        <v>22914</v>
      </c>
      <c r="L47" s="100">
        <v>10</v>
      </c>
      <c r="M47" s="100">
        <v>15276</v>
      </c>
      <c r="N47" s="100">
        <v>7.9565697615722364</v>
      </c>
      <c r="O47" s="100">
        <v>12154.455967777747</v>
      </c>
      <c r="P47" s="100">
        <v>14.920660143112032</v>
      </c>
      <c r="Q47" s="100">
        <v>22792.80043461794</v>
      </c>
      <c r="R47" s="100">
        <v>9</v>
      </c>
      <c r="S47" s="100">
        <v>13748.4</v>
      </c>
      <c r="T47" s="100">
        <v>3.9304070020239852</v>
      </c>
      <c r="U47" s="100">
        <v>6004.0897362918395</v>
      </c>
      <c r="V47" s="100">
        <v>17</v>
      </c>
      <c r="W47" s="100">
        <v>25969.199999999997</v>
      </c>
      <c r="X47" s="100">
        <v>14</v>
      </c>
      <c r="Y47" s="100">
        <v>21386.399999999998</v>
      </c>
      <c r="Z47" s="100">
        <v>15.836637576813818</v>
      </c>
      <c r="AA47" s="100">
        <v>24192.047562340787</v>
      </c>
      <c r="AB47" s="100">
        <v>10.199286933507571</v>
      </c>
      <c r="AC47" s="100">
        <v>15580.430719626163</v>
      </c>
      <c r="AD47" s="100">
        <v>2.8965820032696721</v>
      </c>
      <c r="AE47" s="100">
        <v>4424.8186681947509</v>
      </c>
      <c r="AF47" s="100">
        <v>6.0121015127304362</v>
      </c>
      <c r="AG47" s="100">
        <v>9184.086270847014</v>
      </c>
      <c r="AH47" s="100">
        <v>19</v>
      </c>
      <c r="AI47" s="100">
        <v>29024.399999999998</v>
      </c>
      <c r="AJ47" s="100">
        <v>9.1704748319248282</v>
      </c>
      <c r="AK47" s="100">
        <v>14008.817353248367</v>
      </c>
      <c r="AL47" s="100">
        <v>8.797147957771859</v>
      </c>
      <c r="AM47" s="100">
        <v>13438.523220292291</v>
      </c>
      <c r="AN47" s="100">
        <v>15.687047284834257</v>
      </c>
      <c r="AO47" s="100">
        <v>23963.533432312808</v>
      </c>
      <c r="AP47" s="100">
        <v>1.1168722334158388E-3</v>
      </c>
      <c r="AQ47" s="100">
        <v>1.7061340237660354</v>
      </c>
      <c r="AR47" s="100">
        <v>1.3254800110653938E-3</v>
      </c>
      <c r="AS47" s="100">
        <v>2.0248032649034955</v>
      </c>
      <c r="AT47" s="100">
        <v>1.2795702140867777E-3</v>
      </c>
      <c r="AU47" s="100">
        <v>1.9546714590389613</v>
      </c>
      <c r="AV47" s="100">
        <v>16.000479225162358</v>
      </c>
      <c r="AW47" s="100">
        <v>24442.332064358015</v>
      </c>
      <c r="AX47" s="100">
        <v>1.1324506732016668</v>
      </c>
      <c r="AY47" s="100">
        <v>1729.9316483828661</v>
      </c>
      <c r="AZ47" s="100">
        <v>14.255927051664266</v>
      </c>
      <c r="BA47" s="100">
        <v>21777.354164122331</v>
      </c>
      <c r="BB47" s="100">
        <v>8.4958746100042166</v>
      </c>
      <c r="BC47" s="100">
        <v>12978.298054242441</v>
      </c>
      <c r="BD47" s="100">
        <v>15.112661482540346</v>
      </c>
      <c r="BE47" s="100">
        <v>23086.101680728632</v>
      </c>
      <c r="BF47" s="100">
        <v>16.223283484719261</v>
      </c>
      <c r="BG47" s="100">
        <v>24782.687851257142</v>
      </c>
      <c r="BH47" s="100">
        <v>19.952684445525168</v>
      </c>
      <c r="BI47" s="100">
        <v>30479.720758984244</v>
      </c>
      <c r="BJ47" s="100">
        <v>13.763335895489778</v>
      </c>
      <c r="BK47" s="100">
        <v>21024.871913950185</v>
      </c>
      <c r="BL47" s="100">
        <v>12.432407620729551</v>
      </c>
      <c r="BM47" s="100">
        <v>18991.745881426461</v>
      </c>
      <c r="BN47" s="100">
        <v>7.6478999652218745E-4</v>
      </c>
      <c r="BO47" s="100">
        <v>1.1682931986872935</v>
      </c>
      <c r="BP47" s="100">
        <v>19.000453554323713</v>
      </c>
      <c r="BQ47" s="100">
        <v>29025.0928495849</v>
      </c>
      <c r="BR47" s="100">
        <v>13</v>
      </c>
      <c r="BS47" s="100">
        <v>19858.8</v>
      </c>
      <c r="BT47" s="100">
        <v>4.5440235162999993</v>
      </c>
      <c r="BU47" s="100">
        <v>6941.4503234998783</v>
      </c>
      <c r="BV47" s="100">
        <v>1.1173626812656214E-3</v>
      </c>
      <c r="BW47" s="100">
        <v>1.7068832319013632</v>
      </c>
      <c r="BX47" s="100">
        <v>16.000277500969929</v>
      </c>
      <c r="BY47" s="100">
        <v>24442.023910481661</v>
      </c>
      <c r="BZ47" s="100">
        <v>13</v>
      </c>
      <c r="CA47" s="100">
        <v>19858.8</v>
      </c>
      <c r="CB47" s="100">
        <v>16</v>
      </c>
      <c r="CC47" s="100">
        <v>24441.599999999999</v>
      </c>
      <c r="CD47" s="100">
        <v>10.960659534474761</v>
      </c>
      <c r="CE47" s="100">
        <v>16743.503504863646</v>
      </c>
      <c r="CF47" s="100">
        <v>12.320121645579084</v>
      </c>
      <c r="CG47" s="100">
        <v>18820.217825786607</v>
      </c>
      <c r="CH47" s="100">
        <v>9.5836175391203395E-4</v>
      </c>
      <c r="CI47" s="100">
        <v>1.463993415276023</v>
      </c>
      <c r="CJ47" s="100">
        <v>3.790401056608077</v>
      </c>
      <c r="CK47" s="100">
        <v>5790.2166540744984</v>
      </c>
      <c r="CL47" s="100">
        <v>19.158708115823448</v>
      </c>
      <c r="CM47" s="100">
        <v>29266.842517731897</v>
      </c>
      <c r="CN47" s="100">
        <v>11</v>
      </c>
      <c r="CO47" s="100">
        <v>16803.599999999999</v>
      </c>
      <c r="CP47" s="100">
        <v>6.2146253743173556</v>
      </c>
      <c r="CQ47" s="100">
        <v>9493.4617218071926</v>
      </c>
      <c r="CR47" s="100">
        <v>10.153367024817863</v>
      </c>
      <c r="CS47" s="100">
        <v>15510.283467111765</v>
      </c>
      <c r="CT47" s="100">
        <v>9.3455821528974781</v>
      </c>
      <c r="CU47" s="100">
        <v>14276.311296766187</v>
      </c>
    </row>
    <row r="48" spans="2:99">
      <c r="C48" s="99" t="s">
        <v>214</v>
      </c>
      <c r="D48" s="100">
        <v>20.993712381185528</v>
      </c>
      <c r="E48" s="100">
        <v>18214.144861916564</v>
      </c>
      <c r="F48" s="100">
        <v>15.258110661962393</v>
      </c>
      <c r="G48" s="100">
        <v>13237.936810318572</v>
      </c>
      <c r="H48" s="100">
        <v>8.2362800818352788</v>
      </c>
      <c r="I48" s="100">
        <v>7145.7965990002876</v>
      </c>
      <c r="J48" s="100">
        <v>16</v>
      </c>
      <c r="K48" s="100">
        <v>13881.6</v>
      </c>
      <c r="L48" s="100">
        <v>11</v>
      </c>
      <c r="M48" s="100">
        <v>9543.6</v>
      </c>
      <c r="N48" s="100">
        <v>8.6196172417032564</v>
      </c>
      <c r="O48" s="100">
        <v>7478.3799189017454</v>
      </c>
      <c r="P48" s="100">
        <v>14.174627135956431</v>
      </c>
      <c r="Q48" s="100">
        <v>12297.9065031558</v>
      </c>
      <c r="R48" s="100">
        <v>10</v>
      </c>
      <c r="S48" s="100">
        <v>8676</v>
      </c>
      <c r="T48" s="100">
        <v>4.287716729480711</v>
      </c>
      <c r="U48" s="100">
        <v>3720.0230344974648</v>
      </c>
      <c r="V48" s="100">
        <v>19</v>
      </c>
      <c r="W48" s="100">
        <v>16484.400000000001</v>
      </c>
      <c r="X48" s="100">
        <v>15</v>
      </c>
      <c r="Y48" s="100">
        <v>13014</v>
      </c>
      <c r="Z48" s="100">
        <v>17.596263974237576</v>
      </c>
      <c r="AA48" s="100">
        <v>15266.518624048522</v>
      </c>
      <c r="AB48" s="100">
        <v>10.199286933507571</v>
      </c>
      <c r="AC48" s="100">
        <v>8848.9013435111683</v>
      </c>
      <c r="AD48" s="100">
        <v>3.1379638368754779</v>
      </c>
      <c r="AE48" s="100">
        <v>2722.4974248731646</v>
      </c>
      <c r="AF48" s="100">
        <v>7.815731966549567</v>
      </c>
      <c r="AG48" s="100">
        <v>6780.9290541784048</v>
      </c>
      <c r="AH48" s="100">
        <v>18</v>
      </c>
      <c r="AI48" s="100">
        <v>15616.800000000001</v>
      </c>
      <c r="AJ48" s="100">
        <v>9.0488755102815919</v>
      </c>
      <c r="AK48" s="100">
        <v>7850.8043927203089</v>
      </c>
      <c r="AL48" s="100">
        <v>9.6768627535490452</v>
      </c>
      <c r="AM48" s="100">
        <v>8395.6461249791519</v>
      </c>
      <c r="AN48" s="100">
        <v>17.430052538704729</v>
      </c>
      <c r="AO48" s="100">
        <v>15122.313582580224</v>
      </c>
      <c r="AP48" s="100">
        <v>1.1168722334158388E-3</v>
      </c>
      <c r="AQ48" s="100">
        <v>0.96899834971158183</v>
      </c>
      <c r="AR48" s="100">
        <v>1.574007272731402E-3</v>
      </c>
      <c r="AS48" s="100">
        <v>1.3656087098217644</v>
      </c>
      <c r="AT48" s="100">
        <v>1.4395152396947262E-3</v>
      </c>
      <c r="AU48" s="100">
        <v>1.2489234219591445</v>
      </c>
      <c r="AV48" s="100">
        <v>16.000410764424878</v>
      </c>
      <c r="AW48" s="100">
        <v>13881.956379215024</v>
      </c>
      <c r="AX48" s="100">
        <v>1.0214230811000244</v>
      </c>
      <c r="AY48" s="100">
        <v>886.18666516238125</v>
      </c>
      <c r="AZ48" s="100">
        <v>15.358297872329972</v>
      </c>
      <c r="BA48" s="100">
        <v>13324.859234033484</v>
      </c>
      <c r="BB48" s="100">
        <v>10.19504953200506</v>
      </c>
      <c r="BC48" s="100">
        <v>8845.2249739675899</v>
      </c>
      <c r="BD48" s="100">
        <v>17.112661482540346</v>
      </c>
      <c r="BE48" s="100">
        <v>14846.945102252004</v>
      </c>
      <c r="BF48" s="100">
        <v>18.279104355899076</v>
      </c>
      <c r="BG48" s="100">
        <v>15858.950939178039</v>
      </c>
      <c r="BH48" s="100">
        <v>18.955050223248911</v>
      </c>
      <c r="BI48" s="100">
        <v>16445.401573690757</v>
      </c>
      <c r="BJ48" s="100">
        <v>14.572943889342119</v>
      </c>
      <c r="BK48" s="100">
        <v>12643.486118393223</v>
      </c>
      <c r="BL48" s="100">
        <v>11.741718308466798</v>
      </c>
      <c r="BM48" s="100">
        <v>10187.114804425793</v>
      </c>
      <c r="BN48" s="100">
        <v>8.2672471027643352E-4</v>
      </c>
      <c r="BO48" s="100">
        <v>0.71726635863583377</v>
      </c>
      <c r="BP48" s="100">
        <v>19.000403159398857</v>
      </c>
      <c r="BQ48" s="100">
        <v>16484.749781094448</v>
      </c>
      <c r="BR48" s="100">
        <v>14</v>
      </c>
      <c r="BS48" s="100">
        <v>12146.4</v>
      </c>
      <c r="BT48" s="100">
        <v>4.2799117393153399</v>
      </c>
      <c r="BU48" s="100">
        <v>3713.2514250299892</v>
      </c>
      <c r="BV48" s="100">
        <v>1.1761712434374962E-3</v>
      </c>
      <c r="BW48" s="100">
        <v>1.0204461708063717</v>
      </c>
      <c r="BX48" s="100">
        <v>18.000277500969929</v>
      </c>
      <c r="BY48" s="100">
        <v>15617.040759841511</v>
      </c>
      <c r="BZ48" s="100">
        <v>13</v>
      </c>
      <c r="CA48" s="100">
        <v>11278.800000000001</v>
      </c>
      <c r="CB48" s="100">
        <v>16</v>
      </c>
      <c r="CC48" s="100">
        <v>13881.6</v>
      </c>
      <c r="CD48" s="100">
        <v>10.960659534474761</v>
      </c>
      <c r="CE48" s="100">
        <v>9509.4682121103033</v>
      </c>
      <c r="CF48" s="100">
        <v>12.320121645579084</v>
      </c>
      <c r="CG48" s="100">
        <v>10688.937539704413</v>
      </c>
      <c r="CH48" s="100">
        <v>1.0952705758994674E-3</v>
      </c>
      <c r="CI48" s="100">
        <v>0.95025675165037793</v>
      </c>
      <c r="CJ48" s="100">
        <v>4.0273011226460822</v>
      </c>
      <c r="CK48" s="100">
        <v>3494.0864540077409</v>
      </c>
      <c r="CL48" s="100">
        <v>19.158708115823448</v>
      </c>
      <c r="CM48" s="100">
        <v>16622.095161288424</v>
      </c>
      <c r="CN48" s="100">
        <v>11</v>
      </c>
      <c r="CO48" s="100">
        <v>9543.6</v>
      </c>
      <c r="CP48" s="100">
        <v>5.9186908326831951</v>
      </c>
      <c r="CQ48" s="100">
        <v>5135.0561664359402</v>
      </c>
      <c r="CR48" s="100">
        <v>11.67345959646196</v>
      </c>
      <c r="CS48" s="100">
        <v>10127.893545890396</v>
      </c>
      <c r="CT48" s="100">
        <v>11.345582152897478</v>
      </c>
      <c r="CU48" s="100">
        <v>9843.4270758538514</v>
      </c>
    </row>
    <row r="49" spans="2:99">
      <c r="B49" s="99" t="s">
        <v>129</v>
      </c>
      <c r="C49" s="99" t="s">
        <v>215</v>
      </c>
      <c r="D49" s="100">
        <v>4.7167089406670026</v>
      </c>
      <c r="E49" s="100">
        <v>4646.9016483451305</v>
      </c>
      <c r="F49" s="100">
        <v>5.4367292714522018</v>
      </c>
      <c r="G49" s="100">
        <v>5356.2656782347085</v>
      </c>
      <c r="H49" s="100">
        <v>6.5223787346669457</v>
      </c>
      <c r="I49" s="100">
        <v>6425.8475293938745</v>
      </c>
      <c r="J49" s="100">
        <v>1.8991315519861001</v>
      </c>
      <c r="K49" s="100">
        <v>1871.0244050167057</v>
      </c>
      <c r="L49" s="100">
        <v>4.1848159758011008</v>
      </c>
      <c r="M49" s="100">
        <v>4122.8806993592443</v>
      </c>
      <c r="N49" s="100">
        <v>8.6872706312310122</v>
      </c>
      <c r="O49" s="100">
        <v>8558.6990258887927</v>
      </c>
      <c r="P49" s="100">
        <v>10</v>
      </c>
      <c r="Q49" s="100">
        <v>9852</v>
      </c>
      <c r="R49" s="100">
        <v>7</v>
      </c>
      <c r="S49" s="100">
        <v>6896.4</v>
      </c>
      <c r="T49" s="100">
        <v>11</v>
      </c>
      <c r="U49" s="100">
        <v>10837.199999999999</v>
      </c>
      <c r="V49" s="100">
        <v>4.2229483051727916</v>
      </c>
      <c r="W49" s="100">
        <v>4160.4486702562344</v>
      </c>
      <c r="X49" s="100">
        <v>4.554380444017168</v>
      </c>
      <c r="Y49" s="100">
        <v>4486.9756134457139</v>
      </c>
      <c r="Z49" s="100">
        <v>10</v>
      </c>
      <c r="AA49" s="100">
        <v>9852</v>
      </c>
      <c r="AB49" s="100">
        <v>9</v>
      </c>
      <c r="AC49" s="100">
        <v>8866.7999999999993</v>
      </c>
      <c r="AD49" s="100">
        <v>6.5409318471606355</v>
      </c>
      <c r="AE49" s="100">
        <v>6444.1260558226577</v>
      </c>
      <c r="AF49" s="100">
        <v>8</v>
      </c>
      <c r="AG49" s="100">
        <v>7881.5999999999995</v>
      </c>
      <c r="AH49" s="100">
        <v>2.8916646653119948</v>
      </c>
      <c r="AI49" s="100">
        <v>2848.8680282653772</v>
      </c>
      <c r="AJ49" s="100">
        <v>6.6086384010914232</v>
      </c>
      <c r="AK49" s="100">
        <v>6510.8305527552693</v>
      </c>
      <c r="AL49" s="100">
        <v>9.5176088836038781E-4</v>
      </c>
      <c r="AM49" s="100">
        <v>0.93767482721265405</v>
      </c>
      <c r="AN49" s="100">
        <v>7.2334797685250889</v>
      </c>
      <c r="AO49" s="100">
        <v>7126.4242679509171</v>
      </c>
      <c r="AP49" s="100">
        <v>7.6349509514972658</v>
      </c>
      <c r="AQ49" s="100">
        <v>7521.9536774151056</v>
      </c>
      <c r="AR49" s="100">
        <v>3.0306185237566572</v>
      </c>
      <c r="AS49" s="100">
        <v>2985.7653696050584</v>
      </c>
      <c r="AT49" s="100">
        <v>4.6552355443316022</v>
      </c>
      <c r="AU49" s="100">
        <v>4586.3380582754944</v>
      </c>
      <c r="AV49" s="100">
        <v>3.6687036058980982</v>
      </c>
      <c r="AW49" s="100">
        <v>3614.4067925308059</v>
      </c>
      <c r="AX49" s="100">
        <v>7.9567924394807719</v>
      </c>
      <c r="AY49" s="100">
        <v>7839.0319113764563</v>
      </c>
      <c r="AZ49" s="100">
        <v>8.7533927496465083</v>
      </c>
      <c r="BA49" s="100">
        <v>8623.842536951739</v>
      </c>
      <c r="BB49" s="100">
        <v>7.1306612358819645</v>
      </c>
      <c r="BC49" s="100">
        <v>7025.1274495909111</v>
      </c>
      <c r="BD49" s="100">
        <v>6.8796900627036583</v>
      </c>
      <c r="BE49" s="100">
        <v>6777.8706497756439</v>
      </c>
      <c r="BF49" s="100">
        <v>1.451464599626731</v>
      </c>
      <c r="BG49" s="100">
        <v>1429.9829235522552</v>
      </c>
      <c r="BH49" s="100">
        <v>8.6996188862501711</v>
      </c>
      <c r="BI49" s="100">
        <v>8570.8645267336688</v>
      </c>
      <c r="BJ49" s="100">
        <v>3.9236087420246393</v>
      </c>
      <c r="BK49" s="100">
        <v>3865.5393326426743</v>
      </c>
      <c r="BL49" s="100">
        <v>7.8188110818895016</v>
      </c>
      <c r="BM49" s="100">
        <v>7703.0926778775365</v>
      </c>
      <c r="BN49" s="100">
        <v>6.998532317568845</v>
      </c>
      <c r="BO49" s="100">
        <v>6894.9540392688259</v>
      </c>
      <c r="BP49" s="100">
        <v>3.312914706541465</v>
      </c>
      <c r="BQ49" s="100">
        <v>3263.8835688846511</v>
      </c>
      <c r="BR49" s="100">
        <v>3.9460483697785746</v>
      </c>
      <c r="BS49" s="100">
        <v>3887.6468539058515</v>
      </c>
      <c r="BT49" s="100">
        <v>7.9066227686335564</v>
      </c>
      <c r="BU49" s="100">
        <v>7789.6047516577792</v>
      </c>
      <c r="BV49" s="100">
        <v>2.7430775482900445</v>
      </c>
      <c r="BW49" s="100">
        <v>2702.4800005753518</v>
      </c>
      <c r="BX49" s="100">
        <v>9.0574736954682624</v>
      </c>
      <c r="BY49" s="100">
        <v>8923.4230847753315</v>
      </c>
      <c r="BZ49" s="100">
        <v>8</v>
      </c>
      <c r="CA49" s="100">
        <v>7881.5999999999995</v>
      </c>
      <c r="CB49" s="100">
        <v>10.509311009972039</v>
      </c>
      <c r="CC49" s="100">
        <v>10353.773207024453</v>
      </c>
      <c r="CD49" s="100">
        <v>2.4093937891839561</v>
      </c>
      <c r="CE49" s="100">
        <v>2373.7347611040332</v>
      </c>
      <c r="CF49" s="100">
        <v>6.9672152674232573</v>
      </c>
      <c r="CG49" s="100">
        <v>6864.1004814653925</v>
      </c>
      <c r="CH49" s="100">
        <v>5.7324414783296431</v>
      </c>
      <c r="CI49" s="100">
        <v>5647.6013444503642</v>
      </c>
      <c r="CJ49" s="100">
        <v>7</v>
      </c>
      <c r="CK49" s="100">
        <v>6896.4</v>
      </c>
      <c r="CL49" s="100">
        <v>4.3882045924043931</v>
      </c>
      <c r="CM49" s="100">
        <v>4323.2591644368076</v>
      </c>
      <c r="CN49" s="100">
        <v>5.0250633391150679</v>
      </c>
      <c r="CO49" s="100">
        <v>4950.6924016961648</v>
      </c>
      <c r="CP49" s="100">
        <v>3.451362255868633</v>
      </c>
      <c r="CQ49" s="100">
        <v>3400.2820944817768</v>
      </c>
      <c r="CR49" s="100">
        <v>11.45818331468851</v>
      </c>
      <c r="CS49" s="100">
        <v>11288.60220163112</v>
      </c>
      <c r="CT49" s="100">
        <v>4.8188382234185827</v>
      </c>
      <c r="CU49" s="100">
        <v>4747.5194177119874</v>
      </c>
    </row>
    <row r="50" spans="2:99">
      <c r="C50" s="99" t="s">
        <v>216</v>
      </c>
      <c r="D50" s="100">
        <v>10.869498333537337</v>
      </c>
      <c r="E50" s="100">
        <v>3065.1985300575288</v>
      </c>
      <c r="F50" s="100">
        <v>5.9337097018742639</v>
      </c>
      <c r="G50" s="100">
        <v>1673.3061359285425</v>
      </c>
      <c r="H50" s="100">
        <v>5.8830572013109146</v>
      </c>
      <c r="I50" s="100">
        <v>1659.0221307696779</v>
      </c>
      <c r="J50" s="100">
        <v>6</v>
      </c>
      <c r="K50" s="100">
        <v>1692</v>
      </c>
      <c r="L50" s="100">
        <v>11</v>
      </c>
      <c r="M50" s="100">
        <v>3102</v>
      </c>
      <c r="N50" s="100">
        <v>5.3043798410481573</v>
      </c>
      <c r="O50" s="100">
        <v>1495.8351151755803</v>
      </c>
      <c r="P50" s="100">
        <v>7.4603300715560161</v>
      </c>
      <c r="Q50" s="100">
        <v>2103.8130801787966</v>
      </c>
      <c r="R50" s="100">
        <v>8</v>
      </c>
      <c r="S50" s="100">
        <v>2256</v>
      </c>
      <c r="T50" s="100">
        <v>4.287716729480711</v>
      </c>
      <c r="U50" s="100">
        <v>1209.1361177135605</v>
      </c>
      <c r="V50" s="100">
        <v>6</v>
      </c>
      <c r="W50" s="100">
        <v>1692</v>
      </c>
      <c r="X50" s="100">
        <v>7</v>
      </c>
      <c r="Y50" s="100">
        <v>1974</v>
      </c>
      <c r="Z50" s="100">
        <v>7.9183187884069088</v>
      </c>
      <c r="AA50" s="100">
        <v>2232.9658983307481</v>
      </c>
      <c r="AB50" s="100">
        <v>7.2852049525054072</v>
      </c>
      <c r="AC50" s="100">
        <v>2054.4277966065247</v>
      </c>
      <c r="AD50" s="100">
        <v>2.1724365024522538</v>
      </c>
      <c r="AE50" s="100">
        <v>612.62709369153561</v>
      </c>
      <c r="AF50" s="100">
        <v>4.8096812101843485</v>
      </c>
      <c r="AG50" s="100">
        <v>1356.3301012719862</v>
      </c>
      <c r="AH50" s="100">
        <v>9</v>
      </c>
      <c r="AI50" s="100">
        <v>2538</v>
      </c>
      <c r="AJ50" s="100">
        <v>6.3342128571971132</v>
      </c>
      <c r="AK50" s="100">
        <v>1786.2480257295858</v>
      </c>
      <c r="AL50" s="100">
        <v>10.556577549326231</v>
      </c>
      <c r="AM50" s="100">
        <v>2976.9548689099975</v>
      </c>
      <c r="AN50" s="100">
        <v>6.972021015481892</v>
      </c>
      <c r="AO50" s="100">
        <v>1966.1099263658934</v>
      </c>
      <c r="AP50" s="100">
        <v>7.1073687581007931E-4</v>
      </c>
      <c r="AQ50" s="100">
        <v>0.20042779897844237</v>
      </c>
      <c r="AR50" s="100">
        <v>4.9705885068957172E-4</v>
      </c>
      <c r="AS50" s="100">
        <v>0.14017059589445924</v>
      </c>
      <c r="AT50" s="100">
        <v>7.9973058761602779E-4</v>
      </c>
      <c r="AU50" s="100">
        <v>0.22552402570771984</v>
      </c>
      <c r="AV50" s="100">
        <v>6.0002738429499187</v>
      </c>
      <c r="AW50" s="100">
        <v>1692.077223711877</v>
      </c>
      <c r="AX50" s="100">
        <v>0.56924916644427559</v>
      </c>
      <c r="AY50" s="100">
        <v>160.52826493728571</v>
      </c>
      <c r="AZ50" s="100">
        <v>8.2559270516642655</v>
      </c>
      <c r="BA50" s="100">
        <v>2328.1714285693229</v>
      </c>
      <c r="BB50" s="100">
        <v>7.6462871490037951</v>
      </c>
      <c r="BC50" s="100">
        <v>2156.25297601907</v>
      </c>
      <c r="BD50" s="100">
        <v>8</v>
      </c>
      <c r="BE50" s="100">
        <v>2256</v>
      </c>
      <c r="BF50" s="100">
        <v>7.1395521779495379</v>
      </c>
      <c r="BG50" s="100">
        <v>2013.3537141817696</v>
      </c>
      <c r="BH50" s="100">
        <v>7.9810737782100682</v>
      </c>
      <c r="BI50" s="100">
        <v>2250.6628054552393</v>
      </c>
      <c r="BJ50" s="100">
        <v>4.8576479631140401</v>
      </c>
      <c r="BK50" s="100">
        <v>1369.8567255981593</v>
      </c>
      <c r="BL50" s="100">
        <v>4.8348251858392697</v>
      </c>
      <c r="BM50" s="100">
        <v>1363.4207024066741</v>
      </c>
      <c r="BN50" s="100">
        <v>6.2348414232637529E-4</v>
      </c>
      <c r="BO50" s="100">
        <v>0.17582252813603783</v>
      </c>
      <c r="BP50" s="100">
        <v>10.000201579699429</v>
      </c>
      <c r="BQ50" s="100">
        <v>2820.0568454752388</v>
      </c>
      <c r="BR50" s="100">
        <v>10</v>
      </c>
      <c r="BS50" s="100">
        <v>2820</v>
      </c>
      <c r="BT50" s="100">
        <v>2.1128942158772754</v>
      </c>
      <c r="BU50" s="100">
        <v>595.83616887739163</v>
      </c>
      <c r="BV50" s="100">
        <v>3.5285137303124885E-4</v>
      </c>
      <c r="BW50" s="100">
        <v>9.9504087194812171E-2</v>
      </c>
      <c r="BX50" s="100">
        <v>12.000277500969929</v>
      </c>
      <c r="BY50" s="100">
        <v>3384.07825527352</v>
      </c>
      <c r="BZ50" s="100">
        <v>7</v>
      </c>
      <c r="CA50" s="100">
        <v>1974</v>
      </c>
      <c r="CB50" s="100">
        <v>11</v>
      </c>
      <c r="CC50" s="100">
        <v>3102</v>
      </c>
      <c r="CD50" s="100">
        <v>5.4803297672373805</v>
      </c>
      <c r="CE50" s="100">
        <v>1545.4529943609414</v>
      </c>
      <c r="CF50" s="100">
        <v>6.1600608227895419</v>
      </c>
      <c r="CG50" s="100">
        <v>1737.1371520266507</v>
      </c>
      <c r="CH50" s="100">
        <v>5.476352879497337E-4</v>
      </c>
      <c r="CI50" s="100">
        <v>0.15443315120182491</v>
      </c>
      <c r="CJ50" s="100">
        <v>1.6583004622660338</v>
      </c>
      <c r="CK50" s="100">
        <v>467.64073035902152</v>
      </c>
      <c r="CL50" s="100">
        <v>9.1133629398738911</v>
      </c>
      <c r="CM50" s="100">
        <v>2569.9683490444372</v>
      </c>
      <c r="CN50" s="100">
        <v>8</v>
      </c>
      <c r="CO50" s="100">
        <v>2256</v>
      </c>
      <c r="CP50" s="100">
        <v>1.7756072498049587</v>
      </c>
      <c r="CQ50" s="100">
        <v>500.72124444499832</v>
      </c>
      <c r="CR50" s="100">
        <v>8.360509144042549</v>
      </c>
      <c r="CS50" s="100">
        <v>2357.6635786199986</v>
      </c>
      <c r="CT50" s="100">
        <v>8.2591866146731086</v>
      </c>
      <c r="CU50" s="100">
        <v>2329.0906253378166</v>
      </c>
    </row>
    <row r="51" spans="2:99">
      <c r="C51" s="99" t="s">
        <v>217</v>
      </c>
      <c r="D51" s="100">
        <v>9.8694983335373365</v>
      </c>
      <c r="E51" s="100">
        <v>8432.4993761743008</v>
      </c>
      <c r="F51" s="100">
        <v>5.9337097018742639</v>
      </c>
      <c r="G51" s="100">
        <v>5069.7615692813706</v>
      </c>
      <c r="H51" s="100">
        <v>5.294751481179822</v>
      </c>
      <c r="I51" s="100">
        <v>4523.8356655200396</v>
      </c>
      <c r="J51" s="100">
        <v>6</v>
      </c>
      <c r="K51" s="100">
        <v>5126.3999999999996</v>
      </c>
      <c r="L51" s="100">
        <v>11</v>
      </c>
      <c r="M51" s="100">
        <v>9398.4</v>
      </c>
      <c r="N51" s="100">
        <v>5.3043798410481573</v>
      </c>
      <c r="O51" s="100">
        <v>4532.0621361915455</v>
      </c>
      <c r="P51" s="100">
        <v>8.2063630787116182</v>
      </c>
      <c r="Q51" s="100">
        <v>7011.5166144512068</v>
      </c>
      <c r="R51" s="100">
        <v>8</v>
      </c>
      <c r="S51" s="100">
        <v>6835.2</v>
      </c>
      <c r="T51" s="100">
        <v>3.5730972745672593</v>
      </c>
      <c r="U51" s="100">
        <v>3052.8543113902665</v>
      </c>
      <c r="V51" s="100">
        <v>6</v>
      </c>
      <c r="W51" s="100">
        <v>5126.3999999999996</v>
      </c>
      <c r="X51" s="100">
        <v>7</v>
      </c>
      <c r="Y51" s="100">
        <v>5980.8</v>
      </c>
      <c r="Z51" s="100">
        <v>7.9183187884069088</v>
      </c>
      <c r="AA51" s="100">
        <v>6765.4115728148627</v>
      </c>
      <c r="AB51" s="100">
        <v>7.2852049525054072</v>
      </c>
      <c r="AC51" s="100">
        <v>6224.47911142062</v>
      </c>
      <c r="AD51" s="100">
        <v>2.1724365024522538</v>
      </c>
      <c r="AE51" s="100">
        <v>1856.1297476952057</v>
      </c>
      <c r="AF51" s="100">
        <v>4.8096812101843485</v>
      </c>
      <c r="AG51" s="100">
        <v>4109.3916259815069</v>
      </c>
      <c r="AH51" s="100">
        <v>8</v>
      </c>
      <c r="AI51" s="100">
        <v>6835.2</v>
      </c>
      <c r="AJ51" s="100">
        <v>6.3342128571971132</v>
      </c>
      <c r="AK51" s="100">
        <v>5411.9514651892132</v>
      </c>
      <c r="AL51" s="100">
        <v>9.6768627535490452</v>
      </c>
      <c r="AM51" s="100">
        <v>8267.911536632304</v>
      </c>
      <c r="AN51" s="100">
        <v>6.972021015481892</v>
      </c>
      <c r="AO51" s="100">
        <v>5956.894755627728</v>
      </c>
      <c r="AP51" s="100">
        <v>8.1227071521151916E-4</v>
      </c>
      <c r="AQ51" s="100">
        <v>0.694004099076722</v>
      </c>
      <c r="AR51" s="100">
        <v>4.9705836987206568E-4</v>
      </c>
      <c r="AS51" s="100">
        <v>0.42468667121869291</v>
      </c>
      <c r="AT51" s="100">
        <v>7.1975784732970836E-4</v>
      </c>
      <c r="AU51" s="100">
        <v>0.61496110475850285</v>
      </c>
      <c r="AV51" s="100">
        <v>6.0002738429499187</v>
      </c>
      <c r="AW51" s="100">
        <v>5126.6339714164105</v>
      </c>
      <c r="AX51" s="100">
        <v>0.62274707593280199</v>
      </c>
      <c r="AY51" s="100">
        <v>532.07510167698604</v>
      </c>
      <c r="AZ51" s="100">
        <v>8.2559270516642655</v>
      </c>
      <c r="BA51" s="100">
        <v>7053.8640729419485</v>
      </c>
      <c r="BB51" s="100">
        <v>6.7966996880033728</v>
      </c>
      <c r="BC51" s="100">
        <v>5807.1002134300816</v>
      </c>
      <c r="BD51" s="100">
        <v>7.0804724875288194</v>
      </c>
      <c r="BE51" s="100">
        <v>6049.5556933446233</v>
      </c>
      <c r="BF51" s="100">
        <v>7.1395521779495379</v>
      </c>
      <c r="BG51" s="100">
        <v>6100.0333808400846</v>
      </c>
      <c r="BH51" s="100">
        <v>7.9810737782100682</v>
      </c>
      <c r="BI51" s="100">
        <v>6819.0294361026818</v>
      </c>
      <c r="BJ51" s="100">
        <v>4.0480399692616995</v>
      </c>
      <c r="BK51" s="100">
        <v>3458.6453497371958</v>
      </c>
      <c r="BL51" s="100">
        <v>5.525514498102023</v>
      </c>
      <c r="BM51" s="100">
        <v>4720.9995871783685</v>
      </c>
      <c r="BN51" s="100">
        <v>6.2348414232637529E-4</v>
      </c>
      <c r="BO51" s="100">
        <v>0.53270485120365507</v>
      </c>
      <c r="BP51" s="100">
        <v>8.0002015796994286</v>
      </c>
      <c r="BQ51" s="100">
        <v>6835.3722296951919</v>
      </c>
      <c r="BR51" s="100">
        <v>9</v>
      </c>
      <c r="BS51" s="100">
        <v>7689.5999999999995</v>
      </c>
      <c r="BT51" s="100">
        <v>1.848782438892616</v>
      </c>
      <c r="BU51" s="100">
        <v>1579.599715789851</v>
      </c>
      <c r="BV51" s="100">
        <v>3.5285137303124885E-4</v>
      </c>
      <c r="BW51" s="100">
        <v>0.30147621311789902</v>
      </c>
      <c r="BX51" s="100">
        <v>11.000277500969929</v>
      </c>
      <c r="BY51" s="100">
        <v>9398.6370968287065</v>
      </c>
      <c r="BZ51" s="100">
        <v>8</v>
      </c>
      <c r="CA51" s="100">
        <v>6835.2</v>
      </c>
      <c r="CB51" s="100">
        <v>11</v>
      </c>
      <c r="CC51" s="100">
        <v>9398.4</v>
      </c>
      <c r="CD51" s="100">
        <v>5.4803297672373805</v>
      </c>
      <c r="CE51" s="100">
        <v>4682.3937531276179</v>
      </c>
      <c r="CF51" s="100">
        <v>5.2800521338196074</v>
      </c>
      <c r="CG51" s="100">
        <v>4511.2765431354728</v>
      </c>
      <c r="CH51" s="100">
        <v>5.476352879497337E-4</v>
      </c>
      <c r="CI51" s="100">
        <v>0.46789959002425247</v>
      </c>
      <c r="CJ51" s="100">
        <v>1.6583004622660338</v>
      </c>
      <c r="CK51" s="100">
        <v>1416.8519149600993</v>
      </c>
      <c r="CL51" s="100">
        <v>8.1133629398738911</v>
      </c>
      <c r="CM51" s="100">
        <v>6932.0572958282528</v>
      </c>
      <c r="CN51" s="100">
        <v>7</v>
      </c>
      <c r="CO51" s="100">
        <v>5980.8</v>
      </c>
      <c r="CP51" s="100">
        <v>1.7756072498049587</v>
      </c>
      <c r="CQ51" s="100">
        <v>1517.0788342333567</v>
      </c>
      <c r="CR51" s="100">
        <v>7.6004628582205003</v>
      </c>
      <c r="CS51" s="100">
        <v>6493.835466063595</v>
      </c>
      <c r="CT51" s="100">
        <v>7.2159888455609238</v>
      </c>
      <c r="CU51" s="100">
        <v>6165.3408696472534</v>
      </c>
    </row>
    <row r="52" spans="2:99">
      <c r="C52" s="99" t="s">
        <v>218</v>
      </c>
      <c r="D52" s="100">
        <v>10.869498333537337</v>
      </c>
      <c r="E52" s="100">
        <v>5869.5291001101614</v>
      </c>
      <c r="F52" s="100">
        <v>5.9337097018742639</v>
      </c>
      <c r="G52" s="100">
        <v>3204.2032390121026</v>
      </c>
      <c r="H52" s="100">
        <v>5.294751481179822</v>
      </c>
      <c r="I52" s="100">
        <v>2859.1657998371038</v>
      </c>
      <c r="J52" s="100">
        <v>6</v>
      </c>
      <c r="K52" s="100">
        <v>3240</v>
      </c>
      <c r="L52" s="100">
        <v>10</v>
      </c>
      <c r="M52" s="100">
        <v>5400</v>
      </c>
      <c r="N52" s="100">
        <v>5.3043798410481573</v>
      </c>
      <c r="O52" s="100">
        <v>2864.3651141660048</v>
      </c>
      <c r="P52" s="100">
        <v>7.4603300715560161</v>
      </c>
      <c r="Q52" s="100">
        <v>4028.5782386402489</v>
      </c>
      <c r="R52" s="100">
        <v>9</v>
      </c>
      <c r="S52" s="100">
        <v>4860</v>
      </c>
      <c r="T52" s="100">
        <v>4.287716729480711</v>
      </c>
      <c r="U52" s="100">
        <v>2315.3670339195842</v>
      </c>
      <c r="V52" s="100">
        <v>5</v>
      </c>
      <c r="W52" s="100">
        <v>2700</v>
      </c>
      <c r="X52" s="100">
        <v>7</v>
      </c>
      <c r="Y52" s="100">
        <v>3780</v>
      </c>
      <c r="Z52" s="100">
        <v>7.9183187884069088</v>
      </c>
      <c r="AA52" s="100">
        <v>4275.8921457397309</v>
      </c>
      <c r="AB52" s="100">
        <v>8.013725447755947</v>
      </c>
      <c r="AC52" s="100">
        <v>4327.4117417882117</v>
      </c>
      <c r="AD52" s="100">
        <v>1.9310546688464481</v>
      </c>
      <c r="AE52" s="100">
        <v>1042.769521177082</v>
      </c>
      <c r="AF52" s="100">
        <v>4.8096812101843485</v>
      </c>
      <c r="AG52" s="100">
        <v>2597.227853499548</v>
      </c>
      <c r="AH52" s="100">
        <v>9</v>
      </c>
      <c r="AI52" s="100">
        <v>4860</v>
      </c>
      <c r="AJ52" s="100">
        <v>6.3342128571971132</v>
      </c>
      <c r="AK52" s="100">
        <v>3420.4749428864411</v>
      </c>
      <c r="AL52" s="100">
        <v>10.556577549326231</v>
      </c>
      <c r="AM52" s="100">
        <v>5700.5518766361647</v>
      </c>
      <c r="AN52" s="100">
        <v>6.972021015481892</v>
      </c>
      <c r="AO52" s="100">
        <v>3764.8913483602219</v>
      </c>
      <c r="AP52" s="100">
        <v>7.1073687581007931E-4</v>
      </c>
      <c r="AQ52" s="100">
        <v>0.38379791293744281</v>
      </c>
      <c r="AR52" s="100">
        <v>4.9705885068957172E-4</v>
      </c>
      <c r="AS52" s="100">
        <v>0.26841177937236871</v>
      </c>
      <c r="AT52" s="100">
        <v>7.1975784732970836E-4</v>
      </c>
      <c r="AU52" s="100">
        <v>0.3886692375580425</v>
      </c>
      <c r="AV52" s="100">
        <v>6.0002738429499187</v>
      </c>
      <c r="AW52" s="100">
        <v>3240.1478751929562</v>
      </c>
      <c r="AX52" s="100">
        <v>0.62274707593280199</v>
      </c>
      <c r="AY52" s="100">
        <v>336.28342100371304</v>
      </c>
      <c r="AZ52" s="100">
        <v>9.2559270516642655</v>
      </c>
      <c r="BA52" s="100">
        <v>4998.2006078987033</v>
      </c>
      <c r="BB52" s="100">
        <v>6.7966996880033728</v>
      </c>
      <c r="BC52" s="100">
        <v>3670.2178315218212</v>
      </c>
      <c r="BD52" s="100">
        <v>8</v>
      </c>
      <c r="BE52" s="100">
        <v>4320</v>
      </c>
      <c r="BF52" s="100">
        <v>6.1674626135394455</v>
      </c>
      <c r="BG52" s="100">
        <v>3330.4298113113005</v>
      </c>
      <c r="BH52" s="100">
        <v>7.9810737782100682</v>
      </c>
      <c r="BI52" s="100">
        <v>4309.7798402334365</v>
      </c>
      <c r="BJ52" s="100">
        <v>5.667255956966379</v>
      </c>
      <c r="BK52" s="100">
        <v>3060.3182167618447</v>
      </c>
      <c r="BL52" s="100">
        <v>5.525514498102023</v>
      </c>
      <c r="BM52" s="100">
        <v>2983.7778289750922</v>
      </c>
      <c r="BN52" s="100">
        <v>6.2348414232637529E-4</v>
      </c>
      <c r="BO52" s="100">
        <v>0.33668143685624263</v>
      </c>
      <c r="BP52" s="100">
        <v>9.0002015796994286</v>
      </c>
      <c r="BQ52" s="100">
        <v>4860.108853037691</v>
      </c>
      <c r="BR52" s="100">
        <v>9</v>
      </c>
      <c r="BS52" s="100">
        <v>4860</v>
      </c>
      <c r="BT52" s="100">
        <v>2.3770059928619349</v>
      </c>
      <c r="BU52" s="100">
        <v>1283.583236145445</v>
      </c>
      <c r="BV52" s="100">
        <v>2.9404281085937406E-4</v>
      </c>
      <c r="BW52" s="100">
        <v>0.15878311786406199</v>
      </c>
      <c r="BX52" s="100">
        <v>11.000277500969929</v>
      </c>
      <c r="BY52" s="100">
        <v>5940.1498505237614</v>
      </c>
      <c r="BZ52" s="100">
        <v>9</v>
      </c>
      <c r="CA52" s="100">
        <v>4860</v>
      </c>
      <c r="CB52" s="100">
        <v>12</v>
      </c>
      <c r="CC52" s="100">
        <v>6480</v>
      </c>
      <c r="CD52" s="100">
        <v>5.4803297672373805</v>
      </c>
      <c r="CE52" s="100">
        <v>2959.3780743081857</v>
      </c>
      <c r="CF52" s="100">
        <v>5.2800521338196074</v>
      </c>
      <c r="CG52" s="100">
        <v>2851.2281522625881</v>
      </c>
      <c r="CH52" s="100">
        <v>5.476352879497337E-4</v>
      </c>
      <c r="CI52" s="100">
        <v>0.29572305549285621</v>
      </c>
      <c r="CJ52" s="100">
        <v>1.4214003962280288</v>
      </c>
      <c r="CK52" s="100">
        <v>767.55621396313552</v>
      </c>
      <c r="CL52" s="100">
        <v>9.1133629398738911</v>
      </c>
      <c r="CM52" s="100">
        <v>4921.2159875319012</v>
      </c>
      <c r="CN52" s="100">
        <v>7</v>
      </c>
      <c r="CO52" s="100">
        <v>3780</v>
      </c>
      <c r="CP52" s="100">
        <v>1.7756072498049587</v>
      </c>
      <c r="CQ52" s="100">
        <v>958.82791489467763</v>
      </c>
      <c r="CR52" s="100">
        <v>8.360509144042549</v>
      </c>
      <c r="CS52" s="100">
        <v>4514.6749377829765</v>
      </c>
      <c r="CT52" s="100">
        <v>8.2159888455609238</v>
      </c>
      <c r="CU52" s="100">
        <v>4436.6339766028987</v>
      </c>
    </row>
    <row r="53" spans="2:99">
      <c r="C53" s="99" t="s">
        <v>219</v>
      </c>
      <c r="D53" s="100">
        <v>9.8694983335373365</v>
      </c>
      <c r="E53" s="100">
        <v>4014.9119220829884</v>
      </c>
      <c r="F53" s="100">
        <v>6.7813825164277297</v>
      </c>
      <c r="G53" s="100">
        <v>2758.6664076828006</v>
      </c>
      <c r="H53" s="100">
        <v>5.294751481179822</v>
      </c>
      <c r="I53" s="100">
        <v>2153.9049025439517</v>
      </c>
      <c r="J53" s="100">
        <v>6</v>
      </c>
      <c r="K53" s="100">
        <v>2440.8000000000002</v>
      </c>
      <c r="L53" s="100">
        <v>10</v>
      </c>
      <c r="M53" s="100">
        <v>4068</v>
      </c>
      <c r="N53" s="100">
        <v>5.3043798410481573</v>
      </c>
      <c r="O53" s="100">
        <v>2157.8217193383903</v>
      </c>
      <c r="P53" s="100">
        <v>8.2063630787116182</v>
      </c>
      <c r="Q53" s="100">
        <v>3338.3485004198865</v>
      </c>
      <c r="R53" s="100">
        <v>8</v>
      </c>
      <c r="S53" s="100">
        <v>3254.4</v>
      </c>
      <c r="T53" s="100">
        <v>3.5730972745672593</v>
      </c>
      <c r="U53" s="100">
        <v>1453.5359712939612</v>
      </c>
      <c r="V53" s="100">
        <v>5</v>
      </c>
      <c r="W53" s="100">
        <v>2034</v>
      </c>
      <c r="X53" s="100">
        <v>7</v>
      </c>
      <c r="Y53" s="100">
        <v>2847.6</v>
      </c>
      <c r="Z53" s="100">
        <v>8.7981319871187882</v>
      </c>
      <c r="AA53" s="100">
        <v>3579.0800923599231</v>
      </c>
      <c r="AB53" s="100">
        <v>8.013725447755947</v>
      </c>
      <c r="AC53" s="100">
        <v>3259.9835121471192</v>
      </c>
      <c r="AD53" s="100">
        <v>2.1724365024522538</v>
      </c>
      <c r="AE53" s="100">
        <v>883.74716919757691</v>
      </c>
      <c r="AF53" s="100">
        <v>4.8096812101843485</v>
      </c>
      <c r="AG53" s="100">
        <v>1956.578316302993</v>
      </c>
      <c r="AH53" s="100">
        <v>10</v>
      </c>
      <c r="AI53" s="100">
        <v>4068</v>
      </c>
      <c r="AJ53" s="100">
        <v>7.2391004082252728</v>
      </c>
      <c r="AK53" s="100">
        <v>2944.8660460660412</v>
      </c>
      <c r="AL53" s="100">
        <v>10.556577549326231</v>
      </c>
      <c r="AM53" s="100">
        <v>4294.4157470659111</v>
      </c>
      <c r="AN53" s="100">
        <v>6.972021015481892</v>
      </c>
      <c r="AO53" s="100">
        <v>2836.2181490980338</v>
      </c>
      <c r="AP53" s="100">
        <v>7.1073687581007931E-4</v>
      </c>
      <c r="AQ53" s="100">
        <v>0.28912776107954025</v>
      </c>
      <c r="AR53" s="100">
        <v>4.9705885068957172E-4</v>
      </c>
      <c r="AS53" s="100">
        <v>0.20220354046051778</v>
      </c>
      <c r="AT53" s="100">
        <v>7.1975784732970836E-4</v>
      </c>
      <c r="AU53" s="100">
        <v>0.29279749229372537</v>
      </c>
      <c r="AV53" s="100">
        <v>6.0002738429499187</v>
      </c>
      <c r="AW53" s="100">
        <v>2440.9113993120268</v>
      </c>
      <c r="AX53" s="100">
        <v>0.62274707593280199</v>
      </c>
      <c r="AY53" s="100">
        <v>253.33351048946386</v>
      </c>
      <c r="AZ53" s="100">
        <v>8.2559270516642655</v>
      </c>
      <c r="BA53" s="100">
        <v>3358.5111246170231</v>
      </c>
      <c r="BB53" s="100">
        <v>6.7966996880033728</v>
      </c>
      <c r="BC53" s="100">
        <v>2764.8974330797723</v>
      </c>
      <c r="BD53" s="100">
        <v>8</v>
      </c>
      <c r="BE53" s="100">
        <v>3254.4</v>
      </c>
      <c r="BF53" s="100">
        <v>6.1674626135394455</v>
      </c>
      <c r="BG53" s="100">
        <v>2508.9237911878463</v>
      </c>
      <c r="BH53" s="100">
        <v>7.9810737782100682</v>
      </c>
      <c r="BI53" s="100">
        <v>3246.700812975856</v>
      </c>
      <c r="BJ53" s="100">
        <v>4.8576479631140401</v>
      </c>
      <c r="BK53" s="100">
        <v>1976.0911913947916</v>
      </c>
      <c r="BL53" s="100">
        <v>4.8348251858392697</v>
      </c>
      <c r="BM53" s="100">
        <v>1966.806885599415</v>
      </c>
      <c r="BN53" s="100">
        <v>6.2357568456018384E-4</v>
      </c>
      <c r="BO53" s="100">
        <v>0.2536705884790828</v>
      </c>
      <c r="BP53" s="100">
        <v>10.000151184774571</v>
      </c>
      <c r="BQ53" s="100">
        <v>4068.061501966296</v>
      </c>
      <c r="BR53" s="100">
        <v>9</v>
      </c>
      <c r="BS53" s="100">
        <v>3661.2000000000003</v>
      </c>
      <c r="BT53" s="100">
        <v>2.3770059928619349</v>
      </c>
      <c r="BU53" s="100">
        <v>966.96603789623521</v>
      </c>
      <c r="BV53" s="100">
        <v>3.5285137303124885E-4</v>
      </c>
      <c r="BW53" s="100">
        <v>0.14353993854911204</v>
      </c>
      <c r="BX53" s="100">
        <v>10.000277500969929</v>
      </c>
      <c r="BY53" s="100">
        <v>4068.1128873945672</v>
      </c>
      <c r="BZ53" s="100">
        <v>8</v>
      </c>
      <c r="CA53" s="100">
        <v>3254.4</v>
      </c>
      <c r="CB53" s="100">
        <v>12</v>
      </c>
      <c r="CC53" s="100">
        <v>4881.6000000000004</v>
      </c>
      <c r="CD53" s="100">
        <v>5.4803297672373805</v>
      </c>
      <c r="CE53" s="100">
        <v>2229.3981493121664</v>
      </c>
      <c r="CF53" s="100">
        <v>6.1600608227895419</v>
      </c>
      <c r="CG53" s="100">
        <v>2505.9127427107856</v>
      </c>
      <c r="CH53" s="100">
        <v>5.476352879497337E-4</v>
      </c>
      <c r="CI53" s="100">
        <v>0.22277803513795166</v>
      </c>
      <c r="CJ53" s="100">
        <v>1.6583004622660338</v>
      </c>
      <c r="CK53" s="100">
        <v>674.59662804982258</v>
      </c>
      <c r="CL53" s="100">
        <v>9.1133629398738911</v>
      </c>
      <c r="CM53" s="100">
        <v>3707.3160439406988</v>
      </c>
      <c r="CN53" s="100">
        <v>7</v>
      </c>
      <c r="CO53" s="100">
        <v>2847.6</v>
      </c>
      <c r="CP53" s="100">
        <v>2.0715417914391185</v>
      </c>
      <c r="CQ53" s="100">
        <v>842.70320075743348</v>
      </c>
      <c r="CR53" s="100">
        <v>7.6004628582205003</v>
      </c>
      <c r="CS53" s="100">
        <v>3091.8682907240996</v>
      </c>
      <c r="CT53" s="100">
        <v>9.2159888455609238</v>
      </c>
      <c r="CU53" s="100">
        <v>3749.0642623741837</v>
      </c>
    </row>
    <row r="54" spans="2:99">
      <c r="C54" s="99" t="s">
        <v>220</v>
      </c>
      <c r="D54" s="100">
        <v>9.7452842858891451</v>
      </c>
      <c r="E54" s="100">
        <v>3262.7211789156859</v>
      </c>
      <c r="F54" s="100">
        <v>5.9337097018742639</v>
      </c>
      <c r="G54" s="100">
        <v>1986.6060081875037</v>
      </c>
      <c r="H54" s="100">
        <v>5.294751481179822</v>
      </c>
      <c r="I54" s="100">
        <v>1772.6827958990045</v>
      </c>
      <c r="J54" s="100">
        <v>7</v>
      </c>
      <c r="K54" s="100">
        <v>2343.6</v>
      </c>
      <c r="L54" s="100">
        <v>10</v>
      </c>
      <c r="M54" s="100">
        <v>3348</v>
      </c>
      <c r="N54" s="100">
        <v>4.6413323609171382</v>
      </c>
      <c r="O54" s="100">
        <v>1553.9180744350579</v>
      </c>
      <c r="P54" s="100">
        <v>8.9523960858672211</v>
      </c>
      <c r="Q54" s="100">
        <v>2997.2622095483457</v>
      </c>
      <c r="R54" s="100">
        <v>8</v>
      </c>
      <c r="S54" s="100">
        <v>2678.4</v>
      </c>
      <c r="T54" s="100">
        <v>3.5730972745672593</v>
      </c>
      <c r="U54" s="100">
        <v>1196.2729675251185</v>
      </c>
      <c r="V54" s="100">
        <v>6</v>
      </c>
      <c r="W54" s="100">
        <v>2008.8000000000002</v>
      </c>
      <c r="X54" s="100">
        <v>8</v>
      </c>
      <c r="Y54" s="100">
        <v>2678.4</v>
      </c>
      <c r="Z54" s="100">
        <v>7.9183187884069088</v>
      </c>
      <c r="AA54" s="100">
        <v>2651.0531303586331</v>
      </c>
      <c r="AB54" s="100">
        <v>7.2852049525054072</v>
      </c>
      <c r="AC54" s="100">
        <v>2439.0866180988105</v>
      </c>
      <c r="AD54" s="100">
        <v>1.9310546688464481</v>
      </c>
      <c r="AE54" s="100">
        <v>646.51710312979083</v>
      </c>
      <c r="AF54" s="100">
        <v>4.2084710589113055</v>
      </c>
      <c r="AG54" s="100">
        <v>1408.9961105235052</v>
      </c>
      <c r="AH54" s="100">
        <v>9</v>
      </c>
      <c r="AI54" s="100">
        <v>3013.2000000000003</v>
      </c>
      <c r="AJ54" s="100">
        <v>6.3342128571971132</v>
      </c>
      <c r="AK54" s="100">
        <v>2120.6944645895937</v>
      </c>
      <c r="AL54" s="100">
        <v>9.6768627535490452</v>
      </c>
      <c r="AM54" s="100">
        <v>3239.8136498882204</v>
      </c>
      <c r="AN54" s="100">
        <v>6.972021015481892</v>
      </c>
      <c r="AO54" s="100">
        <v>2334.2326359833373</v>
      </c>
      <c r="AP54" s="100">
        <v>7.1073687581007931E-4</v>
      </c>
      <c r="AQ54" s="100">
        <v>0.23795470602121455</v>
      </c>
      <c r="AR54" s="100">
        <v>4.9705885068957172E-4</v>
      </c>
      <c r="AS54" s="100">
        <v>0.16641530321086861</v>
      </c>
      <c r="AT54" s="100">
        <v>7.1975830229439885E-4</v>
      </c>
      <c r="AU54" s="100">
        <v>0.24097507960816475</v>
      </c>
      <c r="AV54" s="100">
        <v>5.0002738429499187</v>
      </c>
      <c r="AW54" s="100">
        <v>1674.0916826196328</v>
      </c>
      <c r="AX54" s="100">
        <v>0.56924916644427559</v>
      </c>
      <c r="AY54" s="100">
        <v>190.58462092554348</v>
      </c>
      <c r="AZ54" s="100">
        <v>10.255927051664266</v>
      </c>
      <c r="BA54" s="100">
        <v>3433.6843768971962</v>
      </c>
      <c r="BB54" s="100">
        <v>7.6462871490037951</v>
      </c>
      <c r="BC54" s="100">
        <v>2559.9769374864709</v>
      </c>
      <c r="BD54" s="100">
        <v>8</v>
      </c>
      <c r="BE54" s="100">
        <v>2678.4</v>
      </c>
      <c r="BF54" s="100">
        <v>7.1674626135394455</v>
      </c>
      <c r="BG54" s="100">
        <v>2399.6664830130062</v>
      </c>
      <c r="BH54" s="100">
        <v>8.9787080004863267</v>
      </c>
      <c r="BI54" s="100">
        <v>3006.0714385628221</v>
      </c>
      <c r="BJ54" s="100">
        <v>4.8576479631140401</v>
      </c>
      <c r="BK54" s="100">
        <v>1626.3405380505808</v>
      </c>
      <c r="BL54" s="100">
        <v>5.525514498102023</v>
      </c>
      <c r="BM54" s="100">
        <v>1849.9422539645573</v>
      </c>
      <c r="BN54" s="100">
        <v>6.8541885608062124E-4</v>
      </c>
      <c r="BO54" s="100">
        <v>0.22947823301579201</v>
      </c>
      <c r="BP54" s="100">
        <v>10.000151184774571</v>
      </c>
      <c r="BQ54" s="100">
        <v>3348.0506166625264</v>
      </c>
      <c r="BR54" s="100">
        <v>9</v>
      </c>
      <c r="BS54" s="100">
        <v>3013.2000000000003</v>
      </c>
      <c r="BT54" s="100">
        <v>2.3770059928619349</v>
      </c>
      <c r="BU54" s="100">
        <v>795.82160641017583</v>
      </c>
      <c r="BV54" s="100">
        <v>4.1165993520312369E-4</v>
      </c>
      <c r="BW54" s="100">
        <v>0.13782374630600583</v>
      </c>
      <c r="BX54" s="100">
        <v>10.000323751131585</v>
      </c>
      <c r="BY54" s="100">
        <v>3348.1083918788549</v>
      </c>
      <c r="BZ54" s="100">
        <v>8</v>
      </c>
      <c r="CA54" s="100">
        <v>2678.4</v>
      </c>
      <c r="CB54" s="100">
        <v>12</v>
      </c>
      <c r="CC54" s="100">
        <v>4017.6000000000004</v>
      </c>
      <c r="CD54" s="100">
        <v>4.6974255147748973</v>
      </c>
      <c r="CE54" s="100">
        <v>1572.6980623466357</v>
      </c>
      <c r="CF54" s="100">
        <v>6.1600608227895419</v>
      </c>
      <c r="CG54" s="100">
        <v>2062.3883634699387</v>
      </c>
      <c r="CH54" s="100">
        <v>6.1608969894345032E-4</v>
      </c>
      <c r="CI54" s="100">
        <v>0.20626683120626718</v>
      </c>
      <c r="CJ54" s="100">
        <v>1.8952005283040385</v>
      </c>
      <c r="CK54" s="100">
        <v>634.51313687619211</v>
      </c>
      <c r="CL54" s="100">
        <v>8.0906903518991129</v>
      </c>
      <c r="CM54" s="100">
        <v>2708.763129815823</v>
      </c>
      <c r="CN54" s="100">
        <v>7</v>
      </c>
      <c r="CO54" s="100">
        <v>2343.6</v>
      </c>
      <c r="CP54" s="100">
        <v>2.0715417914391185</v>
      </c>
      <c r="CQ54" s="100">
        <v>693.55219177381696</v>
      </c>
      <c r="CR54" s="100">
        <v>8.360509144042549</v>
      </c>
      <c r="CS54" s="100">
        <v>2799.0984614254453</v>
      </c>
      <c r="CT54" s="100">
        <v>9.2591866146731086</v>
      </c>
      <c r="CU54" s="100">
        <v>3099.975678592557</v>
      </c>
    </row>
    <row r="55" spans="2:99">
      <c r="C55" s="99" t="s">
        <v>221</v>
      </c>
      <c r="D55" s="100">
        <v>8.7452842858891451</v>
      </c>
      <c r="E55" s="100">
        <v>5803.3706521160366</v>
      </c>
      <c r="F55" s="100">
        <v>5.9337097018742639</v>
      </c>
      <c r="G55" s="100">
        <v>3937.6097581637619</v>
      </c>
      <c r="H55" s="100">
        <v>5.294751481179822</v>
      </c>
      <c r="I55" s="100">
        <v>3513.5970829109301</v>
      </c>
      <c r="J55" s="100">
        <v>6</v>
      </c>
      <c r="K55" s="100">
        <v>3981.6000000000004</v>
      </c>
      <c r="L55" s="100">
        <v>10</v>
      </c>
      <c r="M55" s="100">
        <v>6636</v>
      </c>
      <c r="N55" s="100">
        <v>4.6413323609171382</v>
      </c>
      <c r="O55" s="100">
        <v>3079.988154704613</v>
      </c>
      <c r="P55" s="100">
        <v>8.2063630787116182</v>
      </c>
      <c r="Q55" s="100">
        <v>5445.74253903303</v>
      </c>
      <c r="R55" s="100">
        <v>8</v>
      </c>
      <c r="S55" s="100">
        <v>5308.8</v>
      </c>
      <c r="T55" s="100">
        <v>3.5730972745672593</v>
      </c>
      <c r="U55" s="100">
        <v>2371.1073514028335</v>
      </c>
      <c r="V55" s="100">
        <v>5</v>
      </c>
      <c r="W55" s="100">
        <v>3318</v>
      </c>
      <c r="X55" s="100">
        <v>7</v>
      </c>
      <c r="Y55" s="100">
        <v>4645.2</v>
      </c>
      <c r="Z55" s="100">
        <v>8.7981319871187882</v>
      </c>
      <c r="AA55" s="100">
        <v>5838.4403866520279</v>
      </c>
      <c r="AB55" s="100">
        <v>8.013725447755947</v>
      </c>
      <c r="AC55" s="100">
        <v>5317.9082071308467</v>
      </c>
      <c r="AD55" s="100">
        <v>1.9310546688464481</v>
      </c>
      <c r="AE55" s="100">
        <v>1281.447878246503</v>
      </c>
      <c r="AF55" s="100">
        <v>4.2084710589113055</v>
      </c>
      <c r="AG55" s="100">
        <v>2792.7413946935426</v>
      </c>
      <c r="AH55" s="100">
        <v>9</v>
      </c>
      <c r="AI55" s="100">
        <v>5972.4000000000005</v>
      </c>
      <c r="AJ55" s="100">
        <v>5.4293253061689546</v>
      </c>
      <c r="AK55" s="100">
        <v>3602.9002731737182</v>
      </c>
      <c r="AL55" s="100">
        <v>8.797147957771859</v>
      </c>
      <c r="AM55" s="100">
        <v>5837.7873847774063</v>
      </c>
      <c r="AN55" s="100">
        <v>6.1005183885466554</v>
      </c>
      <c r="AO55" s="100">
        <v>4048.3040026395606</v>
      </c>
      <c r="AP55" s="100">
        <v>8.1227071521151916E-4</v>
      </c>
      <c r="AQ55" s="100">
        <v>0.53902284661436417</v>
      </c>
      <c r="AR55" s="100">
        <v>4.9705836987206568E-4</v>
      </c>
      <c r="AS55" s="100">
        <v>0.32984793424710279</v>
      </c>
      <c r="AT55" s="100">
        <v>7.1975784732970836E-4</v>
      </c>
      <c r="AU55" s="100">
        <v>0.47763130748799448</v>
      </c>
      <c r="AV55" s="100">
        <v>6.0002738429499187</v>
      </c>
      <c r="AW55" s="100">
        <v>3981.7817221815662</v>
      </c>
      <c r="AX55" s="100">
        <v>0.67826087198362317</v>
      </c>
      <c r="AY55" s="100">
        <v>450.09391464833237</v>
      </c>
      <c r="AZ55" s="100">
        <v>9.2559270516642655</v>
      </c>
      <c r="BA55" s="100">
        <v>6142.2331914844071</v>
      </c>
      <c r="BB55" s="100">
        <v>7.6462871490037951</v>
      </c>
      <c r="BC55" s="100">
        <v>5074.0761520789183</v>
      </c>
      <c r="BD55" s="100">
        <v>7</v>
      </c>
      <c r="BE55" s="100">
        <v>4645.2</v>
      </c>
      <c r="BF55" s="100">
        <v>6.1674626135394455</v>
      </c>
      <c r="BG55" s="100">
        <v>4092.7281903447761</v>
      </c>
      <c r="BH55" s="100">
        <v>7.9810737782100682</v>
      </c>
      <c r="BI55" s="100">
        <v>5296.2405592202012</v>
      </c>
      <c r="BJ55" s="100">
        <v>4.8576479631140401</v>
      </c>
      <c r="BK55" s="100">
        <v>3223.5351883224771</v>
      </c>
      <c r="BL55" s="100">
        <v>4.8348251858392697</v>
      </c>
      <c r="BM55" s="100">
        <v>3208.3899933229395</v>
      </c>
      <c r="BN55" s="100">
        <v>6.2348414232637529E-4</v>
      </c>
      <c r="BO55" s="100">
        <v>0.41374407684778264</v>
      </c>
      <c r="BP55" s="100">
        <v>9.0002015796994286</v>
      </c>
      <c r="BQ55" s="100">
        <v>5972.5337682885411</v>
      </c>
      <c r="BR55" s="100">
        <v>9</v>
      </c>
      <c r="BS55" s="100">
        <v>5972.4000000000005</v>
      </c>
      <c r="BT55" s="100">
        <v>2.3770059928619349</v>
      </c>
      <c r="BU55" s="100">
        <v>1577.3811768631801</v>
      </c>
      <c r="BV55" s="100">
        <v>3.5285137303124885E-4</v>
      </c>
      <c r="BW55" s="100">
        <v>0.23415217114353673</v>
      </c>
      <c r="BX55" s="100">
        <v>10.000323751131585</v>
      </c>
      <c r="BY55" s="100">
        <v>6636.2148412509205</v>
      </c>
      <c r="BZ55" s="100">
        <v>8</v>
      </c>
      <c r="CA55" s="100">
        <v>5308.8</v>
      </c>
      <c r="CB55" s="100">
        <v>10</v>
      </c>
      <c r="CC55" s="100">
        <v>6636</v>
      </c>
      <c r="CD55" s="100">
        <v>5.4803297672373805</v>
      </c>
      <c r="CE55" s="100">
        <v>3636.7468335387257</v>
      </c>
      <c r="CF55" s="100">
        <v>6.1600608227895419</v>
      </c>
      <c r="CG55" s="100">
        <v>4087.8163620031401</v>
      </c>
      <c r="CH55" s="100">
        <v>5.476352879497337E-4</v>
      </c>
      <c r="CI55" s="100">
        <v>0.36341077708344327</v>
      </c>
      <c r="CJ55" s="100">
        <v>1.6583004622660338</v>
      </c>
      <c r="CK55" s="100">
        <v>1100.4481867597401</v>
      </c>
      <c r="CL55" s="100">
        <v>8.0906903518991129</v>
      </c>
      <c r="CM55" s="100">
        <v>5368.9821175202514</v>
      </c>
      <c r="CN55" s="100">
        <v>6</v>
      </c>
      <c r="CO55" s="100">
        <v>3981.6000000000004</v>
      </c>
      <c r="CP55" s="100">
        <v>1.7756072498049587</v>
      </c>
      <c r="CQ55" s="100">
        <v>1178.2929709705707</v>
      </c>
      <c r="CR55" s="100">
        <v>8.360509144042549</v>
      </c>
      <c r="CS55" s="100">
        <v>5548.0338679866354</v>
      </c>
      <c r="CT55" s="100">
        <v>7.2591866146731086</v>
      </c>
      <c r="CU55" s="100">
        <v>4817.1962374970753</v>
      </c>
    </row>
    <row r="56" spans="2:99">
      <c r="C56" s="99" t="s">
        <v>222</v>
      </c>
      <c r="D56" s="100">
        <v>9.775807646827225</v>
      </c>
      <c r="E56" s="100">
        <v>9595.9327861256024</v>
      </c>
      <c r="F56" s="100">
        <v>2.3639614761514891</v>
      </c>
      <c r="G56" s="100">
        <v>2320.4645849903013</v>
      </c>
      <c r="H56" s="100">
        <v>8.8640224688304006</v>
      </c>
      <c r="I56" s="100">
        <v>8700.9244554039196</v>
      </c>
      <c r="J56" s="100">
        <v>6</v>
      </c>
      <c r="K56" s="100">
        <v>5889.5999999999995</v>
      </c>
      <c r="L56" s="100">
        <v>1.6938553964380121</v>
      </c>
      <c r="M56" s="100">
        <v>1662.6884571435526</v>
      </c>
      <c r="N56" s="100">
        <v>6.1733429703646197</v>
      </c>
      <c r="O56" s="100">
        <v>6059.7534597099102</v>
      </c>
      <c r="P56" s="100">
        <v>8.0400058917200106</v>
      </c>
      <c r="Q56" s="100">
        <v>7892.0697833123613</v>
      </c>
      <c r="R56" s="100">
        <v>5.810636963690099</v>
      </c>
      <c r="S56" s="100">
        <v>5703.7212435582005</v>
      </c>
      <c r="T56" s="100">
        <v>0.7261908472302544</v>
      </c>
      <c r="U56" s="100">
        <v>712.82893564121764</v>
      </c>
      <c r="V56" s="100">
        <v>6.2216088693312788</v>
      </c>
      <c r="W56" s="100">
        <v>6107.1312661355823</v>
      </c>
      <c r="X56" s="100">
        <v>2.6179949907707583</v>
      </c>
      <c r="Y56" s="100">
        <v>2569.8238829405759</v>
      </c>
      <c r="Z56" s="100">
        <v>7.1544722787027171</v>
      </c>
      <c r="AA56" s="100">
        <v>7022.8299887745861</v>
      </c>
      <c r="AB56" s="100">
        <v>9.6920852985748436</v>
      </c>
      <c r="AC56" s="100">
        <v>9513.7509290810649</v>
      </c>
      <c r="AD56" s="100">
        <v>8</v>
      </c>
      <c r="AE56" s="100">
        <v>7852.7999999999993</v>
      </c>
      <c r="AF56" s="100">
        <v>6.2640082707477625</v>
      </c>
      <c r="AG56" s="100">
        <v>6148.7505185660029</v>
      </c>
      <c r="AH56" s="100">
        <v>5.1028532453631348E-4</v>
      </c>
      <c r="AI56" s="100">
        <v>0.50089607456484531</v>
      </c>
      <c r="AJ56" s="100">
        <v>4.8396256880829513</v>
      </c>
      <c r="AK56" s="100">
        <v>4750.5765754222248</v>
      </c>
      <c r="AL56" s="100">
        <v>9.1049136731939377</v>
      </c>
      <c r="AM56" s="100">
        <v>8937.3832616071686</v>
      </c>
      <c r="AN56" s="100">
        <v>6.0304171764135104</v>
      </c>
      <c r="AO56" s="100">
        <v>5919.4575003675009</v>
      </c>
      <c r="AP56" s="100">
        <v>5.3401727288482856</v>
      </c>
      <c r="AQ56" s="100">
        <v>5241.9135506374769</v>
      </c>
      <c r="AR56" s="100">
        <v>4.1344585015363986</v>
      </c>
      <c r="AS56" s="100">
        <v>4058.3844651081286</v>
      </c>
      <c r="AT56" s="100">
        <v>6.0292834312993433</v>
      </c>
      <c r="AU56" s="100">
        <v>5918.3446161634347</v>
      </c>
      <c r="AV56" s="100">
        <v>6.1802769567703733</v>
      </c>
      <c r="AW56" s="100">
        <v>6066.5598607657976</v>
      </c>
      <c r="AX56" s="100">
        <v>7.5483527925247618</v>
      </c>
      <c r="AY56" s="100">
        <v>7409.4631011423053</v>
      </c>
      <c r="AZ56" s="100">
        <v>6.3046310523683076</v>
      </c>
      <c r="BA56" s="100">
        <v>6188.6258410047303</v>
      </c>
      <c r="BB56" s="100">
        <v>5.8376180844495966</v>
      </c>
      <c r="BC56" s="100">
        <v>5730.2059116957234</v>
      </c>
      <c r="BD56" s="100">
        <v>5.3241338405966294</v>
      </c>
      <c r="BE56" s="100">
        <v>5226.169777929651</v>
      </c>
      <c r="BF56" s="100">
        <v>4.5182120802244627</v>
      </c>
      <c r="BG56" s="100">
        <v>4435.0769779483326</v>
      </c>
      <c r="BH56" s="100">
        <v>4.9725951247344939</v>
      </c>
      <c r="BI56" s="100">
        <v>4881.0993744393791</v>
      </c>
      <c r="BJ56" s="100">
        <v>4.3674238440924942</v>
      </c>
      <c r="BK56" s="100">
        <v>4287.0632453611915</v>
      </c>
      <c r="BL56" s="100">
        <v>4.3665791964800489</v>
      </c>
      <c r="BM56" s="100">
        <v>4286.2341392648159</v>
      </c>
      <c r="BN56" s="100">
        <v>7.9328782291471756</v>
      </c>
      <c r="BO56" s="100">
        <v>7786.9132697308669</v>
      </c>
      <c r="BP56" s="100">
        <v>7.2588238031904968</v>
      </c>
      <c r="BQ56" s="100">
        <v>7125.2614452117914</v>
      </c>
      <c r="BR56" s="100">
        <v>5.2353222082527468E-4</v>
      </c>
      <c r="BS56" s="100">
        <v>0.51389922796208953</v>
      </c>
      <c r="BT56" s="100">
        <v>5.107696700163304</v>
      </c>
      <c r="BU56" s="100">
        <v>5013.715080880299</v>
      </c>
      <c r="BV56" s="100">
        <v>3.8481098389618542</v>
      </c>
      <c r="BW56" s="100">
        <v>3777.3046179249559</v>
      </c>
      <c r="BX56" s="100">
        <v>7.8862786676189787</v>
      </c>
      <c r="BY56" s="100">
        <v>7741.1711401347884</v>
      </c>
      <c r="BZ56" s="100">
        <v>5.1824976928272877</v>
      </c>
      <c r="CA56" s="100">
        <v>5087.1397352792656</v>
      </c>
      <c r="CB56" s="100">
        <v>7.156182747051294</v>
      </c>
      <c r="CC56" s="100">
        <v>7024.50898450555</v>
      </c>
      <c r="CD56" s="100">
        <v>0.48373241046927556</v>
      </c>
      <c r="CE56" s="100">
        <v>474.83173411664086</v>
      </c>
      <c r="CF56" s="100">
        <v>6.1878420076895955</v>
      </c>
      <c r="CG56" s="100">
        <v>6073.9857147481061</v>
      </c>
      <c r="CH56" s="100">
        <v>7</v>
      </c>
      <c r="CI56" s="100">
        <v>6871.1999999999989</v>
      </c>
      <c r="CJ56" s="100">
        <v>7</v>
      </c>
      <c r="CK56" s="100">
        <v>6871.1999999999989</v>
      </c>
      <c r="CL56" s="100">
        <v>4.8592838552560353</v>
      </c>
      <c r="CM56" s="100">
        <v>4769.873032319324</v>
      </c>
      <c r="CN56" s="100">
        <v>5.9393477931694481</v>
      </c>
      <c r="CO56" s="100">
        <v>5830.0637937751299</v>
      </c>
      <c r="CP56" s="100">
        <v>0.45128332661353004</v>
      </c>
      <c r="CQ56" s="100">
        <v>442.97971340384106</v>
      </c>
      <c r="CR56" s="100">
        <v>7.5322477775312047</v>
      </c>
      <c r="CS56" s="100">
        <v>7393.6544184246295</v>
      </c>
      <c r="CT56" s="100">
        <v>5.2766360442725153</v>
      </c>
      <c r="CU56" s="100">
        <v>5179.5459410579006</v>
      </c>
    </row>
    <row r="57" spans="2:99">
      <c r="C57" s="99" t="s">
        <v>223</v>
      </c>
      <c r="D57" s="100">
        <v>8.8694983335373365</v>
      </c>
      <c r="E57" s="100">
        <v>12516.63604828789</v>
      </c>
      <c r="F57" s="100">
        <v>5.0860368873207982</v>
      </c>
      <c r="G57" s="100">
        <v>7177.4152553871108</v>
      </c>
      <c r="H57" s="100">
        <v>4.7064457610487311</v>
      </c>
      <c r="I57" s="100">
        <v>6641.73625799197</v>
      </c>
      <c r="J57" s="100">
        <v>6</v>
      </c>
      <c r="K57" s="100">
        <v>8467.2000000000007</v>
      </c>
      <c r="L57" s="100">
        <v>9</v>
      </c>
      <c r="M57" s="100">
        <v>12700.800000000001</v>
      </c>
      <c r="N57" s="100">
        <v>5.3043798410481573</v>
      </c>
      <c r="O57" s="100">
        <v>7485.5408316871599</v>
      </c>
      <c r="P57" s="100">
        <v>7.4603300715560161</v>
      </c>
      <c r="Q57" s="100">
        <v>10528.01779697985</v>
      </c>
      <c r="R57" s="100">
        <v>7</v>
      </c>
      <c r="S57" s="100">
        <v>9878.4</v>
      </c>
      <c r="T57" s="100">
        <v>3.5730972745672593</v>
      </c>
      <c r="U57" s="100">
        <v>5042.3548738693162</v>
      </c>
      <c r="V57" s="100">
        <v>5</v>
      </c>
      <c r="W57" s="100">
        <v>7056</v>
      </c>
      <c r="X57" s="100">
        <v>7</v>
      </c>
      <c r="Y57" s="100">
        <v>9878.4</v>
      </c>
      <c r="Z57" s="100">
        <v>7.9183187884069088</v>
      </c>
      <c r="AA57" s="100">
        <v>11174.331474199829</v>
      </c>
      <c r="AB57" s="100">
        <v>7.2852049525054072</v>
      </c>
      <c r="AC57" s="100">
        <v>10280.881228975632</v>
      </c>
      <c r="AD57" s="100">
        <v>1.6896728352406418</v>
      </c>
      <c r="AE57" s="100">
        <v>2384.4663050915938</v>
      </c>
      <c r="AF57" s="100">
        <v>4.8096812101843485</v>
      </c>
      <c r="AG57" s="100">
        <v>6787.4221238121527</v>
      </c>
      <c r="AH57" s="100">
        <v>8</v>
      </c>
      <c r="AI57" s="100">
        <v>11289.6</v>
      </c>
      <c r="AJ57" s="100">
        <v>6.3342128571971132</v>
      </c>
      <c r="AK57" s="100">
        <v>8938.8411840765657</v>
      </c>
      <c r="AL57" s="100">
        <v>8.797147957771859</v>
      </c>
      <c r="AM57" s="100">
        <v>12414.535198007648</v>
      </c>
      <c r="AN57" s="100">
        <v>6.1005183885466554</v>
      </c>
      <c r="AO57" s="100">
        <v>8609.0515499170397</v>
      </c>
      <c r="AP57" s="100">
        <v>7.1073687581007931E-4</v>
      </c>
      <c r="AQ57" s="100">
        <v>1.002991879143184</v>
      </c>
      <c r="AR57" s="100">
        <v>4.1421659040673768E-4</v>
      </c>
      <c r="AS57" s="100">
        <v>0.58454245238198821</v>
      </c>
      <c r="AT57" s="100">
        <v>6.3978510704338883E-4</v>
      </c>
      <c r="AU57" s="100">
        <v>0.90286474305963038</v>
      </c>
      <c r="AV57" s="100">
        <v>6.0002738429499187</v>
      </c>
      <c r="AW57" s="100">
        <v>8467.5864471709265</v>
      </c>
      <c r="AX57" s="100">
        <v>0.5672332798819808</v>
      </c>
      <c r="AY57" s="100">
        <v>800.47960456945134</v>
      </c>
      <c r="AZ57" s="100">
        <v>7.2559270516642664</v>
      </c>
      <c r="BA57" s="100">
        <v>10239.564255308613</v>
      </c>
      <c r="BB57" s="100">
        <v>6.7966996880033728</v>
      </c>
      <c r="BC57" s="100">
        <v>9591.5025997103603</v>
      </c>
      <c r="BD57" s="100">
        <v>6</v>
      </c>
      <c r="BE57" s="100">
        <v>8467.2000000000007</v>
      </c>
      <c r="BF57" s="100">
        <v>6.1395521779495379</v>
      </c>
      <c r="BG57" s="100">
        <v>8664.136033522389</v>
      </c>
      <c r="BH57" s="100">
        <v>6.9834395559338089</v>
      </c>
      <c r="BI57" s="100">
        <v>9855.0299013337917</v>
      </c>
      <c r="BJ57" s="100">
        <v>4.8576479631140401</v>
      </c>
      <c r="BK57" s="100">
        <v>6855.1128055465333</v>
      </c>
      <c r="BL57" s="100">
        <v>5.525514498102023</v>
      </c>
      <c r="BM57" s="100">
        <v>7797.6060597215755</v>
      </c>
      <c r="BN57" s="100">
        <v>6.470844065769052E-4</v>
      </c>
      <c r="BO57" s="100">
        <v>0.91316551456132866</v>
      </c>
      <c r="BP57" s="100">
        <v>9.0002015796994286</v>
      </c>
      <c r="BQ57" s="100">
        <v>12701.084469271835</v>
      </c>
      <c r="BR57" s="100">
        <v>9</v>
      </c>
      <c r="BS57" s="100">
        <v>12700.800000000001</v>
      </c>
      <c r="BT57" s="100">
        <v>2.4016074962986567</v>
      </c>
      <c r="BU57" s="100">
        <v>3389.1484987766644</v>
      </c>
      <c r="BV57" s="100">
        <v>2.9404281085937406E-4</v>
      </c>
      <c r="BW57" s="100">
        <v>0.41495321468474866</v>
      </c>
      <c r="BX57" s="100">
        <v>9.0002775009699292</v>
      </c>
      <c r="BY57" s="100">
        <v>12701.191609368765</v>
      </c>
      <c r="BZ57" s="100">
        <v>7</v>
      </c>
      <c r="CA57" s="100">
        <v>9878.4</v>
      </c>
      <c r="CB57" s="100">
        <v>11</v>
      </c>
      <c r="CC57" s="100">
        <v>15523.2</v>
      </c>
      <c r="CD57" s="100">
        <v>4.6974255147748973</v>
      </c>
      <c r="CE57" s="100">
        <v>6629.0068864503355</v>
      </c>
      <c r="CF57" s="100">
        <v>5.2800521338196074</v>
      </c>
      <c r="CG57" s="100">
        <v>7451.2095712462306</v>
      </c>
      <c r="CH57" s="100">
        <v>4.7918087695601698E-4</v>
      </c>
      <c r="CI57" s="100">
        <v>0.67622005356033121</v>
      </c>
      <c r="CJ57" s="100">
        <v>1.4967745643163208</v>
      </c>
      <c r="CK57" s="100">
        <v>2112.2482651631922</v>
      </c>
      <c r="CL57" s="100">
        <v>8.0906903518991129</v>
      </c>
      <c r="CM57" s="100">
        <v>11417.582224600028</v>
      </c>
      <c r="CN57" s="100">
        <v>7</v>
      </c>
      <c r="CO57" s="100">
        <v>9878.4</v>
      </c>
      <c r="CP57" s="100">
        <v>1.7756072498049587</v>
      </c>
      <c r="CQ57" s="100">
        <v>2505.7369509247578</v>
      </c>
      <c r="CR57" s="100">
        <v>7.6004628582205003</v>
      </c>
      <c r="CS57" s="100">
        <v>10725.773185520771</v>
      </c>
      <c r="CT57" s="100">
        <v>8.2159888455609238</v>
      </c>
      <c r="CU57" s="100">
        <v>11594.403458855577</v>
      </c>
    </row>
    <row r="58" spans="2:99">
      <c r="C58" s="99" t="s">
        <v>224</v>
      </c>
      <c r="D58" s="100">
        <v>4.7167089406670026</v>
      </c>
      <c r="E58" s="100">
        <v>5552.5097649531954</v>
      </c>
      <c r="F58" s="100">
        <v>6.3428508166942361</v>
      </c>
      <c r="G58" s="100">
        <v>7466.803981412455</v>
      </c>
      <c r="H58" s="100">
        <v>5.797669986370618</v>
      </c>
      <c r="I58" s="100">
        <v>6825.0171079554921</v>
      </c>
      <c r="J58" s="100">
        <v>1.8991315519861001</v>
      </c>
      <c r="K58" s="100">
        <v>2235.6576629980373</v>
      </c>
      <c r="L58" s="100">
        <v>4.1848159758011008</v>
      </c>
      <c r="M58" s="100">
        <v>4926.3653667130557</v>
      </c>
      <c r="N58" s="100">
        <v>7.6872706312310131</v>
      </c>
      <c r="O58" s="100">
        <v>9049.4549870851497</v>
      </c>
      <c r="P58" s="100">
        <v>11</v>
      </c>
      <c r="Q58" s="100">
        <v>12949.2</v>
      </c>
      <c r="R58" s="100">
        <v>8</v>
      </c>
      <c r="S58" s="100">
        <v>9417.6</v>
      </c>
      <c r="T58" s="100">
        <v>11</v>
      </c>
      <c r="U58" s="100">
        <v>12949.2</v>
      </c>
      <c r="V58" s="100">
        <v>5.0675379662073494</v>
      </c>
      <c r="W58" s="100">
        <v>5965.505693819292</v>
      </c>
      <c r="X58" s="100">
        <v>3.9217471893235212</v>
      </c>
      <c r="Y58" s="100">
        <v>4616.6807912716495</v>
      </c>
      <c r="Z58" s="100">
        <v>8</v>
      </c>
      <c r="AA58" s="100">
        <v>9417.6</v>
      </c>
      <c r="AB58" s="100">
        <v>9</v>
      </c>
      <c r="AC58" s="100">
        <v>10594.800000000001</v>
      </c>
      <c r="AD58" s="100">
        <v>7.4753506824692968</v>
      </c>
      <c r="AE58" s="100">
        <v>8799.9828234028573</v>
      </c>
      <c r="AF58" s="100">
        <v>8</v>
      </c>
      <c r="AG58" s="100">
        <v>9417.6</v>
      </c>
      <c r="AH58" s="100">
        <v>3.0565081670267373</v>
      </c>
      <c r="AI58" s="100">
        <v>3598.1214142238755</v>
      </c>
      <c r="AJ58" s="100">
        <v>6.6052991491459512</v>
      </c>
      <c r="AK58" s="100">
        <v>7775.7581583746141</v>
      </c>
      <c r="AL58" s="100">
        <v>8.6523717123671614E-4</v>
      </c>
      <c r="AM58" s="100">
        <v>1.0185571979798622</v>
      </c>
      <c r="AN58" s="100">
        <v>8.1376371843325987</v>
      </c>
      <c r="AO58" s="100">
        <v>9579.6264933963357</v>
      </c>
      <c r="AP58" s="100">
        <v>6.6349509514972658</v>
      </c>
      <c r="AQ58" s="100">
        <v>7810.6642601025815</v>
      </c>
      <c r="AR58" s="100">
        <v>3.0306185237566572</v>
      </c>
      <c r="AS58" s="100">
        <v>3567.6441261663372</v>
      </c>
      <c r="AT58" s="100">
        <v>4.657787308566073</v>
      </c>
      <c r="AU58" s="100">
        <v>5483.1472196439818</v>
      </c>
      <c r="AV58" s="100">
        <v>3.6643881055307865</v>
      </c>
      <c r="AW58" s="100">
        <v>4313.7176778308421</v>
      </c>
      <c r="AX58" s="100">
        <v>7.2821555533918385</v>
      </c>
      <c r="AY58" s="100">
        <v>8572.5535174528723</v>
      </c>
      <c r="AZ58" s="100">
        <v>7.8255262935615688</v>
      </c>
      <c r="BA58" s="100">
        <v>9212.2095527806796</v>
      </c>
      <c r="BB58" s="100">
        <v>7.0396362240859602</v>
      </c>
      <c r="BC58" s="100">
        <v>8287.059762993993</v>
      </c>
      <c r="BD58" s="100">
        <v>6.8796900627036583</v>
      </c>
      <c r="BE58" s="100">
        <v>8098.7711418147474</v>
      </c>
      <c r="BF58" s="100">
        <v>1.451464599626731</v>
      </c>
      <c r="BG58" s="100">
        <v>1708.6641266805877</v>
      </c>
      <c r="BH58" s="100">
        <v>8.6996188862501711</v>
      </c>
      <c r="BI58" s="100">
        <v>10241.191352893702</v>
      </c>
      <c r="BJ58" s="100">
        <v>3.9236087420246393</v>
      </c>
      <c r="BK58" s="100">
        <v>4618.8722111114057</v>
      </c>
      <c r="BL58" s="100">
        <v>7.8188110818895016</v>
      </c>
      <c r="BM58" s="100">
        <v>9204.3044056003218</v>
      </c>
      <c r="BN58" s="100">
        <v>6.998532317568845</v>
      </c>
      <c r="BO58" s="100">
        <v>8238.6722442420451</v>
      </c>
      <c r="BP58" s="100">
        <v>4.1411433831768312</v>
      </c>
      <c r="BQ58" s="100">
        <v>4874.9539906757655</v>
      </c>
      <c r="BR58" s="100">
        <v>3.9443046804667468</v>
      </c>
      <c r="BS58" s="100">
        <v>4643.2354698454546</v>
      </c>
      <c r="BT58" s="100">
        <v>7.0899425449209268</v>
      </c>
      <c r="BU58" s="100">
        <v>8346.2803638809146</v>
      </c>
      <c r="BV58" s="100">
        <v>2.7430775482900445</v>
      </c>
      <c r="BW58" s="100">
        <v>3229.1508898470406</v>
      </c>
      <c r="BX58" s="100">
        <v>8.3081112126421495</v>
      </c>
      <c r="BY58" s="100">
        <v>9780.3085195223393</v>
      </c>
      <c r="BZ58" s="100">
        <v>8</v>
      </c>
      <c r="CA58" s="100">
        <v>9417.6</v>
      </c>
      <c r="CB58" s="100">
        <v>10.509311009972039</v>
      </c>
      <c r="CC58" s="100">
        <v>12371.560920939086</v>
      </c>
      <c r="CD58" s="100">
        <v>2.0651946764433911</v>
      </c>
      <c r="CE58" s="100">
        <v>2431.1471731091601</v>
      </c>
      <c r="CF58" s="100">
        <v>6.9672152674232573</v>
      </c>
      <c r="CG58" s="100">
        <v>8201.8058128106586</v>
      </c>
      <c r="CH58" s="100">
        <v>5.0158862935384372</v>
      </c>
      <c r="CI58" s="100">
        <v>5904.7013447534482</v>
      </c>
      <c r="CJ58" s="100">
        <v>7</v>
      </c>
      <c r="CK58" s="100">
        <v>8240.4</v>
      </c>
      <c r="CL58" s="100">
        <v>5.6419773330913632</v>
      </c>
      <c r="CM58" s="100">
        <v>6641.7357165151534</v>
      </c>
      <c r="CN58" s="100">
        <v>5.8625738956342452</v>
      </c>
      <c r="CO58" s="100">
        <v>6901.4219899406335</v>
      </c>
      <c r="CP58" s="100">
        <v>3.9773620178536309</v>
      </c>
      <c r="CQ58" s="100">
        <v>4682.150567417294</v>
      </c>
      <c r="CR58" s="100">
        <v>10.45818331468851</v>
      </c>
      <c r="CS58" s="100">
        <v>12311.373398051315</v>
      </c>
      <c r="CT58" s="100">
        <v>5.5072436839069514</v>
      </c>
      <c r="CU58" s="100">
        <v>6483.1272646952639</v>
      </c>
    </row>
    <row r="59" spans="2:99">
      <c r="C59" s="99" t="s">
        <v>225</v>
      </c>
      <c r="D59" s="100">
        <v>10.745284285889145</v>
      </c>
      <c r="E59" s="100">
        <v>3262.2683091959439</v>
      </c>
      <c r="F59" s="100">
        <v>6.7813825164277297</v>
      </c>
      <c r="G59" s="100">
        <v>2058.8277319874587</v>
      </c>
      <c r="H59" s="100">
        <v>5.8830572013109146</v>
      </c>
      <c r="I59" s="100">
        <v>1786.0961663179935</v>
      </c>
      <c r="J59" s="100">
        <v>6</v>
      </c>
      <c r="K59" s="100">
        <v>1821.6</v>
      </c>
      <c r="L59" s="100">
        <v>12</v>
      </c>
      <c r="M59" s="100">
        <v>3643.2</v>
      </c>
      <c r="N59" s="100">
        <v>5.9674273211791773</v>
      </c>
      <c r="O59" s="100">
        <v>1811.7109347099981</v>
      </c>
      <c r="P59" s="100">
        <v>8.9523960858672211</v>
      </c>
      <c r="Q59" s="100">
        <v>2717.9474516692881</v>
      </c>
      <c r="R59" s="100">
        <v>8</v>
      </c>
      <c r="S59" s="100">
        <v>2428.7999999999997</v>
      </c>
      <c r="T59" s="100">
        <v>4.287716729480711</v>
      </c>
      <c r="U59" s="100">
        <v>1301.7507990703436</v>
      </c>
      <c r="V59" s="100">
        <v>6</v>
      </c>
      <c r="W59" s="100">
        <v>1821.6</v>
      </c>
      <c r="X59" s="100">
        <v>6</v>
      </c>
      <c r="Y59" s="100">
        <v>1821.6</v>
      </c>
      <c r="Z59" s="100">
        <v>8.7981319871187882</v>
      </c>
      <c r="AA59" s="100">
        <v>2671.1128712892637</v>
      </c>
      <c r="AB59" s="100">
        <v>8.013725447755947</v>
      </c>
      <c r="AC59" s="100">
        <v>2432.9670459387053</v>
      </c>
      <c r="AD59" s="100">
        <v>1.9310546688464481</v>
      </c>
      <c r="AE59" s="100">
        <v>586.2681974617816</v>
      </c>
      <c r="AF59" s="100">
        <v>4.8096812101843485</v>
      </c>
      <c r="AG59" s="100">
        <v>1460.219215411968</v>
      </c>
      <c r="AH59" s="100">
        <v>10</v>
      </c>
      <c r="AI59" s="100">
        <v>3035.9999999999995</v>
      </c>
      <c r="AJ59" s="100">
        <v>7.2391004082252728</v>
      </c>
      <c r="AK59" s="100">
        <v>2197.7908839371926</v>
      </c>
      <c r="AL59" s="100">
        <v>10.556577549326231</v>
      </c>
      <c r="AM59" s="100">
        <v>3204.9769439754436</v>
      </c>
      <c r="AN59" s="100">
        <v>6.972021015481892</v>
      </c>
      <c r="AO59" s="100">
        <v>2116.7055803003022</v>
      </c>
      <c r="AP59" s="100">
        <v>8.1227071521151916E-4</v>
      </c>
      <c r="AQ59" s="100">
        <v>0.2466053891382172</v>
      </c>
      <c r="AR59" s="100">
        <v>4.9705836987206568E-4</v>
      </c>
      <c r="AS59" s="100">
        <v>0.15090692109315912</v>
      </c>
      <c r="AT59" s="100">
        <v>7.1975784732970836E-4</v>
      </c>
      <c r="AU59" s="100">
        <v>0.21851848244929944</v>
      </c>
      <c r="AV59" s="100">
        <v>6.0002738429499187</v>
      </c>
      <c r="AW59" s="100">
        <v>1821.683138719595</v>
      </c>
      <c r="AX59" s="100">
        <v>0.5672332798819808</v>
      </c>
      <c r="AY59" s="100">
        <v>172.21202377216935</v>
      </c>
      <c r="AZ59" s="100">
        <v>9.2559270516642655</v>
      </c>
      <c r="BA59" s="100">
        <v>2810.0994528852707</v>
      </c>
      <c r="BB59" s="100">
        <v>7.6462871490037951</v>
      </c>
      <c r="BC59" s="100">
        <v>2321.4127784375519</v>
      </c>
      <c r="BD59" s="100">
        <v>7</v>
      </c>
      <c r="BE59" s="100">
        <v>2125.1999999999998</v>
      </c>
      <c r="BF59" s="100">
        <v>7.1395521779495379</v>
      </c>
      <c r="BG59" s="100">
        <v>2167.5680412254796</v>
      </c>
      <c r="BH59" s="100">
        <v>7.9810737782100682</v>
      </c>
      <c r="BI59" s="100">
        <v>2423.0539990645766</v>
      </c>
      <c r="BJ59" s="100">
        <v>5.667255956966379</v>
      </c>
      <c r="BK59" s="100">
        <v>1720.5789085349925</v>
      </c>
      <c r="BL59" s="100">
        <v>5.525514498102023</v>
      </c>
      <c r="BM59" s="100">
        <v>1677.5462016237741</v>
      </c>
      <c r="BN59" s="100">
        <v>6.2348414232637529E-4</v>
      </c>
      <c r="BO59" s="100">
        <v>0.1892897856102875</v>
      </c>
      <c r="BP59" s="100">
        <v>9.0002015796994286</v>
      </c>
      <c r="BQ59" s="100">
        <v>2732.4611995967462</v>
      </c>
      <c r="BR59" s="100">
        <v>9</v>
      </c>
      <c r="BS59" s="100">
        <v>2732.3999999999996</v>
      </c>
      <c r="BT59" s="100">
        <v>2.3770059928619349</v>
      </c>
      <c r="BU59" s="100">
        <v>721.65901943288338</v>
      </c>
      <c r="BV59" s="100">
        <v>3.5285137303124885E-4</v>
      </c>
      <c r="BW59" s="100">
        <v>0.10712567685228713</v>
      </c>
      <c r="BX59" s="100">
        <v>12.000323751131585</v>
      </c>
      <c r="BY59" s="100">
        <v>3643.2982908435488</v>
      </c>
      <c r="BZ59" s="100">
        <v>9</v>
      </c>
      <c r="CA59" s="100">
        <v>2732.3999999999996</v>
      </c>
      <c r="CB59" s="100">
        <v>11</v>
      </c>
      <c r="CC59" s="100">
        <v>3339.5999999999995</v>
      </c>
      <c r="CD59" s="100">
        <v>5.4803297672373805</v>
      </c>
      <c r="CE59" s="100">
        <v>1663.8281173332684</v>
      </c>
      <c r="CF59" s="100">
        <v>6.1600608227895419</v>
      </c>
      <c r="CG59" s="100">
        <v>1870.1944657989047</v>
      </c>
      <c r="CH59" s="100">
        <v>6.1608969894345032E-4</v>
      </c>
      <c r="CI59" s="100">
        <v>0.18704483259923149</v>
      </c>
      <c r="CJ59" s="100">
        <v>1.6583004622660338</v>
      </c>
      <c r="CK59" s="100">
        <v>503.46002034396781</v>
      </c>
      <c r="CL59" s="100">
        <v>8.1133629398738911</v>
      </c>
      <c r="CM59" s="100">
        <v>2463.2169885457129</v>
      </c>
      <c r="CN59" s="100">
        <v>7</v>
      </c>
      <c r="CO59" s="100">
        <v>2125.1999999999998</v>
      </c>
      <c r="CP59" s="100">
        <v>2.0715417914391185</v>
      </c>
      <c r="CQ59" s="100">
        <v>628.9200878809163</v>
      </c>
      <c r="CR59" s="100">
        <v>8.360509144042549</v>
      </c>
      <c r="CS59" s="100">
        <v>2538.2505761313178</v>
      </c>
      <c r="CT59" s="100">
        <v>8.2591866146731086</v>
      </c>
      <c r="CU59" s="100">
        <v>2507.4890562147557</v>
      </c>
    </row>
    <row r="60" spans="2:99">
      <c r="C60" s="99" t="s">
        <v>226</v>
      </c>
      <c r="D60" s="100">
        <v>9.8694983335373365</v>
      </c>
      <c r="E60" s="100">
        <v>6430.9651141329286</v>
      </c>
      <c r="F60" s="100">
        <v>6.7813825164277297</v>
      </c>
      <c r="G60" s="100">
        <v>4418.7488477043089</v>
      </c>
      <c r="H60" s="100">
        <v>4.7064457610487311</v>
      </c>
      <c r="I60" s="100">
        <v>3066.7200578993534</v>
      </c>
      <c r="J60" s="100">
        <v>6</v>
      </c>
      <c r="K60" s="100">
        <v>3909.6000000000004</v>
      </c>
      <c r="L60" s="100">
        <v>11</v>
      </c>
      <c r="M60" s="100">
        <v>7167.6</v>
      </c>
      <c r="N60" s="100">
        <v>5.3043798410481573</v>
      </c>
      <c r="O60" s="100">
        <v>3456.3339044269792</v>
      </c>
      <c r="P60" s="100">
        <v>8.2063630787116182</v>
      </c>
      <c r="Q60" s="100">
        <v>5347.2661820884905</v>
      </c>
      <c r="R60" s="100">
        <v>9</v>
      </c>
      <c r="S60" s="100">
        <v>5864.4000000000005</v>
      </c>
      <c r="T60" s="100">
        <v>3.9304070020239852</v>
      </c>
      <c r="U60" s="100">
        <v>2561.053202518829</v>
      </c>
      <c r="V60" s="100">
        <v>6</v>
      </c>
      <c r="W60" s="100">
        <v>3909.6000000000004</v>
      </c>
      <c r="X60" s="100">
        <v>7</v>
      </c>
      <c r="Y60" s="100">
        <v>4561.2</v>
      </c>
      <c r="Z60" s="100">
        <v>7.9183187884069088</v>
      </c>
      <c r="AA60" s="100">
        <v>5159.576522525942</v>
      </c>
      <c r="AB60" s="100">
        <v>7.2852049525054072</v>
      </c>
      <c r="AC60" s="100">
        <v>4747.0395470525236</v>
      </c>
      <c r="AD60" s="100">
        <v>2.1724365024522538</v>
      </c>
      <c r="AE60" s="100">
        <v>1415.5596249978887</v>
      </c>
      <c r="AF60" s="100">
        <v>4.8096812101843485</v>
      </c>
      <c r="AG60" s="100">
        <v>3133.9882765561215</v>
      </c>
      <c r="AH60" s="100">
        <v>9</v>
      </c>
      <c r="AI60" s="100">
        <v>5864.4000000000005</v>
      </c>
      <c r="AJ60" s="100">
        <v>7.2391004082252728</v>
      </c>
      <c r="AK60" s="100">
        <v>4716.9978259995878</v>
      </c>
      <c r="AL60" s="100">
        <v>9.6768627535490452</v>
      </c>
      <c r="AM60" s="100">
        <v>6305.4437702125579</v>
      </c>
      <c r="AN60" s="100">
        <v>7.8435236424171286</v>
      </c>
      <c r="AO60" s="100">
        <v>5110.8400053990008</v>
      </c>
      <c r="AP60" s="100">
        <v>7.1073687581007931E-4</v>
      </c>
      <c r="AQ60" s="100">
        <v>0.46311614827784769</v>
      </c>
      <c r="AR60" s="100">
        <v>4.9705885068957172E-4</v>
      </c>
      <c r="AS60" s="100">
        <v>0.32388354710932493</v>
      </c>
      <c r="AT60" s="100">
        <v>6.3978556200807932E-4</v>
      </c>
      <c r="AU60" s="100">
        <v>0.4168842722044645</v>
      </c>
      <c r="AV60" s="100">
        <v>6.0003423036873977</v>
      </c>
      <c r="AW60" s="100">
        <v>3909.8230450827086</v>
      </c>
      <c r="AX60" s="100">
        <v>0.67826087198362317</v>
      </c>
      <c r="AY60" s="100">
        <v>441.95478418452888</v>
      </c>
      <c r="AZ60" s="100">
        <v>8.2559270516642655</v>
      </c>
      <c r="BA60" s="100">
        <v>5379.562066864436</v>
      </c>
      <c r="BB60" s="100">
        <v>7.6462871490037951</v>
      </c>
      <c r="BC60" s="100">
        <v>4982.3207062908732</v>
      </c>
      <c r="BD60" s="100">
        <v>8.0804724875288194</v>
      </c>
      <c r="BE60" s="100">
        <v>5265.235872873779</v>
      </c>
      <c r="BF60" s="100">
        <v>6.1395521779495379</v>
      </c>
      <c r="BG60" s="100">
        <v>4000.532199151919</v>
      </c>
      <c r="BH60" s="100">
        <v>6.9834395559338089</v>
      </c>
      <c r="BI60" s="100">
        <v>4550.40921464647</v>
      </c>
      <c r="BJ60" s="100">
        <v>4.8576479631140401</v>
      </c>
      <c r="BK60" s="100">
        <v>3165.2434127651086</v>
      </c>
      <c r="BL60" s="100">
        <v>5.525514498102023</v>
      </c>
      <c r="BM60" s="100">
        <v>3600.4252469632784</v>
      </c>
      <c r="BN60" s="100">
        <v>5.6159519968903356E-4</v>
      </c>
      <c r="BO60" s="100">
        <v>0.36593543211737428</v>
      </c>
      <c r="BP60" s="100">
        <v>10.000201579699429</v>
      </c>
      <c r="BQ60" s="100">
        <v>6516.1313493321477</v>
      </c>
      <c r="BR60" s="100">
        <v>9</v>
      </c>
      <c r="BS60" s="100">
        <v>5864.4000000000005</v>
      </c>
      <c r="BT60" s="100">
        <v>2.1128942158772754</v>
      </c>
      <c r="BU60" s="100">
        <v>1376.7618710656327</v>
      </c>
      <c r="BV60" s="100">
        <v>2.9404281085937406E-4</v>
      </c>
      <c r="BW60" s="100">
        <v>0.19159829555596813</v>
      </c>
      <c r="BX60" s="100">
        <v>10.000323751131585</v>
      </c>
      <c r="BY60" s="100">
        <v>6516.2109562373407</v>
      </c>
      <c r="BZ60" s="100">
        <v>8</v>
      </c>
      <c r="CA60" s="100">
        <v>5212.8</v>
      </c>
      <c r="CB60" s="100">
        <v>11</v>
      </c>
      <c r="CC60" s="100">
        <v>7167.6</v>
      </c>
      <c r="CD60" s="100">
        <v>5.4803297672373805</v>
      </c>
      <c r="CE60" s="100">
        <v>3570.9828763318774</v>
      </c>
      <c r="CF60" s="100">
        <v>5.2800521338196074</v>
      </c>
      <c r="CG60" s="100">
        <v>3440.4819703968565</v>
      </c>
      <c r="CH60" s="100">
        <v>5.476352879497337E-4</v>
      </c>
      <c r="CI60" s="100">
        <v>0.35683915362804647</v>
      </c>
      <c r="CJ60" s="100">
        <v>1.8952005283040385</v>
      </c>
      <c r="CK60" s="100">
        <v>1234.9126642429114</v>
      </c>
      <c r="CL60" s="100">
        <v>8.1133629398738911</v>
      </c>
      <c r="CM60" s="100">
        <v>5286.6672916218276</v>
      </c>
      <c r="CN60" s="100">
        <v>7</v>
      </c>
      <c r="CO60" s="100">
        <v>4561.2</v>
      </c>
      <c r="CP60" s="100">
        <v>2.0715417914391185</v>
      </c>
      <c r="CQ60" s="100">
        <v>1349.8166313017298</v>
      </c>
      <c r="CR60" s="100">
        <v>8.360509144042549</v>
      </c>
      <c r="CS60" s="100">
        <v>5447.7077582581251</v>
      </c>
      <c r="CT60" s="100">
        <v>8.2159888455609238</v>
      </c>
      <c r="CU60" s="100">
        <v>5353.5383317674978</v>
      </c>
    </row>
    <row r="61" spans="2:99">
      <c r="C61" s="99" t="s">
        <v>227</v>
      </c>
      <c r="D61" s="100">
        <v>9.8694983335373365</v>
      </c>
      <c r="E61" s="100">
        <v>9391.8146141941288</v>
      </c>
      <c r="F61" s="100">
        <v>5.9337097018742639</v>
      </c>
      <c r="G61" s="100">
        <v>5646.518152303549</v>
      </c>
      <c r="H61" s="100">
        <v>4.7064457610487311</v>
      </c>
      <c r="I61" s="100">
        <v>4478.6537862139721</v>
      </c>
      <c r="J61" s="100">
        <v>7</v>
      </c>
      <c r="K61" s="100">
        <v>6661.1999999999989</v>
      </c>
      <c r="L61" s="100">
        <v>10</v>
      </c>
      <c r="M61" s="100">
        <v>9516</v>
      </c>
      <c r="N61" s="100">
        <v>4.6413323609171382</v>
      </c>
      <c r="O61" s="100">
        <v>4416.6918746487481</v>
      </c>
      <c r="P61" s="100">
        <v>8.9523960858672211</v>
      </c>
      <c r="Q61" s="100">
        <v>8519.1001153112466</v>
      </c>
      <c r="R61" s="100">
        <v>9</v>
      </c>
      <c r="S61" s="100">
        <v>8564.4</v>
      </c>
      <c r="T61" s="100">
        <v>3.5730972745672593</v>
      </c>
      <c r="U61" s="100">
        <v>3400.1593664782035</v>
      </c>
      <c r="V61" s="100">
        <v>6</v>
      </c>
      <c r="W61" s="100">
        <v>5709.5999999999995</v>
      </c>
      <c r="X61" s="100">
        <v>7</v>
      </c>
      <c r="Y61" s="100">
        <v>6661.1999999999989</v>
      </c>
      <c r="Z61" s="100">
        <v>7.0385055896950304</v>
      </c>
      <c r="AA61" s="100">
        <v>6697.8419191537905</v>
      </c>
      <c r="AB61" s="100">
        <v>7.2852049525054072</v>
      </c>
      <c r="AC61" s="100">
        <v>6932.6010328041448</v>
      </c>
      <c r="AD61" s="100">
        <v>1.9310546688464481</v>
      </c>
      <c r="AE61" s="100">
        <v>1837.5916228742799</v>
      </c>
      <c r="AF61" s="100">
        <v>4.2084710589113055</v>
      </c>
      <c r="AG61" s="100">
        <v>4004.7810596599979</v>
      </c>
      <c r="AH61" s="100">
        <v>9</v>
      </c>
      <c r="AI61" s="100">
        <v>8564.4</v>
      </c>
      <c r="AJ61" s="100">
        <v>6.3342128571971132</v>
      </c>
      <c r="AK61" s="100">
        <v>6027.6369549087722</v>
      </c>
      <c r="AL61" s="100">
        <v>8.797147957771859</v>
      </c>
      <c r="AM61" s="100">
        <v>8371.3659966157011</v>
      </c>
      <c r="AN61" s="100">
        <v>6.972021015481892</v>
      </c>
      <c r="AO61" s="100">
        <v>6634.5751983325681</v>
      </c>
      <c r="AP61" s="100">
        <v>7.1073687581007931E-4</v>
      </c>
      <c r="AQ61" s="100">
        <v>0.67633721102087141</v>
      </c>
      <c r="AR61" s="100">
        <v>4.9705885068957172E-4</v>
      </c>
      <c r="AS61" s="100">
        <v>0.47300120231619641</v>
      </c>
      <c r="AT61" s="100">
        <v>6.3978556200807932E-4</v>
      </c>
      <c r="AU61" s="100">
        <v>0.60881994080688817</v>
      </c>
      <c r="AV61" s="100">
        <v>6.0002738429499187</v>
      </c>
      <c r="AW61" s="100">
        <v>5709.8605889511418</v>
      </c>
      <c r="AX61" s="100">
        <v>0.62476296249509677</v>
      </c>
      <c r="AY61" s="100">
        <v>594.52443511033403</v>
      </c>
      <c r="AZ61" s="100">
        <v>8.2559270516642655</v>
      </c>
      <c r="BA61" s="100">
        <v>7856.3401823637141</v>
      </c>
      <c r="BB61" s="100">
        <v>7.6462871490037951</v>
      </c>
      <c r="BC61" s="100">
        <v>7276.2068509920109</v>
      </c>
      <c r="BD61" s="100">
        <v>8</v>
      </c>
      <c r="BE61" s="100">
        <v>7612.7999999999993</v>
      </c>
      <c r="BF61" s="100">
        <v>6.1395521779495379</v>
      </c>
      <c r="BG61" s="100">
        <v>5842.3978525367793</v>
      </c>
      <c r="BH61" s="100">
        <v>7.9810737782100682</v>
      </c>
      <c r="BI61" s="100">
        <v>7594.7898073447004</v>
      </c>
      <c r="BJ61" s="100">
        <v>4.0480399692616995</v>
      </c>
      <c r="BK61" s="100">
        <v>3852.1148347494327</v>
      </c>
      <c r="BL61" s="100">
        <v>4.8348251858392697</v>
      </c>
      <c r="BM61" s="100">
        <v>4600.8196468446486</v>
      </c>
      <c r="BN61" s="100">
        <v>6.2352991344327951E-4</v>
      </c>
      <c r="BO61" s="100">
        <v>0.59335106563262474</v>
      </c>
      <c r="BP61" s="100">
        <v>9.0001511847745714</v>
      </c>
      <c r="BQ61" s="100">
        <v>8564.543867431481</v>
      </c>
      <c r="BR61" s="100">
        <v>9</v>
      </c>
      <c r="BS61" s="100">
        <v>8564.4</v>
      </c>
      <c r="BT61" s="100">
        <v>1.848782438892616</v>
      </c>
      <c r="BU61" s="100">
        <v>1759.3013688502131</v>
      </c>
      <c r="BV61" s="100">
        <v>2.9404281085937406E-4</v>
      </c>
      <c r="BW61" s="100">
        <v>0.27981113881378034</v>
      </c>
      <c r="BX61" s="100">
        <v>11.000277500969929</v>
      </c>
      <c r="BY61" s="100">
        <v>10467.864069922984</v>
      </c>
      <c r="BZ61" s="100">
        <v>7</v>
      </c>
      <c r="CA61" s="100">
        <v>6661.1999999999989</v>
      </c>
      <c r="CB61" s="100">
        <v>11</v>
      </c>
      <c r="CC61" s="100">
        <v>10467.599999999999</v>
      </c>
      <c r="CD61" s="100">
        <v>5.4803297672373805</v>
      </c>
      <c r="CE61" s="100">
        <v>5215.0818065030908</v>
      </c>
      <c r="CF61" s="100">
        <v>6.1600608227895419</v>
      </c>
      <c r="CG61" s="100">
        <v>5861.9138789665276</v>
      </c>
      <c r="CH61" s="100">
        <v>5.476352879497337E-4</v>
      </c>
      <c r="CI61" s="100">
        <v>0.52112974001296652</v>
      </c>
      <c r="CJ61" s="100">
        <v>1.4214003962280288</v>
      </c>
      <c r="CK61" s="100">
        <v>1352.6046170505922</v>
      </c>
      <c r="CL61" s="100">
        <v>8.1133629398738911</v>
      </c>
      <c r="CM61" s="100">
        <v>7720.6761735839937</v>
      </c>
      <c r="CN61" s="100">
        <v>6</v>
      </c>
      <c r="CO61" s="100">
        <v>5709.5999999999995</v>
      </c>
      <c r="CP61" s="100">
        <v>2.0715417914391185</v>
      </c>
      <c r="CQ61" s="100">
        <v>1971.279168733465</v>
      </c>
      <c r="CR61" s="100">
        <v>7.6004628582205003</v>
      </c>
      <c r="CS61" s="100">
        <v>7232.6004558826271</v>
      </c>
      <c r="CT61" s="100">
        <v>8.2159888455609238</v>
      </c>
      <c r="CU61" s="100">
        <v>7818.3349854357739</v>
      </c>
    </row>
    <row r="62" spans="2:99">
      <c r="C62" s="99" t="s">
        <v>228</v>
      </c>
      <c r="D62" s="100">
        <v>8.775807646827225</v>
      </c>
      <c r="E62" s="100">
        <v>14648.578124084004</v>
      </c>
      <c r="F62" s="100">
        <v>2.3789231742459398</v>
      </c>
      <c r="G62" s="100">
        <v>3970.898562451323</v>
      </c>
      <c r="H62" s="100">
        <v>8.6912179750643208</v>
      </c>
      <c r="I62" s="100">
        <v>14507.381043977364</v>
      </c>
      <c r="J62" s="100">
        <v>6</v>
      </c>
      <c r="K62" s="100">
        <v>10015.200000000001</v>
      </c>
      <c r="L62" s="100">
        <v>1.5305543629248395</v>
      </c>
      <c r="M62" s="100">
        <v>2554.8013425941422</v>
      </c>
      <c r="N62" s="100">
        <v>5.4863287118260544</v>
      </c>
      <c r="O62" s="100">
        <v>9157.7798857800499</v>
      </c>
      <c r="P62" s="100">
        <v>7.2646286280439325</v>
      </c>
      <c r="Q62" s="100">
        <v>12126.118105930933</v>
      </c>
      <c r="R62" s="100">
        <v>4.6373763472342517</v>
      </c>
      <c r="S62" s="100">
        <v>7740.7085988034132</v>
      </c>
      <c r="T62" s="100">
        <v>0.6609241280322935</v>
      </c>
      <c r="U62" s="100">
        <v>1103.2145545115043</v>
      </c>
      <c r="V62" s="100">
        <v>5.2216088693312788</v>
      </c>
      <c r="W62" s="100">
        <v>8715.9095246877714</v>
      </c>
      <c r="X62" s="100">
        <v>3.0504516265584969</v>
      </c>
      <c r="Y62" s="100">
        <v>5091.8138550514432</v>
      </c>
      <c r="Z62" s="100">
        <v>6.4172397277966802</v>
      </c>
      <c r="AA62" s="100">
        <v>10711.656553638219</v>
      </c>
      <c r="AB62" s="100">
        <v>10.692085298574844</v>
      </c>
      <c r="AC62" s="100">
        <v>17847.22878038113</v>
      </c>
      <c r="AD62" s="100">
        <v>8</v>
      </c>
      <c r="AE62" s="100">
        <v>13353.6</v>
      </c>
      <c r="AF62" s="100">
        <v>6.2640082707477625</v>
      </c>
      <c r="AG62" s="100">
        <v>10455.882605532166</v>
      </c>
      <c r="AH62" s="100">
        <v>4.4934873651974409E-4</v>
      </c>
      <c r="AI62" s="100">
        <v>0.75005291099875682</v>
      </c>
      <c r="AJ62" s="100">
        <v>5.6462084208441672</v>
      </c>
      <c r="AK62" s="100">
        <v>9424.6510960730848</v>
      </c>
      <c r="AL62" s="100">
        <v>8.2090422234624842</v>
      </c>
      <c r="AM62" s="100">
        <v>13702.533279403578</v>
      </c>
      <c r="AN62" s="100">
        <v>6.0352767626561379</v>
      </c>
      <c r="AO62" s="100">
        <v>10074.083972225626</v>
      </c>
      <c r="AP62" s="100">
        <v>5.3401727288482856</v>
      </c>
      <c r="AQ62" s="100">
        <v>8913.8163189935585</v>
      </c>
      <c r="AR62" s="100">
        <v>4.8313495638209716</v>
      </c>
      <c r="AS62" s="100">
        <v>8064.4886919299661</v>
      </c>
      <c r="AT62" s="100">
        <v>5.3369927715303493</v>
      </c>
      <c r="AU62" s="100">
        <v>8908.5083342384587</v>
      </c>
      <c r="AV62" s="100">
        <v>5.1285532085901888</v>
      </c>
      <c r="AW62" s="100">
        <v>8560.5810157787437</v>
      </c>
      <c r="AX62" s="100">
        <v>7.4837866005995117</v>
      </c>
      <c r="AY62" s="100">
        <v>12491.936593720706</v>
      </c>
      <c r="AZ62" s="100">
        <v>4.9239720259488458</v>
      </c>
      <c r="BA62" s="100">
        <v>8219.0941057138134</v>
      </c>
      <c r="BB62" s="100">
        <v>5.8376180844495966</v>
      </c>
      <c r="BC62" s="100">
        <v>9744.1521065632678</v>
      </c>
      <c r="BD62" s="100">
        <v>6.1098436698203553</v>
      </c>
      <c r="BE62" s="100">
        <v>10198.551053664138</v>
      </c>
      <c r="BF62" s="100">
        <v>4.5107478162600136</v>
      </c>
      <c r="BG62" s="100">
        <v>7529.3402549012153</v>
      </c>
      <c r="BH62" s="100">
        <v>3.7992199435085738</v>
      </c>
      <c r="BI62" s="100">
        <v>6341.6579297045118</v>
      </c>
      <c r="BJ62" s="100">
        <v>4.3674238440924942</v>
      </c>
      <c r="BK62" s="100">
        <v>7290.1038805591916</v>
      </c>
      <c r="BL62" s="100">
        <v>4.3665791964800489</v>
      </c>
      <c r="BM62" s="100">
        <v>7288.6939947644978</v>
      </c>
      <c r="BN62" s="100">
        <v>7.3139069972194948</v>
      </c>
      <c r="BO62" s="100">
        <v>12208.37355975878</v>
      </c>
      <c r="BP62" s="100">
        <v>6.463990574926231</v>
      </c>
      <c r="BQ62" s="100">
        <v>10789.693067666865</v>
      </c>
      <c r="BR62" s="100">
        <v>4.7117899874274719E-4</v>
      </c>
      <c r="BS62" s="100">
        <v>0.78649198470139359</v>
      </c>
      <c r="BT62" s="100">
        <v>5.1076957182692162</v>
      </c>
      <c r="BU62" s="100">
        <v>8525.765692934976</v>
      </c>
      <c r="BV62" s="100">
        <v>3.2906193721414847</v>
      </c>
      <c r="BW62" s="100">
        <v>5492.7018559785665</v>
      </c>
      <c r="BX62" s="100">
        <v>7.1831597004664838</v>
      </c>
      <c r="BY62" s="100">
        <v>11990.130172018655</v>
      </c>
      <c r="BZ62" s="100">
        <v>4.5190280002417236</v>
      </c>
      <c r="CA62" s="100">
        <v>7543.1615380034855</v>
      </c>
      <c r="CB62" s="100">
        <v>7.1521247459120625</v>
      </c>
      <c r="CC62" s="100">
        <v>11938.326625876414</v>
      </c>
      <c r="CD62" s="100">
        <v>0.56291019124065833</v>
      </c>
      <c r="CE62" s="100">
        <v>939.60969121890696</v>
      </c>
      <c r="CF62" s="100">
        <v>7.1878420076895955</v>
      </c>
      <c r="CG62" s="100">
        <v>11997.945879235473</v>
      </c>
      <c r="CH62" s="100">
        <v>7</v>
      </c>
      <c r="CI62" s="100">
        <v>11684.4</v>
      </c>
      <c r="CJ62" s="100">
        <v>6</v>
      </c>
      <c r="CK62" s="100">
        <v>10015.200000000001</v>
      </c>
      <c r="CL62" s="100">
        <v>5.5205576738700977</v>
      </c>
      <c r="CM62" s="100">
        <v>9214.9148692239669</v>
      </c>
      <c r="CN62" s="100">
        <v>5.154665770519971</v>
      </c>
      <c r="CO62" s="100">
        <v>8604.168104151935</v>
      </c>
      <c r="CP62" s="100">
        <v>0.38648922224710891</v>
      </c>
      <c r="CQ62" s="100">
        <v>645.12780977487421</v>
      </c>
      <c r="CR62" s="100">
        <v>6.1577150279206778</v>
      </c>
      <c r="CS62" s="100">
        <v>10278.457924605196</v>
      </c>
      <c r="CT62" s="100">
        <v>5.1701297080847635</v>
      </c>
      <c r="CU62" s="100">
        <v>8629.9805087350869</v>
      </c>
    </row>
    <row r="63" spans="2:99">
      <c r="C63" s="99" t="s">
        <v>229</v>
      </c>
      <c r="D63" s="100">
        <v>9.7452842858891451</v>
      </c>
      <c r="E63" s="100">
        <v>7753.3481778534042</v>
      </c>
      <c r="F63" s="100">
        <v>5.9337097018742639</v>
      </c>
      <c r="G63" s="100">
        <v>4720.8594388111642</v>
      </c>
      <c r="H63" s="100">
        <v>4.7064457610487311</v>
      </c>
      <c r="I63" s="100">
        <v>3744.4482474903707</v>
      </c>
      <c r="J63" s="100">
        <v>6</v>
      </c>
      <c r="K63" s="100">
        <v>4773.6000000000004</v>
      </c>
      <c r="L63" s="100">
        <v>10</v>
      </c>
      <c r="M63" s="100">
        <v>7956</v>
      </c>
      <c r="N63" s="100">
        <v>5.3043798410481573</v>
      </c>
      <c r="O63" s="100">
        <v>4220.1646015379138</v>
      </c>
      <c r="P63" s="100">
        <v>8.2063630787116182</v>
      </c>
      <c r="Q63" s="100">
        <v>6528.9824654229633</v>
      </c>
      <c r="R63" s="100">
        <v>9</v>
      </c>
      <c r="S63" s="100">
        <v>7160.4000000000005</v>
      </c>
      <c r="T63" s="100">
        <v>3.9304070020239852</v>
      </c>
      <c r="U63" s="100">
        <v>3127.0318108102829</v>
      </c>
      <c r="V63" s="100">
        <v>5</v>
      </c>
      <c r="W63" s="100">
        <v>3978</v>
      </c>
      <c r="X63" s="100">
        <v>6</v>
      </c>
      <c r="Y63" s="100">
        <v>4773.6000000000004</v>
      </c>
      <c r="Z63" s="100">
        <v>7.9183187884069088</v>
      </c>
      <c r="AA63" s="100">
        <v>6299.8144280565366</v>
      </c>
      <c r="AB63" s="100">
        <v>6.5566844572548666</v>
      </c>
      <c r="AC63" s="100">
        <v>5216.4981541919724</v>
      </c>
      <c r="AD63" s="100">
        <v>1.9310546688464481</v>
      </c>
      <c r="AE63" s="100">
        <v>1536.3470945342342</v>
      </c>
      <c r="AF63" s="100">
        <v>4.2084710589113055</v>
      </c>
      <c r="AG63" s="100">
        <v>3348.2595744698347</v>
      </c>
      <c r="AH63" s="100">
        <v>9</v>
      </c>
      <c r="AI63" s="100">
        <v>7160.4000000000005</v>
      </c>
      <c r="AJ63" s="100">
        <v>6.3342128571971132</v>
      </c>
      <c r="AK63" s="100">
        <v>5039.4997491860231</v>
      </c>
      <c r="AL63" s="100">
        <v>9.6768627535490452</v>
      </c>
      <c r="AM63" s="100">
        <v>7698.9120067236208</v>
      </c>
      <c r="AN63" s="100">
        <v>7.8435236424171286</v>
      </c>
      <c r="AO63" s="100">
        <v>6240.3074099070673</v>
      </c>
      <c r="AP63" s="100">
        <v>8.1227071521151916E-4</v>
      </c>
      <c r="AQ63" s="100">
        <v>0.64624258102228471</v>
      </c>
      <c r="AR63" s="100">
        <v>4.9705885068957172E-4</v>
      </c>
      <c r="AS63" s="100">
        <v>0.39546002160862326</v>
      </c>
      <c r="AT63" s="100">
        <v>6.3978510704338883E-4</v>
      </c>
      <c r="AU63" s="100">
        <v>0.50901303116372021</v>
      </c>
      <c r="AV63" s="100">
        <v>6.0002738429499187</v>
      </c>
      <c r="AW63" s="100">
        <v>4773.8178694509552</v>
      </c>
      <c r="AX63" s="100">
        <v>0.62274707593280199</v>
      </c>
      <c r="AY63" s="100">
        <v>495.45757361213725</v>
      </c>
      <c r="AZ63" s="100">
        <v>9.2559270516642655</v>
      </c>
      <c r="BA63" s="100">
        <v>7364.0155623040901</v>
      </c>
      <c r="BB63" s="100">
        <v>6.7966996880033728</v>
      </c>
      <c r="BC63" s="100">
        <v>5407.4542717754839</v>
      </c>
      <c r="BD63" s="100">
        <v>8.0804724875288194</v>
      </c>
      <c r="BE63" s="100">
        <v>6428.8239110779286</v>
      </c>
      <c r="BF63" s="100">
        <v>6.1395521779495379</v>
      </c>
      <c r="BG63" s="100">
        <v>4884.6277127766525</v>
      </c>
      <c r="BH63" s="100">
        <v>6.9834395559338089</v>
      </c>
      <c r="BI63" s="100">
        <v>5556.0245107009387</v>
      </c>
      <c r="BJ63" s="100">
        <v>4.8576479631140401</v>
      </c>
      <c r="BK63" s="100">
        <v>3864.7447194535303</v>
      </c>
      <c r="BL63" s="100">
        <v>5.525514498102023</v>
      </c>
      <c r="BM63" s="100">
        <v>4396.0993346899695</v>
      </c>
      <c r="BN63" s="100">
        <v>6.8546462719752557E-4</v>
      </c>
      <c r="BO63" s="100">
        <v>0.54535565739835135</v>
      </c>
      <c r="BP63" s="100">
        <v>9.0001511847745714</v>
      </c>
      <c r="BQ63" s="100">
        <v>7160.5202826066488</v>
      </c>
      <c r="BR63" s="100">
        <v>9</v>
      </c>
      <c r="BS63" s="100">
        <v>7160.4000000000005</v>
      </c>
      <c r="BT63" s="100">
        <v>2.1128942158772754</v>
      </c>
      <c r="BU63" s="100">
        <v>1681.0186381519604</v>
      </c>
      <c r="BV63" s="100">
        <v>3.5285137303124885E-4</v>
      </c>
      <c r="BW63" s="100">
        <v>0.28072855238366157</v>
      </c>
      <c r="BX63" s="100">
        <v>10.000277500969929</v>
      </c>
      <c r="BY63" s="100">
        <v>7956.2207797716756</v>
      </c>
      <c r="BZ63" s="100">
        <v>8</v>
      </c>
      <c r="CA63" s="100">
        <v>6364.8</v>
      </c>
      <c r="CB63" s="100">
        <v>11</v>
      </c>
      <c r="CC63" s="100">
        <v>8751.6</v>
      </c>
      <c r="CD63" s="100">
        <v>4.6974255147748973</v>
      </c>
      <c r="CE63" s="100">
        <v>3737.2717395549084</v>
      </c>
      <c r="CF63" s="100">
        <v>6.1600608227895419</v>
      </c>
      <c r="CG63" s="100">
        <v>4900.9443906113593</v>
      </c>
      <c r="CH63" s="100">
        <v>5.476352879497337E-4</v>
      </c>
      <c r="CI63" s="100">
        <v>0.43569863509280815</v>
      </c>
      <c r="CJ63" s="100">
        <v>1.6583004622660338</v>
      </c>
      <c r="CK63" s="100">
        <v>1319.3438477788566</v>
      </c>
      <c r="CL63" s="100">
        <v>9.0906903518991129</v>
      </c>
      <c r="CM63" s="100">
        <v>7232.5532439709341</v>
      </c>
      <c r="CN63" s="100">
        <v>7</v>
      </c>
      <c r="CO63" s="100">
        <v>5569.2</v>
      </c>
      <c r="CP63" s="100">
        <v>1.7756072498049587</v>
      </c>
      <c r="CQ63" s="100">
        <v>1412.6731279448252</v>
      </c>
      <c r="CR63" s="100">
        <v>7.6004628582205003</v>
      </c>
      <c r="CS63" s="100">
        <v>6046.92825000023</v>
      </c>
      <c r="CT63" s="100">
        <v>7.2159888455609238</v>
      </c>
      <c r="CU63" s="100">
        <v>5741.0407255282707</v>
      </c>
    </row>
    <row r="64" spans="2:99">
      <c r="C64" s="99" t="s">
        <v>230</v>
      </c>
      <c r="D64" s="100">
        <v>8.7452842858891451</v>
      </c>
      <c r="E64" s="100">
        <v>8825.7409013193228</v>
      </c>
      <c r="F64" s="100">
        <v>5.9337097018742639</v>
      </c>
      <c r="G64" s="100">
        <v>5988.2998311315059</v>
      </c>
      <c r="H64" s="100">
        <v>4.7064457610487311</v>
      </c>
      <c r="I64" s="100">
        <v>4749.7450620503787</v>
      </c>
      <c r="J64" s="100">
        <v>6</v>
      </c>
      <c r="K64" s="100">
        <v>6055.1999999999989</v>
      </c>
      <c r="L64" s="100">
        <v>9</v>
      </c>
      <c r="M64" s="100">
        <v>9082.7999999999993</v>
      </c>
      <c r="N64" s="100">
        <v>4.6413323609171382</v>
      </c>
      <c r="O64" s="100">
        <v>4684.0326186375751</v>
      </c>
      <c r="P64" s="100">
        <v>7.4603300715560161</v>
      </c>
      <c r="Q64" s="100">
        <v>7528.96510821433</v>
      </c>
      <c r="R64" s="100">
        <v>8</v>
      </c>
      <c r="S64" s="100">
        <v>8073.5999999999985</v>
      </c>
      <c r="T64" s="100">
        <v>4.287716729480711</v>
      </c>
      <c r="U64" s="100">
        <v>4327.1637233919328</v>
      </c>
      <c r="V64" s="100">
        <v>5</v>
      </c>
      <c r="W64" s="100">
        <v>5045.9999999999991</v>
      </c>
      <c r="X64" s="100">
        <v>7</v>
      </c>
      <c r="Y64" s="100">
        <v>7064.3999999999987</v>
      </c>
      <c r="Z64" s="100">
        <v>8.7981319871187882</v>
      </c>
      <c r="AA64" s="100">
        <v>8879.0748014002802</v>
      </c>
      <c r="AB64" s="100">
        <v>8.013725447755947</v>
      </c>
      <c r="AC64" s="100">
        <v>8087.4517218752999</v>
      </c>
      <c r="AD64" s="100">
        <v>1.9310546688464481</v>
      </c>
      <c r="AE64" s="100">
        <v>1948.8203717998351</v>
      </c>
      <c r="AF64" s="100">
        <v>4.2084710589113055</v>
      </c>
      <c r="AG64" s="100">
        <v>4247.1889926532886</v>
      </c>
      <c r="AH64" s="100">
        <v>8</v>
      </c>
      <c r="AI64" s="100">
        <v>8073.5999999999985</v>
      </c>
      <c r="AJ64" s="100">
        <v>6.3342128571971132</v>
      </c>
      <c r="AK64" s="100">
        <v>6392.4876154833255</v>
      </c>
      <c r="AL64" s="100">
        <v>9.6768627535490452</v>
      </c>
      <c r="AM64" s="100">
        <v>9765.8898908816955</v>
      </c>
      <c r="AN64" s="100">
        <v>6.972021015481892</v>
      </c>
      <c r="AO64" s="100">
        <v>7036.163608824324</v>
      </c>
      <c r="AP64" s="100">
        <v>7.1073687581007931E-4</v>
      </c>
      <c r="AQ64" s="100">
        <v>0.71727565506753188</v>
      </c>
      <c r="AR64" s="100">
        <v>4.9705885068957172E-4</v>
      </c>
      <c r="AS64" s="100">
        <v>0.50163179211591569</v>
      </c>
      <c r="AT64" s="100">
        <v>6.3978556200807932E-4</v>
      </c>
      <c r="AU64" s="100">
        <v>0.6456715891785535</v>
      </c>
      <c r="AV64" s="100">
        <v>5.0002738429499187</v>
      </c>
      <c r="AW64" s="100">
        <v>5046.2763623050569</v>
      </c>
      <c r="AX64" s="100">
        <v>0.5672332798819808</v>
      </c>
      <c r="AY64" s="100">
        <v>572.4518260568949</v>
      </c>
      <c r="AZ64" s="100">
        <v>9.2559270516642655</v>
      </c>
      <c r="BA64" s="100">
        <v>9341.081580539576</v>
      </c>
      <c r="BB64" s="100">
        <v>6.7966996880033728</v>
      </c>
      <c r="BC64" s="100">
        <v>6859.2293251330029</v>
      </c>
      <c r="BD64" s="100">
        <v>7.0804724875288194</v>
      </c>
      <c r="BE64" s="100">
        <v>7145.6128344140834</v>
      </c>
      <c r="BF64" s="100">
        <v>6.1674626135394455</v>
      </c>
      <c r="BG64" s="100">
        <v>6224.2032695840071</v>
      </c>
      <c r="BH64" s="100">
        <v>6.9834395559338089</v>
      </c>
      <c r="BI64" s="100">
        <v>7047.6871998483984</v>
      </c>
      <c r="BJ64" s="100">
        <v>4.8576479631140401</v>
      </c>
      <c r="BK64" s="100">
        <v>4902.3383243746885</v>
      </c>
      <c r="BL64" s="100">
        <v>4.8348251858392697</v>
      </c>
      <c r="BM64" s="100">
        <v>4879.3055775489902</v>
      </c>
      <c r="BN64" s="100">
        <v>6.470844065769052E-4</v>
      </c>
      <c r="BO64" s="100">
        <v>0.65303758311741256</v>
      </c>
      <c r="BP64" s="100">
        <v>10.000151184774571</v>
      </c>
      <c r="BQ64" s="100">
        <v>10092.152575674496</v>
      </c>
      <c r="BR64" s="100">
        <v>8</v>
      </c>
      <c r="BS64" s="100">
        <v>8073.5999999999985</v>
      </c>
      <c r="BT64" s="100">
        <v>2.1128942158772754</v>
      </c>
      <c r="BU64" s="100">
        <v>2132.3328426633461</v>
      </c>
      <c r="BV64" s="100">
        <v>3.5285137303124885E-4</v>
      </c>
      <c r="BW64" s="100">
        <v>0.35609760566313625</v>
      </c>
      <c r="BX64" s="100">
        <v>11.000323751131585</v>
      </c>
      <c r="BY64" s="100">
        <v>11101.526729641993</v>
      </c>
      <c r="BZ64" s="100">
        <v>8</v>
      </c>
      <c r="CA64" s="100">
        <v>8073.5999999999985</v>
      </c>
      <c r="CB64" s="100">
        <v>11</v>
      </c>
      <c r="CC64" s="100">
        <v>11101.199999999997</v>
      </c>
      <c r="CD64" s="100">
        <v>4.6974255147748973</v>
      </c>
      <c r="CE64" s="100">
        <v>4740.6418295108251</v>
      </c>
      <c r="CF64" s="100">
        <v>5.2800521338196074</v>
      </c>
      <c r="CG64" s="100">
        <v>5328.6286134507463</v>
      </c>
      <c r="CH64" s="100">
        <v>6.1608969894345032E-4</v>
      </c>
      <c r="CI64" s="100">
        <v>0.62175772417372999</v>
      </c>
      <c r="CJ64" s="100">
        <v>1.6583004622660338</v>
      </c>
      <c r="CK64" s="100">
        <v>1673.5568265188811</v>
      </c>
      <c r="CL64" s="100">
        <v>8.0906903518991129</v>
      </c>
      <c r="CM64" s="100">
        <v>8165.1247031365829</v>
      </c>
      <c r="CN64" s="100">
        <v>6</v>
      </c>
      <c r="CO64" s="100">
        <v>6055.1999999999989</v>
      </c>
      <c r="CP64" s="100">
        <v>1.7756072498049587</v>
      </c>
      <c r="CQ64" s="100">
        <v>1791.942836503164</v>
      </c>
      <c r="CR64" s="100">
        <v>6.8404165723984498</v>
      </c>
      <c r="CS64" s="100">
        <v>6903.3484048645141</v>
      </c>
      <c r="CT64" s="100">
        <v>8.2159888455609238</v>
      </c>
      <c r="CU64" s="100">
        <v>8291.5759429400823</v>
      </c>
    </row>
    <row r="65" spans="2:99">
      <c r="C65" s="99" t="s">
        <v>231</v>
      </c>
      <c r="D65" s="100">
        <v>8.7452842858891451</v>
      </c>
      <c r="E65" s="100">
        <v>8972.6616773222631</v>
      </c>
      <c r="F65" s="100">
        <v>5.0860368873207982</v>
      </c>
      <c r="G65" s="100">
        <v>5218.2738463911392</v>
      </c>
      <c r="H65" s="100">
        <v>4.7064457610487311</v>
      </c>
      <c r="I65" s="100">
        <v>4828.8133508359979</v>
      </c>
      <c r="J65" s="100">
        <v>6</v>
      </c>
      <c r="K65" s="100">
        <v>6156</v>
      </c>
      <c r="L65" s="100">
        <v>10</v>
      </c>
      <c r="M65" s="100">
        <v>10260</v>
      </c>
      <c r="N65" s="100">
        <v>5.3043798410481573</v>
      </c>
      <c r="O65" s="100">
        <v>5442.2937169154093</v>
      </c>
      <c r="P65" s="100">
        <v>7.4603300715560161</v>
      </c>
      <c r="Q65" s="100">
        <v>7654.2986534164729</v>
      </c>
      <c r="R65" s="100">
        <v>8</v>
      </c>
      <c r="S65" s="100">
        <v>8208</v>
      </c>
      <c r="T65" s="100">
        <v>3.9304070020239852</v>
      </c>
      <c r="U65" s="100">
        <v>4032.5975840766087</v>
      </c>
      <c r="V65" s="100">
        <v>5</v>
      </c>
      <c r="W65" s="100">
        <v>5130</v>
      </c>
      <c r="X65" s="100">
        <v>6</v>
      </c>
      <c r="Y65" s="100">
        <v>6156</v>
      </c>
      <c r="Z65" s="100">
        <v>7.9183187884069088</v>
      </c>
      <c r="AA65" s="100">
        <v>8124.1950769054883</v>
      </c>
      <c r="AB65" s="100">
        <v>7.2852049525054072</v>
      </c>
      <c r="AC65" s="100">
        <v>7474.6202812705478</v>
      </c>
      <c r="AD65" s="100">
        <v>1.6896728352406418</v>
      </c>
      <c r="AE65" s="100">
        <v>1733.6043289568986</v>
      </c>
      <c r="AF65" s="100">
        <v>4.2084710589113055</v>
      </c>
      <c r="AG65" s="100">
        <v>4317.8913064429998</v>
      </c>
      <c r="AH65" s="100">
        <v>8</v>
      </c>
      <c r="AI65" s="100">
        <v>8208</v>
      </c>
      <c r="AJ65" s="100">
        <v>6.3342128571971132</v>
      </c>
      <c r="AK65" s="100">
        <v>6498.9023914842383</v>
      </c>
      <c r="AL65" s="100">
        <v>9.6768627535490452</v>
      </c>
      <c r="AM65" s="100">
        <v>9928.461185141321</v>
      </c>
      <c r="AN65" s="100">
        <v>6.1005183885466554</v>
      </c>
      <c r="AO65" s="100">
        <v>6259.1318666488687</v>
      </c>
      <c r="AP65" s="100">
        <v>7.1073687581007931E-4</v>
      </c>
      <c r="AQ65" s="100">
        <v>0.72921603458114137</v>
      </c>
      <c r="AR65" s="100">
        <v>4.9705885068957172E-4</v>
      </c>
      <c r="AS65" s="100">
        <v>0.50998238080750058</v>
      </c>
      <c r="AT65" s="100">
        <v>6.3978510704338883E-4</v>
      </c>
      <c r="AU65" s="100">
        <v>0.65641951982651692</v>
      </c>
      <c r="AV65" s="100">
        <v>5.0002738429499187</v>
      </c>
      <c r="AW65" s="100">
        <v>5130.2809628666164</v>
      </c>
      <c r="AX65" s="100">
        <v>0.62274707593280199</v>
      </c>
      <c r="AY65" s="100">
        <v>638.93849990705485</v>
      </c>
      <c r="AZ65" s="100">
        <v>7.2559270516642664</v>
      </c>
      <c r="BA65" s="100">
        <v>7444.5811550075377</v>
      </c>
      <c r="BB65" s="100">
        <v>6.7966996880033728</v>
      </c>
      <c r="BC65" s="100">
        <v>6973.4138798914601</v>
      </c>
      <c r="BD65" s="100">
        <v>8</v>
      </c>
      <c r="BE65" s="100">
        <v>8208</v>
      </c>
      <c r="BF65" s="100">
        <v>6.1395521779495379</v>
      </c>
      <c r="BG65" s="100">
        <v>6299.1805345762259</v>
      </c>
      <c r="BH65" s="100">
        <v>7.9810737782100682</v>
      </c>
      <c r="BI65" s="100">
        <v>8188.5816964435298</v>
      </c>
      <c r="BJ65" s="100">
        <v>4.8576479631140401</v>
      </c>
      <c r="BK65" s="100">
        <v>4983.9468101550056</v>
      </c>
      <c r="BL65" s="100">
        <v>4.8348251858392697</v>
      </c>
      <c r="BM65" s="100">
        <v>4960.5306406710906</v>
      </c>
      <c r="BN65" s="100">
        <v>6.2352991344327951E-4</v>
      </c>
      <c r="BO65" s="100">
        <v>0.63974169119280477</v>
      </c>
      <c r="BP65" s="100">
        <v>9.0002015796994286</v>
      </c>
      <c r="BQ65" s="100">
        <v>9234.2068207716129</v>
      </c>
      <c r="BR65" s="100">
        <v>10</v>
      </c>
      <c r="BS65" s="100">
        <v>10260</v>
      </c>
      <c r="BT65" s="100">
        <v>2.1128942158772754</v>
      </c>
      <c r="BU65" s="100">
        <v>2167.8294654900847</v>
      </c>
      <c r="BV65" s="100">
        <v>2.9404281085937406E-4</v>
      </c>
      <c r="BW65" s="100">
        <v>0.30168792394171778</v>
      </c>
      <c r="BX65" s="100">
        <v>10.000323751131585</v>
      </c>
      <c r="BY65" s="100">
        <v>10260.332168661007</v>
      </c>
      <c r="BZ65" s="100">
        <v>8</v>
      </c>
      <c r="CA65" s="100">
        <v>8208</v>
      </c>
      <c r="CB65" s="100">
        <v>11</v>
      </c>
      <c r="CC65" s="100">
        <v>11286</v>
      </c>
      <c r="CD65" s="100">
        <v>4.6974255147748973</v>
      </c>
      <c r="CE65" s="100">
        <v>4819.5585781590444</v>
      </c>
      <c r="CF65" s="100">
        <v>6.1600608227895419</v>
      </c>
      <c r="CG65" s="100">
        <v>6320.22240418207</v>
      </c>
      <c r="CH65" s="100">
        <v>5.476352879497337E-4</v>
      </c>
      <c r="CI65" s="100">
        <v>0.56187380543642673</v>
      </c>
      <c r="CJ65" s="100">
        <v>1.4214003962280288</v>
      </c>
      <c r="CK65" s="100">
        <v>1458.3568065299576</v>
      </c>
      <c r="CL65" s="100">
        <v>8.0906903518991129</v>
      </c>
      <c r="CM65" s="100">
        <v>8301.0483010484895</v>
      </c>
      <c r="CN65" s="100">
        <v>7</v>
      </c>
      <c r="CO65" s="100">
        <v>7182</v>
      </c>
      <c r="CP65" s="100">
        <v>1.7756072498049587</v>
      </c>
      <c r="CQ65" s="100">
        <v>1821.7730382998875</v>
      </c>
      <c r="CR65" s="100">
        <v>7.6004628582205003</v>
      </c>
      <c r="CS65" s="100">
        <v>7798.0748925342332</v>
      </c>
      <c r="CT65" s="100">
        <v>8.2159888455609238</v>
      </c>
      <c r="CU65" s="100">
        <v>8429.6045555455075</v>
      </c>
    </row>
    <row r="66" spans="2:99">
      <c r="C66" s="99" t="s">
        <v>232</v>
      </c>
      <c r="D66" s="100">
        <v>9.7452842858891451</v>
      </c>
      <c r="E66" s="100">
        <v>11600.786413922437</v>
      </c>
      <c r="F66" s="100">
        <v>5.9337097018742639</v>
      </c>
      <c r="G66" s="100">
        <v>7063.4880291111231</v>
      </c>
      <c r="H66" s="100">
        <v>4.7064457610487311</v>
      </c>
      <c r="I66" s="100">
        <v>5602.5530339524094</v>
      </c>
      <c r="J66" s="100">
        <v>6</v>
      </c>
      <c r="K66" s="100">
        <v>7142.4</v>
      </c>
      <c r="L66" s="100">
        <v>10</v>
      </c>
      <c r="M66" s="100">
        <v>11903.999999999998</v>
      </c>
      <c r="N66" s="100">
        <v>5.3043798410481573</v>
      </c>
      <c r="O66" s="100">
        <v>6314.3337627837254</v>
      </c>
      <c r="P66" s="100">
        <v>7.4603300715560161</v>
      </c>
      <c r="Q66" s="100">
        <v>8880.7769171802811</v>
      </c>
      <c r="R66" s="100">
        <v>8</v>
      </c>
      <c r="S66" s="100">
        <v>9523.1999999999989</v>
      </c>
      <c r="T66" s="100">
        <v>3.5730972745672593</v>
      </c>
      <c r="U66" s="100">
        <v>4253.4149956448655</v>
      </c>
      <c r="V66" s="100">
        <v>6</v>
      </c>
      <c r="W66" s="100">
        <v>7142.4</v>
      </c>
      <c r="X66" s="100">
        <v>6</v>
      </c>
      <c r="Y66" s="100">
        <v>7142.4</v>
      </c>
      <c r="Z66" s="100">
        <v>8.7981319871187882</v>
      </c>
      <c r="AA66" s="100">
        <v>10473.296317466204</v>
      </c>
      <c r="AB66" s="100">
        <v>7.2852049525054072</v>
      </c>
      <c r="AC66" s="100">
        <v>8672.3079754624359</v>
      </c>
      <c r="AD66" s="100">
        <v>1.9310546688464481</v>
      </c>
      <c r="AE66" s="100">
        <v>2298.7274777948114</v>
      </c>
      <c r="AF66" s="100">
        <v>4.2084710589113055</v>
      </c>
      <c r="AG66" s="100">
        <v>5009.7639485280179</v>
      </c>
      <c r="AH66" s="100">
        <v>9</v>
      </c>
      <c r="AI66" s="100">
        <v>10713.599999999999</v>
      </c>
      <c r="AJ66" s="100">
        <v>6.3342128571971132</v>
      </c>
      <c r="AK66" s="100">
        <v>7540.2469852074428</v>
      </c>
      <c r="AL66" s="100">
        <v>9.6768627535490452</v>
      </c>
      <c r="AM66" s="100">
        <v>11519.337421824783</v>
      </c>
      <c r="AN66" s="100">
        <v>6.972021015481892</v>
      </c>
      <c r="AO66" s="100">
        <v>8299.493816829643</v>
      </c>
      <c r="AP66" s="100">
        <v>6.0920303640863945E-4</v>
      </c>
      <c r="AQ66" s="100">
        <v>0.7251952945408443</v>
      </c>
      <c r="AR66" s="100">
        <v>4.9705788905455954E-4</v>
      </c>
      <c r="AS66" s="100">
        <v>0.59169771113054759</v>
      </c>
      <c r="AT66" s="100">
        <v>7.1975784732970836E-4</v>
      </c>
      <c r="AU66" s="100">
        <v>0.85679974146128479</v>
      </c>
      <c r="AV66" s="100">
        <v>5.0002738429499187</v>
      </c>
      <c r="AW66" s="100">
        <v>5952.3259826475824</v>
      </c>
      <c r="AX66" s="100">
        <v>0.62274707593280199</v>
      </c>
      <c r="AY66" s="100">
        <v>741.3181191904074</v>
      </c>
      <c r="AZ66" s="100">
        <v>7.2559270516642664</v>
      </c>
      <c r="BA66" s="100">
        <v>8637.455562301142</v>
      </c>
      <c r="BB66" s="100">
        <v>6.7966996880033728</v>
      </c>
      <c r="BC66" s="100">
        <v>8090.7913085992141</v>
      </c>
      <c r="BD66" s="100">
        <v>7.0804724875288194</v>
      </c>
      <c r="BE66" s="100">
        <v>8428.594449154305</v>
      </c>
      <c r="BF66" s="100">
        <v>6.1395521779495379</v>
      </c>
      <c r="BG66" s="100">
        <v>7308.5229126311287</v>
      </c>
      <c r="BH66" s="100">
        <v>6.9834395559338089</v>
      </c>
      <c r="BI66" s="100">
        <v>8313.0864473836045</v>
      </c>
      <c r="BJ66" s="100">
        <v>4.8576479631140401</v>
      </c>
      <c r="BK66" s="100">
        <v>5782.5441352909529</v>
      </c>
      <c r="BL66" s="100">
        <v>4.8348251858392697</v>
      </c>
      <c r="BM66" s="100">
        <v>5755.3759012230657</v>
      </c>
      <c r="BN66" s="100">
        <v>6.2261009003956164E-4</v>
      </c>
      <c r="BO66" s="100">
        <v>0.7411550511830941</v>
      </c>
      <c r="BP66" s="100">
        <v>9.0001511847745714</v>
      </c>
      <c r="BQ66" s="100">
        <v>10713.779970355648</v>
      </c>
      <c r="BR66" s="100">
        <v>9</v>
      </c>
      <c r="BS66" s="100">
        <v>10713.599999999999</v>
      </c>
      <c r="BT66" s="100">
        <v>2.1128942158772754</v>
      </c>
      <c r="BU66" s="100">
        <v>2515.1892745803084</v>
      </c>
      <c r="BV66" s="100">
        <v>3.5285137303124885E-4</v>
      </c>
      <c r="BW66" s="100">
        <v>0.42003427445639857</v>
      </c>
      <c r="BX66" s="100">
        <v>10.000277500969929</v>
      </c>
      <c r="BY66" s="100">
        <v>11904.330337154603</v>
      </c>
      <c r="BZ66" s="100">
        <v>7</v>
      </c>
      <c r="CA66" s="100">
        <v>8332.7999999999993</v>
      </c>
      <c r="CB66" s="100">
        <v>11</v>
      </c>
      <c r="CC66" s="100">
        <v>13094.399999999998</v>
      </c>
      <c r="CD66" s="100">
        <v>4.6974255147748973</v>
      </c>
      <c r="CE66" s="100">
        <v>5591.8153327880373</v>
      </c>
      <c r="CF66" s="100">
        <v>5.2800521338196074</v>
      </c>
      <c r="CG66" s="100">
        <v>6285.3740600988594</v>
      </c>
      <c r="CH66" s="100">
        <v>5.476352879497337E-4</v>
      </c>
      <c r="CI66" s="100">
        <v>0.65190504677536287</v>
      </c>
      <c r="CJ66" s="100">
        <v>1.4214003962280288</v>
      </c>
      <c r="CK66" s="100">
        <v>1692.0350316698452</v>
      </c>
      <c r="CL66" s="100">
        <v>7.1133629398738911</v>
      </c>
      <c r="CM66" s="100">
        <v>8467.7472436258795</v>
      </c>
      <c r="CN66" s="100">
        <v>7</v>
      </c>
      <c r="CO66" s="100">
        <v>8332.7999999999993</v>
      </c>
      <c r="CP66" s="100">
        <v>1.7756072498049587</v>
      </c>
      <c r="CQ66" s="100">
        <v>2113.6828701678223</v>
      </c>
      <c r="CR66" s="100">
        <v>6.8404165723984498</v>
      </c>
      <c r="CS66" s="100">
        <v>8142.8318877831134</v>
      </c>
      <c r="CT66" s="100">
        <v>8.2159888455609238</v>
      </c>
      <c r="CU66" s="100">
        <v>9780.313121755722</v>
      </c>
    </row>
    <row r="67" spans="2:99">
      <c r="C67" s="99" t="s">
        <v>233</v>
      </c>
      <c r="D67" s="100">
        <v>9.8694983335373365</v>
      </c>
      <c r="E67" s="100">
        <v>11085.420528229137</v>
      </c>
      <c r="F67" s="100">
        <v>5.9337097018742639</v>
      </c>
      <c r="G67" s="100">
        <v>6664.7427371451731</v>
      </c>
      <c r="H67" s="100">
        <v>4.1181400409176394</v>
      </c>
      <c r="I67" s="100">
        <v>4625.494893958693</v>
      </c>
      <c r="J67" s="100">
        <v>7</v>
      </c>
      <c r="K67" s="100">
        <v>7862.4000000000005</v>
      </c>
      <c r="L67" s="100">
        <v>9</v>
      </c>
      <c r="M67" s="100">
        <v>10108.800000000001</v>
      </c>
      <c r="N67" s="100">
        <v>4.6413323609171382</v>
      </c>
      <c r="O67" s="100">
        <v>5213.1445077821299</v>
      </c>
      <c r="P67" s="100">
        <v>8.2063630787116182</v>
      </c>
      <c r="Q67" s="100">
        <v>9217.3870100088898</v>
      </c>
      <c r="R67" s="100">
        <v>9</v>
      </c>
      <c r="S67" s="100">
        <v>10108.800000000001</v>
      </c>
      <c r="T67" s="100">
        <v>3.9304070020239852</v>
      </c>
      <c r="U67" s="100">
        <v>4414.6331446733402</v>
      </c>
      <c r="V67" s="100">
        <v>6</v>
      </c>
      <c r="W67" s="100">
        <v>6739.2000000000007</v>
      </c>
      <c r="X67" s="100">
        <v>6</v>
      </c>
      <c r="Y67" s="100">
        <v>6739.2000000000007</v>
      </c>
      <c r="Z67" s="100">
        <v>7.9183187884069088</v>
      </c>
      <c r="AA67" s="100">
        <v>8893.85566313864</v>
      </c>
      <c r="AB67" s="100">
        <v>6.5566844572548666</v>
      </c>
      <c r="AC67" s="100">
        <v>7364.4679823886663</v>
      </c>
      <c r="AD67" s="100">
        <v>1.9310546688464481</v>
      </c>
      <c r="AE67" s="100">
        <v>2168.9606040483304</v>
      </c>
      <c r="AF67" s="100">
        <v>4.2084710589113055</v>
      </c>
      <c r="AG67" s="100">
        <v>4726.9546933691781</v>
      </c>
      <c r="AH67" s="100">
        <v>8</v>
      </c>
      <c r="AI67" s="100">
        <v>8985.6</v>
      </c>
      <c r="AJ67" s="100">
        <v>5.4293253061689546</v>
      </c>
      <c r="AK67" s="100">
        <v>6098.2181838889701</v>
      </c>
      <c r="AL67" s="100">
        <v>9.6768627535490452</v>
      </c>
      <c r="AM67" s="100">
        <v>10869.052244786288</v>
      </c>
      <c r="AN67" s="100">
        <v>6.972021015481892</v>
      </c>
      <c r="AO67" s="100">
        <v>7830.9740045892613</v>
      </c>
      <c r="AP67" s="100">
        <v>7.1073687581007931E-4</v>
      </c>
      <c r="AQ67" s="100">
        <v>0.79829965890988108</v>
      </c>
      <c r="AR67" s="100">
        <v>4.9705788905455954E-4</v>
      </c>
      <c r="AS67" s="100">
        <v>0.55829542098608131</v>
      </c>
      <c r="AT67" s="100">
        <v>6.3978510704338883E-4</v>
      </c>
      <c r="AU67" s="100">
        <v>0.71860663223113441</v>
      </c>
      <c r="AV67" s="100">
        <v>5.0002738429499187</v>
      </c>
      <c r="AW67" s="100">
        <v>5616.3075804013488</v>
      </c>
      <c r="AX67" s="100">
        <v>0.5672332798819808</v>
      </c>
      <c r="AY67" s="100">
        <v>637.11641996344088</v>
      </c>
      <c r="AZ67" s="100">
        <v>8.2559270516642655</v>
      </c>
      <c r="BA67" s="100">
        <v>9273.0572644293043</v>
      </c>
      <c r="BB67" s="100">
        <v>6.7966996880033728</v>
      </c>
      <c r="BC67" s="100">
        <v>7634.0530895653883</v>
      </c>
      <c r="BD67" s="100">
        <v>8</v>
      </c>
      <c r="BE67" s="100">
        <v>8985.6</v>
      </c>
      <c r="BF67" s="100">
        <v>6.1674626135394455</v>
      </c>
      <c r="BG67" s="100">
        <v>6927.2940075275055</v>
      </c>
      <c r="BH67" s="100">
        <v>6.9834395559338089</v>
      </c>
      <c r="BI67" s="100">
        <v>7843.7993092248544</v>
      </c>
      <c r="BJ67" s="100">
        <v>4.8576479631140401</v>
      </c>
      <c r="BK67" s="100">
        <v>5456.11019216969</v>
      </c>
      <c r="BL67" s="100">
        <v>5.525514498102023</v>
      </c>
      <c r="BM67" s="100">
        <v>6206.2578842681924</v>
      </c>
      <c r="BN67" s="100">
        <v>6.2348414232637529E-4</v>
      </c>
      <c r="BO67" s="100">
        <v>0.70029738866098479</v>
      </c>
      <c r="BP67" s="100">
        <v>9.0001511847745714</v>
      </c>
      <c r="BQ67" s="100">
        <v>10108.969810738799</v>
      </c>
      <c r="BR67" s="100">
        <v>8</v>
      </c>
      <c r="BS67" s="100">
        <v>8985.6</v>
      </c>
      <c r="BT67" s="100">
        <v>2.3770059928619349</v>
      </c>
      <c r="BU67" s="100">
        <v>2669.8531311825254</v>
      </c>
      <c r="BV67" s="100">
        <v>2.9404281085937406E-4</v>
      </c>
      <c r="BW67" s="100">
        <v>0.33026888515724895</v>
      </c>
      <c r="BX67" s="100">
        <v>11.000277500969929</v>
      </c>
      <c r="BY67" s="100">
        <v>12355.511689089424</v>
      </c>
      <c r="BZ67" s="100">
        <v>8</v>
      </c>
      <c r="CA67" s="100">
        <v>8985.6</v>
      </c>
      <c r="CB67" s="100">
        <v>10</v>
      </c>
      <c r="CC67" s="100">
        <v>11232</v>
      </c>
      <c r="CD67" s="100">
        <v>4.6974255147748973</v>
      </c>
      <c r="CE67" s="100">
        <v>5276.1483381951648</v>
      </c>
      <c r="CF67" s="100">
        <v>5.2800521338196074</v>
      </c>
      <c r="CG67" s="100">
        <v>5930.5545567061836</v>
      </c>
      <c r="CH67" s="100">
        <v>4.7918087695601698E-4</v>
      </c>
      <c r="CI67" s="100">
        <v>0.53821596099699831</v>
      </c>
      <c r="CJ67" s="100">
        <v>1.6583004622660338</v>
      </c>
      <c r="CK67" s="100">
        <v>1862.6030792172091</v>
      </c>
      <c r="CL67" s="100">
        <v>9.0906903518991129</v>
      </c>
      <c r="CM67" s="100">
        <v>10210.663403253084</v>
      </c>
      <c r="CN67" s="100">
        <v>7</v>
      </c>
      <c r="CO67" s="100">
        <v>7862.4000000000005</v>
      </c>
      <c r="CP67" s="100">
        <v>1.7756072498049587</v>
      </c>
      <c r="CQ67" s="100">
        <v>1994.3620629809297</v>
      </c>
      <c r="CR67" s="100">
        <v>6.8404165723984498</v>
      </c>
      <c r="CS67" s="100">
        <v>7683.1558941179392</v>
      </c>
      <c r="CT67" s="100">
        <v>8.2159888455609238</v>
      </c>
      <c r="CU67" s="100">
        <v>9228.1986713340302</v>
      </c>
    </row>
    <row r="68" spans="2:99">
      <c r="C68" s="99" t="s">
        <v>234</v>
      </c>
      <c r="D68" s="100">
        <v>9.7452842858891451</v>
      </c>
      <c r="E68" s="100">
        <v>10068.827724180665</v>
      </c>
      <c r="F68" s="100">
        <v>5.0860368873207982</v>
      </c>
      <c r="G68" s="100">
        <v>5254.8933119798485</v>
      </c>
      <c r="H68" s="100">
        <v>4.7064457610487311</v>
      </c>
      <c r="I68" s="100">
        <v>4862.6997603155496</v>
      </c>
      <c r="J68" s="100">
        <v>6</v>
      </c>
      <c r="K68" s="100">
        <v>6199.2000000000007</v>
      </c>
      <c r="L68" s="100">
        <v>10</v>
      </c>
      <c r="M68" s="100">
        <v>10332</v>
      </c>
      <c r="N68" s="100">
        <v>5.3043798410481573</v>
      </c>
      <c r="O68" s="100">
        <v>5480.485251770956</v>
      </c>
      <c r="P68" s="100">
        <v>8.9523960858672211</v>
      </c>
      <c r="Q68" s="100">
        <v>9249.6156359180131</v>
      </c>
      <c r="R68" s="100">
        <v>8</v>
      </c>
      <c r="S68" s="100">
        <v>8265.6</v>
      </c>
      <c r="T68" s="100">
        <v>3.5730972745672593</v>
      </c>
      <c r="U68" s="100">
        <v>3691.7241040828926</v>
      </c>
      <c r="V68" s="100">
        <v>6</v>
      </c>
      <c r="W68" s="100">
        <v>6199.2000000000007</v>
      </c>
      <c r="X68" s="100">
        <v>6</v>
      </c>
      <c r="Y68" s="100">
        <v>6199.2000000000007</v>
      </c>
      <c r="Z68" s="100">
        <v>7.0385055896950304</v>
      </c>
      <c r="AA68" s="100">
        <v>7272.1839752729056</v>
      </c>
      <c r="AB68" s="100">
        <v>6.5566844572548666</v>
      </c>
      <c r="AC68" s="100">
        <v>6774.3663812357281</v>
      </c>
      <c r="AD68" s="100">
        <v>1.9310546688464481</v>
      </c>
      <c r="AE68" s="100">
        <v>1995.1656838521503</v>
      </c>
      <c r="AF68" s="100">
        <v>4.2084710589113055</v>
      </c>
      <c r="AG68" s="100">
        <v>4348.1922980671607</v>
      </c>
      <c r="AH68" s="100">
        <v>9</v>
      </c>
      <c r="AI68" s="100">
        <v>9298.8000000000011</v>
      </c>
      <c r="AJ68" s="100">
        <v>5.4293253061689546</v>
      </c>
      <c r="AK68" s="100">
        <v>5609.5789063337643</v>
      </c>
      <c r="AL68" s="100">
        <v>8.797147957771859</v>
      </c>
      <c r="AM68" s="100">
        <v>9089.213269969885</v>
      </c>
      <c r="AN68" s="100">
        <v>6.1005183885466554</v>
      </c>
      <c r="AO68" s="100">
        <v>6303.0555990464045</v>
      </c>
      <c r="AP68" s="100">
        <v>7.1073687581007931E-4</v>
      </c>
      <c r="AQ68" s="100">
        <v>0.73433334008697393</v>
      </c>
      <c r="AR68" s="100">
        <v>4.9705836987206568E-4</v>
      </c>
      <c r="AS68" s="100">
        <v>0.51356070775181828</v>
      </c>
      <c r="AT68" s="100">
        <v>5.598123667570694E-4</v>
      </c>
      <c r="AU68" s="100">
        <v>0.57839813733340417</v>
      </c>
      <c r="AV68" s="100">
        <v>5.0002738429499187</v>
      </c>
      <c r="AW68" s="100">
        <v>5166.2829345358559</v>
      </c>
      <c r="AX68" s="100">
        <v>0.5672332798819808</v>
      </c>
      <c r="AY68" s="100">
        <v>586.06542477406254</v>
      </c>
      <c r="AZ68" s="100">
        <v>9.2559270516642655</v>
      </c>
      <c r="BA68" s="100">
        <v>9563.2238297795193</v>
      </c>
      <c r="BB68" s="100">
        <v>7.6462871490037951</v>
      </c>
      <c r="BC68" s="100">
        <v>7900.1438823507215</v>
      </c>
      <c r="BD68" s="100">
        <v>7</v>
      </c>
      <c r="BE68" s="100">
        <v>7232.4000000000005</v>
      </c>
      <c r="BF68" s="100">
        <v>6.1674626135394455</v>
      </c>
      <c r="BG68" s="100">
        <v>6372.2223723089555</v>
      </c>
      <c r="BH68" s="100">
        <v>7.9810737782100682</v>
      </c>
      <c r="BI68" s="100">
        <v>8246.0454276466426</v>
      </c>
      <c r="BJ68" s="100">
        <v>4.8576479631140401</v>
      </c>
      <c r="BK68" s="100">
        <v>5018.9218754894264</v>
      </c>
      <c r="BL68" s="100">
        <v>4.8348251858392697</v>
      </c>
      <c r="BM68" s="100">
        <v>4995.3413820091337</v>
      </c>
      <c r="BN68" s="100">
        <v>5.6058383405150692E-4</v>
      </c>
      <c r="BO68" s="100">
        <v>0.57919521734201695</v>
      </c>
      <c r="BP68" s="100">
        <v>10.000151184774571</v>
      </c>
      <c r="BQ68" s="100">
        <v>10332.156204109087</v>
      </c>
      <c r="BR68" s="100">
        <v>10</v>
      </c>
      <c r="BS68" s="100">
        <v>10332</v>
      </c>
      <c r="BT68" s="100">
        <v>2.3770059928619349</v>
      </c>
      <c r="BU68" s="100">
        <v>2455.9225918249513</v>
      </c>
      <c r="BV68" s="100">
        <v>2.9404281085937406E-4</v>
      </c>
      <c r="BW68" s="100">
        <v>0.30380503217990529</v>
      </c>
      <c r="BX68" s="100">
        <v>10.000277500969929</v>
      </c>
      <c r="BY68" s="100">
        <v>10332.286714002132</v>
      </c>
      <c r="BZ68" s="100">
        <v>8</v>
      </c>
      <c r="CA68" s="100">
        <v>8265.6</v>
      </c>
      <c r="CB68" s="100">
        <v>10</v>
      </c>
      <c r="CC68" s="100">
        <v>10332</v>
      </c>
      <c r="CD68" s="100">
        <v>5.4803297672373805</v>
      </c>
      <c r="CE68" s="100">
        <v>5662.2767155096617</v>
      </c>
      <c r="CF68" s="100">
        <v>5.2800521338196074</v>
      </c>
      <c r="CG68" s="100">
        <v>5455.3498646624184</v>
      </c>
      <c r="CH68" s="100">
        <v>5.476352879497337E-4</v>
      </c>
      <c r="CI68" s="100">
        <v>0.56581677950966491</v>
      </c>
      <c r="CJ68" s="100">
        <v>1.4214003962280288</v>
      </c>
      <c r="CK68" s="100">
        <v>1468.5908893827996</v>
      </c>
      <c r="CL68" s="100">
        <v>9.1133629398738911</v>
      </c>
      <c r="CM68" s="100">
        <v>9415.9265894777054</v>
      </c>
      <c r="CN68" s="100">
        <v>6</v>
      </c>
      <c r="CO68" s="100">
        <v>6199.2000000000007</v>
      </c>
      <c r="CP68" s="100">
        <v>1.7756072498049587</v>
      </c>
      <c r="CQ68" s="100">
        <v>1834.5574104984833</v>
      </c>
      <c r="CR68" s="100">
        <v>8.360509144042549</v>
      </c>
      <c r="CS68" s="100">
        <v>8638.0780476247619</v>
      </c>
      <c r="CT68" s="100">
        <v>7.2591866146731086</v>
      </c>
      <c r="CU68" s="100">
        <v>7500.1916102802561</v>
      </c>
    </row>
    <row r="69" spans="2:99">
      <c r="C69" s="99" t="s">
        <v>235</v>
      </c>
      <c r="D69" s="100">
        <v>8.7452842858891451</v>
      </c>
      <c r="E69" s="100">
        <v>6632.4236024183274</v>
      </c>
      <c r="F69" s="100">
        <v>6.7813825164277297</v>
      </c>
      <c r="G69" s="100">
        <v>5143.0005004587902</v>
      </c>
      <c r="H69" s="100">
        <v>4.7064457610487311</v>
      </c>
      <c r="I69" s="100">
        <v>3569.3684651793574</v>
      </c>
      <c r="J69" s="100">
        <v>7</v>
      </c>
      <c r="K69" s="100">
        <v>5308.8</v>
      </c>
      <c r="L69" s="100">
        <v>11</v>
      </c>
      <c r="M69" s="100">
        <v>8342.4</v>
      </c>
      <c r="N69" s="100">
        <v>4.6413323609171382</v>
      </c>
      <c r="O69" s="100">
        <v>3519.9864625195573</v>
      </c>
      <c r="P69" s="100">
        <v>8.2063630787116182</v>
      </c>
      <c r="Q69" s="100">
        <v>6223.705758894891</v>
      </c>
      <c r="R69" s="100">
        <v>9</v>
      </c>
      <c r="S69" s="100">
        <v>6825.5999999999995</v>
      </c>
      <c r="T69" s="100">
        <v>4.287716729480711</v>
      </c>
      <c r="U69" s="100">
        <v>3251.8043676381712</v>
      </c>
      <c r="V69" s="100">
        <v>6</v>
      </c>
      <c r="W69" s="100">
        <v>4550.3999999999996</v>
      </c>
      <c r="X69" s="100">
        <v>7</v>
      </c>
      <c r="Y69" s="100">
        <v>5308.8</v>
      </c>
      <c r="Z69" s="100">
        <v>7.9183187884069088</v>
      </c>
      <c r="AA69" s="100">
        <v>6005.2529691277996</v>
      </c>
      <c r="AB69" s="100">
        <v>6.5566844572548666</v>
      </c>
      <c r="AC69" s="100">
        <v>4972.5894923820906</v>
      </c>
      <c r="AD69" s="100">
        <v>1.6896728352406418</v>
      </c>
      <c r="AE69" s="100">
        <v>1281.4478782465028</v>
      </c>
      <c r="AF69" s="100">
        <v>4.8096812101843485</v>
      </c>
      <c r="AG69" s="100">
        <v>3647.6622298038096</v>
      </c>
      <c r="AH69" s="100">
        <v>8</v>
      </c>
      <c r="AI69" s="100">
        <v>6067.2</v>
      </c>
      <c r="AJ69" s="100">
        <v>6.3342128571971132</v>
      </c>
      <c r="AK69" s="100">
        <v>4803.867030898291</v>
      </c>
      <c r="AL69" s="100">
        <v>9.6768627535490452</v>
      </c>
      <c r="AM69" s="100">
        <v>7338.9327122915956</v>
      </c>
      <c r="AN69" s="100">
        <v>7.8435236424171286</v>
      </c>
      <c r="AO69" s="100">
        <v>5948.5283304091499</v>
      </c>
      <c r="AP69" s="100">
        <v>7.1073687581007931E-4</v>
      </c>
      <c r="AQ69" s="100">
        <v>0.53902284661436417</v>
      </c>
      <c r="AR69" s="100">
        <v>4.9705836987206568E-4</v>
      </c>
      <c r="AS69" s="100">
        <v>0.3769690677109746</v>
      </c>
      <c r="AT69" s="100">
        <v>6.3978556200807932E-4</v>
      </c>
      <c r="AU69" s="100">
        <v>0.48521337022692734</v>
      </c>
      <c r="AV69" s="100">
        <v>6.0002738429499187</v>
      </c>
      <c r="AW69" s="100">
        <v>4550.6076824932179</v>
      </c>
      <c r="AX69" s="100">
        <v>0.62476296249509677</v>
      </c>
      <c r="AY69" s="100">
        <v>473.82023075628138</v>
      </c>
      <c r="AZ69" s="100">
        <v>8.2559270516642655</v>
      </c>
      <c r="BA69" s="100">
        <v>6261.2950759821788</v>
      </c>
      <c r="BB69" s="100">
        <v>7.6462871490037951</v>
      </c>
      <c r="BC69" s="100">
        <v>5798.9441738044779</v>
      </c>
      <c r="BD69" s="100">
        <v>8</v>
      </c>
      <c r="BE69" s="100">
        <v>6067.2</v>
      </c>
      <c r="BF69" s="100">
        <v>6.1395521779495379</v>
      </c>
      <c r="BG69" s="100">
        <v>4656.2363717569297</v>
      </c>
      <c r="BH69" s="100">
        <v>6.9834395559338089</v>
      </c>
      <c r="BI69" s="100">
        <v>5296.2405592202003</v>
      </c>
      <c r="BJ69" s="100">
        <v>4.8576479631140401</v>
      </c>
      <c r="BK69" s="100">
        <v>3684.0402152256879</v>
      </c>
      <c r="BL69" s="100">
        <v>4.8348251858392697</v>
      </c>
      <c r="BM69" s="100">
        <v>3666.7314209405022</v>
      </c>
      <c r="BN69" s="100">
        <v>6.2348414232637529E-4</v>
      </c>
      <c r="BO69" s="100">
        <v>0.472850373540323</v>
      </c>
      <c r="BP69" s="100">
        <v>9.0001511847745714</v>
      </c>
      <c r="BQ69" s="100">
        <v>6825.7146585330347</v>
      </c>
      <c r="BR69" s="100">
        <v>8</v>
      </c>
      <c r="BS69" s="100">
        <v>6067.2</v>
      </c>
      <c r="BT69" s="100">
        <v>2.1128942158772754</v>
      </c>
      <c r="BU69" s="100">
        <v>1602.4189733213257</v>
      </c>
      <c r="BV69" s="100">
        <v>3.5285137303124885E-4</v>
      </c>
      <c r="BW69" s="100">
        <v>0.26760248130689912</v>
      </c>
      <c r="BX69" s="100">
        <v>10.000323751131585</v>
      </c>
      <c r="BY69" s="100">
        <v>7584.2455328581937</v>
      </c>
      <c r="BZ69" s="100">
        <v>8</v>
      </c>
      <c r="CA69" s="100">
        <v>6067.2</v>
      </c>
      <c r="CB69" s="100">
        <v>12</v>
      </c>
      <c r="CC69" s="100">
        <v>9100.7999999999993</v>
      </c>
      <c r="CD69" s="100">
        <v>5.4803297672373805</v>
      </c>
      <c r="CE69" s="100">
        <v>4156.2820954728295</v>
      </c>
      <c r="CF69" s="100">
        <v>6.1600608227895419</v>
      </c>
      <c r="CG69" s="100">
        <v>4671.7901280035885</v>
      </c>
      <c r="CH69" s="100">
        <v>5.476352879497337E-4</v>
      </c>
      <c r="CI69" s="100">
        <v>0.41532660238107805</v>
      </c>
      <c r="CJ69" s="100">
        <v>1.4214003962280288</v>
      </c>
      <c r="CK69" s="100">
        <v>1077.990060499337</v>
      </c>
      <c r="CL69" s="100">
        <v>8.1133629398738911</v>
      </c>
      <c r="CM69" s="100">
        <v>6153.1744536003589</v>
      </c>
      <c r="CN69" s="100">
        <v>6</v>
      </c>
      <c r="CO69" s="100">
        <v>4550.3999999999996</v>
      </c>
      <c r="CP69" s="100">
        <v>2.0715417914391185</v>
      </c>
      <c r="CQ69" s="100">
        <v>1571.0572946274274</v>
      </c>
      <c r="CR69" s="100">
        <v>7.6004628582205003</v>
      </c>
      <c r="CS69" s="100">
        <v>5764.191031674427</v>
      </c>
      <c r="CT69" s="100">
        <v>8.2159888455609238</v>
      </c>
      <c r="CU69" s="100">
        <v>6231.0059404734047</v>
      </c>
    </row>
    <row r="70" spans="2:99">
      <c r="C70" s="99" t="s">
        <v>236</v>
      </c>
      <c r="D70" s="100">
        <v>9.8694983335373365</v>
      </c>
      <c r="E70" s="100">
        <v>5282.1555081091819</v>
      </c>
      <c r="F70" s="100">
        <v>5.9337097018742639</v>
      </c>
      <c r="G70" s="100">
        <v>3175.7214324431056</v>
      </c>
      <c r="H70" s="100">
        <v>5.294751481179822</v>
      </c>
      <c r="I70" s="100">
        <v>2833.7509927274405</v>
      </c>
      <c r="J70" s="100">
        <v>6</v>
      </c>
      <c r="K70" s="100">
        <v>3211.2</v>
      </c>
      <c r="L70" s="100">
        <v>10</v>
      </c>
      <c r="M70" s="100">
        <v>5351.9999999999991</v>
      </c>
      <c r="N70" s="100">
        <v>4.6413323609171382</v>
      </c>
      <c r="O70" s="100">
        <v>2484.0410795628522</v>
      </c>
      <c r="P70" s="100">
        <v>8.2063630787116182</v>
      </c>
      <c r="Q70" s="100">
        <v>4392.0455197264573</v>
      </c>
      <c r="R70" s="100">
        <v>9</v>
      </c>
      <c r="S70" s="100">
        <v>4816.7999999999993</v>
      </c>
      <c r="T70" s="100">
        <v>4.287716729480711</v>
      </c>
      <c r="U70" s="100">
        <v>2294.7859936180762</v>
      </c>
      <c r="V70" s="100">
        <v>6</v>
      </c>
      <c r="W70" s="100">
        <v>3211.2</v>
      </c>
      <c r="X70" s="100">
        <v>7</v>
      </c>
      <c r="Y70" s="100">
        <v>3746.3999999999996</v>
      </c>
      <c r="Z70" s="100">
        <v>7.9183187884069088</v>
      </c>
      <c r="AA70" s="100">
        <v>4237.8842155553775</v>
      </c>
      <c r="AB70" s="100">
        <v>7.2852049525054072</v>
      </c>
      <c r="AC70" s="100">
        <v>3899.0416905808934</v>
      </c>
      <c r="AD70" s="100">
        <v>1.9310546688464481</v>
      </c>
      <c r="AE70" s="100">
        <v>1033.500458766619</v>
      </c>
      <c r="AF70" s="100">
        <v>4.2084710589113055</v>
      </c>
      <c r="AG70" s="100">
        <v>2252.3737107293305</v>
      </c>
      <c r="AH70" s="100">
        <v>9</v>
      </c>
      <c r="AI70" s="100">
        <v>4816.7999999999993</v>
      </c>
      <c r="AJ70" s="100">
        <v>6.3342128571971132</v>
      </c>
      <c r="AK70" s="100">
        <v>3390.0707211718945</v>
      </c>
      <c r="AL70" s="100">
        <v>8.797147957771859</v>
      </c>
      <c r="AM70" s="100">
        <v>4708.2335869994986</v>
      </c>
      <c r="AN70" s="100">
        <v>6.972021015481892</v>
      </c>
      <c r="AO70" s="100">
        <v>3731.425647485908</v>
      </c>
      <c r="AP70" s="100">
        <v>8.1227071521151916E-4</v>
      </c>
      <c r="AQ70" s="100">
        <v>0.43472728678120498</v>
      </c>
      <c r="AR70" s="100">
        <v>4.9705836987206568E-4</v>
      </c>
      <c r="AS70" s="100">
        <v>0.26602563955552955</v>
      </c>
      <c r="AT70" s="100">
        <v>7.1975830229439885E-4</v>
      </c>
      <c r="AU70" s="100">
        <v>0.38521464338796224</v>
      </c>
      <c r="AV70" s="100">
        <v>6.0002738429499187</v>
      </c>
      <c r="AW70" s="100">
        <v>3211.3465607467961</v>
      </c>
      <c r="AX70" s="100">
        <v>0.62274707593280199</v>
      </c>
      <c r="AY70" s="100">
        <v>333.29423503923556</v>
      </c>
      <c r="AZ70" s="100">
        <v>9.2559270516642655</v>
      </c>
      <c r="BA70" s="100">
        <v>4953.7721580507141</v>
      </c>
      <c r="BB70" s="100">
        <v>6.7966996880033728</v>
      </c>
      <c r="BC70" s="100">
        <v>3637.5936730194048</v>
      </c>
      <c r="BD70" s="100">
        <v>8</v>
      </c>
      <c r="BE70" s="100">
        <v>4281.5999999999995</v>
      </c>
      <c r="BF70" s="100">
        <v>6.1674626135394455</v>
      </c>
      <c r="BG70" s="100">
        <v>3300.825990766311</v>
      </c>
      <c r="BH70" s="100">
        <v>8.9787080004863267</v>
      </c>
      <c r="BI70" s="100">
        <v>4805.4045218602814</v>
      </c>
      <c r="BJ70" s="100">
        <v>4.8576479631140401</v>
      </c>
      <c r="BK70" s="100">
        <v>2599.8131898586339</v>
      </c>
      <c r="BL70" s="100">
        <v>5.525514498102023</v>
      </c>
      <c r="BM70" s="100">
        <v>2957.2553593842022</v>
      </c>
      <c r="BN70" s="100">
        <v>6.2348414232637529E-4</v>
      </c>
      <c r="BO70" s="100">
        <v>0.33368871297307601</v>
      </c>
      <c r="BP70" s="100">
        <v>10.000201579699429</v>
      </c>
      <c r="BQ70" s="100">
        <v>5352.1078854551333</v>
      </c>
      <c r="BR70" s="100">
        <v>9</v>
      </c>
      <c r="BS70" s="100">
        <v>4816.7999999999993</v>
      </c>
      <c r="BT70" s="100">
        <v>2.1128942158772754</v>
      </c>
      <c r="BU70" s="100">
        <v>1130.8209843375178</v>
      </c>
      <c r="BV70" s="100">
        <v>3.5285137303124885E-4</v>
      </c>
      <c r="BW70" s="100">
        <v>0.18884605484632436</v>
      </c>
      <c r="BX70" s="100">
        <v>11.000323751131585</v>
      </c>
      <c r="BY70" s="100">
        <v>5887.3732716056238</v>
      </c>
      <c r="BZ70" s="100">
        <v>7</v>
      </c>
      <c r="CA70" s="100">
        <v>3746.3999999999996</v>
      </c>
      <c r="CB70" s="100">
        <v>12</v>
      </c>
      <c r="CC70" s="100">
        <v>6422.4</v>
      </c>
      <c r="CD70" s="100">
        <v>5.4803297672373805</v>
      </c>
      <c r="CE70" s="100">
        <v>2933.0724914254456</v>
      </c>
      <c r="CF70" s="100">
        <v>6.1600608227895419</v>
      </c>
      <c r="CG70" s="100">
        <v>3296.8645523569626</v>
      </c>
      <c r="CH70" s="100">
        <v>6.1608969894345032E-4</v>
      </c>
      <c r="CI70" s="100">
        <v>0.32973120687453455</v>
      </c>
      <c r="CJ70" s="100">
        <v>1.6583004622660338</v>
      </c>
      <c r="CK70" s="100">
        <v>887.52240740478112</v>
      </c>
      <c r="CL70" s="100">
        <v>9.1133629398738911</v>
      </c>
      <c r="CM70" s="100">
        <v>4877.4718454205058</v>
      </c>
      <c r="CN70" s="100">
        <v>7</v>
      </c>
      <c r="CO70" s="100">
        <v>3746.3999999999996</v>
      </c>
      <c r="CP70" s="100">
        <v>2.0715417914391185</v>
      </c>
      <c r="CQ70" s="100">
        <v>1108.6891667782161</v>
      </c>
      <c r="CR70" s="100">
        <v>7.6004628582205003</v>
      </c>
      <c r="CS70" s="100">
        <v>4067.767721719611</v>
      </c>
      <c r="CT70" s="100">
        <v>8.2591866146731086</v>
      </c>
      <c r="CU70" s="100">
        <v>4420.3166761730472</v>
      </c>
    </row>
    <row r="71" spans="2:99">
      <c r="B71" s="99" t="s">
        <v>130</v>
      </c>
      <c r="C71" s="99" t="s">
        <v>237</v>
      </c>
      <c r="D71" s="100">
        <v>4.1271203230836271</v>
      </c>
      <c r="E71" s="100">
        <v>2327.6958622191655</v>
      </c>
      <c r="F71" s="100">
        <v>6.3428508166942361</v>
      </c>
      <c r="G71" s="100">
        <v>3577.367860615549</v>
      </c>
      <c r="H71" s="100">
        <v>6.5223787346669457</v>
      </c>
      <c r="I71" s="100">
        <v>3678.6216063521574</v>
      </c>
      <c r="J71" s="100">
        <v>2.2156534773171166</v>
      </c>
      <c r="K71" s="100">
        <v>1249.6285612068536</v>
      </c>
      <c r="L71" s="100">
        <v>1.9929511432997742</v>
      </c>
      <c r="M71" s="100">
        <v>1124.0244448210726</v>
      </c>
      <c r="N71" s="100">
        <v>7.6872706312310131</v>
      </c>
      <c r="O71" s="100">
        <v>4335.6206360142914</v>
      </c>
      <c r="P71" s="100">
        <v>5</v>
      </c>
      <c r="Q71" s="100">
        <v>2820</v>
      </c>
      <c r="R71" s="100">
        <v>7</v>
      </c>
      <c r="S71" s="100">
        <v>3948</v>
      </c>
      <c r="T71" s="100">
        <v>4</v>
      </c>
      <c r="U71" s="100">
        <v>2256</v>
      </c>
      <c r="V71" s="100">
        <v>5.0675379662073494</v>
      </c>
      <c r="W71" s="100">
        <v>2858.0914129409452</v>
      </c>
      <c r="X71" s="100">
        <v>4.428432782855527</v>
      </c>
      <c r="Y71" s="100">
        <v>2497.6360895305174</v>
      </c>
      <c r="Z71" s="100">
        <v>5</v>
      </c>
      <c r="AA71" s="100">
        <v>2820</v>
      </c>
      <c r="AB71" s="100">
        <v>6</v>
      </c>
      <c r="AC71" s="100">
        <v>3384</v>
      </c>
      <c r="AD71" s="100">
        <v>6.5409318471606355</v>
      </c>
      <c r="AE71" s="100">
        <v>3689.0855617985985</v>
      </c>
      <c r="AF71" s="100">
        <v>8</v>
      </c>
      <c r="AG71" s="100">
        <v>4512</v>
      </c>
      <c r="AH71" s="100">
        <v>2.2490725174648851</v>
      </c>
      <c r="AI71" s="100">
        <v>1268.4768998501952</v>
      </c>
      <c r="AJ71" s="100">
        <v>6.6545862330317096</v>
      </c>
      <c r="AK71" s="100">
        <v>3753.1866354298841</v>
      </c>
      <c r="AL71" s="100">
        <v>4.3261858561835807E-4</v>
      </c>
      <c r="AM71" s="100">
        <v>0.24399688228875396</v>
      </c>
      <c r="AN71" s="100">
        <v>6.3293223527175755</v>
      </c>
      <c r="AO71" s="100">
        <v>3569.7378069327124</v>
      </c>
      <c r="AP71" s="100">
        <v>7.7619411417967186</v>
      </c>
      <c r="AQ71" s="100">
        <v>4377.7348039733497</v>
      </c>
      <c r="AR71" s="100">
        <v>4.0408246983422096</v>
      </c>
      <c r="AS71" s="100">
        <v>2279.0251298650064</v>
      </c>
      <c r="AT71" s="100">
        <v>3.7649951986341192</v>
      </c>
      <c r="AU71" s="100">
        <v>2123.4572920296432</v>
      </c>
      <c r="AV71" s="100">
        <v>4.095613974936076</v>
      </c>
      <c r="AW71" s="100">
        <v>2309.9262818639468</v>
      </c>
      <c r="AX71" s="100">
        <v>6.4341094694358123</v>
      </c>
      <c r="AY71" s="100">
        <v>3628.8377407617982</v>
      </c>
      <c r="AZ71" s="100">
        <v>5.9697933813916935</v>
      </c>
      <c r="BA71" s="100">
        <v>3366.9634671049153</v>
      </c>
      <c r="BB71" s="100">
        <v>6.3739625333396752</v>
      </c>
      <c r="BC71" s="100">
        <v>3594.9148688035766</v>
      </c>
      <c r="BD71" s="100">
        <v>5.8968771966031355</v>
      </c>
      <c r="BE71" s="100">
        <v>3325.8387388841684</v>
      </c>
      <c r="BF71" s="100">
        <v>2.1401299042537811</v>
      </c>
      <c r="BG71" s="100">
        <v>1207.0332659991325</v>
      </c>
      <c r="BH71" s="100">
        <v>9.6996188862501711</v>
      </c>
      <c r="BI71" s="100">
        <v>5470.5850518450961</v>
      </c>
      <c r="BJ71" s="100">
        <v>4.5775435323620792</v>
      </c>
      <c r="BK71" s="100">
        <v>2581.7345522522128</v>
      </c>
      <c r="BL71" s="100">
        <v>7.8188110818895016</v>
      </c>
      <c r="BM71" s="100">
        <v>4409.8094501856785</v>
      </c>
      <c r="BN71" s="100">
        <v>3.4992661587844225</v>
      </c>
      <c r="BO71" s="100">
        <v>1973.5861135544142</v>
      </c>
      <c r="BP71" s="100">
        <v>3.7270290448591483</v>
      </c>
      <c r="BQ71" s="100">
        <v>2102.0443813005595</v>
      </c>
      <c r="BR71" s="100">
        <v>3.9883627873278975</v>
      </c>
      <c r="BS71" s="100">
        <v>2249.4366120529344</v>
      </c>
      <c r="BT71" s="100">
        <v>8.0457479574385289</v>
      </c>
      <c r="BU71" s="100">
        <v>4537.8018479953307</v>
      </c>
      <c r="BV71" s="100">
        <v>4.5717959138167403</v>
      </c>
      <c r="BW71" s="100">
        <v>2578.4928953926415</v>
      </c>
      <c r="BX71" s="100">
        <v>6.0339226438997677</v>
      </c>
      <c r="BY71" s="100">
        <v>3403.1323711594691</v>
      </c>
      <c r="BZ71" s="100">
        <v>5</v>
      </c>
      <c r="CA71" s="100">
        <v>2820</v>
      </c>
      <c r="CB71" s="100">
        <v>7.7639665149580601</v>
      </c>
      <c r="CC71" s="100">
        <v>4378.8771144363463</v>
      </c>
      <c r="CD71" s="100">
        <v>2.4093937891839561</v>
      </c>
      <c r="CE71" s="100">
        <v>1358.8980970997513</v>
      </c>
      <c r="CF71" s="100">
        <v>4.6448101782821718</v>
      </c>
      <c r="CG71" s="100">
        <v>2619.6729405511451</v>
      </c>
      <c r="CH71" s="100">
        <v>5.0158862935384372</v>
      </c>
      <c r="CI71" s="100">
        <v>2828.9598695556788</v>
      </c>
      <c r="CJ71" s="100">
        <v>7</v>
      </c>
      <c r="CK71" s="100">
        <v>3948</v>
      </c>
      <c r="CL71" s="100">
        <v>5.0150909627478786</v>
      </c>
      <c r="CM71" s="100">
        <v>2828.5113029898034</v>
      </c>
      <c r="CN71" s="100">
        <v>6.7000844521534244</v>
      </c>
      <c r="CO71" s="100">
        <v>3778.8476310145315</v>
      </c>
      <c r="CP71" s="100">
        <v>3.5365653523292977</v>
      </c>
      <c r="CQ71" s="100">
        <v>1994.6228587137239</v>
      </c>
      <c r="CR71" s="100">
        <v>8.7636388578141844</v>
      </c>
      <c r="CS71" s="100">
        <v>4942.6923158072004</v>
      </c>
      <c r="CT71" s="100">
        <v>6.8840546048836888</v>
      </c>
      <c r="CU71" s="100">
        <v>3882.6067971544003</v>
      </c>
    </row>
    <row r="72" spans="2:99">
      <c r="C72" s="99" t="s">
        <v>238</v>
      </c>
      <c r="D72" s="100">
        <v>4.1271203230836271</v>
      </c>
      <c r="E72" s="100">
        <v>307.05775203742184</v>
      </c>
      <c r="F72" s="100">
        <v>6.3428508166942361</v>
      </c>
      <c r="G72" s="100">
        <v>471.90810076205111</v>
      </c>
      <c r="H72" s="100">
        <v>5.797669986370618</v>
      </c>
      <c r="I72" s="100">
        <v>431.3466469859739</v>
      </c>
      <c r="J72" s="100">
        <v>2.5321754026481331</v>
      </c>
      <c r="K72" s="100">
        <v>188.39384995702108</v>
      </c>
      <c r="L72" s="100">
        <v>2.3915413719597289</v>
      </c>
      <c r="M72" s="100">
        <v>177.93067807380382</v>
      </c>
      <c r="N72" s="100">
        <v>7.8590882890387661</v>
      </c>
      <c r="O72" s="100">
        <v>584.71616870448418</v>
      </c>
      <c r="P72" s="100">
        <v>6</v>
      </c>
      <c r="Q72" s="100">
        <v>446.4</v>
      </c>
      <c r="R72" s="100">
        <v>8</v>
      </c>
      <c r="S72" s="100">
        <v>595.19999999999993</v>
      </c>
      <c r="T72" s="100">
        <v>4</v>
      </c>
      <c r="U72" s="100">
        <v>297.59999999999997</v>
      </c>
      <c r="V72" s="100">
        <v>5.0675379662073494</v>
      </c>
      <c r="W72" s="100">
        <v>377.02482468582673</v>
      </c>
      <c r="X72" s="100">
        <v>3.7957995281618806</v>
      </c>
      <c r="Y72" s="100">
        <v>282.4074848952439</v>
      </c>
      <c r="Z72" s="100">
        <v>6</v>
      </c>
      <c r="AA72" s="100">
        <v>446.4</v>
      </c>
      <c r="AB72" s="100">
        <v>6</v>
      </c>
      <c r="AC72" s="100">
        <v>446.4</v>
      </c>
      <c r="AD72" s="100">
        <v>5.6065130118519724</v>
      </c>
      <c r="AE72" s="100">
        <v>417.12456808178672</v>
      </c>
      <c r="AF72" s="100">
        <v>8</v>
      </c>
      <c r="AG72" s="100">
        <v>595.19999999999993</v>
      </c>
      <c r="AH72" s="100">
        <v>2.2490725174648851</v>
      </c>
      <c r="AI72" s="100">
        <v>167.33099529938744</v>
      </c>
      <c r="AJ72" s="100">
        <v>6.6545862330317096</v>
      </c>
      <c r="AK72" s="100">
        <v>495.10121573755913</v>
      </c>
      <c r="AL72" s="100">
        <v>5.1914230274202969E-4</v>
      </c>
      <c r="AM72" s="100">
        <v>3.8624187324007006E-2</v>
      </c>
      <c r="AN72" s="100">
        <v>6.3293223527175755</v>
      </c>
      <c r="AO72" s="100">
        <v>470.90158304218755</v>
      </c>
      <c r="AP72" s="100">
        <v>7.6349509514972658</v>
      </c>
      <c r="AQ72" s="100">
        <v>568.04035079139646</v>
      </c>
      <c r="AR72" s="100">
        <v>4.5459277856349853</v>
      </c>
      <c r="AS72" s="100">
        <v>338.21702725124288</v>
      </c>
      <c r="AT72" s="100">
        <v>3.7675469628685896</v>
      </c>
      <c r="AU72" s="100">
        <v>280.30549403742305</v>
      </c>
      <c r="AV72" s="100">
        <v>4.1473999793438141</v>
      </c>
      <c r="AW72" s="100">
        <v>308.56655846317972</v>
      </c>
      <c r="AX72" s="100">
        <v>7.0108586542559381</v>
      </c>
      <c r="AY72" s="100">
        <v>521.60788387664172</v>
      </c>
      <c r="AZ72" s="100">
        <v>6.8976598374766303</v>
      </c>
      <c r="BA72" s="100">
        <v>513.18589190826128</v>
      </c>
      <c r="BB72" s="100">
        <v>6.3739625333396752</v>
      </c>
      <c r="BC72" s="100">
        <v>474.22281248047176</v>
      </c>
      <c r="BD72" s="100">
        <v>5.8968771966031355</v>
      </c>
      <c r="BE72" s="100">
        <v>438.72766342727323</v>
      </c>
      <c r="BF72" s="100">
        <v>2.1401299042537811</v>
      </c>
      <c r="BG72" s="100">
        <v>159.22566487648129</v>
      </c>
      <c r="BH72" s="100">
        <v>9.8745236078127139</v>
      </c>
      <c r="BI72" s="100">
        <v>734.66455642126584</v>
      </c>
      <c r="BJ72" s="100">
        <v>5.8854131130369591</v>
      </c>
      <c r="BK72" s="100">
        <v>437.87473560994971</v>
      </c>
      <c r="BL72" s="100">
        <v>7.8188110818895016</v>
      </c>
      <c r="BM72" s="100">
        <v>581.71954449257885</v>
      </c>
      <c r="BN72" s="100">
        <v>4.1991193905413065</v>
      </c>
      <c r="BO72" s="100">
        <v>312.41448265627315</v>
      </c>
      <c r="BP72" s="100">
        <v>3.7270290448591483</v>
      </c>
      <c r="BQ72" s="100">
        <v>277.29096093752059</v>
      </c>
      <c r="BR72" s="100">
        <v>3.9726695835214443</v>
      </c>
      <c r="BS72" s="100">
        <v>295.56661701399543</v>
      </c>
      <c r="BT72" s="100">
        <v>8.0457479574385289</v>
      </c>
      <c r="BU72" s="100">
        <v>598.60364803342645</v>
      </c>
      <c r="BV72" s="100">
        <v>4.5717959138167403</v>
      </c>
      <c r="BW72" s="100">
        <v>340.14161598796545</v>
      </c>
      <c r="BX72" s="100">
        <v>6.6518875827063857</v>
      </c>
      <c r="BY72" s="100">
        <v>494.90043615335503</v>
      </c>
      <c r="BZ72" s="100">
        <v>5</v>
      </c>
      <c r="CA72" s="100">
        <v>371.99999999999994</v>
      </c>
      <c r="CB72" s="100">
        <v>7.7639665149580601</v>
      </c>
      <c r="CC72" s="100">
        <v>577.63910871287965</v>
      </c>
      <c r="CD72" s="100">
        <v>2.7535929019245211</v>
      </c>
      <c r="CE72" s="100">
        <v>204.86731190318434</v>
      </c>
      <c r="CF72" s="100">
        <v>5.4836076337116291</v>
      </c>
      <c r="CG72" s="100">
        <v>407.98040794814517</v>
      </c>
      <c r="CH72" s="100">
        <v>5.0158862935384372</v>
      </c>
      <c r="CI72" s="100">
        <v>373.18194023925969</v>
      </c>
      <c r="CJ72" s="100">
        <v>7</v>
      </c>
      <c r="CK72" s="100">
        <v>520.79999999999995</v>
      </c>
      <c r="CL72" s="100">
        <v>6.2688637034348478</v>
      </c>
      <c r="CM72" s="100">
        <v>466.4034595355526</v>
      </c>
      <c r="CN72" s="100">
        <v>5.8625738956342452</v>
      </c>
      <c r="CO72" s="100">
        <v>436.1754978351878</v>
      </c>
      <c r="CP72" s="100">
        <v>3.5957977619990995</v>
      </c>
      <c r="CQ72" s="100">
        <v>267.52735349273297</v>
      </c>
      <c r="CR72" s="100">
        <v>9.6109110862513472</v>
      </c>
      <c r="CS72" s="100">
        <v>715.05178481710016</v>
      </c>
      <c r="CT72" s="100">
        <v>6.1956491443953201</v>
      </c>
      <c r="CU72" s="100">
        <v>460.95629634301179</v>
      </c>
    </row>
    <row r="73" spans="2:99">
      <c r="C73" s="99" t="s">
        <v>239</v>
      </c>
      <c r="D73" s="100">
        <v>4.1271203230836271</v>
      </c>
      <c r="E73" s="100">
        <v>2307.8856846683639</v>
      </c>
      <c r="F73" s="100">
        <v>5.4367292714522018</v>
      </c>
      <c r="G73" s="100">
        <v>3040.219008596071</v>
      </c>
      <c r="H73" s="100">
        <v>5.797669986370618</v>
      </c>
      <c r="I73" s="100">
        <v>3242.057056378449</v>
      </c>
      <c r="J73" s="100">
        <v>2.5321754026481331</v>
      </c>
      <c r="K73" s="100">
        <v>1415.9924851608359</v>
      </c>
      <c r="L73" s="100">
        <v>1.9929511432997742</v>
      </c>
      <c r="M73" s="100">
        <v>1114.4582793332336</v>
      </c>
      <c r="N73" s="100">
        <v>7.8590882890387661</v>
      </c>
      <c r="O73" s="100">
        <v>4394.8021712304771</v>
      </c>
      <c r="P73" s="100">
        <v>5</v>
      </c>
      <c r="Q73" s="100">
        <v>2795.9999999999995</v>
      </c>
      <c r="R73" s="100">
        <v>7</v>
      </c>
      <c r="S73" s="100">
        <v>3914.3999999999996</v>
      </c>
      <c r="T73" s="100">
        <v>5</v>
      </c>
      <c r="U73" s="100">
        <v>2795.9999999999995</v>
      </c>
      <c r="V73" s="100">
        <v>4.2229483051727916</v>
      </c>
      <c r="W73" s="100">
        <v>2361.4726922526247</v>
      </c>
      <c r="X73" s="100">
        <v>3.7957995281618806</v>
      </c>
      <c r="Y73" s="100">
        <v>2122.6110961481236</v>
      </c>
      <c r="Z73" s="100">
        <v>5</v>
      </c>
      <c r="AA73" s="100">
        <v>2795.9999999999995</v>
      </c>
      <c r="AB73" s="100">
        <v>7</v>
      </c>
      <c r="AC73" s="100">
        <v>3914.3999999999996</v>
      </c>
      <c r="AD73" s="100">
        <v>5.6065130118519724</v>
      </c>
      <c r="AE73" s="100">
        <v>3135.1620762276225</v>
      </c>
      <c r="AF73" s="100">
        <v>8</v>
      </c>
      <c r="AG73" s="100">
        <v>4473.5999999999995</v>
      </c>
      <c r="AH73" s="100">
        <v>2.4139160191796276</v>
      </c>
      <c r="AI73" s="100">
        <v>1349.8618379252475</v>
      </c>
      <c r="AJ73" s="100">
        <v>5.6793542410883369</v>
      </c>
      <c r="AK73" s="100">
        <v>3175.8948916165978</v>
      </c>
      <c r="AL73" s="100">
        <v>4.3261858561835807E-4</v>
      </c>
      <c r="AM73" s="100">
        <v>0.2419203130777858</v>
      </c>
      <c r="AN73" s="100">
        <v>6.3293223527175755</v>
      </c>
      <c r="AO73" s="100">
        <v>3539.3570596396676</v>
      </c>
      <c r="AP73" s="100">
        <v>7.7619411417967186</v>
      </c>
      <c r="AQ73" s="100">
        <v>4340.4774864927249</v>
      </c>
      <c r="AR73" s="100">
        <v>3.5357216110494334</v>
      </c>
      <c r="AS73" s="100">
        <v>1977.1755248988429</v>
      </c>
      <c r="AT73" s="100">
        <v>3.6752942143090879</v>
      </c>
      <c r="AU73" s="100">
        <v>2055.2245246416419</v>
      </c>
      <c r="AV73" s="100">
        <v>3.5476222658495269</v>
      </c>
      <c r="AW73" s="100">
        <v>1983.8303710630553</v>
      </c>
      <c r="AX73" s="100">
        <v>6.424385032622542</v>
      </c>
      <c r="AY73" s="100">
        <v>3592.516110242525</v>
      </c>
      <c r="AZ73" s="100">
        <v>5.9697933813916935</v>
      </c>
      <c r="BA73" s="100">
        <v>3338.3084588742345</v>
      </c>
      <c r="BB73" s="100">
        <v>6.3739625333396752</v>
      </c>
      <c r="BC73" s="100">
        <v>3564.3198486435458</v>
      </c>
      <c r="BD73" s="100">
        <v>5.8968771966031355</v>
      </c>
      <c r="BE73" s="100">
        <v>3297.5337283404729</v>
      </c>
      <c r="BF73" s="100">
        <v>2.1401299042537811</v>
      </c>
      <c r="BG73" s="100">
        <v>1196.7606424587143</v>
      </c>
      <c r="BH73" s="100">
        <v>10.874523607812714</v>
      </c>
      <c r="BI73" s="100">
        <v>6081.033601488869</v>
      </c>
      <c r="BJ73" s="100">
        <v>4.5775435323620792</v>
      </c>
      <c r="BK73" s="100">
        <v>2559.7623432968744</v>
      </c>
      <c r="BL73" s="100">
        <v>7.8188110818895016</v>
      </c>
      <c r="BM73" s="100">
        <v>4372.2791569926085</v>
      </c>
      <c r="BN73" s="100">
        <v>3.4992661587844225</v>
      </c>
      <c r="BO73" s="100">
        <v>1956.7896359922488</v>
      </c>
      <c r="BP73" s="100">
        <v>3.7270290448591483</v>
      </c>
      <c r="BQ73" s="100">
        <v>2084.1546418852354</v>
      </c>
      <c r="BR73" s="100">
        <v>3.9726695835214443</v>
      </c>
      <c r="BS73" s="100">
        <v>2221.5168311051912</v>
      </c>
      <c r="BT73" s="100">
        <v>7.9066227686335564</v>
      </c>
      <c r="BU73" s="100">
        <v>4421.383452219884</v>
      </c>
      <c r="BV73" s="100">
        <v>3.6574367310533922</v>
      </c>
      <c r="BW73" s="100">
        <v>2045.2386200050566</v>
      </c>
      <c r="BX73" s="100">
        <v>5.9025250998802719</v>
      </c>
      <c r="BY73" s="100">
        <v>3300.6920358530474</v>
      </c>
      <c r="BZ73" s="100">
        <v>5</v>
      </c>
      <c r="CA73" s="100">
        <v>2795.9999999999995</v>
      </c>
      <c r="CB73" s="100">
        <v>6.7639665149580601</v>
      </c>
      <c r="CC73" s="100">
        <v>3782.4100751645469</v>
      </c>
      <c r="CD73" s="100">
        <v>2.7535929019245211</v>
      </c>
      <c r="CE73" s="100">
        <v>1539.8091507561919</v>
      </c>
      <c r="CF73" s="100">
        <v>5.6448101782821718</v>
      </c>
      <c r="CG73" s="100">
        <v>3156.5778516953901</v>
      </c>
      <c r="CH73" s="100">
        <v>5.0158862935384372</v>
      </c>
      <c r="CI73" s="100">
        <v>2804.8836153466937</v>
      </c>
      <c r="CJ73" s="100">
        <v>8</v>
      </c>
      <c r="CK73" s="100">
        <v>4473.5999999999995</v>
      </c>
      <c r="CL73" s="100">
        <v>5.0150909627478786</v>
      </c>
      <c r="CM73" s="100">
        <v>2804.4388663686132</v>
      </c>
      <c r="CN73" s="100">
        <v>5.8625738956342452</v>
      </c>
      <c r="CO73" s="100">
        <v>3278.3513224386697</v>
      </c>
      <c r="CP73" s="100">
        <v>3.5300726806315819</v>
      </c>
      <c r="CQ73" s="100">
        <v>1974.0166430091804</v>
      </c>
      <c r="CR73" s="100">
        <v>7.6109110862513472</v>
      </c>
      <c r="CS73" s="100">
        <v>4256.0214794317526</v>
      </c>
      <c r="CT73" s="100">
        <v>6.1956491443953201</v>
      </c>
      <c r="CU73" s="100">
        <v>3464.6070015458627</v>
      </c>
    </row>
    <row r="74" spans="2:99">
      <c r="C74" s="99" t="s">
        <v>240</v>
      </c>
      <c r="D74" s="100">
        <v>4.1271203230836271</v>
      </c>
      <c r="E74" s="100">
        <v>1664.0549142673183</v>
      </c>
      <c r="F74" s="100">
        <v>5.4367292714522018</v>
      </c>
      <c r="G74" s="100">
        <v>2192.0892422495276</v>
      </c>
      <c r="H74" s="100">
        <v>5.0729612380742912</v>
      </c>
      <c r="I74" s="100">
        <v>2045.4179711915542</v>
      </c>
      <c r="J74" s="100">
        <v>2.2156534773171166</v>
      </c>
      <c r="K74" s="100">
        <v>893.3514820542614</v>
      </c>
      <c r="L74" s="100">
        <v>2.3915413719597289</v>
      </c>
      <c r="M74" s="100">
        <v>964.26948117416271</v>
      </c>
      <c r="N74" s="100">
        <v>7.6872706312310131</v>
      </c>
      <c r="O74" s="100">
        <v>3099.5075185123442</v>
      </c>
      <c r="P74" s="100">
        <v>5</v>
      </c>
      <c r="Q74" s="100">
        <v>2016</v>
      </c>
      <c r="R74" s="100">
        <v>7</v>
      </c>
      <c r="S74" s="100">
        <v>2822.4</v>
      </c>
      <c r="T74" s="100">
        <v>5</v>
      </c>
      <c r="U74" s="100">
        <v>2016</v>
      </c>
      <c r="V74" s="100">
        <v>5.0675379662073494</v>
      </c>
      <c r="W74" s="100">
        <v>2043.2313079748033</v>
      </c>
      <c r="X74" s="100">
        <v>4.428432782855527</v>
      </c>
      <c r="Y74" s="100">
        <v>1785.5440980473484</v>
      </c>
      <c r="Z74" s="100">
        <v>5</v>
      </c>
      <c r="AA74" s="100">
        <v>2016</v>
      </c>
      <c r="AB74" s="100">
        <v>6</v>
      </c>
      <c r="AC74" s="100">
        <v>2419.1999999999998</v>
      </c>
      <c r="AD74" s="100">
        <v>5.6065130118519724</v>
      </c>
      <c r="AE74" s="100">
        <v>2260.5460463787153</v>
      </c>
      <c r="AF74" s="100">
        <v>8</v>
      </c>
      <c r="AG74" s="100">
        <v>3225.6</v>
      </c>
      <c r="AH74" s="100">
        <v>2.0926199452560725</v>
      </c>
      <c r="AI74" s="100">
        <v>843.74436192724841</v>
      </c>
      <c r="AJ74" s="100">
        <v>5.7653730963742875</v>
      </c>
      <c r="AK74" s="100">
        <v>2324.5984324581127</v>
      </c>
      <c r="AL74" s="100">
        <v>4.3261858561835807E-4</v>
      </c>
      <c r="AM74" s="100">
        <v>0.17443181372132197</v>
      </c>
      <c r="AN74" s="100">
        <v>5.4251098263938156</v>
      </c>
      <c r="AO74" s="100">
        <v>2187.4042820019863</v>
      </c>
      <c r="AP74" s="100">
        <v>7.7619411417967186</v>
      </c>
      <c r="AQ74" s="100">
        <v>3129.6146683724369</v>
      </c>
      <c r="AR74" s="100">
        <v>4.0408246983422096</v>
      </c>
      <c r="AS74" s="100">
        <v>1629.2605183715789</v>
      </c>
      <c r="AT74" s="100">
        <v>3.7649951986341192</v>
      </c>
      <c r="AU74" s="100">
        <v>1518.0460640892768</v>
      </c>
      <c r="AV74" s="100">
        <v>3.6341796029596058</v>
      </c>
      <c r="AW74" s="100">
        <v>1465.3012159133129</v>
      </c>
      <c r="AX74" s="100">
        <v>6.3362217681670057</v>
      </c>
      <c r="AY74" s="100">
        <v>2554.7646169249365</v>
      </c>
      <c r="AZ74" s="100">
        <v>5.9697933813916935</v>
      </c>
      <c r="BA74" s="100">
        <v>2407.0206913771308</v>
      </c>
      <c r="BB74" s="100">
        <v>6.2829375215436718</v>
      </c>
      <c r="BC74" s="100">
        <v>2533.2804086864085</v>
      </c>
      <c r="BD74" s="100">
        <v>6.8796900627036583</v>
      </c>
      <c r="BE74" s="100">
        <v>2773.8910332821151</v>
      </c>
      <c r="BF74" s="100">
        <v>2.0024524935617514</v>
      </c>
      <c r="BG74" s="100">
        <v>807.38884540409811</v>
      </c>
      <c r="BH74" s="100">
        <v>10.699618886250171</v>
      </c>
      <c r="BI74" s="100">
        <v>4314.0863349360689</v>
      </c>
      <c r="BJ74" s="100">
        <v>4.5775435323620792</v>
      </c>
      <c r="BK74" s="100">
        <v>1845.6655522483902</v>
      </c>
      <c r="BL74" s="100">
        <v>7.8188110818895016</v>
      </c>
      <c r="BM74" s="100">
        <v>3152.5446282178468</v>
      </c>
      <c r="BN74" s="100">
        <v>3.4992661587844225</v>
      </c>
      <c r="BO74" s="100">
        <v>1410.904115221879</v>
      </c>
      <c r="BP74" s="100">
        <v>3.7270290448591483</v>
      </c>
      <c r="BQ74" s="100">
        <v>1502.7381108872084</v>
      </c>
      <c r="BR74" s="100">
        <v>3.5289236210532948</v>
      </c>
      <c r="BS74" s="100">
        <v>1422.8620040086885</v>
      </c>
      <c r="BT74" s="100">
        <v>8.0457479574385289</v>
      </c>
      <c r="BU74" s="100">
        <v>3244.0455764392145</v>
      </c>
      <c r="BV74" s="100">
        <v>4.1146163224350669</v>
      </c>
      <c r="BW74" s="100">
        <v>1659.0133012058188</v>
      </c>
      <c r="BX74" s="100">
        <v>6.6518875827063857</v>
      </c>
      <c r="BY74" s="100">
        <v>2682.0410733472145</v>
      </c>
      <c r="BZ74" s="100">
        <v>6</v>
      </c>
      <c r="CA74" s="100">
        <v>2419.1999999999998</v>
      </c>
      <c r="CB74" s="100">
        <v>7.7639665149580601</v>
      </c>
      <c r="CC74" s="100">
        <v>3130.4312988310899</v>
      </c>
      <c r="CD74" s="100">
        <v>2.7535929019245211</v>
      </c>
      <c r="CE74" s="100">
        <v>1110.2486580559669</v>
      </c>
      <c r="CF74" s="100">
        <v>5.4836076337116291</v>
      </c>
      <c r="CG74" s="100">
        <v>2210.9905979125288</v>
      </c>
      <c r="CH74" s="100">
        <v>5.7324414783296431</v>
      </c>
      <c r="CI74" s="100">
        <v>2311.3204040625119</v>
      </c>
      <c r="CJ74" s="100">
        <v>7</v>
      </c>
      <c r="CK74" s="100">
        <v>2822.4</v>
      </c>
      <c r="CL74" s="100">
        <v>5.6419773330913632</v>
      </c>
      <c r="CM74" s="100">
        <v>2274.8452607024374</v>
      </c>
      <c r="CN74" s="100">
        <v>5.8625738956342452</v>
      </c>
      <c r="CO74" s="100">
        <v>2363.7897947197275</v>
      </c>
      <c r="CP74" s="100">
        <v>3.5268263447827239</v>
      </c>
      <c r="CQ74" s="100">
        <v>1422.0163822163943</v>
      </c>
      <c r="CR74" s="100">
        <v>8.6109110862513472</v>
      </c>
      <c r="CS74" s="100">
        <v>3471.9193499765429</v>
      </c>
      <c r="CT74" s="100">
        <v>6.8840546048836888</v>
      </c>
      <c r="CU74" s="100">
        <v>2775.6508166891031</v>
      </c>
    </row>
    <row r="75" spans="2:99">
      <c r="C75" s="99" t="s">
        <v>241</v>
      </c>
      <c r="D75" s="100">
        <v>4.7167089406670026</v>
      </c>
      <c r="E75" s="100">
        <v>3033.7871906370156</v>
      </c>
      <c r="F75" s="100">
        <v>6.3428508166942361</v>
      </c>
      <c r="G75" s="100">
        <v>4079.7216452977323</v>
      </c>
      <c r="H75" s="100">
        <v>5.797669986370618</v>
      </c>
      <c r="I75" s="100">
        <v>3729.0613352335813</v>
      </c>
      <c r="J75" s="100">
        <v>2.2156534773171166</v>
      </c>
      <c r="K75" s="100">
        <v>1425.1083166103692</v>
      </c>
      <c r="L75" s="100">
        <v>1.9929511432997742</v>
      </c>
      <c r="M75" s="100">
        <v>1281.8661753704146</v>
      </c>
      <c r="N75" s="100">
        <v>7.6872706312310131</v>
      </c>
      <c r="O75" s="100">
        <v>4944.4524700077873</v>
      </c>
      <c r="P75" s="100">
        <v>5</v>
      </c>
      <c r="Q75" s="100">
        <v>3215.9999999999995</v>
      </c>
      <c r="R75" s="100">
        <v>7</v>
      </c>
      <c r="S75" s="100">
        <v>4502.3999999999996</v>
      </c>
      <c r="T75" s="100">
        <v>4</v>
      </c>
      <c r="U75" s="100">
        <v>2572.7999999999997</v>
      </c>
      <c r="V75" s="100">
        <v>4.2229483051727916</v>
      </c>
      <c r="W75" s="100">
        <v>2716.2003498871395</v>
      </c>
      <c r="X75" s="100">
        <v>3.7957995281618806</v>
      </c>
      <c r="Y75" s="100">
        <v>2441.4582565137212</v>
      </c>
      <c r="Z75" s="100">
        <v>5</v>
      </c>
      <c r="AA75" s="100">
        <v>3215.9999999999995</v>
      </c>
      <c r="AB75" s="100">
        <v>6</v>
      </c>
      <c r="AC75" s="100">
        <v>3859.2</v>
      </c>
      <c r="AD75" s="100">
        <v>5.6065130118519724</v>
      </c>
      <c r="AE75" s="100">
        <v>3606.1091692231885</v>
      </c>
      <c r="AF75" s="100">
        <v>8</v>
      </c>
      <c r="AG75" s="100">
        <v>5145.5999999999995</v>
      </c>
      <c r="AH75" s="100">
        <v>2.2490725174648851</v>
      </c>
      <c r="AI75" s="100">
        <v>1446.6034432334141</v>
      </c>
      <c r="AJ75" s="100">
        <v>6.6545862330317096</v>
      </c>
      <c r="AK75" s="100">
        <v>4280.2298650859948</v>
      </c>
      <c r="AL75" s="100">
        <v>4.3261858561835807E-4</v>
      </c>
      <c r="AM75" s="100">
        <v>0.27826027426972788</v>
      </c>
      <c r="AN75" s="100">
        <v>6.3293223527175755</v>
      </c>
      <c r="AO75" s="100">
        <v>4071.0201372679439</v>
      </c>
      <c r="AP75" s="100">
        <v>7.7619411417967186</v>
      </c>
      <c r="AQ75" s="100">
        <v>4992.4805424036485</v>
      </c>
      <c r="AR75" s="100">
        <v>4.0408246983422096</v>
      </c>
      <c r="AS75" s="100">
        <v>2599.0584459737088</v>
      </c>
      <c r="AT75" s="100">
        <v>3.7675469628685896</v>
      </c>
      <c r="AU75" s="100">
        <v>2423.2862065170766</v>
      </c>
      <c r="AV75" s="100">
        <v>3.6341796029596058</v>
      </c>
      <c r="AW75" s="100">
        <v>2337.5043206236182</v>
      </c>
      <c r="AX75" s="100">
        <v>6.3362217681670057</v>
      </c>
      <c r="AY75" s="100">
        <v>4075.4578412850178</v>
      </c>
      <c r="AZ75" s="100">
        <v>5.9697933813916935</v>
      </c>
      <c r="BA75" s="100">
        <v>3839.7711029111369</v>
      </c>
      <c r="BB75" s="100">
        <v>6.3739625333396752</v>
      </c>
      <c r="BC75" s="100">
        <v>4099.7327014440789</v>
      </c>
      <c r="BD75" s="100">
        <v>5.8968771966031355</v>
      </c>
      <c r="BE75" s="100">
        <v>3792.8714128551364</v>
      </c>
      <c r="BF75" s="100">
        <v>2.2249472150686125</v>
      </c>
      <c r="BG75" s="100">
        <v>1431.0860487321313</v>
      </c>
      <c r="BH75" s="100">
        <v>9.8745236078127139</v>
      </c>
      <c r="BI75" s="100">
        <v>6351.2935845451366</v>
      </c>
      <c r="BJ75" s="100">
        <v>5.8854131130369591</v>
      </c>
      <c r="BK75" s="100">
        <v>3785.4977143053716</v>
      </c>
      <c r="BL75" s="100">
        <v>6.8414596966533141</v>
      </c>
      <c r="BM75" s="100">
        <v>4400.4268768874108</v>
      </c>
      <c r="BN75" s="100">
        <v>3.4992661587844225</v>
      </c>
      <c r="BO75" s="100">
        <v>2250.7279933301402</v>
      </c>
      <c r="BP75" s="100">
        <v>4.1411433831768312</v>
      </c>
      <c r="BQ75" s="100">
        <v>2663.5834240593376</v>
      </c>
      <c r="BR75" s="100">
        <v>3.990106476639725</v>
      </c>
      <c r="BS75" s="100">
        <v>2566.4364857746709</v>
      </c>
      <c r="BT75" s="100">
        <v>8.723302992346186</v>
      </c>
      <c r="BU75" s="100">
        <v>5610.8284846770666</v>
      </c>
      <c r="BV75" s="100">
        <v>3.6574367310533922</v>
      </c>
      <c r="BW75" s="100">
        <v>2352.4633054135415</v>
      </c>
      <c r="BX75" s="100">
        <v>5.9025250998802719</v>
      </c>
      <c r="BY75" s="100">
        <v>3796.5041442429906</v>
      </c>
      <c r="BZ75" s="100">
        <v>5</v>
      </c>
      <c r="CA75" s="100">
        <v>3215.9999999999995</v>
      </c>
      <c r="CB75" s="100">
        <v>7.7639665149580601</v>
      </c>
      <c r="CC75" s="100">
        <v>4993.7832624210241</v>
      </c>
      <c r="CD75" s="100">
        <v>2.4093937891839561</v>
      </c>
      <c r="CE75" s="100">
        <v>1549.7220852031203</v>
      </c>
      <c r="CF75" s="100">
        <v>4.4836076337116291</v>
      </c>
      <c r="CG75" s="100">
        <v>2883.8564300033195</v>
      </c>
      <c r="CH75" s="100">
        <v>5.7324414783296431</v>
      </c>
      <c r="CI75" s="100">
        <v>3687.1063588616262</v>
      </c>
      <c r="CJ75" s="100">
        <v>8</v>
      </c>
      <c r="CK75" s="100">
        <v>5145.5999999999995</v>
      </c>
      <c r="CL75" s="100">
        <v>5.6419773330913632</v>
      </c>
      <c r="CM75" s="100">
        <v>3628.9198206443643</v>
      </c>
      <c r="CN75" s="100">
        <v>5.0250633391150679</v>
      </c>
      <c r="CO75" s="100">
        <v>3232.1207397188114</v>
      </c>
      <c r="CP75" s="100">
        <v>3.5365653523292977</v>
      </c>
      <c r="CQ75" s="100">
        <v>2274.7188346182043</v>
      </c>
      <c r="CR75" s="100">
        <v>7.6109110862513472</v>
      </c>
      <c r="CS75" s="100">
        <v>4895.3380106768664</v>
      </c>
      <c r="CT75" s="100">
        <v>6.8840546048836888</v>
      </c>
      <c r="CU75" s="100">
        <v>4427.823921861188</v>
      </c>
    </row>
    <row r="76" spans="2:99">
      <c r="C76" s="99" t="s">
        <v>242</v>
      </c>
      <c r="D76" s="100">
        <v>4.1271203230836271</v>
      </c>
      <c r="E76" s="100">
        <v>3214.2013076175285</v>
      </c>
      <c r="F76" s="100">
        <v>5.4367292714522018</v>
      </c>
      <c r="G76" s="100">
        <v>4234.1247566069742</v>
      </c>
      <c r="H76" s="100">
        <v>5.797669986370618</v>
      </c>
      <c r="I76" s="100">
        <v>4515.2253853854372</v>
      </c>
      <c r="J76" s="100">
        <v>2.2156534773171166</v>
      </c>
      <c r="K76" s="100">
        <v>1725.5509281345703</v>
      </c>
      <c r="L76" s="100">
        <v>1.9929511432997742</v>
      </c>
      <c r="M76" s="100">
        <v>1552.110350401864</v>
      </c>
      <c r="N76" s="100">
        <v>6.8590882890387661</v>
      </c>
      <c r="O76" s="100">
        <v>5341.8579595033907</v>
      </c>
      <c r="P76" s="100">
        <v>5</v>
      </c>
      <c r="Q76" s="100">
        <v>3894</v>
      </c>
      <c r="R76" s="100">
        <v>8</v>
      </c>
      <c r="S76" s="100">
        <v>6230.4</v>
      </c>
      <c r="T76" s="100">
        <v>4</v>
      </c>
      <c r="U76" s="100">
        <v>3115.2</v>
      </c>
      <c r="V76" s="100">
        <v>5.0675379662073494</v>
      </c>
      <c r="W76" s="100">
        <v>3946.5985680822837</v>
      </c>
      <c r="X76" s="100">
        <v>3.7957995281618806</v>
      </c>
      <c r="Y76" s="100">
        <v>2956.1686725324726</v>
      </c>
      <c r="Z76" s="100">
        <v>5</v>
      </c>
      <c r="AA76" s="100">
        <v>3894</v>
      </c>
      <c r="AB76" s="100">
        <v>6</v>
      </c>
      <c r="AC76" s="100">
        <v>4672.7999999999993</v>
      </c>
      <c r="AD76" s="100">
        <v>5.6065130118519724</v>
      </c>
      <c r="AE76" s="100">
        <v>4366.352333630316</v>
      </c>
      <c r="AF76" s="100">
        <v>8</v>
      </c>
      <c r="AG76" s="100">
        <v>6230.4</v>
      </c>
      <c r="AH76" s="100">
        <v>2.3989302462964694</v>
      </c>
      <c r="AI76" s="100">
        <v>1868.2868758156903</v>
      </c>
      <c r="AJ76" s="100">
        <v>5.7653730963742875</v>
      </c>
      <c r="AK76" s="100">
        <v>4490.0725674562946</v>
      </c>
      <c r="AL76" s="100">
        <v>4.3261858561835807E-4</v>
      </c>
      <c r="AM76" s="100">
        <v>0.33692335447957722</v>
      </c>
      <c r="AN76" s="100">
        <v>5.4251649369100639</v>
      </c>
      <c r="AO76" s="100">
        <v>4225.1184528655576</v>
      </c>
      <c r="AP76" s="100">
        <v>6.7619411417967186</v>
      </c>
      <c r="AQ76" s="100">
        <v>5266.1997612312844</v>
      </c>
      <c r="AR76" s="100">
        <v>3.5357216110494334</v>
      </c>
      <c r="AS76" s="100">
        <v>2753.6199906852985</v>
      </c>
      <c r="AT76" s="100">
        <v>3.7675469628685896</v>
      </c>
      <c r="AU76" s="100">
        <v>2934.1655746820575</v>
      </c>
      <c r="AV76" s="100">
        <v>3.690281107734656</v>
      </c>
      <c r="AW76" s="100">
        <v>2873.9909267037501</v>
      </c>
      <c r="AX76" s="100">
        <v>6.3362217681670057</v>
      </c>
      <c r="AY76" s="100">
        <v>4934.6495130484636</v>
      </c>
      <c r="AZ76" s="100">
        <v>5.9697933813916935</v>
      </c>
      <c r="BA76" s="100">
        <v>4649.2750854278502</v>
      </c>
      <c r="BB76" s="100">
        <v>6.2829375215436718</v>
      </c>
      <c r="BC76" s="100">
        <v>4893.1517417782115</v>
      </c>
      <c r="BD76" s="100">
        <v>5.8968771966031355</v>
      </c>
      <c r="BE76" s="100">
        <v>4592.4879607145213</v>
      </c>
      <c r="BF76" s="100">
        <v>2.0024524935617514</v>
      </c>
      <c r="BG76" s="100">
        <v>1559.5100019858919</v>
      </c>
      <c r="BH76" s="100">
        <v>9.8745236078127139</v>
      </c>
      <c r="BI76" s="100">
        <v>7690.2789857645412</v>
      </c>
      <c r="BJ76" s="100">
        <v>5.2314783226995196</v>
      </c>
      <c r="BK76" s="100">
        <v>4074.2753177183858</v>
      </c>
      <c r="BL76" s="100">
        <v>7.8188110818895016</v>
      </c>
      <c r="BM76" s="100">
        <v>6089.2900705755437</v>
      </c>
      <c r="BN76" s="100">
        <v>3.4992661587844225</v>
      </c>
      <c r="BO76" s="100">
        <v>2725.2284844613082</v>
      </c>
      <c r="BP76" s="100">
        <v>4.1411433831768312</v>
      </c>
      <c r="BQ76" s="100">
        <v>3225.1224668181158</v>
      </c>
      <c r="BR76" s="100">
        <v>3.5694943492907893</v>
      </c>
      <c r="BS76" s="100">
        <v>2779.9221992276666</v>
      </c>
      <c r="BT76" s="100">
        <v>8.8624281811511576</v>
      </c>
      <c r="BU76" s="100">
        <v>6902.0590674805208</v>
      </c>
      <c r="BV76" s="100">
        <v>3.6574367310533922</v>
      </c>
      <c r="BW76" s="100">
        <v>2848.4117261443816</v>
      </c>
      <c r="BX76" s="100">
        <v>5.1531626170541589</v>
      </c>
      <c r="BY76" s="100">
        <v>4013.2830461617787</v>
      </c>
      <c r="BZ76" s="100">
        <v>5</v>
      </c>
      <c r="CA76" s="100">
        <v>3894</v>
      </c>
      <c r="CB76" s="100">
        <v>7.7639665149580601</v>
      </c>
      <c r="CC76" s="100">
        <v>6046.5771218493364</v>
      </c>
      <c r="CD76" s="100">
        <v>2.7535929019245211</v>
      </c>
      <c r="CE76" s="100">
        <v>2144.4981520188171</v>
      </c>
      <c r="CF76" s="100">
        <v>5.4836076337116291</v>
      </c>
      <c r="CG76" s="100">
        <v>4270.6336251346165</v>
      </c>
      <c r="CH76" s="100">
        <v>5.7324414783296431</v>
      </c>
      <c r="CI76" s="100">
        <v>4464.4254233231259</v>
      </c>
      <c r="CJ76" s="100">
        <v>7</v>
      </c>
      <c r="CK76" s="100">
        <v>5451.5999999999995</v>
      </c>
      <c r="CL76" s="100">
        <v>5.6419773330913632</v>
      </c>
      <c r="CM76" s="100">
        <v>4393.9719470115533</v>
      </c>
      <c r="CN76" s="100">
        <v>5.8625738956342452</v>
      </c>
      <c r="CO76" s="100">
        <v>4565.7725499199496</v>
      </c>
      <c r="CP76" s="100">
        <v>3.4846239787475715</v>
      </c>
      <c r="CQ76" s="100">
        <v>2713.8251546486085</v>
      </c>
      <c r="CR76" s="100">
        <v>8.6109110862513472</v>
      </c>
      <c r="CS76" s="100">
        <v>6706.1775539725486</v>
      </c>
      <c r="CT76" s="100">
        <v>6.1956491443953201</v>
      </c>
      <c r="CU76" s="100">
        <v>4825.1715536550746</v>
      </c>
    </row>
    <row r="77" spans="2:99">
      <c r="C77" s="99" t="s">
        <v>243</v>
      </c>
      <c r="D77" s="100">
        <v>4.1271203230836271</v>
      </c>
      <c r="E77" s="100">
        <v>1148.9902979464816</v>
      </c>
      <c r="F77" s="100">
        <v>5.4367292714522018</v>
      </c>
      <c r="G77" s="100">
        <v>1513.5854291722928</v>
      </c>
      <c r="H77" s="100">
        <v>5.797669986370618</v>
      </c>
      <c r="I77" s="100">
        <v>1614.0713242055799</v>
      </c>
      <c r="J77" s="100">
        <v>2.5321754026481331</v>
      </c>
      <c r="K77" s="100">
        <v>704.95763209724021</v>
      </c>
      <c r="L77" s="100">
        <v>1.9929511432997742</v>
      </c>
      <c r="M77" s="100">
        <v>554.83759829465714</v>
      </c>
      <c r="N77" s="100">
        <v>7.8590882890387661</v>
      </c>
      <c r="O77" s="100">
        <v>2187.9701796683921</v>
      </c>
      <c r="P77" s="100">
        <v>5</v>
      </c>
      <c r="Q77" s="100">
        <v>1392</v>
      </c>
      <c r="R77" s="100">
        <v>8</v>
      </c>
      <c r="S77" s="100">
        <v>2227.1999999999998</v>
      </c>
      <c r="T77" s="100">
        <v>5</v>
      </c>
      <c r="U77" s="100">
        <v>1392</v>
      </c>
      <c r="V77" s="100">
        <v>5.0675379662073494</v>
      </c>
      <c r="W77" s="100">
        <v>1410.802569792126</v>
      </c>
      <c r="X77" s="100">
        <v>3.7957995281618806</v>
      </c>
      <c r="Y77" s="100">
        <v>1056.7505886402676</v>
      </c>
      <c r="Z77" s="100">
        <v>5</v>
      </c>
      <c r="AA77" s="100">
        <v>1392</v>
      </c>
      <c r="AB77" s="100">
        <v>6</v>
      </c>
      <c r="AC77" s="100">
        <v>1670.3999999999999</v>
      </c>
      <c r="AD77" s="100">
        <v>5.6065130118519724</v>
      </c>
      <c r="AE77" s="100">
        <v>1560.853222499589</v>
      </c>
      <c r="AF77" s="100">
        <v>8</v>
      </c>
      <c r="AG77" s="100">
        <v>2227.1999999999998</v>
      </c>
      <c r="AH77" s="100">
        <v>2.2490725174648851</v>
      </c>
      <c r="AI77" s="100">
        <v>626.14178886222396</v>
      </c>
      <c r="AJ77" s="100">
        <v>5.7653730963742875</v>
      </c>
      <c r="AK77" s="100">
        <v>1605.0798700306016</v>
      </c>
      <c r="AL77" s="100">
        <v>4.3261858561835807E-4</v>
      </c>
      <c r="AM77" s="100">
        <v>0.12044101423615088</v>
      </c>
      <c r="AN77" s="100">
        <v>6.3293223527175755</v>
      </c>
      <c r="AO77" s="100">
        <v>1762.0833429965728</v>
      </c>
      <c r="AP77" s="100">
        <v>7.7619411417967186</v>
      </c>
      <c r="AQ77" s="100">
        <v>2160.9244138762065</v>
      </c>
      <c r="AR77" s="100">
        <v>4.0408246983422096</v>
      </c>
      <c r="AS77" s="100">
        <v>1124.9655960184712</v>
      </c>
      <c r="AT77" s="100">
        <v>3.857247947193621</v>
      </c>
      <c r="AU77" s="100">
        <v>1073.8578284987041</v>
      </c>
      <c r="AV77" s="100">
        <v>3.6341796029596058</v>
      </c>
      <c r="AW77" s="100">
        <v>1011.7556014639542</v>
      </c>
      <c r="AX77" s="100">
        <v>5.6615848820780723</v>
      </c>
      <c r="AY77" s="100">
        <v>1576.1852311705352</v>
      </c>
      <c r="AZ77" s="100">
        <v>6.8976598374766303</v>
      </c>
      <c r="BA77" s="100">
        <v>1920.3084987534937</v>
      </c>
      <c r="BB77" s="100">
        <v>5.4503928840345779</v>
      </c>
      <c r="BC77" s="100">
        <v>1517.3893789152264</v>
      </c>
      <c r="BD77" s="100">
        <v>5.8968771966031355</v>
      </c>
      <c r="BE77" s="100">
        <v>1641.6906115343129</v>
      </c>
      <c r="BF77" s="100">
        <v>2.0024524935617514</v>
      </c>
      <c r="BG77" s="100">
        <v>557.48277420759155</v>
      </c>
      <c r="BH77" s="100">
        <v>9.6996188862501711</v>
      </c>
      <c r="BI77" s="100">
        <v>2700.3738979320474</v>
      </c>
      <c r="BJ77" s="100">
        <v>5.8854131130369591</v>
      </c>
      <c r="BK77" s="100">
        <v>1638.4990106694893</v>
      </c>
      <c r="BL77" s="100">
        <v>7.8188110818895016</v>
      </c>
      <c r="BM77" s="100">
        <v>2176.7570051980369</v>
      </c>
      <c r="BN77" s="100">
        <v>3.4992661587844225</v>
      </c>
      <c r="BO77" s="100">
        <v>974.19569860558317</v>
      </c>
      <c r="BP77" s="100">
        <v>4.1411433831768312</v>
      </c>
      <c r="BQ77" s="100">
        <v>1152.8943178764298</v>
      </c>
      <c r="BR77" s="100">
        <v>4.4089749146768336</v>
      </c>
      <c r="BS77" s="100">
        <v>1227.4586162460303</v>
      </c>
      <c r="BT77" s="100">
        <v>8.8624281811511576</v>
      </c>
      <c r="BU77" s="100">
        <v>2467.3000056324822</v>
      </c>
      <c r="BV77" s="100">
        <v>4.1146163224350669</v>
      </c>
      <c r="BW77" s="100">
        <v>1145.5091841659225</v>
      </c>
      <c r="BX77" s="100">
        <v>6.6518875827063857</v>
      </c>
      <c r="BY77" s="100">
        <v>1851.8855030254576</v>
      </c>
      <c r="BZ77" s="100">
        <v>5</v>
      </c>
      <c r="CA77" s="100">
        <v>1392</v>
      </c>
      <c r="CB77" s="100">
        <v>6.8912942674510695</v>
      </c>
      <c r="CC77" s="100">
        <v>1918.5363240583777</v>
      </c>
      <c r="CD77" s="100">
        <v>2.7535929019245211</v>
      </c>
      <c r="CE77" s="100">
        <v>766.60026389578661</v>
      </c>
      <c r="CF77" s="100">
        <v>5.4836076337116291</v>
      </c>
      <c r="CG77" s="100">
        <v>1526.6363652253174</v>
      </c>
      <c r="CH77" s="100">
        <v>5.0158862935384372</v>
      </c>
      <c r="CI77" s="100">
        <v>1396.4227441211008</v>
      </c>
      <c r="CJ77" s="100">
        <v>7</v>
      </c>
      <c r="CK77" s="100">
        <v>1948.7999999999997</v>
      </c>
      <c r="CL77" s="100">
        <v>5.0150909627478786</v>
      </c>
      <c r="CM77" s="100">
        <v>1396.2013240290094</v>
      </c>
      <c r="CN77" s="100">
        <v>6.7000844521534244</v>
      </c>
      <c r="CO77" s="100">
        <v>1865.3035114795132</v>
      </c>
      <c r="CP77" s="100">
        <v>3.5365653523292977</v>
      </c>
      <c r="CQ77" s="100">
        <v>984.57979408847643</v>
      </c>
      <c r="CR77" s="100">
        <v>8.6109110862513472</v>
      </c>
      <c r="CS77" s="100">
        <v>2397.2776464123749</v>
      </c>
      <c r="CT77" s="100">
        <v>6.8840546048836888</v>
      </c>
      <c r="CU77" s="100">
        <v>1916.5208019996187</v>
      </c>
    </row>
    <row r="78" spans="2:99">
      <c r="C78" s="99" t="s">
        <v>244</v>
      </c>
      <c r="D78" s="100">
        <v>4.7167089406670026</v>
      </c>
      <c r="E78" s="100">
        <v>2603.6233352481854</v>
      </c>
      <c r="F78" s="100">
        <v>6.3428508166942361</v>
      </c>
      <c r="G78" s="100">
        <v>3501.2536508152184</v>
      </c>
      <c r="H78" s="100">
        <v>6.5223787346669457</v>
      </c>
      <c r="I78" s="100">
        <v>3600.3530615361542</v>
      </c>
      <c r="J78" s="100">
        <v>2.8486973279791501</v>
      </c>
      <c r="K78" s="100">
        <v>1572.480925044491</v>
      </c>
      <c r="L78" s="100">
        <v>2.3915413719597289</v>
      </c>
      <c r="M78" s="100">
        <v>1320.1308373217703</v>
      </c>
      <c r="N78" s="100">
        <v>7.8590882890387661</v>
      </c>
      <c r="O78" s="100">
        <v>4338.2167355493984</v>
      </c>
      <c r="P78" s="100">
        <v>5</v>
      </c>
      <c r="Q78" s="100">
        <v>2760</v>
      </c>
      <c r="R78" s="100">
        <v>7</v>
      </c>
      <c r="S78" s="100">
        <v>3864</v>
      </c>
      <c r="T78" s="100">
        <v>5</v>
      </c>
      <c r="U78" s="100">
        <v>2760</v>
      </c>
      <c r="V78" s="100">
        <v>5.0675379662073494</v>
      </c>
      <c r="W78" s="100">
        <v>2797.2809573464569</v>
      </c>
      <c r="X78" s="100">
        <v>3.7957995281618806</v>
      </c>
      <c r="Y78" s="100">
        <v>2095.2813395453582</v>
      </c>
      <c r="Z78" s="100">
        <v>5</v>
      </c>
      <c r="AA78" s="100">
        <v>2760</v>
      </c>
      <c r="AB78" s="100">
        <v>6</v>
      </c>
      <c r="AC78" s="100">
        <v>3312</v>
      </c>
      <c r="AD78" s="100">
        <v>5.6065130118519724</v>
      </c>
      <c r="AE78" s="100">
        <v>3094.7951825422888</v>
      </c>
      <c r="AF78" s="100">
        <v>8</v>
      </c>
      <c r="AG78" s="100">
        <v>4416</v>
      </c>
      <c r="AH78" s="100">
        <v>2.2490725174648851</v>
      </c>
      <c r="AI78" s="100">
        <v>1241.4880296406166</v>
      </c>
      <c r="AJ78" s="100">
        <v>5.6793542410883369</v>
      </c>
      <c r="AK78" s="100">
        <v>3135.0035410807618</v>
      </c>
      <c r="AL78" s="100">
        <v>4.3261858561835807E-4</v>
      </c>
      <c r="AM78" s="100">
        <v>0.23880545926133365</v>
      </c>
      <c r="AN78" s="100">
        <v>5.4251098263938156</v>
      </c>
      <c r="AO78" s="100">
        <v>2994.6606241693862</v>
      </c>
      <c r="AP78" s="100">
        <v>8.7619411417967186</v>
      </c>
      <c r="AQ78" s="100">
        <v>4836.591510271789</v>
      </c>
      <c r="AR78" s="100">
        <v>4.0408246983422096</v>
      </c>
      <c r="AS78" s="100">
        <v>2230.5352334848999</v>
      </c>
      <c r="AT78" s="100">
        <v>3.7649951986341192</v>
      </c>
      <c r="AU78" s="100">
        <v>2078.2773496460336</v>
      </c>
      <c r="AV78" s="100">
        <v>3.6341796029596058</v>
      </c>
      <c r="AW78" s="100">
        <v>2006.0671408337025</v>
      </c>
      <c r="AX78" s="100">
        <v>5.6615848820780723</v>
      </c>
      <c r="AY78" s="100">
        <v>3125.1948549070958</v>
      </c>
      <c r="AZ78" s="100">
        <v>5.9697933813916935</v>
      </c>
      <c r="BA78" s="100">
        <v>3295.3259465282149</v>
      </c>
      <c r="BB78" s="100">
        <v>6.2829375215436718</v>
      </c>
      <c r="BC78" s="100">
        <v>3468.1815118921068</v>
      </c>
      <c r="BD78" s="100">
        <v>6.8796900627036583</v>
      </c>
      <c r="BE78" s="100">
        <v>3797.5889146124196</v>
      </c>
      <c r="BF78" s="100">
        <v>2.0024524935617514</v>
      </c>
      <c r="BG78" s="100">
        <v>1105.3537764460868</v>
      </c>
      <c r="BH78" s="100">
        <v>10.699618886250171</v>
      </c>
      <c r="BI78" s="100">
        <v>5906.1896252100942</v>
      </c>
      <c r="BJ78" s="100">
        <v>4.5775435323620792</v>
      </c>
      <c r="BK78" s="100">
        <v>2526.8040298638675</v>
      </c>
      <c r="BL78" s="100">
        <v>8.7961624671256899</v>
      </c>
      <c r="BM78" s="100">
        <v>4855.4816818533809</v>
      </c>
      <c r="BN78" s="100">
        <v>3.4992661587844225</v>
      </c>
      <c r="BO78" s="100">
        <v>1931.5949196490012</v>
      </c>
      <c r="BP78" s="100">
        <v>4.1411433831768312</v>
      </c>
      <c r="BQ78" s="100">
        <v>2285.911147513611</v>
      </c>
      <c r="BR78" s="100">
        <v>3.9726695835214443</v>
      </c>
      <c r="BS78" s="100">
        <v>2192.9136101038371</v>
      </c>
      <c r="BT78" s="100">
        <v>7.9066227686335564</v>
      </c>
      <c r="BU78" s="100">
        <v>4364.455768285723</v>
      </c>
      <c r="BV78" s="100">
        <v>4.1146163224350669</v>
      </c>
      <c r="BW78" s="100">
        <v>2271.2682099841568</v>
      </c>
      <c r="BX78" s="100">
        <v>5.2845601610736557</v>
      </c>
      <c r="BY78" s="100">
        <v>2917.0772089126581</v>
      </c>
      <c r="BZ78" s="100">
        <v>5</v>
      </c>
      <c r="CA78" s="100">
        <v>2760</v>
      </c>
      <c r="CB78" s="100">
        <v>6.8912942674510695</v>
      </c>
      <c r="CC78" s="100">
        <v>3803.9944356329902</v>
      </c>
      <c r="CD78" s="100">
        <v>2.7535929019245211</v>
      </c>
      <c r="CE78" s="100">
        <v>1519.9832818623356</v>
      </c>
      <c r="CF78" s="100">
        <v>5.4836076337116291</v>
      </c>
      <c r="CG78" s="100">
        <v>3026.9514138088193</v>
      </c>
      <c r="CH78" s="100">
        <v>5.7324414783296431</v>
      </c>
      <c r="CI78" s="100">
        <v>3164.3076960379631</v>
      </c>
      <c r="CJ78" s="100">
        <v>8</v>
      </c>
      <c r="CK78" s="100">
        <v>4416</v>
      </c>
      <c r="CL78" s="100">
        <v>5.6419773330913632</v>
      </c>
      <c r="CM78" s="100">
        <v>3114.3714878664323</v>
      </c>
      <c r="CN78" s="100">
        <v>5.8625738956342452</v>
      </c>
      <c r="CO78" s="100">
        <v>3236.1407903901036</v>
      </c>
      <c r="CP78" s="100">
        <v>3.5365653523292977</v>
      </c>
      <c r="CQ78" s="100">
        <v>1952.1840744857723</v>
      </c>
      <c r="CR78" s="100">
        <v>8.6109110862513472</v>
      </c>
      <c r="CS78" s="100">
        <v>4753.2229196107437</v>
      </c>
      <c r="CT78" s="100">
        <v>6.1956491443953201</v>
      </c>
      <c r="CU78" s="100">
        <v>3419.9983277062165</v>
      </c>
    </row>
    <row r="79" spans="2:99">
      <c r="C79" s="99" t="s">
        <v>245</v>
      </c>
      <c r="D79" s="100">
        <v>3.537531705500252</v>
      </c>
      <c r="E79" s="100">
        <v>2678.6190074047904</v>
      </c>
      <c r="F79" s="100">
        <v>6.3428508166942361</v>
      </c>
      <c r="G79" s="100">
        <v>4802.8066384008753</v>
      </c>
      <c r="H79" s="100">
        <v>5.797669986370618</v>
      </c>
      <c r="I79" s="100">
        <v>4389.9957136798312</v>
      </c>
      <c r="J79" s="100">
        <v>2.5321754026481331</v>
      </c>
      <c r="K79" s="100">
        <v>1917.3632148851661</v>
      </c>
      <c r="L79" s="100">
        <v>1.9929511432997742</v>
      </c>
      <c r="M79" s="100">
        <v>1509.0626057065888</v>
      </c>
      <c r="N79" s="100">
        <v>6.8590882890387661</v>
      </c>
      <c r="O79" s="100">
        <v>5193.7016524601531</v>
      </c>
      <c r="P79" s="100">
        <v>5</v>
      </c>
      <c r="Q79" s="100">
        <v>3785.9999999999995</v>
      </c>
      <c r="R79" s="100">
        <v>7</v>
      </c>
      <c r="S79" s="100">
        <v>5300.4</v>
      </c>
      <c r="T79" s="100">
        <v>5</v>
      </c>
      <c r="U79" s="100">
        <v>3785.9999999999995</v>
      </c>
      <c r="V79" s="100">
        <v>4.2229483051727916</v>
      </c>
      <c r="W79" s="100">
        <v>3197.6164566768375</v>
      </c>
      <c r="X79" s="100">
        <v>3.7957995281618806</v>
      </c>
      <c r="Y79" s="100">
        <v>2874.1794027241758</v>
      </c>
      <c r="Z79" s="100">
        <v>5</v>
      </c>
      <c r="AA79" s="100">
        <v>3785.9999999999995</v>
      </c>
      <c r="AB79" s="100">
        <v>6</v>
      </c>
      <c r="AC79" s="100">
        <v>4543.2</v>
      </c>
      <c r="AD79" s="100">
        <v>5.6065130118519724</v>
      </c>
      <c r="AE79" s="100">
        <v>4245.2516525743131</v>
      </c>
      <c r="AF79" s="100">
        <v>8</v>
      </c>
      <c r="AG79" s="100">
        <v>6057.5999999999995</v>
      </c>
      <c r="AH79" s="100">
        <v>2.2490725174648851</v>
      </c>
      <c r="AI79" s="100">
        <v>1702.9977102244109</v>
      </c>
      <c r="AJ79" s="100">
        <v>5.6793542410883369</v>
      </c>
      <c r="AK79" s="100">
        <v>4300.4070313520879</v>
      </c>
      <c r="AL79" s="100">
        <v>4.3261858561835807E-4</v>
      </c>
      <c r="AM79" s="100">
        <v>0.32757879303022069</v>
      </c>
      <c r="AN79" s="100">
        <v>6.3293223527175755</v>
      </c>
      <c r="AO79" s="100">
        <v>4792.5628854777478</v>
      </c>
      <c r="AP79" s="100">
        <v>8.7619411417967186</v>
      </c>
      <c r="AQ79" s="100">
        <v>6634.541832568475</v>
      </c>
      <c r="AR79" s="100">
        <v>3.5357216110494334</v>
      </c>
      <c r="AS79" s="100">
        <v>2677.2484038866305</v>
      </c>
      <c r="AT79" s="100">
        <v>3.232725805694816</v>
      </c>
      <c r="AU79" s="100">
        <v>2447.8199800721145</v>
      </c>
      <c r="AV79" s="100">
        <v>4.2296418160865814</v>
      </c>
      <c r="AW79" s="100">
        <v>3202.684783140759</v>
      </c>
      <c r="AX79" s="100">
        <v>5.6615848820780723</v>
      </c>
      <c r="AY79" s="100">
        <v>4286.952072709516</v>
      </c>
      <c r="AZ79" s="100">
        <v>5.9697933813916935</v>
      </c>
      <c r="BA79" s="100">
        <v>4520.3275483897896</v>
      </c>
      <c r="BB79" s="100">
        <v>6.2829375215436718</v>
      </c>
      <c r="BC79" s="100">
        <v>4757.4402913128679</v>
      </c>
      <c r="BD79" s="100">
        <v>5.8968771966031355</v>
      </c>
      <c r="BE79" s="100">
        <v>4465.1154132678939</v>
      </c>
      <c r="BF79" s="100">
        <v>1.9070446126936866</v>
      </c>
      <c r="BG79" s="100">
        <v>1444.0141807316593</v>
      </c>
      <c r="BH79" s="100">
        <v>9.8745236078127139</v>
      </c>
      <c r="BI79" s="100">
        <v>7476.9892758357864</v>
      </c>
      <c r="BJ79" s="100">
        <v>4.5775435323620792</v>
      </c>
      <c r="BK79" s="100">
        <v>3466.1159627045663</v>
      </c>
      <c r="BL79" s="100">
        <v>7.8188110818895016</v>
      </c>
      <c r="BM79" s="100">
        <v>5920.4037512067298</v>
      </c>
      <c r="BN79" s="100">
        <v>3.4992661587844225</v>
      </c>
      <c r="BO79" s="100">
        <v>2649.6443354315643</v>
      </c>
      <c r="BP79" s="100">
        <v>4.1411433831768312</v>
      </c>
      <c r="BQ79" s="100">
        <v>3135.6737697414965</v>
      </c>
      <c r="BR79" s="100">
        <v>3.9883627873278975</v>
      </c>
      <c r="BS79" s="100">
        <v>3019.9883025646836</v>
      </c>
      <c r="BT79" s="100">
        <v>8.0457479574385289</v>
      </c>
      <c r="BU79" s="100">
        <v>6092.2403533724537</v>
      </c>
      <c r="BV79" s="100">
        <v>3.6574367310533922</v>
      </c>
      <c r="BW79" s="100">
        <v>2769.4110927536285</v>
      </c>
      <c r="BX79" s="100">
        <v>6.0339226438997677</v>
      </c>
      <c r="BY79" s="100">
        <v>4568.8862259609041</v>
      </c>
      <c r="BZ79" s="100">
        <v>5</v>
      </c>
      <c r="CA79" s="100">
        <v>3785.9999999999995</v>
      </c>
      <c r="CB79" s="100">
        <v>7.6366387624650498</v>
      </c>
      <c r="CC79" s="100">
        <v>5782.4628709385352</v>
      </c>
      <c r="CD79" s="100">
        <v>2.4093937891839561</v>
      </c>
      <c r="CE79" s="100">
        <v>1824.3929771700914</v>
      </c>
      <c r="CF79" s="100">
        <v>4.4836076337116291</v>
      </c>
      <c r="CG79" s="100">
        <v>3394.987700246445</v>
      </c>
      <c r="CH79" s="100">
        <v>5.0158862935384372</v>
      </c>
      <c r="CI79" s="100">
        <v>3798.0291014673044</v>
      </c>
      <c r="CJ79" s="100">
        <v>8</v>
      </c>
      <c r="CK79" s="100">
        <v>6057.5999999999995</v>
      </c>
      <c r="CL79" s="100">
        <v>5.6419773330913632</v>
      </c>
      <c r="CM79" s="100">
        <v>4272.1052366167796</v>
      </c>
      <c r="CN79" s="100">
        <v>5.8625738956342452</v>
      </c>
      <c r="CO79" s="100">
        <v>4439.1409537742502</v>
      </c>
      <c r="CP79" s="100">
        <v>3.5300726806315819</v>
      </c>
      <c r="CQ79" s="100">
        <v>2672.9710337742335</v>
      </c>
      <c r="CR79" s="100">
        <v>8.6109110862513472</v>
      </c>
      <c r="CS79" s="100">
        <v>6520.1818745095197</v>
      </c>
      <c r="CT79" s="100">
        <v>6.8840546048836888</v>
      </c>
      <c r="CU79" s="100">
        <v>5212.6061468179287</v>
      </c>
    </row>
    <row r="80" spans="2:99">
      <c r="C80" s="99" t="s">
        <v>246</v>
      </c>
      <c r="D80" s="100">
        <v>4.1271203230836271</v>
      </c>
      <c r="E80" s="100">
        <v>3323.157284146936</v>
      </c>
      <c r="F80" s="100">
        <v>5.4367292714522018</v>
      </c>
      <c r="G80" s="100">
        <v>4377.6544093733128</v>
      </c>
      <c r="H80" s="100">
        <v>5.797669986370618</v>
      </c>
      <c r="I80" s="100">
        <v>4668.2838730256217</v>
      </c>
      <c r="J80" s="100">
        <v>2.5321754026481331</v>
      </c>
      <c r="K80" s="100">
        <v>2038.9076342122767</v>
      </c>
      <c r="L80" s="100">
        <v>2.3915413719597289</v>
      </c>
      <c r="M80" s="100">
        <v>1925.6691127019735</v>
      </c>
      <c r="N80" s="100">
        <v>7.8590882890387661</v>
      </c>
      <c r="O80" s="100">
        <v>6328.1378903340137</v>
      </c>
      <c r="P80" s="100">
        <v>5</v>
      </c>
      <c r="Q80" s="100">
        <v>4025.9999999999995</v>
      </c>
      <c r="R80" s="100">
        <v>7</v>
      </c>
      <c r="S80" s="100">
        <v>5636.4</v>
      </c>
      <c r="T80" s="100">
        <v>4</v>
      </c>
      <c r="U80" s="100">
        <v>3220.7999999999997</v>
      </c>
      <c r="V80" s="100">
        <v>5.0675379662073494</v>
      </c>
      <c r="W80" s="100">
        <v>4080.3815703901573</v>
      </c>
      <c r="X80" s="100">
        <v>3.7957995281618806</v>
      </c>
      <c r="Y80" s="100">
        <v>3056.3777800759458</v>
      </c>
      <c r="Z80" s="100">
        <v>5</v>
      </c>
      <c r="AA80" s="100">
        <v>4025.9999999999995</v>
      </c>
      <c r="AB80" s="100">
        <v>5</v>
      </c>
      <c r="AC80" s="100">
        <v>4025.9999999999995</v>
      </c>
      <c r="AD80" s="100">
        <v>5.6065130118519724</v>
      </c>
      <c r="AE80" s="100">
        <v>4514.3642771432078</v>
      </c>
      <c r="AF80" s="100">
        <v>9</v>
      </c>
      <c r="AG80" s="100">
        <v>7246.7999999999993</v>
      </c>
      <c r="AH80" s="100">
        <v>2.2490725174648851</v>
      </c>
      <c r="AI80" s="100">
        <v>1810.9531910627254</v>
      </c>
      <c r="AJ80" s="100">
        <v>6.6545862330317096</v>
      </c>
      <c r="AK80" s="100">
        <v>5358.272834837132</v>
      </c>
      <c r="AL80" s="100">
        <v>4.3261858561835807E-4</v>
      </c>
      <c r="AM80" s="100">
        <v>0.3483444851399019</v>
      </c>
      <c r="AN80" s="100">
        <v>6.3293223527175755</v>
      </c>
      <c r="AO80" s="100">
        <v>5096.3703584081914</v>
      </c>
      <c r="AP80" s="100">
        <v>7.7619411417967186</v>
      </c>
      <c r="AQ80" s="100">
        <v>6249.9150073747169</v>
      </c>
      <c r="AR80" s="100">
        <v>4.0408246983422096</v>
      </c>
      <c r="AS80" s="100">
        <v>3253.6720471051467</v>
      </c>
      <c r="AT80" s="100">
        <v>3.2301740414603457</v>
      </c>
      <c r="AU80" s="100">
        <v>2600.9361381838703</v>
      </c>
      <c r="AV80" s="100">
        <v>3.6341796029596058</v>
      </c>
      <c r="AW80" s="100">
        <v>2926.2414163030744</v>
      </c>
      <c r="AX80" s="100">
        <v>5.6615848820780723</v>
      </c>
      <c r="AY80" s="100">
        <v>4558.7081470492631</v>
      </c>
      <c r="AZ80" s="100">
        <v>5.0419269253067549</v>
      </c>
      <c r="BA80" s="100">
        <v>4059.7595602569986</v>
      </c>
      <c r="BB80" s="100">
        <v>5.4503928840345779</v>
      </c>
      <c r="BC80" s="100">
        <v>4388.6563502246418</v>
      </c>
      <c r="BD80" s="100">
        <v>5.8968771966031355</v>
      </c>
      <c r="BE80" s="100">
        <v>4748.1655187048445</v>
      </c>
      <c r="BF80" s="100">
        <v>2.0024524935617514</v>
      </c>
      <c r="BG80" s="100">
        <v>1612.3747478159221</v>
      </c>
      <c r="BH80" s="100">
        <v>8.6996188862501711</v>
      </c>
      <c r="BI80" s="100">
        <v>7004.9331272086374</v>
      </c>
      <c r="BJ80" s="100">
        <v>5.2314783226995196</v>
      </c>
      <c r="BK80" s="100">
        <v>4212.3863454376533</v>
      </c>
      <c r="BL80" s="100">
        <v>7.8188110818895016</v>
      </c>
      <c r="BM80" s="100">
        <v>6295.7066831374259</v>
      </c>
      <c r="BN80" s="100">
        <v>2.7994129270275381</v>
      </c>
      <c r="BO80" s="100">
        <v>2254.0872888425733</v>
      </c>
      <c r="BP80" s="100">
        <v>4.1411433831768312</v>
      </c>
      <c r="BQ80" s="100">
        <v>3334.4486521339841</v>
      </c>
      <c r="BR80" s="100">
        <v>3.947792059090403</v>
      </c>
      <c r="BS80" s="100">
        <v>3178.7621659795923</v>
      </c>
      <c r="BT80" s="100">
        <v>8.8624281811511576</v>
      </c>
      <c r="BU80" s="100">
        <v>7136.0271714629116</v>
      </c>
      <c r="BV80" s="100">
        <v>4.1146163224350669</v>
      </c>
      <c r="BW80" s="100">
        <v>3313.0890628247157</v>
      </c>
      <c r="BX80" s="100">
        <v>5.1531626170541589</v>
      </c>
      <c r="BY80" s="100">
        <v>4149.3265392520088</v>
      </c>
      <c r="BZ80" s="100">
        <v>5</v>
      </c>
      <c r="CA80" s="100">
        <v>4025.9999999999995</v>
      </c>
      <c r="CB80" s="100">
        <v>6.7639665149580601</v>
      </c>
      <c r="CC80" s="100">
        <v>5446.3458378442292</v>
      </c>
      <c r="CD80" s="100">
        <v>2.4093937891839561</v>
      </c>
      <c r="CE80" s="100">
        <v>1940.0438790509213</v>
      </c>
      <c r="CF80" s="100">
        <v>5.4836076337116291</v>
      </c>
      <c r="CG80" s="100">
        <v>4415.4008666646032</v>
      </c>
      <c r="CH80" s="100">
        <v>5.0158862935384372</v>
      </c>
      <c r="CI80" s="100">
        <v>4038.7916435571492</v>
      </c>
      <c r="CJ80" s="100">
        <v>7</v>
      </c>
      <c r="CK80" s="100">
        <v>5636.4</v>
      </c>
      <c r="CL80" s="100">
        <v>5.0150909627478786</v>
      </c>
      <c r="CM80" s="100">
        <v>4038.1512432045915</v>
      </c>
      <c r="CN80" s="100">
        <v>5.8625738956342452</v>
      </c>
      <c r="CO80" s="100">
        <v>4720.544500764694</v>
      </c>
      <c r="CP80" s="100">
        <v>3.5300726806315819</v>
      </c>
      <c r="CQ80" s="100">
        <v>2842.4145224445497</v>
      </c>
      <c r="CR80" s="100">
        <v>8.6109110862513472</v>
      </c>
      <c r="CS80" s="100">
        <v>6933.5056066495845</v>
      </c>
      <c r="CT80" s="100">
        <v>6.8840546048836888</v>
      </c>
      <c r="CU80" s="100">
        <v>5543.0407678523461</v>
      </c>
    </row>
    <row r="81" spans="2:99">
      <c r="C81" s="99" t="s">
        <v>247</v>
      </c>
      <c r="D81" s="100">
        <v>4.1271203230836271</v>
      </c>
      <c r="E81" s="100">
        <v>3110.1978754758215</v>
      </c>
      <c r="F81" s="100">
        <v>6.3428508166942361</v>
      </c>
      <c r="G81" s="100">
        <v>4779.9723754607767</v>
      </c>
      <c r="H81" s="100">
        <v>5.797669986370618</v>
      </c>
      <c r="I81" s="100">
        <v>4369.1241017288976</v>
      </c>
      <c r="J81" s="100">
        <v>2.5321754026481331</v>
      </c>
      <c r="K81" s="100">
        <v>1908.2473834356331</v>
      </c>
      <c r="L81" s="100">
        <v>1.9929511432997742</v>
      </c>
      <c r="M81" s="100">
        <v>1501.8879815907098</v>
      </c>
      <c r="N81" s="100">
        <v>7.8590882890387661</v>
      </c>
      <c r="O81" s="100">
        <v>5922.608934619614</v>
      </c>
      <c r="P81" s="100">
        <v>5</v>
      </c>
      <c r="Q81" s="100">
        <v>3768</v>
      </c>
      <c r="R81" s="100">
        <v>8</v>
      </c>
      <c r="S81" s="100">
        <v>6028.8</v>
      </c>
      <c r="T81" s="100">
        <v>4</v>
      </c>
      <c r="U81" s="100">
        <v>3014.4</v>
      </c>
      <c r="V81" s="100">
        <v>5.0675379662073494</v>
      </c>
      <c r="W81" s="100">
        <v>3818.8966113338588</v>
      </c>
      <c r="X81" s="100">
        <v>3.7957995281618806</v>
      </c>
      <c r="Y81" s="100">
        <v>2860.5145244227933</v>
      </c>
      <c r="Z81" s="100">
        <v>6</v>
      </c>
      <c r="AA81" s="100">
        <v>4521.6000000000004</v>
      </c>
      <c r="AB81" s="100">
        <v>7</v>
      </c>
      <c r="AC81" s="100">
        <v>5275.2</v>
      </c>
      <c r="AD81" s="100">
        <v>6.5409318471606355</v>
      </c>
      <c r="AE81" s="100">
        <v>4929.2462400202548</v>
      </c>
      <c r="AF81" s="100">
        <v>8</v>
      </c>
      <c r="AG81" s="100">
        <v>6028.8</v>
      </c>
      <c r="AH81" s="100">
        <v>2.4139160191796276</v>
      </c>
      <c r="AI81" s="100">
        <v>1819.1271120537674</v>
      </c>
      <c r="AJ81" s="100">
        <v>5.6793542410883369</v>
      </c>
      <c r="AK81" s="100">
        <v>4279.9613560841708</v>
      </c>
      <c r="AL81" s="100">
        <v>4.3261858561835807E-4</v>
      </c>
      <c r="AM81" s="100">
        <v>0.32602136612199467</v>
      </c>
      <c r="AN81" s="100">
        <v>6.3292672422013272</v>
      </c>
      <c r="AO81" s="100">
        <v>4769.7357937229199</v>
      </c>
      <c r="AP81" s="100">
        <v>7.7619411417967186</v>
      </c>
      <c r="AQ81" s="100">
        <v>5849.3988444580073</v>
      </c>
      <c r="AR81" s="100">
        <v>4.0408246983422096</v>
      </c>
      <c r="AS81" s="100">
        <v>3045.1654926706892</v>
      </c>
      <c r="AT81" s="100">
        <v>3.6778459785435578</v>
      </c>
      <c r="AU81" s="100">
        <v>2771.6247294304253</v>
      </c>
      <c r="AV81" s="100">
        <v>3.5476222658495269</v>
      </c>
      <c r="AW81" s="100">
        <v>2673.4881395442035</v>
      </c>
      <c r="AX81" s="100">
        <v>5.6615848820780723</v>
      </c>
      <c r="AY81" s="100">
        <v>4266.5703671340352</v>
      </c>
      <c r="AZ81" s="100">
        <v>5.0419269253067549</v>
      </c>
      <c r="BA81" s="100">
        <v>3799.5961309111708</v>
      </c>
      <c r="BB81" s="100">
        <v>6.2829375215436718</v>
      </c>
      <c r="BC81" s="100">
        <v>4734.8217162353112</v>
      </c>
      <c r="BD81" s="100">
        <v>5.8968771966031355</v>
      </c>
      <c r="BE81" s="100">
        <v>4443.8866553601229</v>
      </c>
      <c r="BF81" s="100">
        <v>2.0024524935617514</v>
      </c>
      <c r="BG81" s="100">
        <v>1509.0481991481358</v>
      </c>
      <c r="BH81" s="100">
        <v>10.699618886250171</v>
      </c>
      <c r="BI81" s="100">
        <v>8063.232792678129</v>
      </c>
      <c r="BJ81" s="100">
        <v>5.2314783226995196</v>
      </c>
      <c r="BK81" s="100">
        <v>3942.4420639863579</v>
      </c>
      <c r="BL81" s="100">
        <v>7.8188110818895016</v>
      </c>
      <c r="BM81" s="100">
        <v>5892.2560313119284</v>
      </c>
      <c r="BN81" s="100">
        <v>3.4992661587844225</v>
      </c>
      <c r="BO81" s="100">
        <v>2637.0469772599408</v>
      </c>
      <c r="BP81" s="100">
        <v>3.7270290448591483</v>
      </c>
      <c r="BQ81" s="100">
        <v>2808.6890882058542</v>
      </c>
      <c r="BR81" s="100">
        <v>3.5694943492907893</v>
      </c>
      <c r="BS81" s="100">
        <v>2689.9709416255391</v>
      </c>
      <c r="BT81" s="100">
        <v>8.8624281811511576</v>
      </c>
      <c r="BU81" s="100">
        <v>6678.7258773155127</v>
      </c>
      <c r="BV81" s="100">
        <v>3.6574367310533922</v>
      </c>
      <c r="BW81" s="100">
        <v>2756.2443205218365</v>
      </c>
      <c r="BX81" s="100">
        <v>6.0339226438997677</v>
      </c>
      <c r="BY81" s="100">
        <v>4547.1641044428652</v>
      </c>
      <c r="BZ81" s="100">
        <v>5</v>
      </c>
      <c r="CA81" s="100">
        <v>3768</v>
      </c>
      <c r="CB81" s="100">
        <v>7.7639665149580601</v>
      </c>
      <c r="CC81" s="100">
        <v>5850.9251656723945</v>
      </c>
      <c r="CD81" s="100">
        <v>2.7535929019245211</v>
      </c>
      <c r="CE81" s="100">
        <v>2075.1076108903194</v>
      </c>
      <c r="CF81" s="100">
        <v>5.4836076337116291</v>
      </c>
      <c r="CG81" s="100">
        <v>4132.4467127650842</v>
      </c>
      <c r="CH81" s="100">
        <v>5.0158862935384372</v>
      </c>
      <c r="CI81" s="100">
        <v>3779.9719108105664</v>
      </c>
      <c r="CJ81" s="100">
        <v>8</v>
      </c>
      <c r="CK81" s="100">
        <v>6028.8</v>
      </c>
      <c r="CL81" s="100">
        <v>5.6419773330913632</v>
      </c>
      <c r="CM81" s="100">
        <v>4251.794118217651</v>
      </c>
      <c r="CN81" s="100">
        <v>5.8625738956342452</v>
      </c>
      <c r="CO81" s="100">
        <v>4418.0356877499671</v>
      </c>
      <c r="CP81" s="100">
        <v>3.4611012634152067</v>
      </c>
      <c r="CQ81" s="100">
        <v>2608.2859121096999</v>
      </c>
      <c r="CR81" s="100">
        <v>8.6109110862513472</v>
      </c>
      <c r="CS81" s="100">
        <v>6489.1825945990158</v>
      </c>
      <c r="CT81" s="100">
        <v>6.8840546048836888</v>
      </c>
      <c r="CU81" s="100">
        <v>5187.8235502403477</v>
      </c>
    </row>
    <row r="82" spans="2:99">
      <c r="C82" s="99" t="s">
        <v>248</v>
      </c>
      <c r="D82" s="100">
        <v>4.1271203230836271</v>
      </c>
      <c r="E82" s="100">
        <v>2099.878820384949</v>
      </c>
      <c r="F82" s="100">
        <v>6.3428508166942361</v>
      </c>
      <c r="G82" s="100">
        <v>3227.2424955340266</v>
      </c>
      <c r="H82" s="100">
        <v>6.5223787346669457</v>
      </c>
      <c r="I82" s="100">
        <v>3318.5863001985413</v>
      </c>
      <c r="J82" s="100">
        <v>2.5321754026481331</v>
      </c>
      <c r="K82" s="100">
        <v>1288.3708448673699</v>
      </c>
      <c r="L82" s="100">
        <v>2.3915413719597289</v>
      </c>
      <c r="M82" s="100">
        <v>1216.8162500531098</v>
      </c>
      <c r="N82" s="100">
        <v>7.8590882890387661</v>
      </c>
      <c r="O82" s="100">
        <v>3998.7041214629235</v>
      </c>
      <c r="P82" s="100">
        <v>5</v>
      </c>
      <c r="Q82" s="100">
        <v>2543.9999999999995</v>
      </c>
      <c r="R82" s="100">
        <v>7</v>
      </c>
      <c r="S82" s="100">
        <v>3561.5999999999995</v>
      </c>
      <c r="T82" s="100">
        <v>4</v>
      </c>
      <c r="U82" s="100">
        <v>2035.1999999999996</v>
      </c>
      <c r="V82" s="100">
        <v>4.2229483051727916</v>
      </c>
      <c r="W82" s="100">
        <v>2148.6360976719161</v>
      </c>
      <c r="X82" s="100">
        <v>4.428432782855527</v>
      </c>
      <c r="Y82" s="100">
        <v>2253.1865999168917</v>
      </c>
      <c r="Z82" s="100">
        <v>6</v>
      </c>
      <c r="AA82" s="100">
        <v>3052.7999999999993</v>
      </c>
      <c r="AB82" s="100">
        <v>6</v>
      </c>
      <c r="AC82" s="100">
        <v>3052.7999999999993</v>
      </c>
      <c r="AD82" s="100">
        <v>5.6065130118519724</v>
      </c>
      <c r="AE82" s="100">
        <v>2852.5938204302829</v>
      </c>
      <c r="AF82" s="100">
        <v>9</v>
      </c>
      <c r="AG82" s="100">
        <v>4579.1999999999989</v>
      </c>
      <c r="AH82" s="100">
        <v>2.3989302462964694</v>
      </c>
      <c r="AI82" s="100">
        <v>1220.5757093156435</v>
      </c>
      <c r="AJ82" s="100">
        <v>6.6545862330317096</v>
      </c>
      <c r="AK82" s="100">
        <v>3385.8534753665331</v>
      </c>
      <c r="AL82" s="100">
        <v>4.3261858561835807E-4</v>
      </c>
      <c r="AM82" s="100">
        <v>0.22011633636262054</v>
      </c>
      <c r="AN82" s="100">
        <v>6.3293223527175755</v>
      </c>
      <c r="AO82" s="100">
        <v>3220.3592130627017</v>
      </c>
      <c r="AP82" s="100">
        <v>8.6349509514972667</v>
      </c>
      <c r="AQ82" s="100">
        <v>4393.4630441218087</v>
      </c>
      <c r="AR82" s="100">
        <v>4.0408246983422096</v>
      </c>
      <c r="AS82" s="100">
        <v>2055.9716065165157</v>
      </c>
      <c r="AT82" s="100">
        <v>3.7675469628685896</v>
      </c>
      <c r="AU82" s="100">
        <v>1916.9278947075379</v>
      </c>
      <c r="AV82" s="100">
        <v>4.2382728168212047</v>
      </c>
      <c r="AW82" s="100">
        <v>2156.4332091986284</v>
      </c>
      <c r="AX82" s="100">
        <v>6.3362217681670057</v>
      </c>
      <c r="AY82" s="100">
        <v>3223.869635643372</v>
      </c>
      <c r="AZ82" s="100">
        <v>5.9697933813916935</v>
      </c>
      <c r="BA82" s="100">
        <v>3037.4308724520929</v>
      </c>
      <c r="BB82" s="100">
        <v>6.2829375215436718</v>
      </c>
      <c r="BC82" s="100">
        <v>3196.7586109614194</v>
      </c>
      <c r="BD82" s="100">
        <v>5.8968771966031355</v>
      </c>
      <c r="BE82" s="100">
        <v>3000.3311176316747</v>
      </c>
      <c r="BF82" s="100">
        <v>2.0024524935617514</v>
      </c>
      <c r="BG82" s="100">
        <v>1018.8478287242189</v>
      </c>
      <c r="BH82" s="100">
        <v>10.699618886250171</v>
      </c>
      <c r="BI82" s="100">
        <v>5443.9660893240862</v>
      </c>
      <c r="BJ82" s="100">
        <v>5.2314783226995196</v>
      </c>
      <c r="BK82" s="100">
        <v>2661.776170589515</v>
      </c>
      <c r="BL82" s="100">
        <v>8.7961624671256899</v>
      </c>
      <c r="BM82" s="100">
        <v>4475.48746327355</v>
      </c>
      <c r="BN82" s="100">
        <v>3.4992661587844225</v>
      </c>
      <c r="BO82" s="100">
        <v>1780.4266215895138</v>
      </c>
      <c r="BP82" s="100">
        <v>4.1411433831768312</v>
      </c>
      <c r="BQ82" s="100">
        <v>2107.0137533603711</v>
      </c>
      <c r="BR82" s="100">
        <v>3.5694943492907893</v>
      </c>
      <c r="BS82" s="100">
        <v>1816.1587249191532</v>
      </c>
      <c r="BT82" s="100">
        <v>8.8624281811511576</v>
      </c>
      <c r="BU82" s="100">
        <v>4509.2034585697083</v>
      </c>
      <c r="BV82" s="100">
        <v>4.1146163224350669</v>
      </c>
      <c r="BW82" s="100">
        <v>2093.5167848549618</v>
      </c>
      <c r="BX82" s="100">
        <v>6.0339226438997677</v>
      </c>
      <c r="BY82" s="100">
        <v>3070.0598412162012</v>
      </c>
      <c r="BZ82" s="100">
        <v>6</v>
      </c>
      <c r="CA82" s="100">
        <v>3052.7999999999993</v>
      </c>
      <c r="CB82" s="100">
        <v>6.7639665149580601</v>
      </c>
      <c r="CC82" s="100">
        <v>3441.5061628106605</v>
      </c>
      <c r="CD82" s="100">
        <v>2.7535929019245211</v>
      </c>
      <c r="CE82" s="100">
        <v>1401.028068499196</v>
      </c>
      <c r="CF82" s="100">
        <v>5.4836076337116291</v>
      </c>
      <c r="CG82" s="100">
        <v>2790.0595640324764</v>
      </c>
      <c r="CH82" s="100">
        <v>5.0158862935384372</v>
      </c>
      <c r="CI82" s="100">
        <v>2552.0829461523563</v>
      </c>
      <c r="CJ82" s="100">
        <v>8</v>
      </c>
      <c r="CK82" s="100">
        <v>4070.3999999999992</v>
      </c>
      <c r="CL82" s="100">
        <v>5.0150909627478786</v>
      </c>
      <c r="CM82" s="100">
        <v>2551.6782818461202</v>
      </c>
      <c r="CN82" s="100">
        <v>5.8625738956342452</v>
      </c>
      <c r="CO82" s="100">
        <v>2982.8775980987034</v>
      </c>
      <c r="CP82" s="100">
        <v>3.5365653523292977</v>
      </c>
      <c r="CQ82" s="100">
        <v>1799.4044512651462</v>
      </c>
      <c r="CR82" s="100">
        <v>8.6109110862513472</v>
      </c>
      <c r="CS82" s="100">
        <v>4381.2315606846842</v>
      </c>
      <c r="CT82" s="100">
        <v>6.8840546048836888</v>
      </c>
      <c r="CU82" s="100">
        <v>3502.60698296482</v>
      </c>
    </row>
    <row r="83" spans="2:99">
      <c r="C83" s="99" t="s">
        <v>249</v>
      </c>
      <c r="D83" s="100">
        <v>4.1271203230836271</v>
      </c>
      <c r="E83" s="100">
        <v>3550.9743259811526</v>
      </c>
      <c r="F83" s="100">
        <v>6.3428508166942361</v>
      </c>
      <c r="G83" s="100">
        <v>5457.3888426837202</v>
      </c>
      <c r="H83" s="100">
        <v>5.797669986370618</v>
      </c>
      <c r="I83" s="100">
        <v>4988.3152562732794</v>
      </c>
      <c r="J83" s="100">
        <v>2.5321754026481331</v>
      </c>
      <c r="K83" s="100">
        <v>2178.6837164384538</v>
      </c>
      <c r="L83" s="100">
        <v>2.3915413719597289</v>
      </c>
      <c r="M83" s="100">
        <v>2057.6821964341507</v>
      </c>
      <c r="N83" s="100">
        <v>6.8590882890387661</v>
      </c>
      <c r="O83" s="100">
        <v>5901.5595638889545</v>
      </c>
      <c r="P83" s="100">
        <v>5</v>
      </c>
      <c r="Q83" s="100">
        <v>4302</v>
      </c>
      <c r="R83" s="100">
        <v>8</v>
      </c>
      <c r="S83" s="100">
        <v>6883.2</v>
      </c>
      <c r="T83" s="100">
        <v>4</v>
      </c>
      <c r="U83" s="100">
        <v>3441.6</v>
      </c>
      <c r="V83" s="100">
        <v>4.2229483051727916</v>
      </c>
      <c r="W83" s="100">
        <v>3633.4247217706697</v>
      </c>
      <c r="X83" s="100">
        <v>3.7957995281618806</v>
      </c>
      <c r="Y83" s="100">
        <v>3265.9059140304821</v>
      </c>
      <c r="Z83" s="100">
        <v>5</v>
      </c>
      <c r="AA83" s="100">
        <v>4302</v>
      </c>
      <c r="AB83" s="100">
        <v>6</v>
      </c>
      <c r="AC83" s="100">
        <v>5162.3999999999996</v>
      </c>
      <c r="AD83" s="100">
        <v>5.6065130118519724</v>
      </c>
      <c r="AE83" s="100">
        <v>4823.8437953974371</v>
      </c>
      <c r="AF83" s="100">
        <v>7</v>
      </c>
      <c r="AG83" s="100">
        <v>6022.8</v>
      </c>
      <c r="AH83" s="100">
        <v>2.4139160191796276</v>
      </c>
      <c r="AI83" s="100">
        <v>2076.9333429021517</v>
      </c>
      <c r="AJ83" s="100">
        <v>6.6545862330317096</v>
      </c>
      <c r="AK83" s="100">
        <v>5725.605994900483</v>
      </c>
      <c r="AL83" s="100">
        <v>4.3261858561835807E-4</v>
      </c>
      <c r="AM83" s="100">
        <v>0.37222503106603527</v>
      </c>
      <c r="AN83" s="100">
        <v>6.3293223527175755</v>
      </c>
      <c r="AO83" s="100">
        <v>5445.7489522782016</v>
      </c>
      <c r="AP83" s="100">
        <v>7.6349509514972658</v>
      </c>
      <c r="AQ83" s="100">
        <v>6569.1117986682475</v>
      </c>
      <c r="AR83" s="100">
        <v>4.0408246983422096</v>
      </c>
      <c r="AS83" s="100">
        <v>3476.7255704536369</v>
      </c>
      <c r="AT83" s="100">
        <v>3.232725805694816</v>
      </c>
      <c r="AU83" s="100">
        <v>2781.4372832198196</v>
      </c>
      <c r="AV83" s="100">
        <v>3.5476222658495269</v>
      </c>
      <c r="AW83" s="100">
        <v>3052.374197536933</v>
      </c>
      <c r="AX83" s="100">
        <v>6.3362217681670057</v>
      </c>
      <c r="AY83" s="100">
        <v>5451.6852093308917</v>
      </c>
      <c r="AZ83" s="100">
        <v>5.9697933813916935</v>
      </c>
      <c r="BA83" s="100">
        <v>5136.4102253494129</v>
      </c>
      <c r="BB83" s="100">
        <v>6.2829375215436718</v>
      </c>
      <c r="BC83" s="100">
        <v>5405.8394435361752</v>
      </c>
      <c r="BD83" s="100">
        <v>5.8968771966031355</v>
      </c>
      <c r="BE83" s="100">
        <v>5073.6731399573373</v>
      </c>
      <c r="BF83" s="100">
        <v>1.77995777205489</v>
      </c>
      <c r="BG83" s="100">
        <v>1531.4756670760273</v>
      </c>
      <c r="BH83" s="100">
        <v>9.8745236078127139</v>
      </c>
      <c r="BI83" s="100">
        <v>8496.040112162058</v>
      </c>
      <c r="BJ83" s="100">
        <v>5.2314783226995196</v>
      </c>
      <c r="BK83" s="100">
        <v>4501.1639488506662</v>
      </c>
      <c r="BL83" s="100">
        <v>6.8414596966533141</v>
      </c>
      <c r="BM83" s="100">
        <v>5886.3919230005113</v>
      </c>
      <c r="BN83" s="100">
        <v>3.4992661587844225</v>
      </c>
      <c r="BO83" s="100">
        <v>3010.7686030181171</v>
      </c>
      <c r="BP83" s="100">
        <v>3.7270290448591483</v>
      </c>
      <c r="BQ83" s="100">
        <v>3206.7357901968112</v>
      </c>
      <c r="BR83" s="100">
        <v>3.5694943492907893</v>
      </c>
      <c r="BS83" s="100">
        <v>3071.192938129795</v>
      </c>
      <c r="BT83" s="100">
        <v>8.0457479574385289</v>
      </c>
      <c r="BU83" s="100">
        <v>6922.5615425801097</v>
      </c>
      <c r="BV83" s="100">
        <v>3.6574367310533922</v>
      </c>
      <c r="BW83" s="100">
        <v>3146.8585633983384</v>
      </c>
      <c r="BX83" s="100">
        <v>6.0339226438997677</v>
      </c>
      <c r="BY83" s="100">
        <v>5191.5870428113603</v>
      </c>
      <c r="BZ83" s="100">
        <v>6</v>
      </c>
      <c r="CA83" s="100">
        <v>5162.3999999999996</v>
      </c>
      <c r="CB83" s="100">
        <v>6.7639665149580601</v>
      </c>
      <c r="CC83" s="100">
        <v>5819.7167894699151</v>
      </c>
      <c r="CD83" s="100">
        <v>2.7535929019245211</v>
      </c>
      <c r="CE83" s="100">
        <v>2369.191332815858</v>
      </c>
      <c r="CF83" s="100">
        <v>5.6448101782821718</v>
      </c>
      <c r="CG83" s="100">
        <v>4856.7946773939802</v>
      </c>
      <c r="CH83" s="100">
        <v>5.7324414783296431</v>
      </c>
      <c r="CI83" s="100">
        <v>4932.1926479548247</v>
      </c>
      <c r="CJ83" s="100">
        <v>7</v>
      </c>
      <c r="CK83" s="100">
        <v>6022.8</v>
      </c>
      <c r="CL83" s="100">
        <v>5.0150909627478786</v>
      </c>
      <c r="CM83" s="100">
        <v>4314.9842643482743</v>
      </c>
      <c r="CN83" s="100">
        <v>5.8625738956342452</v>
      </c>
      <c r="CO83" s="100">
        <v>5044.1585798037049</v>
      </c>
      <c r="CP83" s="100">
        <v>3.5333190164804398</v>
      </c>
      <c r="CQ83" s="100">
        <v>3040.0676817797703</v>
      </c>
      <c r="CR83" s="100">
        <v>7.6109110862513472</v>
      </c>
      <c r="CS83" s="100">
        <v>6548.4278986106592</v>
      </c>
      <c r="CT83" s="100">
        <v>6.1956491443953201</v>
      </c>
      <c r="CU83" s="100">
        <v>5330.7365238377333</v>
      </c>
    </row>
    <row r="84" spans="2:99">
      <c r="C84" s="99" t="s">
        <v>250</v>
      </c>
      <c r="D84" s="100">
        <v>4.1271203230836271</v>
      </c>
      <c r="E84" s="100">
        <v>3224.1063963929291</v>
      </c>
      <c r="F84" s="100">
        <v>5.4367292714522018</v>
      </c>
      <c r="G84" s="100">
        <v>4247.17290685846</v>
      </c>
      <c r="H84" s="100">
        <v>5.0729612380742912</v>
      </c>
      <c r="I84" s="100">
        <v>3962.9973191836361</v>
      </c>
      <c r="J84" s="100">
        <v>2.5321754026481331</v>
      </c>
      <c r="K84" s="100">
        <v>1978.1354245487214</v>
      </c>
      <c r="L84" s="100">
        <v>1.9929511432997742</v>
      </c>
      <c r="M84" s="100">
        <v>1556.8934331457835</v>
      </c>
      <c r="N84" s="100">
        <v>7.8590882890387661</v>
      </c>
      <c r="O84" s="100">
        <v>6139.5197713970838</v>
      </c>
      <c r="P84" s="100">
        <v>5</v>
      </c>
      <c r="Q84" s="100">
        <v>3905.9999999999995</v>
      </c>
      <c r="R84" s="100">
        <v>7</v>
      </c>
      <c r="S84" s="100">
        <v>5468.4</v>
      </c>
      <c r="T84" s="100">
        <v>4</v>
      </c>
      <c r="U84" s="100">
        <v>3124.7999999999997</v>
      </c>
      <c r="V84" s="100">
        <v>4.2229483051727916</v>
      </c>
      <c r="W84" s="100">
        <v>3298.9672160009845</v>
      </c>
      <c r="X84" s="100">
        <v>4.428432782855527</v>
      </c>
      <c r="Y84" s="100">
        <v>3459.4916899667373</v>
      </c>
      <c r="Z84" s="100">
        <v>5</v>
      </c>
      <c r="AA84" s="100">
        <v>3905.9999999999995</v>
      </c>
      <c r="AB84" s="100">
        <v>6</v>
      </c>
      <c r="AC84" s="100">
        <v>4687.2</v>
      </c>
      <c r="AD84" s="100">
        <v>5.6065130118519724</v>
      </c>
      <c r="AE84" s="100">
        <v>4379.80796485876</v>
      </c>
      <c r="AF84" s="100">
        <v>9</v>
      </c>
      <c r="AG84" s="100">
        <v>7030.7999999999993</v>
      </c>
      <c r="AH84" s="100">
        <v>2.2490725174648851</v>
      </c>
      <c r="AI84" s="100">
        <v>1756.9754506435681</v>
      </c>
      <c r="AJ84" s="100">
        <v>6.6545862330317096</v>
      </c>
      <c r="AK84" s="100">
        <v>5198.5627652443709</v>
      </c>
      <c r="AL84" s="100">
        <v>4.3261858561835807E-4</v>
      </c>
      <c r="AM84" s="100">
        <v>0.33796163908506127</v>
      </c>
      <c r="AN84" s="100">
        <v>5.4251649369100639</v>
      </c>
      <c r="AO84" s="100">
        <v>4238.1388487141412</v>
      </c>
      <c r="AP84" s="100">
        <v>6.6349509514972658</v>
      </c>
      <c r="AQ84" s="100">
        <v>5183.223683309664</v>
      </c>
      <c r="AR84" s="100">
        <v>4.0408246983422096</v>
      </c>
      <c r="AS84" s="100">
        <v>3156.6922543449336</v>
      </c>
      <c r="AT84" s="100">
        <v>3.7675469628685896</v>
      </c>
      <c r="AU84" s="100">
        <v>2943.2076873929418</v>
      </c>
      <c r="AV84" s="100">
        <v>3.5476222658495269</v>
      </c>
      <c r="AW84" s="100">
        <v>2771.4025140816502</v>
      </c>
      <c r="AX84" s="100">
        <v>5.6615848820780723</v>
      </c>
      <c r="AY84" s="100">
        <v>4422.83010987939</v>
      </c>
      <c r="AZ84" s="100">
        <v>5.9697933813916935</v>
      </c>
      <c r="BA84" s="100">
        <v>4663.6025895431903</v>
      </c>
      <c r="BB84" s="100">
        <v>6.2829375215436718</v>
      </c>
      <c r="BC84" s="100">
        <v>4908.2307918299157</v>
      </c>
      <c r="BD84" s="100">
        <v>6.8796900627036583</v>
      </c>
      <c r="BE84" s="100">
        <v>5374.4138769840974</v>
      </c>
      <c r="BF84" s="100">
        <v>2.0024524935617514</v>
      </c>
      <c r="BG84" s="100">
        <v>1564.3158879704401</v>
      </c>
      <c r="BH84" s="100">
        <v>9.6996188862501711</v>
      </c>
      <c r="BI84" s="100">
        <v>7577.3422739386333</v>
      </c>
      <c r="BJ84" s="100">
        <v>4.5775435323620792</v>
      </c>
      <c r="BK84" s="100">
        <v>3575.9770074812559</v>
      </c>
      <c r="BL84" s="100">
        <v>7.8188110818895016</v>
      </c>
      <c r="BM84" s="100">
        <v>6108.0552171720783</v>
      </c>
      <c r="BN84" s="100">
        <v>3.4992661587844225</v>
      </c>
      <c r="BO84" s="100">
        <v>2733.6267232423907</v>
      </c>
      <c r="BP84" s="100">
        <v>3.7270290448591483</v>
      </c>
      <c r="BQ84" s="100">
        <v>2911.5550898439665</v>
      </c>
      <c r="BR84" s="100">
        <v>3.990106476639725</v>
      </c>
      <c r="BS84" s="100">
        <v>3117.0711795509528</v>
      </c>
      <c r="BT84" s="100">
        <v>8.723302992346186</v>
      </c>
      <c r="BU84" s="100">
        <v>6814.64429762084</v>
      </c>
      <c r="BV84" s="100">
        <v>3.6574367310533922</v>
      </c>
      <c r="BW84" s="100">
        <v>2857.1895742989095</v>
      </c>
      <c r="BX84" s="100">
        <v>5.9025250998802719</v>
      </c>
      <c r="BY84" s="100">
        <v>4611.0526080264681</v>
      </c>
      <c r="BZ84" s="100">
        <v>5</v>
      </c>
      <c r="CA84" s="100">
        <v>3905.9999999999995</v>
      </c>
      <c r="CB84" s="100">
        <v>6.7639665149580601</v>
      </c>
      <c r="CC84" s="100">
        <v>5284.0106414852362</v>
      </c>
      <c r="CD84" s="100">
        <v>2.4093937891839561</v>
      </c>
      <c r="CE84" s="100">
        <v>1882.2184281105062</v>
      </c>
      <c r="CF84" s="100">
        <v>4.4836076337116291</v>
      </c>
      <c r="CG84" s="100">
        <v>3502.5942834555244</v>
      </c>
      <c r="CH84" s="100">
        <v>5.0158862935384372</v>
      </c>
      <c r="CI84" s="100">
        <v>3918.4103725122268</v>
      </c>
      <c r="CJ84" s="100">
        <v>8</v>
      </c>
      <c r="CK84" s="100">
        <v>6249.5999999999995</v>
      </c>
      <c r="CL84" s="100">
        <v>5.6419773330913632</v>
      </c>
      <c r="CM84" s="100">
        <v>4407.5126926109724</v>
      </c>
      <c r="CN84" s="100">
        <v>5.8625738956342452</v>
      </c>
      <c r="CO84" s="100">
        <v>4579.8427272694717</v>
      </c>
      <c r="CP84" s="100">
        <v>4.0593187784654372</v>
      </c>
      <c r="CQ84" s="100">
        <v>3171.1398297371993</v>
      </c>
      <c r="CR84" s="100">
        <v>8.6109110862513472</v>
      </c>
      <c r="CS84" s="100">
        <v>6726.8437405795521</v>
      </c>
      <c r="CT84" s="100">
        <v>6.8840546048836888</v>
      </c>
      <c r="CU84" s="100">
        <v>5377.8234573351374</v>
      </c>
    </row>
    <row r="85" spans="2:99">
      <c r="C85" s="99" t="s">
        <v>251</v>
      </c>
      <c r="D85" s="100">
        <v>4.1271203230836271</v>
      </c>
      <c r="E85" s="100">
        <v>619.06804846254408</v>
      </c>
      <c r="F85" s="100">
        <v>5.4367292714522018</v>
      </c>
      <c r="G85" s="100">
        <v>815.50939071783023</v>
      </c>
      <c r="H85" s="100">
        <v>5.797669986370618</v>
      </c>
      <c r="I85" s="100">
        <v>869.65049795559275</v>
      </c>
      <c r="J85" s="100">
        <v>2.5321754026481331</v>
      </c>
      <c r="K85" s="100">
        <v>379.82631039721997</v>
      </c>
      <c r="L85" s="100">
        <v>1.9929511432997742</v>
      </c>
      <c r="M85" s="100">
        <v>298.94267149496613</v>
      </c>
      <c r="N85" s="100">
        <v>7.6872706312310131</v>
      </c>
      <c r="O85" s="100">
        <v>1153.0905946846519</v>
      </c>
      <c r="P85" s="100">
        <v>5</v>
      </c>
      <c r="Q85" s="100">
        <v>750</v>
      </c>
      <c r="R85" s="100">
        <v>7</v>
      </c>
      <c r="S85" s="100">
        <v>1050</v>
      </c>
      <c r="T85" s="100">
        <v>5</v>
      </c>
      <c r="U85" s="100">
        <v>750</v>
      </c>
      <c r="V85" s="100">
        <v>5.0675379662073494</v>
      </c>
      <c r="W85" s="100">
        <v>760.13069493110243</v>
      </c>
      <c r="X85" s="100">
        <v>3.7957995281618806</v>
      </c>
      <c r="Y85" s="100">
        <v>569.36992922428215</v>
      </c>
      <c r="Z85" s="100">
        <v>6</v>
      </c>
      <c r="AA85" s="100">
        <v>900</v>
      </c>
      <c r="AB85" s="100">
        <v>6</v>
      </c>
      <c r="AC85" s="100">
        <v>900</v>
      </c>
      <c r="AD85" s="100">
        <v>6.5409318471606355</v>
      </c>
      <c r="AE85" s="100">
        <v>981.13977707409526</v>
      </c>
      <c r="AF85" s="100">
        <v>8</v>
      </c>
      <c r="AG85" s="100">
        <v>1200</v>
      </c>
      <c r="AH85" s="100">
        <v>2.5703685913884402</v>
      </c>
      <c r="AI85" s="100">
        <v>385.555288708266</v>
      </c>
      <c r="AJ85" s="100">
        <v>6.6545862330317096</v>
      </c>
      <c r="AK85" s="100">
        <v>998.18793495475643</v>
      </c>
      <c r="AL85" s="100">
        <v>4.3261858561835807E-4</v>
      </c>
      <c r="AM85" s="100">
        <v>6.4892787842753707E-2</v>
      </c>
      <c r="AN85" s="100">
        <v>6.3293223527175755</v>
      </c>
      <c r="AO85" s="100">
        <v>949.39835290763631</v>
      </c>
      <c r="AP85" s="100">
        <v>8.7619411417967186</v>
      </c>
      <c r="AQ85" s="100">
        <v>1314.2911712695077</v>
      </c>
      <c r="AR85" s="100">
        <v>4.0408246983422096</v>
      </c>
      <c r="AS85" s="100">
        <v>606.12370475133139</v>
      </c>
      <c r="AT85" s="100">
        <v>3.7675469628685896</v>
      </c>
      <c r="AU85" s="100">
        <v>565.13204443028849</v>
      </c>
      <c r="AV85" s="100">
        <v>4.1517154797111253</v>
      </c>
      <c r="AW85" s="100">
        <v>622.75732195666876</v>
      </c>
      <c r="AX85" s="100">
        <v>6.424385032622542</v>
      </c>
      <c r="AY85" s="100">
        <v>963.65775489338125</v>
      </c>
      <c r="AZ85" s="100">
        <v>6.8976598374766303</v>
      </c>
      <c r="BA85" s="100">
        <v>1034.6489756214946</v>
      </c>
      <c r="BB85" s="100">
        <v>5.5414178958305822</v>
      </c>
      <c r="BC85" s="100">
        <v>831.2126843745873</v>
      </c>
      <c r="BD85" s="100">
        <v>6.8796900627036583</v>
      </c>
      <c r="BE85" s="100">
        <v>1031.9535094055489</v>
      </c>
      <c r="BF85" s="100">
        <v>2.2249472150686125</v>
      </c>
      <c r="BG85" s="100">
        <v>333.74208226029185</v>
      </c>
      <c r="BH85" s="100">
        <v>9.6996188862501711</v>
      </c>
      <c r="BI85" s="100">
        <v>1454.9428329375257</v>
      </c>
      <c r="BJ85" s="100">
        <v>5.8854131130369591</v>
      </c>
      <c r="BK85" s="100">
        <v>882.81196695554388</v>
      </c>
      <c r="BL85" s="100">
        <v>8.7961624671256899</v>
      </c>
      <c r="BM85" s="100">
        <v>1319.4243700688535</v>
      </c>
      <c r="BN85" s="100">
        <v>3.4992661587844225</v>
      </c>
      <c r="BO85" s="100">
        <v>524.88992381766343</v>
      </c>
      <c r="BP85" s="100">
        <v>3.7270290448591483</v>
      </c>
      <c r="BQ85" s="100">
        <v>559.05435672887222</v>
      </c>
      <c r="BR85" s="100">
        <v>3.9726695835214443</v>
      </c>
      <c r="BS85" s="100">
        <v>595.90043752821668</v>
      </c>
      <c r="BT85" s="100">
        <v>8.0457479574385289</v>
      </c>
      <c r="BU85" s="100">
        <v>1206.8621936157792</v>
      </c>
      <c r="BV85" s="100">
        <v>4.1146163224350669</v>
      </c>
      <c r="BW85" s="100">
        <v>617.19244836526002</v>
      </c>
      <c r="BX85" s="100">
        <v>6.0339226438997677</v>
      </c>
      <c r="BY85" s="100">
        <v>905.08839658496515</v>
      </c>
      <c r="BZ85" s="100">
        <v>6</v>
      </c>
      <c r="CA85" s="100">
        <v>900</v>
      </c>
      <c r="CB85" s="100">
        <v>7.7639665149580601</v>
      </c>
      <c r="CC85" s="100">
        <v>1164.5949772437091</v>
      </c>
      <c r="CD85" s="100">
        <v>3.0977920146650866</v>
      </c>
      <c r="CE85" s="100">
        <v>464.66880219976298</v>
      </c>
      <c r="CF85" s="100">
        <v>5.4836076337116291</v>
      </c>
      <c r="CG85" s="100">
        <v>822.54114505674431</v>
      </c>
      <c r="CH85" s="100">
        <v>5.0158862935384372</v>
      </c>
      <c r="CI85" s="100">
        <v>752.38294403076554</v>
      </c>
      <c r="CJ85" s="100">
        <v>7</v>
      </c>
      <c r="CK85" s="100">
        <v>1050</v>
      </c>
      <c r="CL85" s="100">
        <v>5.0150909627478786</v>
      </c>
      <c r="CM85" s="100">
        <v>752.26364441218175</v>
      </c>
      <c r="CN85" s="100">
        <v>5.8625738956342452</v>
      </c>
      <c r="CO85" s="100">
        <v>879.38608434513674</v>
      </c>
      <c r="CP85" s="100">
        <v>4.0625651143142951</v>
      </c>
      <c r="CQ85" s="100">
        <v>609.38476714714432</v>
      </c>
      <c r="CR85" s="100">
        <v>7.7636388578141844</v>
      </c>
      <c r="CS85" s="100">
        <v>1164.5458286721278</v>
      </c>
      <c r="CT85" s="100">
        <v>6.8840546048836888</v>
      </c>
      <c r="CU85" s="100">
        <v>1032.6081907325533</v>
      </c>
    </row>
    <row r="86" spans="2:99">
      <c r="C86" s="99" t="s">
        <v>252</v>
      </c>
      <c r="D86" s="100">
        <v>4.1271203230836271</v>
      </c>
      <c r="E86" s="100">
        <v>2228.6449744651586</v>
      </c>
      <c r="F86" s="100">
        <v>5.4367292714522018</v>
      </c>
      <c r="G86" s="100">
        <v>2935.833806584189</v>
      </c>
      <c r="H86" s="100">
        <v>5.797669986370618</v>
      </c>
      <c r="I86" s="100">
        <v>3130.7417926401336</v>
      </c>
      <c r="J86" s="100">
        <v>2.2156534773171166</v>
      </c>
      <c r="K86" s="100">
        <v>1196.452877751243</v>
      </c>
      <c r="L86" s="100">
        <v>2.3915413719597289</v>
      </c>
      <c r="M86" s="100">
        <v>1291.4323408582536</v>
      </c>
      <c r="N86" s="100">
        <v>7.8590882890387661</v>
      </c>
      <c r="O86" s="100">
        <v>4243.9076760809339</v>
      </c>
      <c r="P86" s="100">
        <v>5</v>
      </c>
      <c r="Q86" s="100">
        <v>2700</v>
      </c>
      <c r="R86" s="100">
        <v>7</v>
      </c>
      <c r="S86" s="100">
        <v>3780</v>
      </c>
      <c r="T86" s="100">
        <v>5</v>
      </c>
      <c r="U86" s="100">
        <v>2700</v>
      </c>
      <c r="V86" s="100">
        <v>5.0675379662073494</v>
      </c>
      <c r="W86" s="100">
        <v>2736.4705017519686</v>
      </c>
      <c r="X86" s="100">
        <v>3.7957995281618806</v>
      </c>
      <c r="Y86" s="100">
        <v>2049.7317452074153</v>
      </c>
      <c r="Z86" s="100">
        <v>5</v>
      </c>
      <c r="AA86" s="100">
        <v>2700</v>
      </c>
      <c r="AB86" s="100">
        <v>6</v>
      </c>
      <c r="AC86" s="100">
        <v>3240</v>
      </c>
      <c r="AD86" s="100">
        <v>6.5409318471606355</v>
      </c>
      <c r="AE86" s="100">
        <v>3532.103197466743</v>
      </c>
      <c r="AF86" s="100">
        <v>8</v>
      </c>
      <c r="AG86" s="100">
        <v>4320</v>
      </c>
      <c r="AH86" s="100">
        <v>2.2490725174648851</v>
      </c>
      <c r="AI86" s="100">
        <v>1214.4991594310379</v>
      </c>
      <c r="AJ86" s="100">
        <v>5.7653730963742875</v>
      </c>
      <c r="AK86" s="100">
        <v>3113.3014720421152</v>
      </c>
      <c r="AL86" s="100">
        <v>4.3261858561835807E-4</v>
      </c>
      <c r="AM86" s="100">
        <v>0.23361403623391336</v>
      </c>
      <c r="AN86" s="100">
        <v>6.3293223527175755</v>
      </c>
      <c r="AO86" s="100">
        <v>3417.8340704674906</v>
      </c>
      <c r="AP86" s="100">
        <v>7.6349509514972658</v>
      </c>
      <c r="AQ86" s="100">
        <v>4122.873513808524</v>
      </c>
      <c r="AR86" s="100">
        <v>4.0408246983422096</v>
      </c>
      <c r="AS86" s="100">
        <v>2182.0453371047934</v>
      </c>
      <c r="AT86" s="100">
        <v>3.7675469628685896</v>
      </c>
      <c r="AU86" s="100">
        <v>2034.4753599490384</v>
      </c>
      <c r="AV86" s="100">
        <v>3.6341796029596058</v>
      </c>
      <c r="AW86" s="100">
        <v>1962.4569855981872</v>
      </c>
      <c r="AX86" s="100">
        <v>5.6615848820780723</v>
      </c>
      <c r="AY86" s="100">
        <v>3057.2558363221592</v>
      </c>
      <c r="AZ86" s="100">
        <v>5.9697933813916935</v>
      </c>
      <c r="BA86" s="100">
        <v>3223.6884259515145</v>
      </c>
      <c r="BB86" s="100">
        <v>6.3739625333396752</v>
      </c>
      <c r="BC86" s="100">
        <v>3441.9397680034244</v>
      </c>
      <c r="BD86" s="100">
        <v>6.8796900627036583</v>
      </c>
      <c r="BE86" s="100">
        <v>3715.0326338599757</v>
      </c>
      <c r="BF86" s="100">
        <v>2.0024524935617514</v>
      </c>
      <c r="BG86" s="100">
        <v>1081.3243465233456</v>
      </c>
      <c r="BH86" s="100">
        <v>9.6996188862501711</v>
      </c>
      <c r="BI86" s="100">
        <v>5237.7941985750922</v>
      </c>
      <c r="BJ86" s="100">
        <v>5.2314783226995196</v>
      </c>
      <c r="BK86" s="100">
        <v>2824.9982942577408</v>
      </c>
      <c r="BL86" s="100">
        <v>7.8188110818895016</v>
      </c>
      <c r="BM86" s="100">
        <v>4222.1579842203309</v>
      </c>
      <c r="BN86" s="100">
        <v>3.4992661587844225</v>
      </c>
      <c r="BO86" s="100">
        <v>1889.6037257435883</v>
      </c>
      <c r="BP86" s="100">
        <v>3.7270290448591483</v>
      </c>
      <c r="BQ86" s="100">
        <v>2012.59568422394</v>
      </c>
      <c r="BR86" s="100">
        <v>3.5694943492907893</v>
      </c>
      <c r="BS86" s="100">
        <v>1927.5269486170262</v>
      </c>
      <c r="BT86" s="100">
        <v>8.0457479574385289</v>
      </c>
      <c r="BU86" s="100">
        <v>4344.703897016806</v>
      </c>
      <c r="BV86" s="100">
        <v>4.1146163224350669</v>
      </c>
      <c r="BW86" s="100">
        <v>2221.8928141149363</v>
      </c>
      <c r="BX86" s="100">
        <v>5.9025250998802719</v>
      </c>
      <c r="BY86" s="100">
        <v>3187.3635539353468</v>
      </c>
      <c r="BZ86" s="100">
        <v>5</v>
      </c>
      <c r="CA86" s="100">
        <v>2700</v>
      </c>
      <c r="CB86" s="100">
        <v>6.7639665149580601</v>
      </c>
      <c r="CC86" s="100">
        <v>3652.5419180773524</v>
      </c>
      <c r="CD86" s="100">
        <v>2.4093937891839561</v>
      </c>
      <c r="CE86" s="100">
        <v>1301.0726461593363</v>
      </c>
      <c r="CF86" s="100">
        <v>5.4836076337116291</v>
      </c>
      <c r="CG86" s="100">
        <v>2961.1481222042798</v>
      </c>
      <c r="CH86" s="100">
        <v>5.0158862935384372</v>
      </c>
      <c r="CI86" s="100">
        <v>2708.5785985107559</v>
      </c>
      <c r="CJ86" s="100">
        <v>8</v>
      </c>
      <c r="CK86" s="100">
        <v>4320</v>
      </c>
      <c r="CL86" s="100">
        <v>5.0150909627478786</v>
      </c>
      <c r="CM86" s="100">
        <v>2708.1491198838544</v>
      </c>
      <c r="CN86" s="100">
        <v>5.8625738956342452</v>
      </c>
      <c r="CO86" s="100">
        <v>3165.7899036424924</v>
      </c>
      <c r="CP86" s="100">
        <v>4.0528261067677223</v>
      </c>
      <c r="CQ86" s="100">
        <v>2188.5260976545701</v>
      </c>
      <c r="CR86" s="100">
        <v>8.6109110862513472</v>
      </c>
      <c r="CS86" s="100">
        <v>4649.8919865757271</v>
      </c>
      <c r="CT86" s="100">
        <v>6.8840546048836888</v>
      </c>
      <c r="CU86" s="100">
        <v>3717.389486637192</v>
      </c>
    </row>
    <row r="87" spans="2:99">
      <c r="B87" s="99" t="s">
        <v>131</v>
      </c>
      <c r="C87" s="99" t="s">
        <v>253</v>
      </c>
      <c r="D87" s="100">
        <v>6.6465063723560212</v>
      </c>
      <c r="E87" s="100">
        <v>7138.3478439103665</v>
      </c>
      <c r="F87" s="100">
        <v>1.4277810051437403</v>
      </c>
      <c r="G87" s="100">
        <v>1533.436799524377</v>
      </c>
      <c r="H87" s="100">
        <v>5.8640224688304006</v>
      </c>
      <c r="I87" s="100">
        <v>6297.9601315238506</v>
      </c>
      <c r="J87" s="100">
        <v>6</v>
      </c>
      <c r="K87" s="100">
        <v>6444</v>
      </c>
      <c r="L87" s="100">
        <v>1.1904311711637643</v>
      </c>
      <c r="M87" s="100">
        <v>1278.5230778298828</v>
      </c>
      <c r="N87" s="100">
        <v>4.1067452628473449</v>
      </c>
      <c r="O87" s="100">
        <v>4410.6444122980483</v>
      </c>
      <c r="P87" s="100">
        <v>4.010952765455305</v>
      </c>
      <c r="Q87" s="100">
        <v>4307.763270098998</v>
      </c>
      <c r="R87" s="100">
        <v>4.0360085770954033</v>
      </c>
      <c r="S87" s="100">
        <v>4334.6732118004629</v>
      </c>
      <c r="T87" s="100">
        <v>0.39655447681937617</v>
      </c>
      <c r="U87" s="100">
        <v>425.89950810401001</v>
      </c>
      <c r="V87" s="100">
        <v>7.2216088693312788</v>
      </c>
      <c r="W87" s="100">
        <v>7756.0079256617937</v>
      </c>
      <c r="X87" s="100">
        <v>3.0271964505141709</v>
      </c>
      <c r="Y87" s="100">
        <v>3251.2089878522197</v>
      </c>
      <c r="Z87" s="100">
        <v>4.2055420750785695</v>
      </c>
      <c r="AA87" s="100">
        <v>4516.7521886343839</v>
      </c>
      <c r="AB87" s="100">
        <v>7.6920852985748445</v>
      </c>
      <c r="AC87" s="100">
        <v>8261.2996106693827</v>
      </c>
      <c r="AD87" s="100">
        <v>5</v>
      </c>
      <c r="AE87" s="100">
        <v>5370</v>
      </c>
      <c r="AF87" s="100">
        <v>5.4217556134124232</v>
      </c>
      <c r="AG87" s="100">
        <v>5822.9655288049426</v>
      </c>
      <c r="AH87" s="100">
        <v>3.8157436238204714E-4</v>
      </c>
      <c r="AI87" s="100">
        <v>0.40981086519831861</v>
      </c>
      <c r="AJ87" s="100">
        <v>4.0330429553217364</v>
      </c>
      <c r="AK87" s="100">
        <v>4331.4881340155453</v>
      </c>
      <c r="AL87" s="100">
        <v>5.1789387531562063</v>
      </c>
      <c r="AM87" s="100">
        <v>5562.1802208897652</v>
      </c>
      <c r="AN87" s="100">
        <v>5.462573116870364</v>
      </c>
      <c r="AO87" s="100">
        <v>5866.8035275187713</v>
      </c>
      <c r="AP87" s="100">
        <v>6.2494253628263632</v>
      </c>
      <c r="AQ87" s="100">
        <v>6711.8828396755143</v>
      </c>
      <c r="AR87" s="100">
        <v>6.0906925104495677</v>
      </c>
      <c r="AS87" s="100">
        <v>6541.4037562228359</v>
      </c>
      <c r="AT87" s="100">
        <v>6.3590685862798813</v>
      </c>
      <c r="AU87" s="100">
        <v>6829.6396616645925</v>
      </c>
      <c r="AV87" s="100">
        <v>5.1060749276373754</v>
      </c>
      <c r="AW87" s="100">
        <v>5483.9244722825415</v>
      </c>
      <c r="AX87" s="100">
        <v>4.8476683466553538</v>
      </c>
      <c r="AY87" s="100">
        <v>5206.3958043078501</v>
      </c>
      <c r="AZ87" s="100">
        <v>5.5571633757615659</v>
      </c>
      <c r="BA87" s="100">
        <v>5968.3934655679222</v>
      </c>
      <c r="BB87" s="100">
        <v>6.5968825989394642</v>
      </c>
      <c r="BC87" s="100">
        <v>7085.0519112609845</v>
      </c>
      <c r="BD87" s="100">
        <v>4.1055356236719023</v>
      </c>
      <c r="BE87" s="100">
        <v>4409.3452598236227</v>
      </c>
      <c r="BF87" s="100">
        <v>4.4995514203133418</v>
      </c>
      <c r="BG87" s="100">
        <v>4832.5182254165293</v>
      </c>
      <c r="BH87" s="100">
        <v>3.8248732760832627</v>
      </c>
      <c r="BI87" s="100">
        <v>4107.9138985134241</v>
      </c>
      <c r="BJ87" s="100">
        <v>4.3715291766992994</v>
      </c>
      <c r="BK87" s="100">
        <v>4695.0223357750474</v>
      </c>
      <c r="BL87" s="100">
        <v>4.2729038099551371</v>
      </c>
      <c r="BM87" s="100">
        <v>4589.098691891817</v>
      </c>
      <c r="BN87" s="100">
        <v>4.6068848681664942</v>
      </c>
      <c r="BO87" s="100">
        <v>4947.7943484108146</v>
      </c>
      <c r="BP87" s="100">
        <v>6.266872303571188</v>
      </c>
      <c r="BQ87" s="100">
        <v>6730.6208540354555</v>
      </c>
      <c r="BR87" s="100">
        <v>3.6647255457769226E-4</v>
      </c>
      <c r="BS87" s="100">
        <v>0.39359152361644151</v>
      </c>
      <c r="BT87" s="100">
        <v>5.7462202690476953</v>
      </c>
      <c r="BU87" s="100">
        <v>6171.440568957225</v>
      </c>
      <c r="BV87" s="100">
        <v>5.1486085394348393</v>
      </c>
      <c r="BW87" s="100">
        <v>5529.6055713530177</v>
      </c>
      <c r="BX87" s="100">
        <v>4.9531880482365853</v>
      </c>
      <c r="BY87" s="100">
        <v>5319.7239638060928</v>
      </c>
      <c r="BZ87" s="100">
        <v>5.2817795553604068</v>
      </c>
      <c r="CA87" s="100">
        <v>5672.631242457077</v>
      </c>
      <c r="CB87" s="100">
        <v>6.6695947954013484</v>
      </c>
      <c r="CC87" s="100">
        <v>7163.1448102610484</v>
      </c>
      <c r="CD87" s="100">
        <v>0.32345113207295906</v>
      </c>
      <c r="CE87" s="100">
        <v>347.38651584635801</v>
      </c>
      <c r="CF87" s="100">
        <v>8.2191490089711952</v>
      </c>
      <c r="CG87" s="100">
        <v>8827.3660356350629</v>
      </c>
      <c r="CH87" s="100">
        <v>4</v>
      </c>
      <c r="CI87" s="100">
        <v>4296</v>
      </c>
      <c r="CJ87" s="100">
        <v>6</v>
      </c>
      <c r="CK87" s="100">
        <v>6444</v>
      </c>
      <c r="CL87" s="100">
        <v>3.5185046501490342</v>
      </c>
      <c r="CM87" s="100">
        <v>3778.8739942600628</v>
      </c>
      <c r="CN87" s="100">
        <v>6.0740240199716808</v>
      </c>
      <c r="CO87" s="100">
        <v>6523.501797449585</v>
      </c>
      <c r="CP87" s="100">
        <v>0.51228509106092179</v>
      </c>
      <c r="CQ87" s="100">
        <v>550.19418779942998</v>
      </c>
      <c r="CR87" s="100">
        <v>4.8674346665722652</v>
      </c>
      <c r="CS87" s="100">
        <v>5227.6248318986127</v>
      </c>
      <c r="CT87" s="100">
        <v>3.5484793527869845</v>
      </c>
      <c r="CU87" s="100">
        <v>3811.0668248932211</v>
      </c>
    </row>
    <row r="88" spans="2:99">
      <c r="C88" s="99" t="s">
        <v>254</v>
      </c>
      <c r="D88" s="100">
        <v>6.6465063723560212</v>
      </c>
      <c r="E88" s="100">
        <v>6595.9929239261155</v>
      </c>
      <c r="F88" s="100">
        <v>1.4277810051437403</v>
      </c>
      <c r="G88" s="100">
        <v>1416.9298695046477</v>
      </c>
      <c r="H88" s="100">
        <v>5.8640224688304006</v>
      </c>
      <c r="I88" s="100">
        <v>5819.4558980672891</v>
      </c>
      <c r="J88" s="100">
        <v>6</v>
      </c>
      <c r="K88" s="100">
        <v>5954.4</v>
      </c>
      <c r="L88" s="100">
        <v>1.3537322046769367</v>
      </c>
      <c r="M88" s="100">
        <v>1343.4438399213918</v>
      </c>
      <c r="N88" s="100">
        <v>4.8548207913999573</v>
      </c>
      <c r="O88" s="100">
        <v>4817.9241533853174</v>
      </c>
      <c r="P88" s="100">
        <v>4.010952765455305</v>
      </c>
      <c r="Q88" s="100">
        <v>3980.4695244378445</v>
      </c>
      <c r="R88" s="100">
        <v>4.0360085770954033</v>
      </c>
      <c r="S88" s="100">
        <v>4005.3349119094783</v>
      </c>
      <c r="T88" s="100">
        <v>0.39655447681937617</v>
      </c>
      <c r="U88" s="100">
        <v>393.54066279554888</v>
      </c>
      <c r="V88" s="100">
        <v>8.1772870954650241</v>
      </c>
      <c r="W88" s="100">
        <v>8115.13971353949</v>
      </c>
      <c r="X88" s="100">
        <v>3.0271964505141709</v>
      </c>
      <c r="Y88" s="100">
        <v>3004.1897574902632</v>
      </c>
      <c r="Z88" s="100">
        <v>4.2055420750785695</v>
      </c>
      <c r="AA88" s="100">
        <v>4173.5799553079723</v>
      </c>
      <c r="AB88" s="100">
        <v>7.6920852985748445</v>
      </c>
      <c r="AC88" s="100">
        <v>7633.6254503056753</v>
      </c>
      <c r="AD88" s="100">
        <v>5</v>
      </c>
      <c r="AE88" s="100">
        <v>4962</v>
      </c>
      <c r="AF88" s="100">
        <v>5.4217556134124232</v>
      </c>
      <c r="AG88" s="100">
        <v>5380.5502707504884</v>
      </c>
      <c r="AH88" s="100">
        <v>3.1835851232510197E-4</v>
      </c>
      <c r="AI88" s="100">
        <v>0.31593898763143119</v>
      </c>
      <c r="AJ88" s="100">
        <v>4.8396555305548672</v>
      </c>
      <c r="AK88" s="100">
        <v>4802.8741485226501</v>
      </c>
      <c r="AL88" s="100">
        <v>5.1789387531562063</v>
      </c>
      <c r="AM88" s="100">
        <v>5139.5788186322188</v>
      </c>
      <c r="AN88" s="100">
        <v>5.5877600717700497</v>
      </c>
      <c r="AO88" s="100">
        <v>5545.293095224597</v>
      </c>
      <c r="AP88" s="100">
        <v>6.2494253628263632</v>
      </c>
      <c r="AQ88" s="100">
        <v>6201.9297300688822</v>
      </c>
      <c r="AR88" s="100">
        <v>5.3893629082471488</v>
      </c>
      <c r="AS88" s="100">
        <v>5348.40375014447</v>
      </c>
      <c r="AT88" s="100">
        <v>6.2363290479930313</v>
      </c>
      <c r="AU88" s="100">
        <v>6188.9329472282843</v>
      </c>
      <c r="AV88" s="100">
        <v>5.2586187409009222</v>
      </c>
      <c r="AW88" s="100">
        <v>5218.6532384700749</v>
      </c>
      <c r="AX88" s="100">
        <v>4.8568704023048381</v>
      </c>
      <c r="AY88" s="100">
        <v>4819.9581872473209</v>
      </c>
      <c r="AZ88" s="100">
        <v>5.4428870489675463</v>
      </c>
      <c r="BA88" s="100">
        <v>5401.5211073953924</v>
      </c>
      <c r="BB88" s="100">
        <v>6.4934602729616904</v>
      </c>
      <c r="BC88" s="100">
        <v>6444.1099748871811</v>
      </c>
      <c r="BD88" s="100">
        <v>4.1055356236719023</v>
      </c>
      <c r="BE88" s="100">
        <v>4074.3335529319957</v>
      </c>
      <c r="BF88" s="100">
        <v>5.1583703319032486</v>
      </c>
      <c r="BG88" s="100">
        <v>5119.1667173807837</v>
      </c>
      <c r="BH88" s="100">
        <v>4.3914046768161104</v>
      </c>
      <c r="BI88" s="100">
        <v>4358.0300012723083</v>
      </c>
      <c r="BJ88" s="100">
        <v>4.4843352156025018</v>
      </c>
      <c r="BK88" s="100">
        <v>4450.2542679639228</v>
      </c>
      <c r="BL88" s="100">
        <v>3.8104044920276183</v>
      </c>
      <c r="BM88" s="100">
        <v>3781.4454178882083</v>
      </c>
      <c r="BN88" s="100">
        <v>4.4727951827918488</v>
      </c>
      <c r="BO88" s="100">
        <v>4438.8019394026305</v>
      </c>
      <c r="BP88" s="100">
        <v>6.266872303571188</v>
      </c>
      <c r="BQ88" s="100">
        <v>6219.2440740640468</v>
      </c>
      <c r="BR88" s="100">
        <v>3.6647255457769226E-4</v>
      </c>
      <c r="BS88" s="100">
        <v>0.36368736316290179</v>
      </c>
      <c r="BT88" s="100">
        <v>5.7461957746915138</v>
      </c>
      <c r="BU88" s="100">
        <v>5702.5246868038585</v>
      </c>
      <c r="BV88" s="100">
        <v>5.7017242705930951</v>
      </c>
      <c r="BW88" s="100">
        <v>5658.3911661365873</v>
      </c>
      <c r="BX88" s="100">
        <v>4.9531880482365853</v>
      </c>
      <c r="BY88" s="100">
        <v>4915.543819069987</v>
      </c>
      <c r="BZ88" s="100">
        <v>5.381061417893525</v>
      </c>
      <c r="CA88" s="100">
        <v>5340.1653511175336</v>
      </c>
      <c r="CB88" s="100">
        <v>6.6695947954013484</v>
      </c>
      <c r="CC88" s="100">
        <v>6618.9058749562982</v>
      </c>
      <c r="CD88" s="100">
        <v>0.40262891284434194</v>
      </c>
      <c r="CE88" s="100">
        <v>399.56893310672496</v>
      </c>
      <c r="CF88" s="100">
        <v>9.2191490089711952</v>
      </c>
      <c r="CG88" s="100">
        <v>9149.083476503014</v>
      </c>
      <c r="CH88" s="100">
        <v>5</v>
      </c>
      <c r="CI88" s="100">
        <v>4962</v>
      </c>
      <c r="CJ88" s="100">
        <v>6</v>
      </c>
      <c r="CK88" s="100">
        <v>5954.4</v>
      </c>
      <c r="CL88" s="100">
        <v>4.1987576695717204</v>
      </c>
      <c r="CM88" s="100">
        <v>4166.8471112829748</v>
      </c>
      <c r="CN88" s="100">
        <v>6.0740240199716808</v>
      </c>
      <c r="CO88" s="100">
        <v>6027.861437419896</v>
      </c>
      <c r="CP88" s="100">
        <v>0.44976639064591833</v>
      </c>
      <c r="CQ88" s="100">
        <v>446.34816607700935</v>
      </c>
      <c r="CR88" s="100">
        <v>4.863190815430193</v>
      </c>
      <c r="CS88" s="100">
        <v>4826.2305652329233</v>
      </c>
      <c r="CT88" s="100">
        <v>4.1311634430968409</v>
      </c>
      <c r="CU88" s="100">
        <v>4099.7666009293052</v>
      </c>
    </row>
    <row r="89" spans="2:99">
      <c r="C89" s="99" t="s">
        <v>255</v>
      </c>
      <c r="D89" s="100">
        <v>6.6465063723560212</v>
      </c>
      <c r="E89" s="100">
        <v>7058.5897674420949</v>
      </c>
      <c r="F89" s="100">
        <v>1.4277810051437403</v>
      </c>
      <c r="G89" s="100">
        <v>1516.3034274626523</v>
      </c>
      <c r="H89" s="100">
        <v>4.8640224688304006</v>
      </c>
      <c r="I89" s="100">
        <v>5165.5918618978858</v>
      </c>
      <c r="J89" s="100">
        <v>6</v>
      </c>
      <c r="K89" s="100">
        <v>6372</v>
      </c>
      <c r="L89" s="100">
        <v>1.1904311711637643</v>
      </c>
      <c r="M89" s="100">
        <v>1264.2379037759176</v>
      </c>
      <c r="N89" s="100">
        <v>4.8548207913999573</v>
      </c>
      <c r="O89" s="100">
        <v>5155.819680466755</v>
      </c>
      <c r="P89" s="100">
        <v>4.089839322307931</v>
      </c>
      <c r="Q89" s="100">
        <v>4343.4093602910225</v>
      </c>
      <c r="R89" s="100">
        <v>4.1383231355729189</v>
      </c>
      <c r="S89" s="100">
        <v>4394.8991699784401</v>
      </c>
      <c r="T89" s="100">
        <v>0.33128775762141532</v>
      </c>
      <c r="U89" s="100">
        <v>351.82759859394309</v>
      </c>
      <c r="V89" s="100">
        <v>7.1772870954650232</v>
      </c>
      <c r="W89" s="100">
        <v>7622.2788953838544</v>
      </c>
      <c r="X89" s="100">
        <v>2.5947398147264327</v>
      </c>
      <c r="Y89" s="100">
        <v>2755.6136832394714</v>
      </c>
      <c r="Z89" s="100">
        <v>4.2055420750785695</v>
      </c>
      <c r="AA89" s="100">
        <v>4466.2856837334411</v>
      </c>
      <c r="AB89" s="100">
        <v>7.6920852985748445</v>
      </c>
      <c r="AC89" s="100">
        <v>8168.9945870864849</v>
      </c>
      <c r="AD89" s="100">
        <v>5</v>
      </c>
      <c r="AE89" s="100">
        <v>5310</v>
      </c>
      <c r="AF89" s="100">
        <v>4.5795029560770821</v>
      </c>
      <c r="AG89" s="100">
        <v>4863.4321393538612</v>
      </c>
      <c r="AH89" s="100">
        <v>3.7929510034167137E-4</v>
      </c>
      <c r="AI89" s="100">
        <v>0.40281139656285497</v>
      </c>
      <c r="AJ89" s="100">
        <v>4.0330739001967615</v>
      </c>
      <c r="AK89" s="100">
        <v>4283.1244820089605</v>
      </c>
      <c r="AL89" s="100">
        <v>4.39260454250251</v>
      </c>
      <c r="AM89" s="100">
        <v>4664.9460241376655</v>
      </c>
      <c r="AN89" s="100">
        <v>6.1556041313131953</v>
      </c>
      <c r="AO89" s="100">
        <v>6537.2515874546134</v>
      </c>
      <c r="AP89" s="100">
        <v>6.2483559143882434</v>
      </c>
      <c r="AQ89" s="100">
        <v>6635.7539810803146</v>
      </c>
      <c r="AR89" s="100">
        <v>5.5104864664341626</v>
      </c>
      <c r="AS89" s="100">
        <v>5852.1366273530803</v>
      </c>
      <c r="AT89" s="100">
        <v>6.3590685862798813</v>
      </c>
      <c r="AU89" s="100">
        <v>6753.3308386292338</v>
      </c>
      <c r="AV89" s="100">
        <v>5.2586187409009222</v>
      </c>
      <c r="AW89" s="100">
        <v>5584.653102836779</v>
      </c>
      <c r="AX89" s="100">
        <v>4.8568704023048381</v>
      </c>
      <c r="AY89" s="100">
        <v>5157.9963672477379</v>
      </c>
      <c r="AZ89" s="100">
        <v>5.4428870489675463</v>
      </c>
      <c r="BA89" s="100">
        <v>5780.346046003534</v>
      </c>
      <c r="BB89" s="100">
        <v>6.5968825989394642</v>
      </c>
      <c r="BC89" s="100">
        <v>7005.8893200737111</v>
      </c>
      <c r="BD89" s="100">
        <v>3.5534352420296584</v>
      </c>
      <c r="BE89" s="100">
        <v>3773.7482270354972</v>
      </c>
      <c r="BF89" s="100">
        <v>4.3902238301585612</v>
      </c>
      <c r="BG89" s="100">
        <v>4662.4177076283922</v>
      </c>
      <c r="BH89" s="100">
        <v>3.7248653913053902</v>
      </c>
      <c r="BI89" s="100">
        <v>3955.8070455663242</v>
      </c>
      <c r="BJ89" s="100">
        <v>4.9914166665194513</v>
      </c>
      <c r="BK89" s="100">
        <v>5300.8844998436571</v>
      </c>
      <c r="BL89" s="100">
        <v>4.2770144232556957</v>
      </c>
      <c r="BM89" s="100">
        <v>4542.1893174975485</v>
      </c>
      <c r="BN89" s="100">
        <v>4.4780869212785639</v>
      </c>
      <c r="BO89" s="100">
        <v>4755.7283103978352</v>
      </c>
      <c r="BP89" s="100">
        <v>6.2634882220054653</v>
      </c>
      <c r="BQ89" s="100">
        <v>6651.8244917698039</v>
      </c>
      <c r="BR89" s="100">
        <v>3.6647255457769226E-4</v>
      </c>
      <c r="BS89" s="100">
        <v>0.38919385296150921</v>
      </c>
      <c r="BT89" s="100">
        <v>5.1077466707697585</v>
      </c>
      <c r="BU89" s="100">
        <v>5424.4269643574835</v>
      </c>
      <c r="BV89" s="100">
        <v>5.6973495349309804</v>
      </c>
      <c r="BW89" s="100">
        <v>6050.5852060967009</v>
      </c>
      <c r="BX89" s="100">
        <v>5.6558755857615957</v>
      </c>
      <c r="BY89" s="100">
        <v>6006.5398720788144</v>
      </c>
      <c r="BZ89" s="100">
        <v>5.9493216855686946</v>
      </c>
      <c r="CA89" s="100">
        <v>6318.1796300739534</v>
      </c>
      <c r="CB89" s="100">
        <v>6.8066186083514806</v>
      </c>
      <c r="CC89" s="100">
        <v>7228.6289620692723</v>
      </c>
      <c r="CD89" s="100">
        <v>0.32345113207295906</v>
      </c>
      <c r="CE89" s="100">
        <v>343.50510226148253</v>
      </c>
      <c r="CF89" s="100">
        <v>9.1878420076895964</v>
      </c>
      <c r="CG89" s="100">
        <v>9757.4882121663504</v>
      </c>
      <c r="CH89" s="100">
        <v>4</v>
      </c>
      <c r="CI89" s="100">
        <v>4248</v>
      </c>
      <c r="CJ89" s="100">
        <v>5</v>
      </c>
      <c r="CK89" s="100">
        <v>5310</v>
      </c>
      <c r="CL89" s="100">
        <v>3.5185046501490342</v>
      </c>
      <c r="CM89" s="100">
        <v>3736.6519384582743</v>
      </c>
      <c r="CN89" s="100">
        <v>6.0703387690682487</v>
      </c>
      <c r="CO89" s="100">
        <v>6446.6997727504804</v>
      </c>
      <c r="CP89" s="100">
        <v>0.51228509106092179</v>
      </c>
      <c r="CQ89" s="100">
        <v>544.04676670669892</v>
      </c>
      <c r="CR89" s="100">
        <v>4.863190815430193</v>
      </c>
      <c r="CS89" s="100">
        <v>5164.7086459868651</v>
      </c>
      <c r="CT89" s="100">
        <v>4.1311634430968409</v>
      </c>
      <c r="CU89" s="100">
        <v>4387.2955765688448</v>
      </c>
    </row>
    <row r="90" spans="2:99">
      <c r="C90" s="99" t="s">
        <v>256</v>
      </c>
      <c r="D90" s="100">
        <v>6.6465063723560212</v>
      </c>
      <c r="E90" s="100">
        <v>7369.6462656683561</v>
      </c>
      <c r="F90" s="100">
        <v>1.4277810051437403</v>
      </c>
      <c r="G90" s="100">
        <v>1583.1235785033791</v>
      </c>
      <c r="H90" s="100">
        <v>4.8640224688304006</v>
      </c>
      <c r="I90" s="100">
        <v>5393.2281134391478</v>
      </c>
      <c r="J90" s="100">
        <v>6</v>
      </c>
      <c r="K90" s="100">
        <v>6652.7999999999993</v>
      </c>
      <c r="L90" s="100">
        <v>1.3469716423095712</v>
      </c>
      <c r="M90" s="100">
        <v>1493.5221569928526</v>
      </c>
      <c r="N90" s="100">
        <v>4.8548207913999573</v>
      </c>
      <c r="O90" s="100">
        <v>5383.0252935042727</v>
      </c>
      <c r="P90" s="100">
        <v>4.010952765455305</v>
      </c>
      <c r="Q90" s="100">
        <v>4447.3444263368419</v>
      </c>
      <c r="R90" s="100">
        <v>4.7257290996908896</v>
      </c>
      <c r="S90" s="100">
        <v>5239.8884257372583</v>
      </c>
      <c r="T90" s="100">
        <v>0.39738017042464469</v>
      </c>
      <c r="U90" s="100">
        <v>440.61513296684603</v>
      </c>
      <c r="V90" s="100">
        <v>7.1772870954650232</v>
      </c>
      <c r="W90" s="100">
        <v>7958.1759314516175</v>
      </c>
      <c r="X90" s="100">
        <v>2.5947398147264327</v>
      </c>
      <c r="Y90" s="100">
        <v>2877.0475065686683</v>
      </c>
      <c r="Z90" s="100">
        <v>4.0756972449414723</v>
      </c>
      <c r="AA90" s="100">
        <v>4519.1331051911047</v>
      </c>
      <c r="AB90" s="100">
        <v>7.6920852985748445</v>
      </c>
      <c r="AC90" s="100">
        <v>8528.9841790597875</v>
      </c>
      <c r="AD90" s="100">
        <v>5</v>
      </c>
      <c r="AE90" s="100">
        <v>5544</v>
      </c>
      <c r="AF90" s="100">
        <v>5.4217556134124232</v>
      </c>
      <c r="AG90" s="100">
        <v>6011.6426241516947</v>
      </c>
      <c r="AH90" s="100">
        <v>3.7929510034167137E-4</v>
      </c>
      <c r="AI90" s="100">
        <v>0.42056240725884519</v>
      </c>
      <c r="AJ90" s="100">
        <v>4.033073348995206</v>
      </c>
      <c r="AK90" s="100">
        <v>4471.8717293658838</v>
      </c>
      <c r="AL90" s="100">
        <v>4.39260454250251</v>
      </c>
      <c r="AM90" s="100">
        <v>4870.5199167267829</v>
      </c>
      <c r="AN90" s="100">
        <v>5.5877600717700497</v>
      </c>
      <c r="AO90" s="100">
        <v>6195.7083675786307</v>
      </c>
      <c r="AP90" s="100">
        <v>6.3808101644183646</v>
      </c>
      <c r="AQ90" s="100">
        <v>7075.0423103070825</v>
      </c>
      <c r="AR90" s="100">
        <v>5.3938014481649939</v>
      </c>
      <c r="AS90" s="100">
        <v>5980.6470457253454</v>
      </c>
      <c r="AT90" s="100">
        <v>6.2363290479930313</v>
      </c>
      <c r="AU90" s="100">
        <v>6914.8416484146728</v>
      </c>
      <c r="AV90" s="100">
        <v>4.2068949927207377</v>
      </c>
      <c r="AW90" s="100">
        <v>4664.6051679287539</v>
      </c>
      <c r="AX90" s="100">
        <v>4.8522693744800964</v>
      </c>
      <c r="AY90" s="100">
        <v>5380.1962824235306</v>
      </c>
      <c r="AZ90" s="100">
        <v>4.8053797903943609</v>
      </c>
      <c r="BA90" s="100">
        <v>5328.2051115892673</v>
      </c>
      <c r="BB90" s="100">
        <v>6.4811654485510282</v>
      </c>
      <c r="BC90" s="100">
        <v>7186.31624935338</v>
      </c>
      <c r="BD90" s="100">
        <v>3.4294087077874136</v>
      </c>
      <c r="BE90" s="100">
        <v>3802.528375194684</v>
      </c>
      <c r="BF90" s="100">
        <v>4.4995514203133418</v>
      </c>
      <c r="BG90" s="100">
        <v>4989.102614843433</v>
      </c>
      <c r="BH90" s="100">
        <v>3.828538037879647</v>
      </c>
      <c r="BI90" s="100">
        <v>4245.0829764009522</v>
      </c>
      <c r="BJ90" s="100">
        <v>4.9914166665194513</v>
      </c>
      <c r="BK90" s="100">
        <v>5534.4827998367673</v>
      </c>
      <c r="BL90" s="100">
        <v>3.806293878727061</v>
      </c>
      <c r="BM90" s="100">
        <v>4220.4186527325655</v>
      </c>
      <c r="BN90" s="100">
        <v>4.4727951827918488</v>
      </c>
      <c r="BO90" s="100">
        <v>4959.4352986796021</v>
      </c>
      <c r="BP90" s="100">
        <v>5.5909052503756227</v>
      </c>
      <c r="BQ90" s="100">
        <v>6199.1957416164905</v>
      </c>
      <c r="BR90" s="100">
        <v>3.1411933249516478E-4</v>
      </c>
      <c r="BS90" s="100">
        <v>0.34829551587063867</v>
      </c>
      <c r="BT90" s="100">
        <v>5.1077711651259401</v>
      </c>
      <c r="BU90" s="100">
        <v>5663.4966678916426</v>
      </c>
      <c r="BV90" s="100">
        <v>5.1442338037727238</v>
      </c>
      <c r="BW90" s="100">
        <v>5703.9264416231963</v>
      </c>
      <c r="BX90" s="100">
        <v>5.6558755857615957</v>
      </c>
      <c r="BY90" s="100">
        <v>6271.2348494924572</v>
      </c>
      <c r="BZ90" s="100">
        <v>5.9493216855686946</v>
      </c>
      <c r="CA90" s="100">
        <v>6596.6078849585683</v>
      </c>
      <c r="CB90" s="100">
        <v>6.0306992520281302</v>
      </c>
      <c r="CC90" s="100">
        <v>6686.8393306487906</v>
      </c>
      <c r="CD90" s="100">
        <v>0.40166605441756653</v>
      </c>
      <c r="CE90" s="100">
        <v>445.36732113819772</v>
      </c>
      <c r="CF90" s="100">
        <v>8.2191490089711952</v>
      </c>
      <c r="CG90" s="100">
        <v>9113.3924211472604</v>
      </c>
      <c r="CH90" s="100">
        <v>4</v>
      </c>
      <c r="CI90" s="100">
        <v>4435.2</v>
      </c>
      <c r="CJ90" s="100">
        <v>6</v>
      </c>
      <c r="CK90" s="100">
        <v>6652.7999999999993</v>
      </c>
      <c r="CL90" s="100">
        <v>3.4991516328755372</v>
      </c>
      <c r="CM90" s="100">
        <v>3879.8593305323957</v>
      </c>
      <c r="CN90" s="100">
        <v>5.2893419973222047</v>
      </c>
      <c r="CO90" s="100">
        <v>5864.8224066308603</v>
      </c>
      <c r="CP90" s="100">
        <v>0.51304355904472765</v>
      </c>
      <c r="CQ90" s="100">
        <v>568.86269826879402</v>
      </c>
      <c r="CR90" s="100">
        <v>4.863190815430193</v>
      </c>
      <c r="CS90" s="100">
        <v>5392.3059761489976</v>
      </c>
      <c r="CT90" s="100">
        <v>4.1311634430968409</v>
      </c>
      <c r="CU90" s="100">
        <v>4580.6340257057773</v>
      </c>
    </row>
    <row r="91" spans="2:99">
      <c r="C91" s="99" t="s">
        <v>257</v>
      </c>
      <c r="D91" s="100">
        <v>6.7758076468272259</v>
      </c>
      <c r="E91" s="100">
        <v>7700.0278098544586</v>
      </c>
      <c r="F91" s="100">
        <v>1.4277810051437403</v>
      </c>
      <c r="G91" s="100">
        <v>1622.5303342453462</v>
      </c>
      <c r="H91" s="100">
        <v>4.8640224688304006</v>
      </c>
      <c r="I91" s="100">
        <v>5527.4751335788669</v>
      </c>
      <c r="J91" s="100">
        <v>6</v>
      </c>
      <c r="K91" s="100">
        <v>6818.4</v>
      </c>
      <c r="L91" s="100">
        <v>1.3469716423095712</v>
      </c>
      <c r="M91" s="100">
        <v>1530.6985743205967</v>
      </c>
      <c r="N91" s="100">
        <v>4.8548207913999573</v>
      </c>
      <c r="O91" s="100">
        <v>5517.0183473469106</v>
      </c>
      <c r="P91" s="100">
        <v>4.0875434059187548</v>
      </c>
      <c r="Q91" s="100">
        <v>4645.0843264860723</v>
      </c>
      <c r="R91" s="100">
        <v>4.1383231355729189</v>
      </c>
      <c r="S91" s="100">
        <v>4702.790411265064</v>
      </c>
      <c r="T91" s="100">
        <v>0.39655447681937617</v>
      </c>
      <c r="U91" s="100">
        <v>450.64450745753902</v>
      </c>
      <c r="V91" s="100">
        <v>8.1772870954650241</v>
      </c>
      <c r="W91" s="100">
        <v>9292.6690552864529</v>
      </c>
      <c r="X91" s="100">
        <v>3.0271964505141709</v>
      </c>
      <c r="Y91" s="100">
        <v>3440.1060463643034</v>
      </c>
      <c r="Z91" s="100">
        <v>4.2055420750785695</v>
      </c>
      <c r="AA91" s="100">
        <v>4779.1780141192858</v>
      </c>
      <c r="AB91" s="100">
        <v>7.6920852985748445</v>
      </c>
      <c r="AC91" s="100">
        <v>8741.2857333004522</v>
      </c>
      <c r="AD91" s="100">
        <v>5</v>
      </c>
      <c r="AE91" s="100">
        <v>5681.9999999999991</v>
      </c>
      <c r="AF91" s="100">
        <v>5.4217556134124232</v>
      </c>
      <c r="AG91" s="100">
        <v>6161.2830790818771</v>
      </c>
      <c r="AH91" s="100">
        <v>3.7929510034167137E-4</v>
      </c>
      <c r="AI91" s="100">
        <v>0.43103095202827529</v>
      </c>
      <c r="AJ91" s="100">
        <v>4.0330429553217364</v>
      </c>
      <c r="AK91" s="100">
        <v>4583.1500144276206</v>
      </c>
      <c r="AL91" s="100">
        <v>5.181786819771582</v>
      </c>
      <c r="AM91" s="100">
        <v>5888.582541988425</v>
      </c>
      <c r="AN91" s="100">
        <v>5.5877600717700497</v>
      </c>
      <c r="AO91" s="100">
        <v>6349.930545559484</v>
      </c>
      <c r="AP91" s="100">
        <v>6.2494253628263632</v>
      </c>
      <c r="AQ91" s="100">
        <v>7101.8469823158784</v>
      </c>
      <c r="AR91" s="100">
        <v>6.0862539705317218</v>
      </c>
      <c r="AS91" s="100">
        <v>6916.4190121122474</v>
      </c>
      <c r="AT91" s="100">
        <v>6.3590685862798813</v>
      </c>
      <c r="AU91" s="100">
        <v>7226.4455414484564</v>
      </c>
      <c r="AV91" s="100">
        <v>5.2586187409009222</v>
      </c>
      <c r="AW91" s="100">
        <v>5975.894337159807</v>
      </c>
      <c r="AX91" s="100">
        <v>4.8522693744800964</v>
      </c>
      <c r="AY91" s="100">
        <v>5514.1189171591814</v>
      </c>
      <c r="AZ91" s="100">
        <v>4.9196561171883806</v>
      </c>
      <c r="BA91" s="100">
        <v>5590.6972115728749</v>
      </c>
      <c r="BB91" s="100">
        <v>6.6091774233501281</v>
      </c>
      <c r="BC91" s="100">
        <v>7510.6692238950845</v>
      </c>
      <c r="BD91" s="100">
        <v>4.2199330773121426</v>
      </c>
      <c r="BE91" s="100">
        <v>4795.5319490575184</v>
      </c>
      <c r="BF91" s="100">
        <v>4.3678310382652157</v>
      </c>
      <c r="BG91" s="100">
        <v>4963.6031918845902</v>
      </c>
      <c r="BH91" s="100">
        <v>3.828538037879647</v>
      </c>
      <c r="BI91" s="100">
        <v>4350.7506262464303</v>
      </c>
      <c r="BJ91" s="100">
        <v>4.3797398419129099</v>
      </c>
      <c r="BK91" s="100">
        <v>4977.1363563498298</v>
      </c>
      <c r="BL91" s="100">
        <v>4.2770144232556957</v>
      </c>
      <c r="BM91" s="100">
        <v>4860.399190587772</v>
      </c>
      <c r="BN91" s="100">
        <v>4.4780869212785639</v>
      </c>
      <c r="BO91" s="100">
        <v>5088.8979773409592</v>
      </c>
      <c r="BP91" s="100">
        <v>6.2634882220054653</v>
      </c>
      <c r="BQ91" s="100">
        <v>7117.8280154870099</v>
      </c>
      <c r="BR91" s="100">
        <v>3.6647255457769226E-4</v>
      </c>
      <c r="BS91" s="100">
        <v>0.41645941102208944</v>
      </c>
      <c r="BT91" s="100">
        <v>5.1077456888756689</v>
      </c>
      <c r="BU91" s="100">
        <v>5804.4422008383099</v>
      </c>
      <c r="BV91" s="100">
        <v>5.1442338037727238</v>
      </c>
      <c r="BW91" s="100">
        <v>5845.9072946073229</v>
      </c>
      <c r="BX91" s="100">
        <v>4.8308475789542298</v>
      </c>
      <c r="BY91" s="100">
        <v>5489.7751887235863</v>
      </c>
      <c r="BZ91" s="100">
        <v>5.9533941231914165</v>
      </c>
      <c r="CA91" s="100">
        <v>6765.437081594725</v>
      </c>
      <c r="CB91" s="100">
        <v>6.0306992520281302</v>
      </c>
      <c r="CC91" s="100">
        <v>6853.2866300047663</v>
      </c>
      <c r="CD91" s="100">
        <v>0.40166605441756653</v>
      </c>
      <c r="CE91" s="100">
        <v>456.45330424012258</v>
      </c>
      <c r="CF91" s="100">
        <v>9.2191490089711952</v>
      </c>
      <c r="CG91" s="100">
        <v>10476.640933794864</v>
      </c>
      <c r="CH91" s="100">
        <v>4</v>
      </c>
      <c r="CI91" s="100">
        <v>4545.5999999999995</v>
      </c>
      <c r="CJ91" s="100">
        <v>5</v>
      </c>
      <c r="CK91" s="100">
        <v>5681.9999999999991</v>
      </c>
      <c r="CL91" s="100">
        <v>4.1987576695717204</v>
      </c>
      <c r="CM91" s="100">
        <v>4771.4682157013021</v>
      </c>
      <c r="CN91" s="100">
        <v>6.0298010091304874</v>
      </c>
      <c r="CO91" s="100">
        <v>6852.2658667758851</v>
      </c>
      <c r="CP91" s="100">
        <v>0.44976639064591833</v>
      </c>
      <c r="CQ91" s="100">
        <v>511.11452633002153</v>
      </c>
      <c r="CR91" s="100">
        <v>4.2073201557009376</v>
      </c>
      <c r="CS91" s="100">
        <v>4781.1986249385445</v>
      </c>
      <c r="CT91" s="100">
        <v>3.5484793527869845</v>
      </c>
      <c r="CU91" s="100">
        <v>4032.4919365071287</v>
      </c>
    </row>
    <row r="92" spans="2:99">
      <c r="C92" s="99" t="s">
        <v>258</v>
      </c>
      <c r="D92" s="100">
        <v>6.6465063723560212</v>
      </c>
      <c r="E92" s="100">
        <v>5216.1782010250054</v>
      </c>
      <c r="F92" s="100">
        <v>1.4277810051437403</v>
      </c>
      <c r="G92" s="100">
        <v>1120.5225328368074</v>
      </c>
      <c r="H92" s="100">
        <v>5.0368269625964812</v>
      </c>
      <c r="I92" s="100">
        <v>3952.9018002457183</v>
      </c>
      <c r="J92" s="100">
        <v>6</v>
      </c>
      <c r="K92" s="100">
        <v>4708.7999999999993</v>
      </c>
      <c r="L92" s="100">
        <v>1.1904311711637643</v>
      </c>
      <c r="M92" s="100">
        <v>934.25038312932213</v>
      </c>
      <c r="N92" s="100">
        <v>4.8548207913999573</v>
      </c>
      <c r="O92" s="100">
        <v>3810.0633570906862</v>
      </c>
      <c r="P92" s="100">
        <v>4.1562318241720906</v>
      </c>
      <c r="Q92" s="100">
        <v>3261.8107356102564</v>
      </c>
      <c r="R92" s="100">
        <v>4.7257290996908896</v>
      </c>
      <c r="S92" s="100">
        <v>3708.7521974374099</v>
      </c>
      <c r="T92" s="100">
        <v>0.39738017042464469</v>
      </c>
      <c r="U92" s="100">
        <v>311.86395774926115</v>
      </c>
      <c r="V92" s="100">
        <v>7.1772870954650232</v>
      </c>
      <c r="W92" s="100">
        <v>5632.7349125209503</v>
      </c>
      <c r="X92" s="100">
        <v>3.0271964505141709</v>
      </c>
      <c r="Y92" s="100">
        <v>2375.743774363521</v>
      </c>
      <c r="Z92" s="100">
        <v>4.2055420750785695</v>
      </c>
      <c r="AA92" s="100">
        <v>3300.509420521661</v>
      </c>
      <c r="AB92" s="100">
        <v>7.6920852985748445</v>
      </c>
      <c r="AC92" s="100">
        <v>6036.7485423215376</v>
      </c>
      <c r="AD92" s="100">
        <v>5</v>
      </c>
      <c r="AE92" s="100">
        <v>3924</v>
      </c>
      <c r="AF92" s="100">
        <v>5.4217556134124232</v>
      </c>
      <c r="AG92" s="100">
        <v>4254.9938054060694</v>
      </c>
      <c r="AH92" s="100">
        <v>3.7929510034167137E-4</v>
      </c>
      <c r="AI92" s="100">
        <v>0.29767079474814367</v>
      </c>
      <c r="AJ92" s="100">
        <v>4.0330429553217364</v>
      </c>
      <c r="AK92" s="100">
        <v>3165.1321113364984</v>
      </c>
      <c r="AL92" s="100">
        <v>5.181786819771582</v>
      </c>
      <c r="AM92" s="100">
        <v>4066.6662961567372</v>
      </c>
      <c r="AN92" s="100">
        <v>6.2807910862128811</v>
      </c>
      <c r="AO92" s="100">
        <v>4929.1648444598686</v>
      </c>
      <c r="AP92" s="100">
        <v>6.2483559143882434</v>
      </c>
      <c r="AQ92" s="100">
        <v>4903.7097216118927</v>
      </c>
      <c r="AR92" s="100">
        <v>6.0862539705317218</v>
      </c>
      <c r="AS92" s="100">
        <v>4776.4921160732947</v>
      </c>
      <c r="AT92" s="100">
        <v>6.2363290479930313</v>
      </c>
      <c r="AU92" s="100">
        <v>4894.2710368649305</v>
      </c>
      <c r="AV92" s="100">
        <v>5.2586187409009222</v>
      </c>
      <c r="AW92" s="100">
        <v>4126.9639878590433</v>
      </c>
      <c r="AX92" s="100">
        <v>4.8522693744800964</v>
      </c>
      <c r="AY92" s="100">
        <v>3808.0610050919795</v>
      </c>
      <c r="AZ92" s="100">
        <v>5.4428870489675463</v>
      </c>
      <c r="BA92" s="100">
        <v>4271.5777560297302</v>
      </c>
      <c r="BB92" s="100">
        <v>6.5968825989394642</v>
      </c>
      <c r="BC92" s="100">
        <v>5177.2334636476908</v>
      </c>
      <c r="BD92" s="100">
        <v>4.2199330773121426</v>
      </c>
      <c r="BE92" s="100">
        <v>3311.8034790745692</v>
      </c>
      <c r="BF92" s="100">
        <v>4.4995514203133418</v>
      </c>
      <c r="BG92" s="100">
        <v>3531.2479546619106</v>
      </c>
      <c r="BH92" s="100">
        <v>4.2950615538346213</v>
      </c>
      <c r="BI92" s="100">
        <v>3370.7643074494108</v>
      </c>
      <c r="BJ92" s="100">
        <v>4.3756345093061046</v>
      </c>
      <c r="BK92" s="100">
        <v>3433.9979629034306</v>
      </c>
      <c r="BL92" s="100">
        <v>3.7085078789015906</v>
      </c>
      <c r="BM92" s="100">
        <v>2910.436983361968</v>
      </c>
      <c r="BN92" s="100">
        <v>4.4780869212785639</v>
      </c>
      <c r="BO92" s="100">
        <v>3514.402615819417</v>
      </c>
      <c r="BP92" s="100">
        <v>5.5909052503756227</v>
      </c>
      <c r="BQ92" s="100">
        <v>4387.7424404947888</v>
      </c>
      <c r="BR92" s="100">
        <v>3.6647255457769226E-4</v>
      </c>
      <c r="BS92" s="100">
        <v>0.28760766083257289</v>
      </c>
      <c r="BT92" s="100">
        <v>5.7462202690476953</v>
      </c>
      <c r="BU92" s="100">
        <v>4509.6336671486306</v>
      </c>
      <c r="BV92" s="100">
        <v>5.7017242705930951</v>
      </c>
      <c r="BW92" s="100">
        <v>4474.7132075614609</v>
      </c>
      <c r="BX92" s="100">
        <v>5.6558755857615957</v>
      </c>
      <c r="BY92" s="100">
        <v>4438.7311597056996</v>
      </c>
      <c r="BZ92" s="100">
        <v>5.3769889802708031</v>
      </c>
      <c r="CA92" s="100">
        <v>4219.860951716526</v>
      </c>
      <c r="CB92" s="100">
        <v>6.8066186083514806</v>
      </c>
      <c r="CC92" s="100">
        <v>5341.8342838342414</v>
      </c>
      <c r="CD92" s="100">
        <v>0.40166605441756653</v>
      </c>
      <c r="CE92" s="100">
        <v>315.22751950690622</v>
      </c>
      <c r="CF92" s="100">
        <v>8.2191490089711952</v>
      </c>
      <c r="CG92" s="100">
        <v>6450.3881422405939</v>
      </c>
      <c r="CH92" s="100">
        <v>5</v>
      </c>
      <c r="CI92" s="100">
        <v>3924</v>
      </c>
      <c r="CJ92" s="100">
        <v>6</v>
      </c>
      <c r="CK92" s="100">
        <v>4708.7999999999993</v>
      </c>
      <c r="CL92" s="100">
        <v>4.1983838531068463</v>
      </c>
      <c r="CM92" s="100">
        <v>3294.8916479182526</v>
      </c>
      <c r="CN92" s="100">
        <v>6.8550207917177248</v>
      </c>
      <c r="CO92" s="100">
        <v>5379.8203173400698</v>
      </c>
      <c r="CP92" s="100">
        <v>0.44900792266211248</v>
      </c>
      <c r="CQ92" s="100">
        <v>352.38141770522583</v>
      </c>
      <c r="CR92" s="100">
        <v>4.863190815430193</v>
      </c>
      <c r="CS92" s="100">
        <v>3816.6321519496155</v>
      </c>
      <c r="CT92" s="100">
        <v>4.135142558985649</v>
      </c>
      <c r="CU92" s="100">
        <v>3245.259880291937</v>
      </c>
    </row>
    <row r="93" spans="2:99">
      <c r="C93" s="99" t="s">
        <v>259</v>
      </c>
      <c r="D93" s="100">
        <v>6.7758076468272259</v>
      </c>
      <c r="E93" s="100">
        <v>4699.7001838393644</v>
      </c>
      <c r="F93" s="100">
        <v>1.4277810051437403</v>
      </c>
      <c r="G93" s="100">
        <v>990.3089051676983</v>
      </c>
      <c r="H93" s="100">
        <v>4.8640224688304006</v>
      </c>
      <c r="I93" s="100">
        <v>3373.6859843807661</v>
      </c>
      <c r="J93" s="100">
        <v>6</v>
      </c>
      <c r="K93" s="100">
        <v>4161.6000000000004</v>
      </c>
      <c r="L93" s="100">
        <v>1.1904311711637643</v>
      </c>
      <c r="M93" s="100">
        <v>825.68306031918689</v>
      </c>
      <c r="N93" s="100">
        <v>4.8548207913999573</v>
      </c>
      <c r="O93" s="100">
        <v>3367.3037009150103</v>
      </c>
      <c r="P93" s="100">
        <v>4.010952765455305</v>
      </c>
      <c r="Q93" s="100">
        <v>2781.9968381197996</v>
      </c>
      <c r="R93" s="100">
        <v>4.6234145412133749</v>
      </c>
      <c r="S93" s="100">
        <v>3206.8003257855971</v>
      </c>
      <c r="T93" s="100">
        <v>0.39655447681937617</v>
      </c>
      <c r="U93" s="100">
        <v>275.0501851219193</v>
      </c>
      <c r="V93" s="100">
        <v>7.1772870954650232</v>
      </c>
      <c r="W93" s="100">
        <v>4978.1663294145401</v>
      </c>
      <c r="X93" s="100">
        <v>2.5947398147264327</v>
      </c>
      <c r="Y93" s="100">
        <v>1799.7115354942537</v>
      </c>
      <c r="Z93" s="100">
        <v>4.2055420750785695</v>
      </c>
      <c r="AA93" s="100">
        <v>2916.9639832744961</v>
      </c>
      <c r="AB93" s="100">
        <v>8.6920852985748436</v>
      </c>
      <c r="AC93" s="100">
        <v>6028.8303630915116</v>
      </c>
      <c r="AD93" s="100">
        <v>6</v>
      </c>
      <c r="AE93" s="100">
        <v>4161.6000000000004</v>
      </c>
      <c r="AF93" s="100">
        <v>6.2640082707477625</v>
      </c>
      <c r="AG93" s="100">
        <v>4344.7161365906486</v>
      </c>
      <c r="AH93" s="100">
        <v>3.7929510034167137E-4</v>
      </c>
      <c r="AI93" s="100">
        <v>0.26307908159698329</v>
      </c>
      <c r="AJ93" s="100">
        <v>4.8396566329579782</v>
      </c>
      <c r="AK93" s="100">
        <v>3356.7858406196538</v>
      </c>
      <c r="AL93" s="100">
        <v>5.181786819771582</v>
      </c>
      <c r="AM93" s="100">
        <v>3594.0873381935694</v>
      </c>
      <c r="AN93" s="100">
        <v>5.5926196580126772</v>
      </c>
      <c r="AO93" s="100">
        <v>3879.0409947975932</v>
      </c>
      <c r="AP93" s="100">
        <v>6.2483559143882434</v>
      </c>
      <c r="AQ93" s="100">
        <v>4333.8596622196856</v>
      </c>
      <c r="AR93" s="100">
        <v>6.0862539705317218</v>
      </c>
      <c r="AS93" s="100">
        <v>4221.4257539608025</v>
      </c>
      <c r="AT93" s="100">
        <v>6.3590685862798813</v>
      </c>
      <c r="AU93" s="100">
        <v>4410.6499714437259</v>
      </c>
      <c r="AV93" s="100">
        <v>5.2586187409009222</v>
      </c>
      <c r="AW93" s="100">
        <v>3647.37795868888</v>
      </c>
      <c r="AX93" s="100">
        <v>4.8522693744800964</v>
      </c>
      <c r="AY93" s="100">
        <v>3365.5340381393949</v>
      </c>
      <c r="AZ93" s="100">
        <v>4.9282879347093118</v>
      </c>
      <c r="BA93" s="100">
        <v>3418.2605115143788</v>
      </c>
      <c r="BB93" s="100">
        <v>6.6091774233501281</v>
      </c>
      <c r="BC93" s="100">
        <v>4584.1254608356494</v>
      </c>
      <c r="BD93" s="100">
        <v>3.5534352420296584</v>
      </c>
      <c r="BE93" s="100">
        <v>2464.6626838717712</v>
      </c>
      <c r="BF93" s="100">
        <v>5.1583703319032486</v>
      </c>
      <c r="BG93" s="100">
        <v>3577.8456622080935</v>
      </c>
      <c r="BH93" s="100">
        <v>4.3950694386124942</v>
      </c>
      <c r="BI93" s="100">
        <v>3048.4201626216259</v>
      </c>
      <c r="BJ93" s="100">
        <v>5.1001173728158493</v>
      </c>
      <c r="BK93" s="100">
        <v>3537.4414097850731</v>
      </c>
      <c r="BL93" s="100">
        <v>4.3748004230811643</v>
      </c>
      <c r="BM93" s="100">
        <v>3034.3615734490959</v>
      </c>
      <c r="BN93" s="100">
        <v>5.3652375239555328</v>
      </c>
      <c r="BO93" s="100">
        <v>3721.3287466155575</v>
      </c>
      <c r="BP93" s="100">
        <v>6.3823543970741659</v>
      </c>
      <c r="BQ93" s="100">
        <v>4426.8010098106415</v>
      </c>
      <c r="BR93" s="100">
        <v>3.6647255457769226E-4</v>
      </c>
      <c r="BS93" s="100">
        <v>0.25418536385508739</v>
      </c>
      <c r="BT93" s="100">
        <v>5.1077711651259401</v>
      </c>
      <c r="BU93" s="100">
        <v>3542.7500801313522</v>
      </c>
      <c r="BV93" s="100">
        <v>5.7988578896713303</v>
      </c>
      <c r="BW93" s="100">
        <v>4022.087832276035</v>
      </c>
      <c r="BX93" s="100">
        <v>5.6558755857615957</v>
      </c>
      <c r="BY93" s="100">
        <v>3922.9153062842429</v>
      </c>
      <c r="BZ93" s="100">
        <v>5.8581846982810211</v>
      </c>
      <c r="CA93" s="100">
        <v>4063.2369067277164</v>
      </c>
      <c r="CB93" s="100">
        <v>6.6695947954013484</v>
      </c>
      <c r="CC93" s="100">
        <v>4626.030950090375</v>
      </c>
      <c r="CD93" s="100">
        <v>0.32345113207295906</v>
      </c>
      <c r="CE93" s="100">
        <v>224.34570520580442</v>
      </c>
      <c r="CF93" s="100">
        <v>8.1878420076895964</v>
      </c>
      <c r="CG93" s="100">
        <v>5679.087216533504</v>
      </c>
      <c r="CH93" s="100">
        <v>5</v>
      </c>
      <c r="CI93" s="100">
        <v>3468</v>
      </c>
      <c r="CJ93" s="100">
        <v>6</v>
      </c>
      <c r="CK93" s="100">
        <v>4161.6000000000004</v>
      </c>
      <c r="CL93" s="100">
        <v>4.1797784687630957</v>
      </c>
      <c r="CM93" s="100">
        <v>2899.0943459340833</v>
      </c>
      <c r="CN93" s="100">
        <v>6.0740240199716808</v>
      </c>
      <c r="CO93" s="100">
        <v>4212.943060252358</v>
      </c>
      <c r="CP93" s="100">
        <v>0.51228509106092179</v>
      </c>
      <c r="CQ93" s="100">
        <v>355.32093915985536</v>
      </c>
      <c r="CR93" s="100">
        <v>4.8841212921475323</v>
      </c>
      <c r="CS93" s="100">
        <v>3387.6265282335285</v>
      </c>
      <c r="CT93" s="100">
        <v>4.135142558985649</v>
      </c>
      <c r="CU93" s="100">
        <v>2868.1348789124463</v>
      </c>
    </row>
    <row r="94" spans="2:99">
      <c r="C94" s="99" t="s">
        <v>260</v>
      </c>
      <c r="D94" s="100">
        <v>6.7758076468272259</v>
      </c>
      <c r="E94" s="100">
        <v>8082.183361135515</v>
      </c>
      <c r="F94" s="100">
        <v>1.3080874203881345</v>
      </c>
      <c r="G94" s="100">
        <v>1560.2866750389669</v>
      </c>
      <c r="H94" s="100">
        <v>4.8640224688304006</v>
      </c>
      <c r="I94" s="100">
        <v>5801.8060008209013</v>
      </c>
      <c r="J94" s="100">
        <v>6</v>
      </c>
      <c r="K94" s="100">
        <v>7156.7999999999993</v>
      </c>
      <c r="L94" s="100">
        <v>1.3537322046769367</v>
      </c>
      <c r="M94" s="100">
        <v>1614.73177373865</v>
      </c>
      <c r="N94" s="100">
        <v>4.8548207913999573</v>
      </c>
      <c r="O94" s="100">
        <v>5790.8302399818685</v>
      </c>
      <c r="P94" s="100">
        <v>3.2355755017792269</v>
      </c>
      <c r="Q94" s="100">
        <v>3859.3944585222616</v>
      </c>
      <c r="R94" s="100">
        <v>4.7257290996908896</v>
      </c>
      <c r="S94" s="100">
        <v>5636.8496701112927</v>
      </c>
      <c r="T94" s="100">
        <v>0.39738017042464469</v>
      </c>
      <c r="U94" s="100">
        <v>473.99506728251617</v>
      </c>
      <c r="V94" s="100">
        <v>7.2216088693312788</v>
      </c>
      <c r="W94" s="100">
        <v>8613.9350593383497</v>
      </c>
      <c r="X94" s="100">
        <v>2.5947398147264327</v>
      </c>
      <c r="Y94" s="100">
        <v>3095.0056510056888</v>
      </c>
      <c r="Z94" s="100">
        <v>4.2055420750785695</v>
      </c>
      <c r="AA94" s="100">
        <v>5016.3705871537177</v>
      </c>
      <c r="AB94" s="100">
        <v>8.6920852985748436</v>
      </c>
      <c r="AC94" s="100">
        <v>10367.919344140073</v>
      </c>
      <c r="AD94" s="100">
        <v>6</v>
      </c>
      <c r="AE94" s="100">
        <v>7156.7999999999993</v>
      </c>
      <c r="AF94" s="100">
        <v>4.5795029560770821</v>
      </c>
      <c r="AG94" s="100">
        <v>5462.4311260087434</v>
      </c>
      <c r="AH94" s="100">
        <v>3.1835851232510197E-4</v>
      </c>
      <c r="AI94" s="100">
        <v>0.37973803350138163</v>
      </c>
      <c r="AJ94" s="100">
        <v>4.0330418529186245</v>
      </c>
      <c r="AK94" s="100">
        <v>4810.6123221613352</v>
      </c>
      <c r="AL94" s="100">
        <v>4.39260454250251</v>
      </c>
      <c r="AM94" s="100">
        <v>5239.498698296994</v>
      </c>
      <c r="AN94" s="100">
        <v>6.1507445450705687</v>
      </c>
      <c r="AO94" s="100">
        <v>7336.6080933601743</v>
      </c>
      <c r="AP94" s="100">
        <v>6.1169711127962429</v>
      </c>
      <c r="AQ94" s="100">
        <v>7296.3231433433584</v>
      </c>
      <c r="AR94" s="100">
        <v>6.0862539705317218</v>
      </c>
      <c r="AS94" s="100">
        <v>7259.6837360502377</v>
      </c>
      <c r="AT94" s="100">
        <v>6.2363290479930313</v>
      </c>
      <c r="AU94" s="100">
        <v>7438.6932884460875</v>
      </c>
      <c r="AV94" s="100">
        <v>5.1060749276373754</v>
      </c>
      <c r="AW94" s="100">
        <v>6090.5261736858611</v>
      </c>
      <c r="AX94" s="100">
        <v>4.8568704023048381</v>
      </c>
      <c r="AY94" s="100">
        <v>5793.2750158692106</v>
      </c>
      <c r="AZ94" s="100">
        <v>4.9239720259488458</v>
      </c>
      <c r="BA94" s="100">
        <v>5873.313832551783</v>
      </c>
      <c r="BB94" s="100">
        <v>6.5968825989394642</v>
      </c>
      <c r="BC94" s="100">
        <v>7868.7615640149925</v>
      </c>
      <c r="BD94" s="100">
        <v>4.2247476176131444</v>
      </c>
      <c r="BE94" s="100">
        <v>5039.2789582889582</v>
      </c>
      <c r="BF94" s="100">
        <v>5.154638199921024</v>
      </c>
      <c r="BG94" s="100">
        <v>6148.4524448657976</v>
      </c>
      <c r="BH94" s="100">
        <v>3.828538037879647</v>
      </c>
      <c r="BI94" s="100">
        <v>4566.6801715828424</v>
      </c>
      <c r="BJ94" s="100">
        <v>4.2669338030097066</v>
      </c>
      <c r="BK94" s="100">
        <v>5089.5986402299777</v>
      </c>
      <c r="BL94" s="100">
        <v>3.7085078789015906</v>
      </c>
      <c r="BM94" s="100">
        <v>4423.5081979538172</v>
      </c>
      <c r="BN94" s="100">
        <v>4.4727951827918488</v>
      </c>
      <c r="BO94" s="100">
        <v>5335.1500940341175</v>
      </c>
      <c r="BP94" s="100">
        <v>6.266872303571188</v>
      </c>
      <c r="BQ94" s="100">
        <v>7475.1252836997128</v>
      </c>
      <c r="BR94" s="100">
        <v>3.6647255457769226E-4</v>
      </c>
      <c r="BS94" s="100">
        <v>0.43712846310027131</v>
      </c>
      <c r="BT94" s="100">
        <v>5.7461957746915138</v>
      </c>
      <c r="BU94" s="100">
        <v>6854.0623200520376</v>
      </c>
      <c r="BV94" s="100">
        <v>5.6002159158527443</v>
      </c>
      <c r="BW94" s="100">
        <v>6679.9375444291527</v>
      </c>
      <c r="BX94" s="100">
        <v>5.5331036868517547</v>
      </c>
      <c r="BY94" s="100">
        <v>6599.8860776767724</v>
      </c>
      <c r="BZ94" s="100">
        <v>5.2817795553604068</v>
      </c>
      <c r="CA94" s="100">
        <v>6300.1066536338931</v>
      </c>
      <c r="CB94" s="100">
        <v>6.6695947954013484</v>
      </c>
      <c r="CC94" s="100">
        <v>7955.4926719547284</v>
      </c>
      <c r="CD94" s="100">
        <v>0.32248827364618365</v>
      </c>
      <c r="CE94" s="100">
        <v>384.66401280516783</v>
      </c>
      <c r="CF94" s="100">
        <v>9.1878420076895964</v>
      </c>
      <c r="CG94" s="100">
        <v>10959.25794677215</v>
      </c>
      <c r="CH94" s="100">
        <v>4</v>
      </c>
      <c r="CI94" s="100">
        <v>4771.2</v>
      </c>
      <c r="CJ94" s="100">
        <v>5</v>
      </c>
      <c r="CK94" s="100">
        <v>5964</v>
      </c>
      <c r="CL94" s="100">
        <v>4.1983838531068463</v>
      </c>
      <c r="CM94" s="100">
        <v>5007.8322599858457</v>
      </c>
      <c r="CN94" s="100">
        <v>6.0666535181648147</v>
      </c>
      <c r="CO94" s="100">
        <v>7236.3043164669907</v>
      </c>
      <c r="CP94" s="100">
        <v>0.51304355904472765</v>
      </c>
      <c r="CQ94" s="100">
        <v>611.95835722855111</v>
      </c>
      <c r="CR94" s="100">
        <v>4.1863896789835993</v>
      </c>
      <c r="CS94" s="100">
        <v>4993.5256090916373</v>
      </c>
      <c r="CT94" s="100">
        <v>4.135142558985649</v>
      </c>
      <c r="CU94" s="100">
        <v>4932.3980443580822</v>
      </c>
    </row>
    <row r="95" spans="2:99">
      <c r="B95" s="99" t="s">
        <v>132</v>
      </c>
      <c r="C95" s="99" t="s">
        <v>261</v>
      </c>
      <c r="D95" s="100">
        <v>9.775807646827225</v>
      </c>
      <c r="E95" s="100">
        <v>3214.2855542767916</v>
      </c>
      <c r="F95" s="100">
        <v>2.9431966958733025</v>
      </c>
      <c r="G95" s="100">
        <v>967.72307360314187</v>
      </c>
      <c r="H95" s="100">
        <v>9.0368269625964803</v>
      </c>
      <c r="I95" s="100">
        <v>2971.308705301723</v>
      </c>
      <c r="J95" s="100">
        <v>7</v>
      </c>
      <c r="K95" s="100">
        <v>2301.6</v>
      </c>
      <c r="L95" s="100">
        <v>1.5508360500269356</v>
      </c>
      <c r="M95" s="100">
        <v>509.91489324885646</v>
      </c>
      <c r="N95" s="100">
        <v>7.2295023149382587</v>
      </c>
      <c r="O95" s="100">
        <v>2377.0603611516995</v>
      </c>
      <c r="P95" s="100">
        <v>7.376750384269668</v>
      </c>
      <c r="Q95" s="100">
        <v>2425.4755263478669</v>
      </c>
      <c r="R95" s="100">
        <v>7.1023097001408741</v>
      </c>
      <c r="S95" s="100">
        <v>2335.2394294063197</v>
      </c>
      <c r="T95" s="100">
        <v>0.59565740883433282</v>
      </c>
      <c r="U95" s="100">
        <v>195.85215602472863</v>
      </c>
      <c r="V95" s="100">
        <v>7.2659306431975352</v>
      </c>
      <c r="W95" s="100">
        <v>2389.0379954833497</v>
      </c>
      <c r="X95" s="100">
        <v>3.4862304303525677</v>
      </c>
      <c r="Y95" s="100">
        <v>1146.2725654999242</v>
      </c>
      <c r="Z95" s="100">
        <v>6.9459582028568354</v>
      </c>
      <c r="AA95" s="100">
        <v>2283.8310570993276</v>
      </c>
      <c r="AB95" s="100">
        <v>9.830502358289813</v>
      </c>
      <c r="AC95" s="100">
        <v>3232.2691754056905</v>
      </c>
      <c r="AD95" s="100">
        <v>9</v>
      </c>
      <c r="AE95" s="100">
        <v>2959.2000000000003</v>
      </c>
      <c r="AF95" s="100">
        <v>8.4225265733534016</v>
      </c>
      <c r="AG95" s="100">
        <v>2769.3267373185986</v>
      </c>
      <c r="AH95" s="100">
        <v>6.34437762609828E-4</v>
      </c>
      <c r="AI95" s="100">
        <v>0.20860313634611144</v>
      </c>
      <c r="AJ95" s="100">
        <v>7.2595264059355102</v>
      </c>
      <c r="AK95" s="100">
        <v>2386.9322822715958</v>
      </c>
      <c r="AL95" s="100">
        <v>6.2967327476585471</v>
      </c>
      <c r="AM95" s="100">
        <v>2070.3657274301304</v>
      </c>
      <c r="AN95" s="100">
        <v>6.4679903748580978</v>
      </c>
      <c r="AO95" s="100">
        <v>2126.6752352533426</v>
      </c>
      <c r="AP95" s="100">
        <v>6.512194966010366</v>
      </c>
      <c r="AQ95" s="100">
        <v>2141.2097048242085</v>
      </c>
      <c r="AR95" s="100">
        <v>6.7863640801467389</v>
      </c>
      <c r="AS95" s="100">
        <v>2231.3565095522476</v>
      </c>
      <c r="AT95" s="100">
        <v>6.0926467311914498</v>
      </c>
      <c r="AU95" s="100">
        <v>2003.2622452157489</v>
      </c>
      <c r="AV95" s="100">
        <v>7.6671538637883829</v>
      </c>
      <c r="AW95" s="100">
        <v>2520.9601904136202</v>
      </c>
      <c r="AX95" s="100">
        <v>7.3206495489825185</v>
      </c>
      <c r="AY95" s="100">
        <v>2407.0295717054523</v>
      </c>
      <c r="AZ95" s="100">
        <v>6.374361298361567</v>
      </c>
      <c r="BA95" s="100">
        <v>2095.8899949012834</v>
      </c>
      <c r="BB95" s="100">
        <v>5.876078798268126</v>
      </c>
      <c r="BC95" s="100">
        <v>1932.0547088705598</v>
      </c>
      <c r="BD95" s="100">
        <v>7.1147193257225538</v>
      </c>
      <c r="BE95" s="100">
        <v>2339.319714297576</v>
      </c>
      <c r="BF95" s="100">
        <v>6.7704017377073837</v>
      </c>
      <c r="BG95" s="100">
        <v>2226.1080913581877</v>
      </c>
      <c r="BH95" s="100">
        <v>7.3319321406179183</v>
      </c>
      <c r="BI95" s="100">
        <v>2410.7392878351716</v>
      </c>
      <c r="BJ95" s="100">
        <v>7.0274272225046532</v>
      </c>
      <c r="BK95" s="100">
        <v>2310.6180707595299</v>
      </c>
      <c r="BL95" s="100">
        <v>7.848397170722718</v>
      </c>
      <c r="BM95" s="100">
        <v>2580.5529897336296</v>
      </c>
      <c r="BN95" s="100">
        <v>6.4076447659540055</v>
      </c>
      <c r="BO95" s="100">
        <v>2106.8335990456771</v>
      </c>
      <c r="BP95" s="100">
        <v>6.0392972981246498</v>
      </c>
      <c r="BQ95" s="100">
        <v>1985.720951623385</v>
      </c>
      <c r="BR95" s="100">
        <v>6.2823866499032955E-4</v>
      </c>
      <c r="BS95" s="100">
        <v>0.20656487304882037</v>
      </c>
      <c r="BT95" s="100">
        <v>6.3846380053546445</v>
      </c>
      <c r="BU95" s="100">
        <v>2099.2689761606071</v>
      </c>
      <c r="BV95" s="100">
        <v>6.6670747572102318</v>
      </c>
      <c r="BW95" s="100">
        <v>2192.1341801707244</v>
      </c>
      <c r="BX95" s="100">
        <v>6.600224054458919</v>
      </c>
      <c r="BY95" s="100">
        <v>2170.1536691060928</v>
      </c>
      <c r="BZ95" s="100">
        <v>6.7717068828287852</v>
      </c>
      <c r="CA95" s="100">
        <v>2226.5372230741045</v>
      </c>
      <c r="CB95" s="100">
        <v>5.3268756904271832</v>
      </c>
      <c r="CC95" s="100">
        <v>1751.476727012458</v>
      </c>
      <c r="CD95" s="100">
        <v>0.64497654729236731</v>
      </c>
      <c r="CE95" s="100">
        <v>212.06828874973039</v>
      </c>
      <c r="CF95" s="100">
        <v>9.2817630115343945</v>
      </c>
      <c r="CG95" s="100">
        <v>3051.8436781925088</v>
      </c>
      <c r="CH95" s="100">
        <v>10</v>
      </c>
      <c r="CI95" s="100">
        <v>3288</v>
      </c>
      <c r="CJ95" s="100">
        <v>7</v>
      </c>
      <c r="CK95" s="100">
        <v>2301.6</v>
      </c>
      <c r="CL95" s="100">
        <v>7.4827832136495447</v>
      </c>
      <c r="CM95" s="100">
        <v>2460.3391206479705</v>
      </c>
      <c r="CN95" s="100">
        <v>6.1718477377395855</v>
      </c>
      <c r="CO95" s="100">
        <v>2029.3035361687757</v>
      </c>
      <c r="CP95" s="100">
        <v>0.57632072744353713</v>
      </c>
      <c r="CQ95" s="100">
        <v>189.494255183435</v>
      </c>
      <c r="CR95" s="100">
        <v>6.9773161316393315</v>
      </c>
      <c r="CS95" s="100">
        <v>2294.1415440830124</v>
      </c>
      <c r="CT95" s="100">
        <v>7.8672046757430802</v>
      </c>
      <c r="CU95" s="100">
        <v>2586.7368973843249</v>
      </c>
    </row>
    <row r="96" spans="2:99">
      <c r="C96" s="99" t="s">
        <v>262</v>
      </c>
      <c r="D96" s="100">
        <v>10.775807646827225</v>
      </c>
      <c r="E96" s="100">
        <v>7487.0311530155559</v>
      </c>
      <c r="F96" s="100">
        <v>2.7657918217207769</v>
      </c>
      <c r="G96" s="100">
        <v>1921.6721577315957</v>
      </c>
      <c r="H96" s="100">
        <v>9.0368269625964803</v>
      </c>
      <c r="I96" s="100">
        <v>6278.7873736120346</v>
      </c>
      <c r="J96" s="100">
        <v>6</v>
      </c>
      <c r="K96" s="100">
        <v>4168.7999999999993</v>
      </c>
      <c r="L96" s="100">
        <v>1.3875350165137632</v>
      </c>
      <c r="M96" s="100">
        <v>964.05932947376266</v>
      </c>
      <c r="N96" s="100">
        <v>7.2295023149382587</v>
      </c>
      <c r="O96" s="100">
        <v>5023.0582084191019</v>
      </c>
      <c r="P96" s="100">
        <v>8.1521276479457452</v>
      </c>
      <c r="Q96" s="100">
        <v>5664.0982897927033</v>
      </c>
      <c r="R96" s="100">
        <v>7.9697025957132936</v>
      </c>
      <c r="S96" s="100">
        <v>5537.3493635015957</v>
      </c>
      <c r="T96" s="100">
        <v>0.53039068963637193</v>
      </c>
      <c r="U96" s="100">
        <v>368.51545115935119</v>
      </c>
      <c r="V96" s="100">
        <v>8.2216088693312788</v>
      </c>
      <c r="W96" s="100">
        <v>5712.3738424113717</v>
      </c>
      <c r="X96" s="100">
        <v>3.4862304303525677</v>
      </c>
      <c r="Y96" s="100">
        <v>2422.2329030089641</v>
      </c>
      <c r="Z96" s="100">
        <v>7.6831907537628732</v>
      </c>
      <c r="AA96" s="100">
        <v>5338.2809357144442</v>
      </c>
      <c r="AB96" s="100">
        <v>8.830502358289813</v>
      </c>
      <c r="AC96" s="100">
        <v>6135.4330385397616</v>
      </c>
      <c r="AD96" s="100">
        <v>7</v>
      </c>
      <c r="AE96" s="100">
        <v>4863.5999999999995</v>
      </c>
      <c r="AF96" s="100">
        <v>7.5802739160180606</v>
      </c>
      <c r="AG96" s="100">
        <v>5266.774316849348</v>
      </c>
      <c r="AH96" s="100">
        <v>5.7578043663363454E-4</v>
      </c>
      <c r="AI96" s="100">
        <v>0.40005224737304923</v>
      </c>
      <c r="AJ96" s="100">
        <v>7.2594960122620389</v>
      </c>
      <c r="AK96" s="100">
        <v>5043.8978293196642</v>
      </c>
      <c r="AL96" s="100">
        <v>6.1900435751961655</v>
      </c>
      <c r="AM96" s="100">
        <v>4300.8422760462954</v>
      </c>
      <c r="AN96" s="100">
        <v>5.7798189466578931</v>
      </c>
      <c r="AO96" s="100">
        <v>4015.8182041379036</v>
      </c>
      <c r="AP96" s="100">
        <v>5.7321882367480459</v>
      </c>
      <c r="AQ96" s="100">
        <v>3982.724386892542</v>
      </c>
      <c r="AR96" s="100">
        <v>6.9074876383337545</v>
      </c>
      <c r="AS96" s="100">
        <v>4799.3224111142927</v>
      </c>
      <c r="AT96" s="100">
        <v>6.0398007238564384</v>
      </c>
      <c r="AU96" s="100">
        <v>4196.4535429354528</v>
      </c>
      <c r="AV96" s="100">
        <v>6.790452209824557</v>
      </c>
      <c r="AW96" s="100">
        <v>4718.0061953861023</v>
      </c>
      <c r="AX96" s="100">
        <v>6.5884124369038801</v>
      </c>
      <c r="AY96" s="100">
        <v>4577.6289611608154</v>
      </c>
      <c r="AZ96" s="100">
        <v>6.2600849715675473</v>
      </c>
      <c r="BA96" s="100">
        <v>4349.5070382451313</v>
      </c>
      <c r="BB96" s="100">
        <v>5.7603616478796891</v>
      </c>
      <c r="BC96" s="100">
        <v>4002.2992729468078</v>
      </c>
      <c r="BD96" s="100">
        <v>7.7860317013060394</v>
      </c>
      <c r="BE96" s="100">
        <v>5409.7348260674362</v>
      </c>
      <c r="BF96" s="100">
        <v>7.5348161074698448</v>
      </c>
      <c r="BG96" s="100">
        <v>5235.1902314700474</v>
      </c>
      <c r="BH96" s="100">
        <v>7.3319321406179183</v>
      </c>
      <c r="BI96" s="100">
        <v>5094.2264513013297</v>
      </c>
      <c r="BJ96" s="100">
        <v>7.8606107923107951</v>
      </c>
      <c r="BK96" s="100">
        <v>5461.5523784975403</v>
      </c>
      <c r="BL96" s="100">
        <v>8.4127931017762645</v>
      </c>
      <c r="BM96" s="100">
        <v>5845.2086471141483</v>
      </c>
      <c r="BN96" s="100">
        <v>5.654583848651682</v>
      </c>
      <c r="BO96" s="100">
        <v>3928.8048580431882</v>
      </c>
      <c r="BP96" s="100">
        <v>6.0392972981246498</v>
      </c>
      <c r="BQ96" s="100">
        <v>4196.103762737006</v>
      </c>
      <c r="BR96" s="100">
        <v>6.2823866499032955E-4</v>
      </c>
      <c r="BS96" s="100">
        <v>0.43650022443528097</v>
      </c>
      <c r="BT96" s="100">
        <v>7.0231116036325814</v>
      </c>
      <c r="BU96" s="100">
        <v>4879.6579422039176</v>
      </c>
      <c r="BV96" s="100">
        <v>6.1708305896594551</v>
      </c>
      <c r="BW96" s="100">
        <v>4287.4930936953888</v>
      </c>
      <c r="BX96" s="100">
        <v>6.1422174554986215</v>
      </c>
      <c r="BY96" s="100">
        <v>4267.6126880804422</v>
      </c>
      <c r="BZ96" s="100">
        <v>6.1993741775308937</v>
      </c>
      <c r="CA96" s="100">
        <v>4307.3251785484645</v>
      </c>
      <c r="CB96" s="100">
        <v>5.4314354942634511</v>
      </c>
      <c r="CC96" s="100">
        <v>3773.7613814142455</v>
      </c>
      <c r="CD96" s="100">
        <v>0.56483590809420914</v>
      </c>
      <c r="CE96" s="100">
        <v>392.4479889438565</v>
      </c>
      <c r="CF96" s="100">
        <v>9.2191490089711952</v>
      </c>
      <c r="CG96" s="100">
        <v>6405.464731433186</v>
      </c>
      <c r="CH96" s="100">
        <v>9</v>
      </c>
      <c r="CI96" s="100">
        <v>6253.2</v>
      </c>
      <c r="CJ96" s="100">
        <v>7</v>
      </c>
      <c r="CK96" s="100">
        <v>4863.5999999999995</v>
      </c>
      <c r="CL96" s="100">
        <v>8.2769114379239745</v>
      </c>
      <c r="CM96" s="100">
        <v>5750.798067069577</v>
      </c>
      <c r="CN96" s="100">
        <v>6.1718477377395855</v>
      </c>
      <c r="CO96" s="100">
        <v>4288.1998081814636</v>
      </c>
      <c r="CP96" s="100">
        <v>0.57707919542734298</v>
      </c>
      <c r="CQ96" s="100">
        <v>400.95462498291789</v>
      </c>
      <c r="CR96" s="100">
        <v>6.9563856549219922</v>
      </c>
      <c r="CS96" s="100">
        <v>4833.2967530398</v>
      </c>
      <c r="CT96" s="100">
        <v>7.9030167187423492</v>
      </c>
      <c r="CU96" s="100">
        <v>5491.0160161821841</v>
      </c>
    </row>
    <row r="97" spans="2:99">
      <c r="C97" s="99" t="s">
        <v>263</v>
      </c>
      <c r="D97" s="100">
        <v>9.775807646827225</v>
      </c>
      <c r="E97" s="100">
        <v>3836.0269206150028</v>
      </c>
      <c r="F97" s="100">
        <v>2.9431966958733025</v>
      </c>
      <c r="G97" s="100">
        <v>1154.9103834606838</v>
      </c>
      <c r="H97" s="100">
        <v>9.0368269625964803</v>
      </c>
      <c r="I97" s="100">
        <v>3546.0509001228588</v>
      </c>
      <c r="J97" s="100">
        <v>7</v>
      </c>
      <c r="K97" s="100">
        <v>2746.7999999999997</v>
      </c>
      <c r="L97" s="100">
        <v>1.380774454146398</v>
      </c>
      <c r="M97" s="100">
        <v>541.81589580704656</v>
      </c>
      <c r="N97" s="100">
        <v>7.2896377629687095</v>
      </c>
      <c r="O97" s="100">
        <v>2860.4538581889215</v>
      </c>
      <c r="P97" s="100">
        <v>7.376750384269668</v>
      </c>
      <c r="Q97" s="100">
        <v>2894.6368507874176</v>
      </c>
      <c r="R97" s="100">
        <v>8.0720171541908066</v>
      </c>
      <c r="S97" s="100">
        <v>3167.4595313044724</v>
      </c>
      <c r="T97" s="100">
        <v>0.59648310243960134</v>
      </c>
      <c r="U97" s="100">
        <v>234.05996939729954</v>
      </c>
      <c r="V97" s="100">
        <v>8.2659306431975352</v>
      </c>
      <c r="W97" s="100">
        <v>3243.5511843907125</v>
      </c>
      <c r="X97" s="100">
        <v>3.4862304303525677</v>
      </c>
      <c r="Y97" s="100">
        <v>1367.9968208703474</v>
      </c>
      <c r="Z97" s="100">
        <v>7.0771371979241851</v>
      </c>
      <c r="AA97" s="100">
        <v>2777.0686364654503</v>
      </c>
      <c r="AB97" s="100">
        <v>8.830502358289813</v>
      </c>
      <c r="AC97" s="100">
        <v>3465.0891253929226</v>
      </c>
      <c r="AD97" s="100">
        <v>7</v>
      </c>
      <c r="AE97" s="100">
        <v>2746.7999999999997</v>
      </c>
      <c r="AF97" s="100">
        <v>8.4225265733534016</v>
      </c>
      <c r="AG97" s="100">
        <v>3304.9994273838747</v>
      </c>
      <c r="AH97" s="100">
        <v>6.953743506263975E-4</v>
      </c>
      <c r="AI97" s="100">
        <v>0.27286489518579837</v>
      </c>
      <c r="AJ97" s="100">
        <v>8.0660787450232547</v>
      </c>
      <c r="AK97" s="100">
        <v>3165.1292995471249</v>
      </c>
      <c r="AL97" s="100">
        <v>6.2967327476585471</v>
      </c>
      <c r="AM97" s="100">
        <v>2470.8379301812138</v>
      </c>
      <c r="AN97" s="100">
        <v>5.7798189466578931</v>
      </c>
      <c r="AO97" s="100">
        <v>2268.0009546685569</v>
      </c>
      <c r="AP97" s="100">
        <v>6.512194966010366</v>
      </c>
      <c r="AQ97" s="100">
        <v>2555.3853046624677</v>
      </c>
      <c r="AR97" s="100">
        <v>6.7863640801467389</v>
      </c>
      <c r="AS97" s="100">
        <v>2662.9692650495804</v>
      </c>
      <c r="AT97" s="100">
        <v>6.2105820869932993</v>
      </c>
      <c r="AU97" s="100">
        <v>2437.0324109361704</v>
      </c>
      <c r="AV97" s="100">
        <v>5.5275793731530962</v>
      </c>
      <c r="AW97" s="100">
        <v>2169.0221460252747</v>
      </c>
      <c r="AX97" s="100">
        <v>6.4840530740074849</v>
      </c>
      <c r="AY97" s="100">
        <v>2544.342426240537</v>
      </c>
      <c r="AZ97" s="100">
        <v>6.8889604126198023</v>
      </c>
      <c r="BA97" s="100">
        <v>2703.2280659120102</v>
      </c>
      <c r="BB97" s="100">
        <v>5.7588247948283557</v>
      </c>
      <c r="BC97" s="100">
        <v>2259.7628494906467</v>
      </c>
      <c r="BD97" s="100">
        <v>7.9052436952472824</v>
      </c>
      <c r="BE97" s="100">
        <v>3102.0176260150333</v>
      </c>
      <c r="BF97" s="100">
        <v>8.0805752969227491</v>
      </c>
      <c r="BG97" s="100">
        <v>3170.8177465124868</v>
      </c>
      <c r="BH97" s="100">
        <v>7.2319242558400454</v>
      </c>
      <c r="BI97" s="100">
        <v>2837.8070779916338</v>
      </c>
      <c r="BJ97" s="100">
        <v>7.8606107923107951</v>
      </c>
      <c r="BK97" s="100">
        <v>3084.5036749027558</v>
      </c>
      <c r="BL97" s="100">
        <v>8.2172211021253236</v>
      </c>
      <c r="BM97" s="100">
        <v>3224.4375604739766</v>
      </c>
      <c r="BN97" s="100">
        <v>6.4782335894880729</v>
      </c>
      <c r="BO97" s="100">
        <v>2542.0588605151197</v>
      </c>
      <c r="BP97" s="100">
        <v>6.0392972981246498</v>
      </c>
      <c r="BQ97" s="100">
        <v>2369.8202597841123</v>
      </c>
      <c r="BR97" s="100">
        <v>6.2823866499032955E-4</v>
      </c>
      <c r="BS97" s="100">
        <v>0.24652085214220529</v>
      </c>
      <c r="BT97" s="100">
        <v>7.0231116036325814</v>
      </c>
      <c r="BU97" s="100">
        <v>2755.8689932654247</v>
      </c>
      <c r="BV97" s="100">
        <v>6.2635894730755783</v>
      </c>
      <c r="BW97" s="100">
        <v>2457.8325092348568</v>
      </c>
      <c r="BX97" s="100">
        <v>7.5475925305486395</v>
      </c>
      <c r="BY97" s="100">
        <v>2961.6753089872859</v>
      </c>
      <c r="BZ97" s="100">
        <v>6.2945836024412891</v>
      </c>
      <c r="CA97" s="100">
        <v>2469.9946055979617</v>
      </c>
      <c r="CB97" s="100">
        <v>6.1027950467505327</v>
      </c>
      <c r="CC97" s="100">
        <v>2394.7367763449088</v>
      </c>
      <c r="CD97" s="100">
        <v>0.56579876652098449</v>
      </c>
      <c r="CE97" s="100">
        <v>222.0194359828343</v>
      </c>
      <c r="CF97" s="100">
        <v>8.250456010252794</v>
      </c>
      <c r="CG97" s="100">
        <v>3237.4789384231963</v>
      </c>
      <c r="CH97" s="100">
        <v>10</v>
      </c>
      <c r="CI97" s="100">
        <v>3924</v>
      </c>
      <c r="CJ97" s="100">
        <v>7</v>
      </c>
      <c r="CK97" s="100">
        <v>2746.7999999999997</v>
      </c>
      <c r="CL97" s="100">
        <v>7.6156376193099131</v>
      </c>
      <c r="CM97" s="100">
        <v>2988.3762018172097</v>
      </c>
      <c r="CN97" s="100">
        <v>6.1718477377395855</v>
      </c>
      <c r="CO97" s="100">
        <v>2421.8330522890133</v>
      </c>
      <c r="CP97" s="100">
        <v>0.51380202702853361</v>
      </c>
      <c r="CQ97" s="100">
        <v>201.61591540599659</v>
      </c>
      <c r="CR97" s="100">
        <v>7.6331867913685869</v>
      </c>
      <c r="CS97" s="100">
        <v>2995.2624969330332</v>
      </c>
      <c r="CT97" s="100">
        <v>7.2884997013220323</v>
      </c>
      <c r="CU97" s="100">
        <v>2860.0072827987651</v>
      </c>
    </row>
    <row r="98" spans="2:99">
      <c r="C98" s="99" t="s">
        <v>264</v>
      </c>
      <c r="D98" s="100">
        <v>9.775807646827225</v>
      </c>
      <c r="E98" s="100">
        <v>5138.1644991723897</v>
      </c>
      <c r="F98" s="100">
        <v>2.7508301236263257</v>
      </c>
      <c r="G98" s="100">
        <v>1445.8363129779968</v>
      </c>
      <c r="H98" s="100">
        <v>7.8640224688304006</v>
      </c>
      <c r="I98" s="100">
        <v>4133.3302096172583</v>
      </c>
      <c r="J98" s="100">
        <v>7</v>
      </c>
      <c r="K98" s="100">
        <v>3679.2000000000003</v>
      </c>
      <c r="L98" s="100">
        <v>1.2174734206332256</v>
      </c>
      <c r="M98" s="100">
        <v>639.90402988482344</v>
      </c>
      <c r="N98" s="100">
        <v>7.9766520215072738</v>
      </c>
      <c r="O98" s="100">
        <v>4192.5283025042236</v>
      </c>
      <c r="P98" s="100">
        <v>8.1521276479457452</v>
      </c>
      <c r="Q98" s="100">
        <v>4284.758291760284</v>
      </c>
      <c r="R98" s="100">
        <v>8.0720171541908066</v>
      </c>
      <c r="S98" s="100">
        <v>4242.6522162426882</v>
      </c>
      <c r="T98" s="100">
        <v>0.53121638324164044</v>
      </c>
      <c r="U98" s="100">
        <v>279.20733103180623</v>
      </c>
      <c r="V98" s="100">
        <v>7.2659306431975352</v>
      </c>
      <c r="W98" s="100">
        <v>3818.9731460646249</v>
      </c>
      <c r="X98" s="100">
        <v>3.9153648981339741</v>
      </c>
      <c r="Y98" s="100">
        <v>2057.9157904592171</v>
      </c>
      <c r="Z98" s="100">
        <v>7.814369748830222</v>
      </c>
      <c r="AA98" s="100">
        <v>4107.2327399851647</v>
      </c>
      <c r="AB98" s="100">
        <v>8.830502358289813</v>
      </c>
      <c r="AC98" s="100">
        <v>4641.3120395171263</v>
      </c>
      <c r="AD98" s="100">
        <v>7</v>
      </c>
      <c r="AE98" s="100">
        <v>3679.2000000000003</v>
      </c>
      <c r="AF98" s="100">
        <v>8.4225265733534016</v>
      </c>
      <c r="AG98" s="100">
        <v>4426.8799669545479</v>
      </c>
      <c r="AH98" s="100">
        <v>6.3671702465020394E-4</v>
      </c>
      <c r="AI98" s="100">
        <v>0.33465846815614719</v>
      </c>
      <c r="AJ98" s="100">
        <v>8.0660787450232547</v>
      </c>
      <c r="AK98" s="100">
        <v>4239.5309883842228</v>
      </c>
      <c r="AL98" s="100">
        <v>6.2967327476585471</v>
      </c>
      <c r="AM98" s="100">
        <v>3309.5627321693323</v>
      </c>
      <c r="AN98" s="100">
        <v>5.9001463153149514</v>
      </c>
      <c r="AO98" s="100">
        <v>3101.1169033295387</v>
      </c>
      <c r="AP98" s="100">
        <v>6.3797407159802439</v>
      </c>
      <c r="AQ98" s="100">
        <v>3353.1917203192165</v>
      </c>
      <c r="AR98" s="100">
        <v>6.089473017862165</v>
      </c>
      <c r="AS98" s="100">
        <v>3200.6270181883542</v>
      </c>
      <c r="AT98" s="100">
        <v>6.1625402621432874</v>
      </c>
      <c r="AU98" s="100">
        <v>3239.0311617825118</v>
      </c>
      <c r="AV98" s="100">
        <v>6.946207206081362</v>
      </c>
      <c r="AW98" s="100">
        <v>3650.9265075163639</v>
      </c>
      <c r="AX98" s="100">
        <v>5.8561753248252417</v>
      </c>
      <c r="AY98" s="100">
        <v>3078.0057507281472</v>
      </c>
      <c r="AZ98" s="100">
        <v>6.2600849715675473</v>
      </c>
      <c r="BA98" s="100">
        <v>3290.3006610559032</v>
      </c>
      <c r="BB98" s="100">
        <v>6.4162038363917828</v>
      </c>
      <c r="BC98" s="100">
        <v>3372.3567364075211</v>
      </c>
      <c r="BD98" s="100">
        <v>7.7860317013060394</v>
      </c>
      <c r="BE98" s="100">
        <v>4092.3382622064546</v>
      </c>
      <c r="BF98" s="100">
        <v>7.5348161074698448</v>
      </c>
      <c r="BG98" s="100">
        <v>3960.2993460861508</v>
      </c>
      <c r="BH98" s="100">
        <v>8.5650028268614857</v>
      </c>
      <c r="BI98" s="100">
        <v>4501.7654857983971</v>
      </c>
      <c r="BJ98" s="100">
        <v>7.2448286350974485</v>
      </c>
      <c r="BK98" s="100">
        <v>3807.8819306072191</v>
      </c>
      <c r="BL98" s="100">
        <v>8.3150071019507941</v>
      </c>
      <c r="BM98" s="100">
        <v>4370.3677327853375</v>
      </c>
      <c r="BN98" s="100">
        <v>6.5417344513286508</v>
      </c>
      <c r="BO98" s="100">
        <v>3438.335627618339</v>
      </c>
      <c r="BP98" s="100">
        <v>6.1581634731933503</v>
      </c>
      <c r="BQ98" s="100">
        <v>3236.7307215104252</v>
      </c>
      <c r="BR98" s="100">
        <v>6.2823866499032955E-4</v>
      </c>
      <c r="BS98" s="100">
        <v>0.33020224231891721</v>
      </c>
      <c r="BT98" s="100">
        <v>6.384662499710827</v>
      </c>
      <c r="BU98" s="100">
        <v>3355.778609848011</v>
      </c>
      <c r="BV98" s="100">
        <v>6.1664558539973413</v>
      </c>
      <c r="BW98" s="100">
        <v>3241.0891968610026</v>
      </c>
      <c r="BX98" s="100">
        <v>6.600224054458919</v>
      </c>
      <c r="BY98" s="100">
        <v>3469.077763023608</v>
      </c>
      <c r="BZ98" s="100">
        <v>6.7717068828287852</v>
      </c>
      <c r="CA98" s="100">
        <v>3559.2091376148096</v>
      </c>
      <c r="CB98" s="100">
        <v>5.9982352429142658</v>
      </c>
      <c r="CC98" s="100">
        <v>3152.6724436757381</v>
      </c>
      <c r="CD98" s="100">
        <v>0.64497654729236731</v>
      </c>
      <c r="CE98" s="100">
        <v>338.99967325686828</v>
      </c>
      <c r="CF98" s="100">
        <v>8.250456010252794</v>
      </c>
      <c r="CG98" s="100">
        <v>4336.4396789888688</v>
      </c>
      <c r="CH98" s="100">
        <v>9</v>
      </c>
      <c r="CI98" s="100">
        <v>4730.4000000000005</v>
      </c>
      <c r="CJ98" s="100">
        <v>7</v>
      </c>
      <c r="CK98" s="100">
        <v>3679.2000000000003</v>
      </c>
      <c r="CL98" s="100">
        <v>8.1630362330722299</v>
      </c>
      <c r="CM98" s="100">
        <v>4290.4918441027639</v>
      </c>
      <c r="CN98" s="100">
        <v>5.3908509659935415</v>
      </c>
      <c r="CO98" s="100">
        <v>2833.4312677262055</v>
      </c>
      <c r="CP98" s="100">
        <v>0.51456049501233947</v>
      </c>
      <c r="CQ98" s="100">
        <v>270.45299617848565</v>
      </c>
      <c r="CR98" s="100">
        <v>6.2795845184753984</v>
      </c>
      <c r="CS98" s="100">
        <v>3300.5496229106698</v>
      </c>
      <c r="CT98" s="100">
        <v>8.3433824298651835</v>
      </c>
      <c r="CU98" s="100">
        <v>4385.2818051371405</v>
      </c>
    </row>
    <row r="99" spans="2:99">
      <c r="C99" s="99" t="s">
        <v>265</v>
      </c>
      <c r="D99" s="100">
        <v>7.7758076468272259</v>
      </c>
      <c r="E99" s="100">
        <v>32723.708900907695</v>
      </c>
      <c r="F99" s="100">
        <v>2.0818247153378078</v>
      </c>
      <c r="G99" s="100">
        <v>8761.1511320276295</v>
      </c>
      <c r="H99" s="100">
        <v>6.8640224688304006</v>
      </c>
      <c r="I99" s="100">
        <v>28886.552157825856</v>
      </c>
      <c r="J99" s="100">
        <v>5</v>
      </c>
      <c r="K99" s="100">
        <v>21042</v>
      </c>
      <c r="L99" s="100">
        <v>1.0406512623853226</v>
      </c>
      <c r="M99" s="100">
        <v>4379.4767726223909</v>
      </c>
      <c r="N99" s="100">
        <v>4.9158820614140035</v>
      </c>
      <c r="O99" s="100">
        <v>20687.998067254692</v>
      </c>
      <c r="P99" s="100">
        <v>5.693210853189191</v>
      </c>
      <c r="Q99" s="100">
        <v>23959.30855456139</v>
      </c>
      <c r="R99" s="100">
        <v>5.2866536770617465</v>
      </c>
      <c r="S99" s="100">
        <v>22248.353334546653</v>
      </c>
      <c r="T99" s="100">
        <v>0.39820586402991326</v>
      </c>
      <c r="U99" s="100">
        <v>1675.8095581834868</v>
      </c>
      <c r="V99" s="100">
        <v>5.2216088693312788</v>
      </c>
      <c r="W99" s="100">
        <v>21974.618765693751</v>
      </c>
      <c r="X99" s="100">
        <v>2.1855383549830196</v>
      </c>
      <c r="Y99" s="100">
        <v>9197.6196131105389</v>
      </c>
      <c r="Z99" s="100">
        <v>5.3416482709076663</v>
      </c>
      <c r="AA99" s="100">
        <v>22479.792583287821</v>
      </c>
      <c r="AB99" s="100">
        <v>6.830502358289813</v>
      </c>
      <c r="AC99" s="100">
        <v>28745.486124626848</v>
      </c>
      <c r="AD99" s="100">
        <v>5</v>
      </c>
      <c r="AE99" s="100">
        <v>21042</v>
      </c>
      <c r="AF99" s="100">
        <v>5.8957686013473811</v>
      </c>
      <c r="AG99" s="100">
        <v>24811.752581910318</v>
      </c>
      <c r="AH99" s="100">
        <v>4.4934873651974409E-4</v>
      </c>
      <c r="AI99" s="100">
        <v>1.8910392227696908</v>
      </c>
      <c r="AJ99" s="100">
        <v>5.6462984994614711</v>
      </c>
      <c r="AK99" s="100">
        <v>23761.882605133655</v>
      </c>
      <c r="AL99" s="100">
        <v>4.6116790206580225</v>
      </c>
      <c r="AM99" s="100">
        <v>19407.789990537221</v>
      </c>
      <c r="AN99" s="100">
        <v>4.971320149800631</v>
      </c>
      <c r="AO99" s="100">
        <v>20921.303718420975</v>
      </c>
      <c r="AP99" s="100">
        <v>4.0418594250695259</v>
      </c>
      <c r="AQ99" s="100">
        <v>17009.761204462593</v>
      </c>
      <c r="AR99" s="100">
        <v>4.4534437769189879</v>
      </c>
      <c r="AS99" s="100">
        <v>18741.872790785867</v>
      </c>
      <c r="AT99" s="100">
        <v>4.4193486927147543</v>
      </c>
      <c r="AU99" s="100">
        <v>18598.387038420769</v>
      </c>
      <c r="AV99" s="100">
        <v>5.5637063674280141</v>
      </c>
      <c r="AW99" s="100">
        <v>23414.301876684051</v>
      </c>
      <c r="AX99" s="100">
        <v>4.9152194869538119</v>
      </c>
      <c r="AY99" s="100">
        <v>20685.209688896419</v>
      </c>
      <c r="AZ99" s="100">
        <v>4.7522018920726703</v>
      </c>
      <c r="BA99" s="100">
        <v>19999.166442598624</v>
      </c>
      <c r="BB99" s="100">
        <v>4.3298864143643989</v>
      </c>
      <c r="BC99" s="100">
        <v>18221.893986211137</v>
      </c>
      <c r="BD99" s="100">
        <v>5.7720945745555818</v>
      </c>
      <c r="BE99" s="100">
        <v>24291.28280755971</v>
      </c>
      <c r="BF99" s="100">
        <v>5.3509005883372369</v>
      </c>
      <c r="BG99" s="100">
        <v>22518.730035958426</v>
      </c>
      <c r="BH99" s="100">
        <v>6.0988614543743509</v>
      </c>
      <c r="BI99" s="100">
        <v>25666.448544589017</v>
      </c>
      <c r="BJ99" s="100">
        <v>5.7958629080779582</v>
      </c>
      <c r="BK99" s="100">
        <v>24391.309462355279</v>
      </c>
      <c r="BL99" s="100">
        <v>5.2974554470321253</v>
      </c>
      <c r="BM99" s="100">
        <v>22293.811503289995</v>
      </c>
      <c r="BN99" s="100">
        <v>4.7039323841341361</v>
      </c>
      <c r="BO99" s="100">
        <v>19796.029045390096</v>
      </c>
      <c r="BP99" s="100">
        <v>4.4496308415961217</v>
      </c>
      <c r="BQ99" s="100">
        <v>18725.826433773116</v>
      </c>
      <c r="BR99" s="100">
        <v>5.2353222082527468E-4</v>
      </c>
      <c r="BS99" s="100">
        <v>2.2032329981210856</v>
      </c>
      <c r="BT99" s="100">
        <v>5.1077397975111332</v>
      </c>
      <c r="BU99" s="100">
        <v>21495.412163845849</v>
      </c>
      <c r="BV99" s="100">
        <v>4.9105939446572275</v>
      </c>
      <c r="BW99" s="100">
        <v>20665.743556695474</v>
      </c>
      <c r="BX99" s="100">
        <v>4.4947500196488033</v>
      </c>
      <c r="BY99" s="100">
        <v>18915.705982690022</v>
      </c>
      <c r="BZ99" s="100">
        <v>4.4823760616372192</v>
      </c>
      <c r="CA99" s="100">
        <v>18863.631417794073</v>
      </c>
      <c r="CB99" s="100">
        <v>3.8795967816167507</v>
      </c>
      <c r="CC99" s="100">
        <v>16326.895095755932</v>
      </c>
      <c r="CD99" s="100">
        <v>0.48373241046927556</v>
      </c>
      <c r="CE99" s="100">
        <v>2035.7394762188992</v>
      </c>
      <c r="CF99" s="100">
        <v>7.2191490089711952</v>
      </c>
      <c r="CG99" s="100">
        <v>30381.066689354375</v>
      </c>
      <c r="CH99" s="100">
        <v>7</v>
      </c>
      <c r="CI99" s="100">
        <v>29458.799999999996</v>
      </c>
      <c r="CJ99" s="100">
        <v>5</v>
      </c>
      <c r="CK99" s="100">
        <v>21042</v>
      </c>
      <c r="CL99" s="100">
        <v>5.4420241553814872</v>
      </c>
      <c r="CM99" s="100">
        <v>22902.214455507448</v>
      </c>
      <c r="CN99" s="100">
        <v>4.4936042219624284</v>
      </c>
      <c r="CO99" s="100">
        <v>18910.884007706682</v>
      </c>
      <c r="CP99" s="100">
        <v>0.44900792266211248</v>
      </c>
      <c r="CQ99" s="100">
        <v>1889.604941731234</v>
      </c>
      <c r="CR99" s="100">
        <v>5.560922428594127</v>
      </c>
      <c r="CS99" s="100">
        <v>23402.585948495522</v>
      </c>
      <c r="CT99" s="100">
        <v>5.8235080915831015</v>
      </c>
      <c r="CU99" s="100">
        <v>24507.651452618324</v>
      </c>
    </row>
    <row r="100" spans="2:99">
      <c r="C100" s="99" t="s">
        <v>266</v>
      </c>
      <c r="D100" s="100">
        <v>9.9051089212984298</v>
      </c>
      <c r="E100" s="100">
        <v>3209.2552905006914</v>
      </c>
      <c r="F100" s="100">
        <v>3.07785197872336</v>
      </c>
      <c r="G100" s="100">
        <v>997.22404110636865</v>
      </c>
      <c r="H100" s="100">
        <v>9.0368269625964803</v>
      </c>
      <c r="I100" s="100">
        <v>2927.9319358812595</v>
      </c>
      <c r="J100" s="100">
        <v>7</v>
      </c>
      <c r="K100" s="100">
        <v>2268</v>
      </c>
      <c r="L100" s="100">
        <v>1.5575966123943012</v>
      </c>
      <c r="M100" s="100">
        <v>504.6613024157536</v>
      </c>
      <c r="N100" s="100">
        <v>6.5424880563996952</v>
      </c>
      <c r="O100" s="100">
        <v>2119.7661302735014</v>
      </c>
      <c r="P100" s="100">
        <v>6.6289241172637041</v>
      </c>
      <c r="Q100" s="100">
        <v>2147.7714139934401</v>
      </c>
      <c r="R100" s="100">
        <v>8.5571085598312653</v>
      </c>
      <c r="S100" s="100">
        <v>2772.5031733853298</v>
      </c>
      <c r="T100" s="100">
        <v>0.53039068963637193</v>
      </c>
      <c r="U100" s="100">
        <v>171.84658344218451</v>
      </c>
      <c r="V100" s="100">
        <v>7.2659306431975352</v>
      </c>
      <c r="W100" s="100">
        <v>2354.1615283960014</v>
      </c>
      <c r="X100" s="100">
        <v>3.0537737945648291</v>
      </c>
      <c r="Y100" s="100">
        <v>989.42270943900462</v>
      </c>
      <c r="Z100" s="100">
        <v>7.814369748830222</v>
      </c>
      <c r="AA100" s="100">
        <v>2531.8557986209921</v>
      </c>
      <c r="AB100" s="100">
        <v>9.9689194180047824</v>
      </c>
      <c r="AC100" s="100">
        <v>3229.9298914335495</v>
      </c>
      <c r="AD100" s="100">
        <v>8</v>
      </c>
      <c r="AE100" s="100">
        <v>2592</v>
      </c>
      <c r="AF100" s="100">
        <v>7.5802739160180606</v>
      </c>
      <c r="AG100" s="100">
        <v>2456.0087487898518</v>
      </c>
      <c r="AH100" s="100">
        <v>5.7578043663363454E-4</v>
      </c>
      <c r="AI100" s="100">
        <v>0.18655286146929759</v>
      </c>
      <c r="AJ100" s="100">
        <v>7.2594965634635935</v>
      </c>
      <c r="AK100" s="100">
        <v>2352.0768865622044</v>
      </c>
      <c r="AL100" s="100">
        <v>6.2967327476585471</v>
      </c>
      <c r="AM100" s="100">
        <v>2040.1414102413692</v>
      </c>
      <c r="AN100" s="100">
        <v>6.5883177435151561</v>
      </c>
      <c r="AO100" s="100">
        <v>2134.6149488989104</v>
      </c>
      <c r="AP100" s="100">
        <v>5.8646424867781679</v>
      </c>
      <c r="AQ100" s="100">
        <v>1900.1441657161265</v>
      </c>
      <c r="AR100" s="100">
        <v>6.6652405219597233</v>
      </c>
      <c r="AS100" s="100">
        <v>2159.5379291149502</v>
      </c>
      <c r="AT100" s="100">
        <v>6.0926467311914498</v>
      </c>
      <c r="AU100" s="100">
        <v>1974.0175409060298</v>
      </c>
      <c r="AV100" s="100">
        <v>7.6671538637883829</v>
      </c>
      <c r="AW100" s="100">
        <v>2484.157851867436</v>
      </c>
      <c r="AX100" s="100">
        <v>7.3206495489825185</v>
      </c>
      <c r="AY100" s="100">
        <v>2371.8904538703359</v>
      </c>
      <c r="AZ100" s="100">
        <v>6.2557690628070821</v>
      </c>
      <c r="BA100" s="100">
        <v>2026.8691763494946</v>
      </c>
      <c r="BB100" s="100">
        <v>5.2186997567046998</v>
      </c>
      <c r="BC100" s="100">
        <v>1690.8587211723227</v>
      </c>
      <c r="BD100" s="100">
        <v>7.233931319663796</v>
      </c>
      <c r="BE100" s="100">
        <v>2343.7937475710701</v>
      </c>
      <c r="BF100" s="100">
        <v>8.0805752969227491</v>
      </c>
      <c r="BG100" s="100">
        <v>2618.1063962029707</v>
      </c>
      <c r="BH100" s="100">
        <v>9.131534227594333</v>
      </c>
      <c r="BI100" s="100">
        <v>2958.6170897405641</v>
      </c>
      <c r="BJ100" s="100">
        <v>7.7519100860143979</v>
      </c>
      <c r="BK100" s="100">
        <v>2511.6188678686649</v>
      </c>
      <c r="BL100" s="100">
        <v>8.4127931017762645</v>
      </c>
      <c r="BM100" s="100">
        <v>2725.7449649755099</v>
      </c>
      <c r="BN100" s="100">
        <v>6.6758241367032962</v>
      </c>
      <c r="BO100" s="100">
        <v>2162.9670202918678</v>
      </c>
      <c r="BP100" s="100">
        <v>6.0392972981246498</v>
      </c>
      <c r="BQ100" s="100">
        <v>1956.7323245923865</v>
      </c>
      <c r="BR100" s="100">
        <v>6.2823866499032955E-4</v>
      </c>
      <c r="BS100" s="100">
        <v>0.20354932745686677</v>
      </c>
      <c r="BT100" s="100">
        <v>7.0231116036325814</v>
      </c>
      <c r="BU100" s="100">
        <v>2275.4881595769561</v>
      </c>
      <c r="BV100" s="100">
        <v>6.7239463208177117</v>
      </c>
      <c r="BW100" s="100">
        <v>2178.5586079449386</v>
      </c>
      <c r="BX100" s="100">
        <v>6.8449049930236301</v>
      </c>
      <c r="BY100" s="100">
        <v>2217.7492177396562</v>
      </c>
      <c r="BZ100" s="100">
        <v>6.8669163077391797</v>
      </c>
      <c r="CA100" s="100">
        <v>2224.8808837074944</v>
      </c>
      <c r="CB100" s="100">
        <v>5.3268756904271832</v>
      </c>
      <c r="CC100" s="100">
        <v>1725.9077236984074</v>
      </c>
      <c r="CD100" s="100">
        <v>0.64497654729236731</v>
      </c>
      <c r="CE100" s="100">
        <v>208.97240132272699</v>
      </c>
      <c r="CF100" s="100">
        <v>8.250456010252794</v>
      </c>
      <c r="CG100" s="100">
        <v>2673.1477473219052</v>
      </c>
      <c r="CH100" s="100">
        <v>10</v>
      </c>
      <c r="CI100" s="100">
        <v>3240</v>
      </c>
      <c r="CJ100" s="100">
        <v>7</v>
      </c>
      <c r="CK100" s="100">
        <v>2268</v>
      </c>
      <c r="CL100" s="100">
        <v>8.2958906387325992</v>
      </c>
      <c r="CM100" s="100">
        <v>2687.868566949362</v>
      </c>
      <c r="CN100" s="100">
        <v>5.3945362168969746</v>
      </c>
      <c r="CO100" s="100">
        <v>1747.8297342746198</v>
      </c>
      <c r="CP100" s="100">
        <v>0.51304355904472765</v>
      </c>
      <c r="CQ100" s="100">
        <v>166.22611313049177</v>
      </c>
      <c r="CR100" s="100">
        <v>7.6122563146512485</v>
      </c>
      <c r="CS100" s="100">
        <v>2466.3710459470044</v>
      </c>
      <c r="CT100" s="100">
        <v>7.7646774554441365</v>
      </c>
      <c r="CU100" s="100">
        <v>2515.7554955639002</v>
      </c>
    </row>
    <row r="101" spans="2:99">
      <c r="C101" s="99" t="s">
        <v>267</v>
      </c>
      <c r="D101" s="100">
        <v>10.775807646827225</v>
      </c>
      <c r="E101" s="100">
        <v>7797.3744132441807</v>
      </c>
      <c r="F101" s="100">
        <v>3.07785197872336</v>
      </c>
      <c r="G101" s="100">
        <v>2227.1336918042234</v>
      </c>
      <c r="H101" s="100">
        <v>9.0368269625964803</v>
      </c>
      <c r="I101" s="100">
        <v>6539.0479901348135</v>
      </c>
      <c r="J101" s="100">
        <v>7</v>
      </c>
      <c r="K101" s="100">
        <v>5065.2</v>
      </c>
      <c r="L101" s="100">
        <v>1.380774454146398</v>
      </c>
      <c r="M101" s="100">
        <v>999.12839502033364</v>
      </c>
      <c r="N101" s="100">
        <v>7.2896377629687095</v>
      </c>
      <c r="O101" s="100">
        <v>5274.7818852841583</v>
      </c>
      <c r="P101" s="100">
        <v>6.5349806187294295</v>
      </c>
      <c r="Q101" s="100">
        <v>4728.7119757126156</v>
      </c>
      <c r="R101" s="100">
        <v>6.5149037360229025</v>
      </c>
      <c r="S101" s="100">
        <v>4714.1843433861723</v>
      </c>
      <c r="T101" s="100">
        <v>0.59648310243960134</v>
      </c>
      <c r="U101" s="100">
        <v>431.61517292529555</v>
      </c>
      <c r="V101" s="100">
        <v>7.2216088693312788</v>
      </c>
      <c r="W101" s="100">
        <v>5225.5561778481133</v>
      </c>
      <c r="X101" s="100">
        <v>3.4829082623462355</v>
      </c>
      <c r="Y101" s="100">
        <v>2520.232418633736</v>
      </c>
      <c r="Z101" s="100">
        <v>6.9459582028568354</v>
      </c>
      <c r="AA101" s="100">
        <v>5026.0953555872065</v>
      </c>
      <c r="AB101" s="100">
        <v>9.9689194180047824</v>
      </c>
      <c r="AC101" s="100">
        <v>7213.5100908682607</v>
      </c>
      <c r="AD101" s="100">
        <v>7</v>
      </c>
      <c r="AE101" s="100">
        <v>5065.2</v>
      </c>
      <c r="AF101" s="100">
        <v>8.4225265733534016</v>
      </c>
      <c r="AG101" s="100">
        <v>6094.5402284785214</v>
      </c>
      <c r="AH101" s="100">
        <v>6.9993287470714906E-4</v>
      </c>
      <c r="AI101" s="100">
        <v>0.50647142813809309</v>
      </c>
      <c r="AJ101" s="100">
        <v>7.2595264059355102</v>
      </c>
      <c r="AK101" s="100">
        <v>5252.9933073349357</v>
      </c>
      <c r="AL101" s="100">
        <v>6.2995808142739227</v>
      </c>
      <c r="AM101" s="100">
        <v>4558.376677208611</v>
      </c>
      <c r="AN101" s="100">
        <v>5.7798189466578931</v>
      </c>
      <c r="AO101" s="100">
        <v>4182.2769898016513</v>
      </c>
      <c r="AP101" s="100">
        <v>6.3808101644183646</v>
      </c>
      <c r="AQ101" s="100">
        <v>4617.154234973129</v>
      </c>
      <c r="AR101" s="100">
        <v>6.9074876383337545</v>
      </c>
      <c r="AS101" s="100">
        <v>4998.2580550983048</v>
      </c>
      <c r="AT101" s="100">
        <v>6.0878425487064494</v>
      </c>
      <c r="AU101" s="100">
        <v>4405.1628682439868</v>
      </c>
      <c r="AV101" s="100">
        <v>6.6411195795542701</v>
      </c>
      <c r="AW101" s="100">
        <v>4805.5141277654702</v>
      </c>
      <c r="AX101" s="100">
        <v>6.5884124369038801</v>
      </c>
      <c r="AY101" s="100">
        <v>4767.375239343648</v>
      </c>
      <c r="AZ101" s="100">
        <v>7.0118685569347523</v>
      </c>
      <c r="BA101" s="100">
        <v>5073.7880877979869</v>
      </c>
      <c r="BB101" s="100">
        <v>5.876078798268126</v>
      </c>
      <c r="BC101" s="100">
        <v>4251.9306184268162</v>
      </c>
      <c r="BD101" s="100">
        <v>7.7860317013060394</v>
      </c>
      <c r="BE101" s="100">
        <v>5633.9725390650501</v>
      </c>
      <c r="BF101" s="100">
        <v>6.6610741475526023</v>
      </c>
      <c r="BG101" s="100">
        <v>4819.9532531690629</v>
      </c>
      <c r="BH101" s="100">
        <v>7.3319321406179183</v>
      </c>
      <c r="BI101" s="100">
        <v>5305.3860969511261</v>
      </c>
      <c r="BJ101" s="100">
        <v>7.1361279288010504</v>
      </c>
      <c r="BK101" s="100">
        <v>5163.7021692804401</v>
      </c>
      <c r="BL101" s="100">
        <v>7.652825171071779</v>
      </c>
      <c r="BM101" s="100">
        <v>5537.5842937875395</v>
      </c>
      <c r="BN101" s="100">
        <v>6.4076447659540055</v>
      </c>
      <c r="BO101" s="100">
        <v>4636.5717526443186</v>
      </c>
      <c r="BP101" s="100">
        <v>5.4821964199977851</v>
      </c>
      <c r="BQ101" s="100">
        <v>3966.9173295103974</v>
      </c>
      <c r="BR101" s="100">
        <v>6.2823866499032955E-4</v>
      </c>
      <c r="BS101" s="100">
        <v>0.45459349798700249</v>
      </c>
      <c r="BT101" s="100">
        <v>7.0231116036325814</v>
      </c>
      <c r="BU101" s="100">
        <v>5081.9235563885359</v>
      </c>
      <c r="BV101" s="100">
        <v>6.8167052042338341</v>
      </c>
      <c r="BW101" s="100">
        <v>4932.5678857836028</v>
      </c>
      <c r="BX101" s="100">
        <v>6.7255845311336717</v>
      </c>
      <c r="BY101" s="100">
        <v>4866.6329667283253</v>
      </c>
      <c r="BZ101" s="100">
        <v>6.2945836024412891</v>
      </c>
      <c r="CA101" s="100">
        <v>4554.7606947265167</v>
      </c>
      <c r="CB101" s="100">
        <v>5.4314354942634511</v>
      </c>
      <c r="CC101" s="100">
        <v>3930.1867236490334</v>
      </c>
      <c r="CD101" s="100">
        <v>0.56483590809420914</v>
      </c>
      <c r="CE101" s="100">
        <v>408.71526309696975</v>
      </c>
      <c r="CF101" s="100">
        <v>8.250456010252794</v>
      </c>
      <c r="CG101" s="100">
        <v>5970.0299690189222</v>
      </c>
      <c r="CH101" s="100">
        <v>9</v>
      </c>
      <c r="CI101" s="100">
        <v>6512.4000000000005</v>
      </c>
      <c r="CJ101" s="100">
        <v>8</v>
      </c>
      <c r="CK101" s="100">
        <v>5788.8</v>
      </c>
      <c r="CL101" s="100">
        <v>7.4827832136495447</v>
      </c>
      <c r="CM101" s="100">
        <v>5414.5419333968111</v>
      </c>
      <c r="CN101" s="100">
        <v>6.1755329886430186</v>
      </c>
      <c r="CO101" s="100">
        <v>4468.6156705820886</v>
      </c>
      <c r="CP101" s="100">
        <v>0.51380202702853361</v>
      </c>
      <c r="CQ101" s="100">
        <v>371.78714675784693</v>
      </c>
      <c r="CR101" s="100">
        <v>6.9354551782046547</v>
      </c>
      <c r="CS101" s="100">
        <v>5018.4953669488887</v>
      </c>
      <c r="CT101" s="100">
        <v>7.6979622781444617</v>
      </c>
      <c r="CU101" s="100">
        <v>5570.2455044653325</v>
      </c>
    </row>
    <row r="102" spans="2:99">
      <c r="C102" s="99" t="s">
        <v>268</v>
      </c>
      <c r="D102" s="100">
        <v>10.90510892129843</v>
      </c>
      <c r="E102" s="100">
        <v>5797.1559025622455</v>
      </c>
      <c r="F102" s="100">
        <v>2.9431966958733025</v>
      </c>
      <c r="G102" s="100">
        <v>1564.6033635262477</v>
      </c>
      <c r="H102" s="100">
        <v>8.8640224688304006</v>
      </c>
      <c r="I102" s="100">
        <v>4712.1143444302415</v>
      </c>
      <c r="J102" s="100">
        <v>7</v>
      </c>
      <c r="K102" s="100">
        <v>3721.2000000000003</v>
      </c>
      <c r="L102" s="100">
        <v>1.3942955788811286</v>
      </c>
      <c r="M102" s="100">
        <v>741.20752973320805</v>
      </c>
      <c r="N102" s="100">
        <v>7.2295023149382587</v>
      </c>
      <c r="O102" s="100">
        <v>3843.2034306211785</v>
      </c>
      <c r="P102" s="100">
        <v>8.1521276479457452</v>
      </c>
      <c r="Q102" s="100">
        <v>4333.6710576479582</v>
      </c>
      <c r="R102" s="100">
        <v>7.4846111900728358</v>
      </c>
      <c r="S102" s="100">
        <v>3978.8193086427195</v>
      </c>
      <c r="T102" s="100">
        <v>0.59648310243960134</v>
      </c>
      <c r="U102" s="100">
        <v>317.09041725689207</v>
      </c>
      <c r="V102" s="100">
        <v>7.2659306431975352</v>
      </c>
      <c r="W102" s="100">
        <v>3862.5687299238098</v>
      </c>
      <c r="X102" s="100">
        <v>3.4829082623462355</v>
      </c>
      <c r="Y102" s="100">
        <v>1851.514032263259</v>
      </c>
      <c r="Z102" s="100">
        <v>7.6845249186931257</v>
      </c>
      <c r="AA102" s="100">
        <v>4085.0934467772659</v>
      </c>
      <c r="AB102" s="100">
        <v>8.9689194180047824</v>
      </c>
      <c r="AC102" s="100">
        <v>4767.8775626113429</v>
      </c>
      <c r="AD102" s="100">
        <v>7</v>
      </c>
      <c r="AE102" s="100">
        <v>3721.2000000000003</v>
      </c>
      <c r="AF102" s="100">
        <v>7.5802739160180606</v>
      </c>
      <c r="AG102" s="100">
        <v>4029.6736137552011</v>
      </c>
      <c r="AH102" s="100">
        <v>5.735011745932586E-4</v>
      </c>
      <c r="AI102" s="100">
        <v>0.30487322441377629</v>
      </c>
      <c r="AJ102" s="100">
        <v>7.2594965634635935</v>
      </c>
      <c r="AK102" s="100">
        <v>3859.1483731372464</v>
      </c>
      <c r="AL102" s="100">
        <v>6.1900435751961655</v>
      </c>
      <c r="AM102" s="100">
        <v>3290.6271645742818</v>
      </c>
      <c r="AN102" s="100">
        <v>5.9001463153149514</v>
      </c>
      <c r="AO102" s="100">
        <v>3136.5177812214283</v>
      </c>
      <c r="AP102" s="100">
        <v>5.7332576851861674</v>
      </c>
      <c r="AQ102" s="100">
        <v>3047.7997854449668</v>
      </c>
      <c r="AR102" s="100">
        <v>6.6652405219597233</v>
      </c>
      <c r="AS102" s="100">
        <v>3543.241861473789</v>
      </c>
      <c r="AT102" s="100">
        <v>5.4003560714224577</v>
      </c>
      <c r="AU102" s="100">
        <v>2870.8292875681786</v>
      </c>
      <c r="AV102" s="100">
        <v>5.5275793731530962</v>
      </c>
      <c r="AW102" s="100">
        <v>2938.461194768186</v>
      </c>
      <c r="AX102" s="100">
        <v>6.5884124369038801</v>
      </c>
      <c r="AY102" s="100">
        <v>3502.400051458103</v>
      </c>
      <c r="AZ102" s="100">
        <v>6.7746840858257826</v>
      </c>
      <c r="BA102" s="100">
        <v>3601.4220600249864</v>
      </c>
      <c r="BB102" s="100">
        <v>6.2989498329520126</v>
      </c>
      <c r="BC102" s="100">
        <v>3348.5217311972901</v>
      </c>
      <c r="BD102" s="100">
        <v>7.7860317013060394</v>
      </c>
      <c r="BE102" s="100">
        <v>4139.0544524142906</v>
      </c>
      <c r="BF102" s="100">
        <v>6.7704017377073837</v>
      </c>
      <c r="BG102" s="100">
        <v>3599.1455637652452</v>
      </c>
      <c r="BH102" s="100">
        <v>7.8984635413507656</v>
      </c>
      <c r="BI102" s="100">
        <v>4198.8232185820671</v>
      </c>
      <c r="BJ102" s="100">
        <v>7.6432093797179999</v>
      </c>
      <c r="BK102" s="100">
        <v>4063.1301062580887</v>
      </c>
      <c r="BL102" s="100">
        <v>7.2840012396691725</v>
      </c>
      <c r="BM102" s="100">
        <v>3872.1750590081324</v>
      </c>
      <c r="BN102" s="100">
        <v>6.5364427128419367</v>
      </c>
      <c r="BO102" s="100">
        <v>3474.7729461467738</v>
      </c>
      <c r="BP102" s="100">
        <v>5.4821964199977851</v>
      </c>
      <c r="BQ102" s="100">
        <v>2914.3356168708228</v>
      </c>
      <c r="BR102" s="100">
        <v>5.7588544290780217E-4</v>
      </c>
      <c r="BS102" s="100">
        <v>0.30614070144978767</v>
      </c>
      <c r="BT102" s="100">
        <v>7.0230871092763989</v>
      </c>
      <c r="BU102" s="100">
        <v>3733.4731072913337</v>
      </c>
      <c r="BV102" s="100">
        <v>7.2770620519759666</v>
      </c>
      <c r="BW102" s="100">
        <v>3868.4861868304238</v>
      </c>
      <c r="BX102" s="100">
        <v>6.0198769862162642</v>
      </c>
      <c r="BY102" s="100">
        <v>3200.1666058725664</v>
      </c>
      <c r="BZ102" s="100">
        <v>6.8669163077391797</v>
      </c>
      <c r="CA102" s="100">
        <v>3650.4527091941482</v>
      </c>
      <c r="CB102" s="100">
        <v>5.9982352429142658</v>
      </c>
      <c r="CC102" s="100">
        <v>3188.661855133224</v>
      </c>
      <c r="CD102" s="100">
        <v>0.56483590809420914</v>
      </c>
      <c r="CE102" s="100">
        <v>300.2667687428816</v>
      </c>
      <c r="CF102" s="100">
        <v>9.250456010252794</v>
      </c>
      <c r="CG102" s="100">
        <v>4917.5424150503859</v>
      </c>
      <c r="CH102" s="100">
        <v>9</v>
      </c>
      <c r="CI102" s="100">
        <v>4784.4000000000005</v>
      </c>
      <c r="CJ102" s="100">
        <v>8</v>
      </c>
      <c r="CK102" s="100">
        <v>4252.8</v>
      </c>
      <c r="CL102" s="100">
        <v>7.6156376193099131</v>
      </c>
      <c r="CM102" s="100">
        <v>4048.47295842515</v>
      </c>
      <c r="CN102" s="100">
        <v>6.1718477377395855</v>
      </c>
      <c r="CO102" s="100">
        <v>3280.9542573823637</v>
      </c>
      <c r="CP102" s="100">
        <v>0.51380202702853361</v>
      </c>
      <c r="CQ102" s="100">
        <v>273.13715756836848</v>
      </c>
      <c r="CR102" s="100">
        <v>7.6541172680859253</v>
      </c>
      <c r="CS102" s="100">
        <v>4068.9287397144781</v>
      </c>
      <c r="CT102" s="100">
        <v>7.1192573037234137</v>
      </c>
      <c r="CU102" s="100">
        <v>3784.5971826593668</v>
      </c>
    </row>
    <row r="103" spans="2:99">
      <c r="C103" s="99" t="s">
        <v>269</v>
      </c>
      <c r="D103" s="100">
        <v>9.9051089212984298</v>
      </c>
      <c r="E103" s="100">
        <v>5836.0901764290338</v>
      </c>
      <c r="F103" s="100">
        <v>2.9431966958733025</v>
      </c>
      <c r="G103" s="100">
        <v>1734.1314932085495</v>
      </c>
      <c r="H103" s="100">
        <v>10.03682696259648</v>
      </c>
      <c r="I103" s="100">
        <v>5913.6984463618455</v>
      </c>
      <c r="J103" s="100">
        <v>6</v>
      </c>
      <c r="K103" s="100">
        <v>3535.2</v>
      </c>
      <c r="L103" s="100">
        <v>1.3875350165137632</v>
      </c>
      <c r="M103" s="100">
        <v>817.53563172990914</v>
      </c>
      <c r="N103" s="100">
        <v>6.4814267863856472</v>
      </c>
      <c r="O103" s="100">
        <v>3818.8566625384228</v>
      </c>
      <c r="P103" s="100">
        <v>7.376750384269668</v>
      </c>
      <c r="Q103" s="100">
        <v>4346.381326411688</v>
      </c>
      <c r="R103" s="100">
        <v>8.0720171541908066</v>
      </c>
      <c r="S103" s="100">
        <v>4756.0325072492224</v>
      </c>
      <c r="T103" s="100">
        <v>0.53039068963637193</v>
      </c>
      <c r="U103" s="100">
        <v>312.50619433375033</v>
      </c>
      <c r="V103" s="100">
        <v>8.2216088693312788</v>
      </c>
      <c r="W103" s="100">
        <v>4844.1719458099888</v>
      </c>
      <c r="X103" s="100">
        <v>3.4829082623462355</v>
      </c>
      <c r="Y103" s="100">
        <v>2052.1295481744019</v>
      </c>
      <c r="Z103" s="100">
        <v>7.0771371979241851</v>
      </c>
      <c r="AA103" s="100">
        <v>4169.8492370169297</v>
      </c>
      <c r="AB103" s="100">
        <v>8.830502358289813</v>
      </c>
      <c r="AC103" s="100">
        <v>5202.9319895043573</v>
      </c>
      <c r="AD103" s="100">
        <v>8</v>
      </c>
      <c r="AE103" s="100">
        <v>4713.5999999999995</v>
      </c>
      <c r="AF103" s="100">
        <v>9.2647792306887418</v>
      </c>
      <c r="AG103" s="100">
        <v>5458.8079227218059</v>
      </c>
      <c r="AH103" s="100">
        <v>5.7578043663363454E-4</v>
      </c>
      <c r="AI103" s="100">
        <v>0.33924983326453745</v>
      </c>
      <c r="AJ103" s="100">
        <v>7.2595269571370649</v>
      </c>
      <c r="AK103" s="100">
        <v>4277.3132831451585</v>
      </c>
      <c r="AL103" s="100">
        <v>6.2967327476585471</v>
      </c>
      <c r="AM103" s="100">
        <v>3710.0349349204157</v>
      </c>
      <c r="AN103" s="100">
        <v>6.5883177435151561</v>
      </c>
      <c r="AO103" s="100">
        <v>3881.8368144791293</v>
      </c>
      <c r="AP103" s="100">
        <v>6.512194966010366</v>
      </c>
      <c r="AQ103" s="100">
        <v>3836.9852739733074</v>
      </c>
      <c r="AR103" s="100">
        <v>5.9683494596751503</v>
      </c>
      <c r="AS103" s="100">
        <v>3516.551501640598</v>
      </c>
      <c r="AT103" s="100">
        <v>6.0878425487064494</v>
      </c>
      <c r="AU103" s="100">
        <v>3586.9568296978396</v>
      </c>
      <c r="AV103" s="100">
        <v>6.790452209824557</v>
      </c>
      <c r="AW103" s="100">
        <v>4000.9344420286284</v>
      </c>
      <c r="AX103" s="100">
        <v>6.5884124369038801</v>
      </c>
      <c r="AY103" s="100">
        <v>3881.8926078237655</v>
      </c>
      <c r="AZ103" s="100">
        <v>6.3700453896011009</v>
      </c>
      <c r="BA103" s="100">
        <v>3753.2307435529683</v>
      </c>
      <c r="BB103" s="100">
        <v>5.6446444974912531</v>
      </c>
      <c r="BC103" s="100">
        <v>3325.8245379218461</v>
      </c>
      <c r="BD103" s="100">
        <v>8.0244556891885246</v>
      </c>
      <c r="BE103" s="100">
        <v>4728.009292069878</v>
      </c>
      <c r="BF103" s="100">
        <v>8.1899028870775279</v>
      </c>
      <c r="BG103" s="100">
        <v>4825.4907810660789</v>
      </c>
      <c r="BH103" s="100">
        <v>7.8984635413507656</v>
      </c>
      <c r="BI103" s="100">
        <v>4653.7747185638709</v>
      </c>
      <c r="BJ103" s="100">
        <v>7.1361279288010504</v>
      </c>
      <c r="BK103" s="100">
        <v>4204.6065756495782</v>
      </c>
      <c r="BL103" s="100">
        <v>7.7506111708972476</v>
      </c>
      <c r="BM103" s="100">
        <v>4566.6601018926576</v>
      </c>
      <c r="BN103" s="100">
        <v>6.5311509743552216</v>
      </c>
      <c r="BO103" s="100">
        <v>3848.1541540900962</v>
      </c>
      <c r="BP103" s="100">
        <v>6.1581634731933503</v>
      </c>
      <c r="BQ103" s="100">
        <v>3628.3899184055217</v>
      </c>
      <c r="BR103" s="100">
        <v>5.7588544290780217E-4</v>
      </c>
      <c r="BS103" s="100">
        <v>0.339311702961277</v>
      </c>
      <c r="BT103" s="100">
        <v>6.384662499710827</v>
      </c>
      <c r="BU103" s="100">
        <v>3761.8431448296187</v>
      </c>
      <c r="BV103" s="100">
        <v>6.719571585155597</v>
      </c>
      <c r="BW103" s="100">
        <v>3959.1715779736774</v>
      </c>
      <c r="BX103" s="100">
        <v>6.1456688925185032</v>
      </c>
      <c r="BY103" s="100">
        <v>3621.0281114719019</v>
      </c>
      <c r="BZ103" s="100">
        <v>6.8669163077391797</v>
      </c>
      <c r="CA103" s="100">
        <v>4045.9870885199243</v>
      </c>
      <c r="CB103" s="100">
        <v>5.4314354942634511</v>
      </c>
      <c r="CC103" s="100">
        <v>3200.2017932200251</v>
      </c>
      <c r="CD103" s="100">
        <v>0.64401368886559185</v>
      </c>
      <c r="CE103" s="100">
        <v>379.45286547960666</v>
      </c>
      <c r="CF103" s="100">
        <v>8.250456010252794</v>
      </c>
      <c r="CG103" s="100">
        <v>4861.1686812409453</v>
      </c>
      <c r="CH103" s="100">
        <v>10</v>
      </c>
      <c r="CI103" s="100">
        <v>5891.9999999999991</v>
      </c>
      <c r="CJ103" s="100">
        <v>7</v>
      </c>
      <c r="CK103" s="100">
        <v>4124.3999999999996</v>
      </c>
      <c r="CL103" s="100">
        <v>8.2958906387325992</v>
      </c>
      <c r="CM103" s="100">
        <v>4887.9387643412465</v>
      </c>
      <c r="CN103" s="100">
        <v>6.1718477377395855</v>
      </c>
      <c r="CO103" s="100">
        <v>3636.4526870761633</v>
      </c>
      <c r="CP103" s="100">
        <v>0.51380202702853361</v>
      </c>
      <c r="CQ103" s="100">
        <v>302.73215432521198</v>
      </c>
      <c r="CR103" s="100">
        <v>6.2795845184753984</v>
      </c>
      <c r="CS103" s="100">
        <v>3699.9311982857043</v>
      </c>
      <c r="CT103" s="100">
        <v>7.6979622781444617</v>
      </c>
      <c r="CU103" s="100">
        <v>4535.6393742827158</v>
      </c>
    </row>
    <row r="104" spans="2:99">
      <c r="C104" s="99" t="s">
        <v>270</v>
      </c>
      <c r="D104" s="100">
        <v>10.90510892129843</v>
      </c>
      <c r="E104" s="100">
        <v>6896.3908818291266</v>
      </c>
      <c r="F104" s="100">
        <v>3.0928136768178103</v>
      </c>
      <c r="G104" s="100">
        <v>1955.8953692195832</v>
      </c>
      <c r="H104" s="100">
        <v>9.0368269625964803</v>
      </c>
      <c r="I104" s="100">
        <v>5714.8893711460141</v>
      </c>
      <c r="J104" s="100">
        <v>6</v>
      </c>
      <c r="K104" s="100">
        <v>3794.3999999999996</v>
      </c>
      <c r="L104" s="100">
        <v>1.5575966123943012</v>
      </c>
      <c r="M104" s="100">
        <v>985.02409767815607</v>
      </c>
      <c r="N104" s="100">
        <v>7.2905635849523067</v>
      </c>
      <c r="O104" s="100">
        <v>4610.5524111238383</v>
      </c>
      <c r="P104" s="100">
        <v>6.5349806187294295</v>
      </c>
      <c r="Q104" s="100">
        <v>4132.7217432844909</v>
      </c>
      <c r="R104" s="100">
        <v>8.0720171541908066</v>
      </c>
      <c r="S104" s="100">
        <v>5104.7436483102656</v>
      </c>
      <c r="T104" s="100">
        <v>0.46512397043841114</v>
      </c>
      <c r="U104" s="100">
        <v>294.14439890525119</v>
      </c>
      <c r="V104" s="100">
        <v>8.2659306431975352</v>
      </c>
      <c r="W104" s="100">
        <v>5227.3745387581212</v>
      </c>
      <c r="X104" s="100">
        <v>3.0537737945648291</v>
      </c>
      <c r="Y104" s="100">
        <v>1931.2065476827979</v>
      </c>
      <c r="Z104" s="100">
        <v>7.6831907537628732</v>
      </c>
      <c r="AA104" s="100">
        <v>4858.8498326796407</v>
      </c>
      <c r="AB104" s="100">
        <v>9.830502358289813</v>
      </c>
      <c r="AC104" s="100">
        <v>6216.8096913824775</v>
      </c>
      <c r="AD104" s="100">
        <v>8</v>
      </c>
      <c r="AE104" s="100">
        <v>5059.2</v>
      </c>
      <c r="AF104" s="100">
        <v>8.4225265733534016</v>
      </c>
      <c r="AG104" s="100">
        <v>5326.4058049886908</v>
      </c>
      <c r="AH104" s="100">
        <v>6.3899628669057966E-4</v>
      </c>
      <c r="AI104" s="100">
        <v>0.40410125170312255</v>
      </c>
      <c r="AJ104" s="100">
        <v>8.0660478001482296</v>
      </c>
      <c r="AK104" s="100">
        <v>5100.96862881374</v>
      </c>
      <c r="AL104" s="100">
        <v>6.2995808142739227</v>
      </c>
      <c r="AM104" s="100">
        <v>3983.8549069468286</v>
      </c>
      <c r="AN104" s="100">
        <v>6.5883177435151561</v>
      </c>
      <c r="AO104" s="100">
        <v>4166.4521409989848</v>
      </c>
      <c r="AP104" s="100">
        <v>5.7321882367480459</v>
      </c>
      <c r="AQ104" s="100">
        <v>3625.0358409194641</v>
      </c>
      <c r="AR104" s="100">
        <v>6.089473017862165</v>
      </c>
      <c r="AS104" s="100">
        <v>3850.9827364960329</v>
      </c>
      <c r="AT104" s="100">
        <v>5.2295747082855959</v>
      </c>
      <c r="AU104" s="100">
        <v>3307.1830455198105</v>
      </c>
      <c r="AV104" s="100">
        <v>7.5370883314776487</v>
      </c>
      <c r="AW104" s="100">
        <v>4766.4546608264645</v>
      </c>
      <c r="AX104" s="100">
        <v>6.4840530740074849</v>
      </c>
      <c r="AY104" s="100">
        <v>4100.5151640023332</v>
      </c>
      <c r="AZ104" s="100">
        <v>6.1458086447735267</v>
      </c>
      <c r="BA104" s="100">
        <v>3886.6093869547781</v>
      </c>
      <c r="BB104" s="100">
        <v>5.2186997567046998</v>
      </c>
      <c r="BC104" s="100">
        <v>3300.3057261400522</v>
      </c>
      <c r="BD104" s="100">
        <v>7.7860317013060394</v>
      </c>
      <c r="BE104" s="100">
        <v>4923.8864479059393</v>
      </c>
      <c r="BF104" s="100">
        <v>6.7704017377073837</v>
      </c>
      <c r="BG104" s="100">
        <v>4281.6020589261498</v>
      </c>
      <c r="BH104" s="100">
        <v>7.8984635413507656</v>
      </c>
      <c r="BI104" s="100">
        <v>4994.9883435502243</v>
      </c>
      <c r="BJ104" s="100">
        <v>7.1361279288010504</v>
      </c>
      <c r="BK104" s="100">
        <v>4512.8873021737845</v>
      </c>
      <c r="BL104" s="100">
        <v>7.2840012396691725</v>
      </c>
      <c r="BM104" s="100">
        <v>4606.4023839667843</v>
      </c>
      <c r="BN104" s="100">
        <v>7.2947953686309752</v>
      </c>
      <c r="BO104" s="100">
        <v>4613.2285911222289</v>
      </c>
      <c r="BP104" s="100">
        <v>5.3633302449290854</v>
      </c>
      <c r="BQ104" s="100">
        <v>3391.7700468931534</v>
      </c>
      <c r="BR104" s="100">
        <v>6.2823866499032955E-4</v>
      </c>
      <c r="BS104" s="100">
        <v>0.39729813173988437</v>
      </c>
      <c r="BT104" s="100">
        <v>6.3846380053546445</v>
      </c>
      <c r="BU104" s="100">
        <v>4037.6450745862771</v>
      </c>
      <c r="BV104" s="100">
        <v>7.2201904883684866</v>
      </c>
      <c r="BW104" s="100">
        <v>4566.0484648442307</v>
      </c>
      <c r="BX104" s="100">
        <v>6.0198769862162642</v>
      </c>
      <c r="BY104" s="100">
        <v>3806.9702060831655</v>
      </c>
      <c r="BZ104" s="100">
        <v>6.7717068828287852</v>
      </c>
      <c r="CA104" s="100">
        <v>4282.4274327009234</v>
      </c>
      <c r="CB104" s="100">
        <v>5.4314354942634511</v>
      </c>
      <c r="CC104" s="100">
        <v>3434.8398065722063</v>
      </c>
      <c r="CD104" s="100">
        <v>0.64305083043881661</v>
      </c>
      <c r="CE104" s="100">
        <v>406.66534516950759</v>
      </c>
      <c r="CF104" s="100">
        <v>8.250456010252794</v>
      </c>
      <c r="CG104" s="100">
        <v>5217.5883808838671</v>
      </c>
      <c r="CH104" s="100">
        <v>10</v>
      </c>
      <c r="CI104" s="100">
        <v>6324</v>
      </c>
      <c r="CJ104" s="100">
        <v>7</v>
      </c>
      <c r="CK104" s="100">
        <v>4426.8</v>
      </c>
      <c r="CL104" s="100">
        <v>7.4827832136495447</v>
      </c>
      <c r="CM104" s="100">
        <v>4732.112104311972</v>
      </c>
      <c r="CN104" s="100">
        <v>5.3945362168969746</v>
      </c>
      <c r="CO104" s="100">
        <v>3411.5047035656467</v>
      </c>
      <c r="CP104" s="100">
        <v>0.51380202702853361</v>
      </c>
      <c r="CQ104" s="100">
        <v>324.92840189284465</v>
      </c>
      <c r="CR104" s="100">
        <v>6.2795845184753984</v>
      </c>
      <c r="CS104" s="100">
        <v>3971.2092494838416</v>
      </c>
      <c r="CT104" s="100">
        <v>6.6072675066020379</v>
      </c>
      <c r="CU104" s="100">
        <v>4178.4359711751285</v>
      </c>
    </row>
    <row r="105" spans="2:99">
      <c r="C105" s="99" t="s">
        <v>271</v>
      </c>
      <c r="D105" s="100">
        <v>10.775807646827225</v>
      </c>
      <c r="E105" s="100">
        <v>5999.9696977533986</v>
      </c>
      <c r="F105" s="100">
        <v>2.7508301236263257</v>
      </c>
      <c r="G105" s="100">
        <v>1531.662212835138</v>
      </c>
      <c r="H105" s="100">
        <v>9.0368269625964803</v>
      </c>
      <c r="I105" s="100">
        <v>5031.7052527737196</v>
      </c>
      <c r="J105" s="100">
        <v>7</v>
      </c>
      <c r="K105" s="100">
        <v>3897.5999999999995</v>
      </c>
      <c r="L105" s="100">
        <v>1.3942955788811286</v>
      </c>
      <c r="M105" s="100">
        <v>776.34377832101234</v>
      </c>
      <c r="N105" s="100">
        <v>7.221169917085887</v>
      </c>
      <c r="O105" s="100">
        <v>4020.7474098334214</v>
      </c>
      <c r="P105" s="100">
        <v>7.3103578824055084</v>
      </c>
      <c r="Q105" s="100">
        <v>4070.4072689233867</v>
      </c>
      <c r="R105" s="100">
        <v>6.5149037360229025</v>
      </c>
      <c r="S105" s="100">
        <v>3627.498400217552</v>
      </c>
      <c r="T105" s="100">
        <v>0.53121638324164044</v>
      </c>
      <c r="U105" s="100">
        <v>295.7812821889454</v>
      </c>
      <c r="V105" s="100">
        <v>7.2216088693312788</v>
      </c>
      <c r="W105" s="100">
        <v>4020.9918184436556</v>
      </c>
      <c r="X105" s="100">
        <v>3.4829082623462355</v>
      </c>
      <c r="Y105" s="100">
        <v>1939.2833204743838</v>
      </c>
      <c r="Z105" s="100">
        <v>7.6845249186931257</v>
      </c>
      <c r="AA105" s="100">
        <v>4278.7434747283323</v>
      </c>
      <c r="AB105" s="100">
        <v>8.9689194180047824</v>
      </c>
      <c r="AC105" s="100">
        <v>4993.8943319450627</v>
      </c>
      <c r="AD105" s="100">
        <v>7</v>
      </c>
      <c r="AE105" s="100">
        <v>3897.5999999999995</v>
      </c>
      <c r="AF105" s="100">
        <v>7.5802739160180606</v>
      </c>
      <c r="AG105" s="100">
        <v>4220.6965164388557</v>
      </c>
      <c r="AH105" s="100">
        <v>6.9765361266677323E-4</v>
      </c>
      <c r="AI105" s="100">
        <v>0.38845353153285928</v>
      </c>
      <c r="AJ105" s="100">
        <v>7.2594960122620389</v>
      </c>
      <c r="AK105" s="100">
        <v>4042.0873796275027</v>
      </c>
      <c r="AL105" s="100">
        <v>6.2967327476585471</v>
      </c>
      <c r="AM105" s="100">
        <v>3506.0207938962785</v>
      </c>
      <c r="AN105" s="100">
        <v>5.9001463153149514</v>
      </c>
      <c r="AO105" s="100">
        <v>3285.2014683673647</v>
      </c>
      <c r="AP105" s="100">
        <v>6.3797407159802439</v>
      </c>
      <c r="AQ105" s="100">
        <v>3552.2396306577994</v>
      </c>
      <c r="AR105" s="100">
        <v>6.6652405219597233</v>
      </c>
      <c r="AS105" s="100">
        <v>3711.2059226271735</v>
      </c>
      <c r="AT105" s="100">
        <v>5.5278997921943072</v>
      </c>
      <c r="AU105" s="100">
        <v>3077.93460429379</v>
      </c>
      <c r="AV105" s="100">
        <v>7.6896321447411946</v>
      </c>
      <c r="AW105" s="100">
        <v>4281.5871781918968</v>
      </c>
      <c r="AX105" s="100">
        <v>6.4840530740074849</v>
      </c>
      <c r="AY105" s="100">
        <v>3610.3207516073671</v>
      </c>
      <c r="AZ105" s="100">
        <v>6.7789999945862469</v>
      </c>
      <c r="BA105" s="100">
        <v>3774.5471969856221</v>
      </c>
      <c r="BB105" s="100">
        <v>5.7588247948283557</v>
      </c>
      <c r="BC105" s="100">
        <v>3206.5136457604281</v>
      </c>
      <c r="BD105" s="100">
        <v>7.9052436952472824</v>
      </c>
      <c r="BE105" s="100">
        <v>4401.6396895136868</v>
      </c>
      <c r="BF105" s="100">
        <v>7.5348161074698448</v>
      </c>
      <c r="BG105" s="100">
        <v>4195.3856086392088</v>
      </c>
      <c r="BH105" s="100">
        <v>8.3649870573057399</v>
      </c>
      <c r="BI105" s="100">
        <v>4657.6247935078354</v>
      </c>
      <c r="BJ105" s="100">
        <v>7.6432093797179999</v>
      </c>
      <c r="BK105" s="100">
        <v>4255.7389826269819</v>
      </c>
      <c r="BL105" s="100">
        <v>8.3150071019507941</v>
      </c>
      <c r="BM105" s="100">
        <v>4629.7959543662018</v>
      </c>
      <c r="BN105" s="100">
        <v>7.2895036301442611</v>
      </c>
      <c r="BO105" s="100">
        <v>4058.7956212643244</v>
      </c>
      <c r="BP105" s="100">
        <v>6.1581634731933503</v>
      </c>
      <c r="BQ105" s="100">
        <v>3428.8654218740571</v>
      </c>
      <c r="BR105" s="100">
        <v>6.8059188707285704E-4</v>
      </c>
      <c r="BS105" s="100">
        <v>0.37895356272216679</v>
      </c>
      <c r="BT105" s="100">
        <v>6.384662499710827</v>
      </c>
      <c r="BU105" s="100">
        <v>3554.9800798389883</v>
      </c>
      <c r="BV105" s="100">
        <v>6.62243796607736</v>
      </c>
      <c r="BW105" s="100">
        <v>3687.3734595118735</v>
      </c>
      <c r="BX105" s="100">
        <v>6.1422174554986215</v>
      </c>
      <c r="BY105" s="100">
        <v>3419.9866792216321</v>
      </c>
      <c r="BZ105" s="100">
        <v>6.2945836024412891</v>
      </c>
      <c r="CA105" s="100">
        <v>3504.8241498393095</v>
      </c>
      <c r="CB105" s="100">
        <v>5.3268756904271832</v>
      </c>
      <c r="CC105" s="100">
        <v>2966.0043844298552</v>
      </c>
      <c r="CD105" s="100">
        <v>0.48565812732282632</v>
      </c>
      <c r="CE105" s="100">
        <v>270.41444529334967</v>
      </c>
      <c r="CF105" s="100">
        <v>9.250456010252794</v>
      </c>
      <c r="CG105" s="100">
        <v>5150.6539065087554</v>
      </c>
      <c r="CH105" s="100">
        <v>10</v>
      </c>
      <c r="CI105" s="100">
        <v>5568</v>
      </c>
      <c r="CJ105" s="100">
        <v>7</v>
      </c>
      <c r="CK105" s="100">
        <v>3897.5999999999995</v>
      </c>
      <c r="CL105" s="100">
        <v>8.9951228589639083</v>
      </c>
      <c r="CM105" s="100">
        <v>5008.4844078711039</v>
      </c>
      <c r="CN105" s="100">
        <v>5.5034156873751767</v>
      </c>
      <c r="CO105" s="100">
        <v>3064.3018547304982</v>
      </c>
      <c r="CP105" s="100">
        <v>0.45052485862972419</v>
      </c>
      <c r="CQ105" s="100">
        <v>250.8522412850304</v>
      </c>
      <c r="CR105" s="100">
        <v>7.6331867913685869</v>
      </c>
      <c r="CS105" s="100">
        <v>4250.1584054340292</v>
      </c>
      <c r="CT105" s="100">
        <v>7.8672046757430802</v>
      </c>
      <c r="CU105" s="100">
        <v>4380.4595634537463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382.0632890772855</v>
      </c>
      <c r="E109" s="100">
        <f>SUM(L$6:L$19)+SUM(N$6:N$19)+SUM(P$6:P$19)+SUM(R$6:R$19)</f>
        <v>268.56715181278253</v>
      </c>
      <c r="F109" s="100">
        <f>SUM(T$6:T$19)+SUM(V$6:V$19)+SUM(X$6:X$19)+SUM(Z$6:Z$19)</f>
        <v>347.01525300081551</v>
      </c>
      <c r="G109" s="100">
        <f>SUM(AB$6:AB$19)+SUM(AD$6:AD$19)+SUM(AF$6:AF$19)+SUM(AH$6:AH$19)</f>
        <v>279.69398717277994</v>
      </c>
      <c r="H109" s="100">
        <f>SUM(AJ$6:AJ$19)+SUM(AL$6:AL$19)+SUM(AN$6:AN$19)+SUM(AP$6:AP$19)</f>
        <v>234.14823691325762</v>
      </c>
      <c r="I109" s="100">
        <f>SUM(AR$6:AR$19)+SUM(AT$6:AT$19)+SUM(AV$6:AV$19)+SUM(AX$6:AX$19)</f>
        <v>121.97873293625999</v>
      </c>
      <c r="J109" s="100">
        <f>SUM(AZ$6:AZ$19)+SUM(BB$6:BB$19)+SUM(BD$6:BD$19)+SUM(BF$6:BF$19)</f>
        <v>436.3627228570287</v>
      </c>
      <c r="K109" s="100">
        <f>SUM(BH$6:BH$19)+SUM(BJ$6:BJ$19)+SUM(BL$6:BL$19)+SUM(BN$6:BN$19)</f>
        <v>303.28410818449771</v>
      </c>
      <c r="L109" s="100">
        <f>SUM(BP$6:BP$19)+SUM(BR$6:BR$19)+SUM(BT$6:BT$19)+SUM(BV$6:BV$19)</f>
        <v>222.66827116146592</v>
      </c>
      <c r="M109" s="100">
        <f>SUM(BX$6:BX$19)+SUM(BZ$6:BZ$19)+SUM(CB$6:CB$19)+SUM(CD$6:CD$19)</f>
        <v>458.87500938255278</v>
      </c>
      <c r="N109" s="100">
        <f>SUM(CF$6:CF$19)+SUM(CH$6:CH$19)+SUM(CJ$6:CJ$19)+SUM(CL$6:CL$19)</f>
        <v>235.57117525486416</v>
      </c>
      <c r="O109" s="100">
        <f>SUM(CN$6:CN$19)+SUM(CP$6:CP$19)+SUM(CR$6:CR$19)+SUM(CT$6:CT$19)</f>
        <v>342.30026003468993</v>
      </c>
    </row>
    <row r="110" spans="2:99">
      <c r="C110" s="99" t="s">
        <v>127</v>
      </c>
      <c r="D110" s="100">
        <f>SUM(D$20:D$36)+SUM(F$20:F$36)+SUM(H$20:H$36)+SUM(J$20:J$36)</f>
        <v>453.39820249139143</v>
      </c>
      <c r="E110" s="100">
        <f>SUM(L$20:L$36)+SUM(N$20:N$36)+SUM(P$20:P$36)+SUM(R$20:R$36)</f>
        <v>467.98328435602485</v>
      </c>
      <c r="F110" s="100">
        <f>SUM(T$20:T$36)+SUM(V$20:V$36)+SUM(X$20:X$36)+SUM(Z$20:Z$36)</f>
        <v>548.53410084060215</v>
      </c>
      <c r="G110" s="100">
        <f>SUM(AB$20:AB$36)+SUM(AD$20:AD$36)+SUM(AF$20:AF$36)+SUM(AH$20:AH$36)</f>
        <v>413.71936373421153</v>
      </c>
      <c r="H110" s="100">
        <f>SUM(AJ$20:AJ$36)+SUM(AL$20:AL$36)+SUM(AN$20:AN$36)+SUM(AP$20:AP$36)</f>
        <v>470.82022401370358</v>
      </c>
      <c r="I110" s="100">
        <f>SUM(AR$20:AR$36)+SUM(AT$20:AT$36)+SUM(AV$20:AV$36)+SUM(AX$20:AX$36)</f>
        <v>108.33871592655112</v>
      </c>
      <c r="J110" s="100">
        <f>SUM(AZ$20:AZ$36)+SUM(BB$20:BB$36)+SUM(BD$20:BD$36)+SUM(BF$20:BF$36)</f>
        <v>561.25937610097378</v>
      </c>
      <c r="K110" s="100">
        <f>SUM(BH$20:BH$36)+SUM(BJ$20:BJ$36)+SUM(BL$20:BL$36)+SUM(BN$20:BN$36)</f>
        <v>373.68132579323742</v>
      </c>
      <c r="L110" s="100">
        <f>SUM(BP$20:BP$36)+SUM(BR$20:BR$36)+SUM(BT$20:BT$36)+SUM(BV$20:BV$36)</f>
        <v>361.411945359252</v>
      </c>
      <c r="M110" s="100">
        <f>SUM(BX$20:BX$36)+SUM(BZ$20:BZ$36)+SUM(CB$20:CB$36)+SUM(CD$20:CD$36)</f>
        <v>643.93025796943505</v>
      </c>
      <c r="N110" s="100">
        <f>SUM(CF$20:CF$36)+SUM(CH$20:CH$36)+SUM(CJ$20:CJ$36)+SUM(CL$20:CL$36)</f>
        <v>289.3951879263567</v>
      </c>
      <c r="O110" s="100">
        <f>SUM(CN$20:CN$36)+SUM(CP$20:CP$36)+SUM(CR$20:CR$36)+SUM(CT$20:CT$36)</f>
        <v>395.1643740853641</v>
      </c>
    </row>
    <row r="111" spans="2:99">
      <c r="C111" s="99" t="s">
        <v>128</v>
      </c>
      <c r="D111" s="100">
        <f>SUM(D$37:D$48)+SUM(F$37:F$48)+SUM(H$37:H$48)+SUM(J$37:J$48)</f>
        <v>694.2293911831523</v>
      </c>
      <c r="E111" s="100">
        <f>SUM(L$37:L$48)+SUM(N$37:N$48)+SUM(P$37:P$48)+SUM(R$37:R$48)</f>
        <v>539.07925854226755</v>
      </c>
      <c r="F111" s="100">
        <f>SUM(T$37:T$48)+SUM(V$37:V$48)+SUM(X$37:X$48)+SUM(Z$37:Z$48)</f>
        <v>623.24304053574861</v>
      </c>
      <c r="G111" s="100">
        <f>SUM(AB$37:AB$48)+SUM(AD$37:AD$48)+SUM(AF$37:AF$48)+SUM(AH$37:AH$48)</f>
        <v>475.08355591588673</v>
      </c>
      <c r="H111" s="100">
        <f>SUM(AJ$37:AJ$48)+SUM(AL$37:AL$48)+SUM(AN$37:AN$48)+SUM(AP$37:AP$48)</f>
        <v>447.70297677531005</v>
      </c>
      <c r="I111" s="100">
        <f>SUM(AR$37:AR$48)+SUM(AT$37:AT$48)+SUM(AV$37:AV$48)+SUM(AX$37:AX$48)</f>
        <v>220.53482173920639</v>
      </c>
      <c r="J111" s="100">
        <f>SUM(AZ$37:AZ$48)+SUM(BB$37:BB$48)+SUM(BD$37:BD$48)+SUM(BF$37:BF$48)</f>
        <v>710.39086069552604</v>
      </c>
      <c r="K111" s="100">
        <f>SUM(BH$37:BH$48)+SUM(BJ$37:BJ$48)+SUM(BL$37:BL$48)+SUM(BN$37:BN$48)</f>
        <v>560.27557263419101</v>
      </c>
      <c r="L111" s="100">
        <f>SUM(BP$37:BP$48)+SUM(BR$37:BR$48)+SUM(BT$37:BT$48)+SUM(BV$37:BV$48)</f>
        <v>458.63028994086426</v>
      </c>
      <c r="M111" s="100">
        <f>SUM(BX$37:BX$48)+SUM(BZ$37:BZ$48)+SUM(CB$37:CB$48)+SUM(CD$37:CD$48)</f>
        <v>702.66286143518619</v>
      </c>
      <c r="N111" s="100">
        <f>SUM(CF$37:CF$48)+SUM(CH$37:CH$48)+SUM(CJ$37:CJ$48)+SUM(CL$37:CL$48)</f>
        <v>433.37456044137372</v>
      </c>
      <c r="O111" s="100">
        <f>SUM(CN$37:CN$48)+SUM(CP$37:CP$48)+SUM(CR$37:CR$48)+SUM(CT$37:CT$48)</f>
        <v>469.61473225354479</v>
      </c>
    </row>
    <row r="112" spans="2:99">
      <c r="C112" s="99" t="s">
        <v>129</v>
      </c>
      <c r="D112" s="100">
        <f>SUM(D$49:D$70)+SUM(F$49:F$70)+SUM(H$49:H$70)+SUM(J$49:J$70)</f>
        <v>574.37931638562236</v>
      </c>
      <c r="E112" s="100">
        <f>SUM(L$49:L$70)+SUM(N$49:N$70)+SUM(P$49:P$70)+SUM(R$49:R$70)</f>
        <v>672.10392414688476</v>
      </c>
      <c r="F112" s="100">
        <f>SUM(T$49:T$70)+SUM(V$49:V$70)+SUM(X$49:X$70)+SUM(Z$49:Z$70)</f>
        <v>527.03898961145285</v>
      </c>
      <c r="G112" s="100">
        <f>SUM(AB$49:AB$70)+SUM(AD$49:AD$70)+SUM(AF$49:AF$70)+SUM(AH$49:AH$70)</f>
        <v>508.30233791845251</v>
      </c>
      <c r="H112" s="100">
        <f>SUM(AJ$49:AJ$70)+SUM(AL$49:AL$70)+SUM(AN$49:AN$70)+SUM(AP$49:AP$70)</f>
        <v>505.36032405501362</v>
      </c>
      <c r="I112" s="100">
        <f>SUM(AR$49:AR$70)+SUM(AT$49:AT$70)+SUM(AV$49:AV$70)+SUM(AX$49:AX$70)</f>
        <v>197.58539309956905</v>
      </c>
      <c r="J112" s="100">
        <f>SUM(AZ$49:AZ$70)+SUM(BB$49:BB$70)+SUM(BD$49:BD$70)+SUM(BF$49:BF$70)</f>
        <v>625.65986860943053</v>
      </c>
      <c r="K112" s="100">
        <f>SUM(BH$49:BH$70)+SUM(BJ$49:BJ$70)+SUM(BL$49:BL$70)+SUM(BN$49:BN$70)</f>
        <v>415.73089416921573</v>
      </c>
      <c r="L112" s="100">
        <f>SUM(BP$49:BP$70)+SUM(BR$49:BR$70)+SUM(BT$49:BT$70)+SUM(BV$49:BV$70)</f>
        <v>436.55560367371345</v>
      </c>
      <c r="M112" s="100">
        <f>SUM(BX$49:BX$70)+SUM(BZ$49:BZ$70)+SUM(CB$49:CB$70)+SUM(CD$49:CD$70)</f>
        <v>722.15568061129704</v>
      </c>
      <c r="N112" s="100">
        <f>SUM(CF$49:CF$70)+SUM(CH$49:CH$70)+SUM(CJ$49:CJ$70)+SUM(CL$49:CL$70)</f>
        <v>383.94159237976658</v>
      </c>
      <c r="O112" s="100">
        <f>SUM(CN$49:CN$70)+SUM(CP$49:CP$70)+SUM(CR$49:CR$70)+SUM(CT$49:CT$70)</f>
        <v>528.65529942948865</v>
      </c>
    </row>
    <row r="113" spans="2:15">
      <c r="C113" s="99" t="s">
        <v>130</v>
      </c>
      <c r="D113" s="100">
        <f>SUM(D$71:D$86)+SUM(F$71:F$86)+SUM(H$71:H$86)+SUM(J$71:J$86)</f>
        <v>293.59630176336526</v>
      </c>
      <c r="E113" s="100">
        <f>SUM(L$71:L$86)+SUM(N$71:N$86)+SUM(P$71:P$86)+SUM(R$71:R$86)</f>
        <v>354.73549188680533</v>
      </c>
      <c r="F113" s="100">
        <f>SUM(T$71:T$86)+SUM(V$71:V$86)+SUM(X$71:X$86)+SUM(Z$71:Z$86)</f>
        <v>294.27639496247491</v>
      </c>
      <c r="G113" s="100">
        <f>SUM(AB$71:AB$86)+SUM(AD$71:AD$86)+SUM(AF$71:AF$86)+SUM(AH$71:AH$86)</f>
        <v>357.38613327482653</v>
      </c>
      <c r="H113" s="100">
        <f>SUM(AJ$71:AJ$86)+SUM(AL$71:AL$86)+SUM(AN$71:AN$86)+SUM(AP$71:AP$86)</f>
        <v>322.23107760114385</v>
      </c>
      <c r="I113" s="100">
        <f>SUM(AR$71:AR$86)+SUM(AT$71:AT$86)+SUM(AV$71:AV$86)+SUM(AX$71:AX$86)</f>
        <v>280.37125018787606</v>
      </c>
      <c r="J113" s="100">
        <f>SUM(AZ$71:AZ$86)+SUM(BB$71:BB$86)+SUM(BD$71:BD$86)+SUM(BF$71:BF$86)</f>
        <v>326.86353550715523</v>
      </c>
      <c r="K113" s="100">
        <f>SUM(BH$71:BH$86)+SUM(BJ$71:BJ$86)+SUM(BL$71:BL$86)+SUM(BN$71:BN$86)</f>
        <v>424.70570132791437</v>
      </c>
      <c r="L113" s="100">
        <f>SUM(BP$71:BP$86)+SUM(BR$71:BR$86)+SUM(BT$71:BT$86)+SUM(BV$71:BV$86)</f>
        <v>321.55223562110336</v>
      </c>
      <c r="M113" s="100">
        <f>SUM(BX$71:BX$86)+SUM(BZ$71:BZ$86)+SUM(CB$71:CB$86)+SUM(CD$71:CD$86)</f>
        <v>338.04746726513235</v>
      </c>
      <c r="N113" s="100">
        <f>SUM(CF$71:CF$86)+SUM(CH$71:CH$86)+SUM(CJ$71:CJ$86)+SUM(CL$71:CL$86)</f>
        <v>373.94171913072614</v>
      </c>
      <c r="O113" s="100">
        <f>SUM(CN$71:CN$86)+SUM(CP$71:CP$86)+SUM(CR$71:CR$86)+SUM(CT$71:CT$86)</f>
        <v>394.47099535402526</v>
      </c>
    </row>
    <row r="114" spans="2:15">
      <c r="C114" s="99" t="s">
        <v>131</v>
      </c>
      <c r="D114" s="100">
        <f>SUM(D$87:D$94)+SUM(F$87:F$94)+SUM(H$87:H$94)+SUM(J$87:J$94)</f>
        <v>153.9474935030654</v>
      </c>
      <c r="E114" s="100">
        <f>SUM(L$87:L$94)+SUM(N$87:N$94)+SUM(P$87:P$94)+SUM(R$87:R$94)</f>
        <v>115.01588956289704</v>
      </c>
      <c r="F114" s="100">
        <f>SUM(T$87:T$94)+SUM(V$87:V$94)+SUM(X$87:X$94)+SUM(Z$87:Z$94)</f>
        <v>118.61882331907943</v>
      </c>
      <c r="G114" s="100">
        <f>SUM(AB$87:AB$94)+SUM(AD$87:AD$94)+SUM(AF$87:AF$94)+SUM(AH$87:AH$94)</f>
        <v>148.07138940545155</v>
      </c>
      <c r="H114" s="100">
        <f>SUM(AJ$87:AJ$94)+SUM(AL$87:AL$94)+SUM(AN$87:AN$94)+SUM(AP$87:AP$94)</f>
        <v>169.3554195863716</v>
      </c>
      <c r="I114" s="100">
        <f>SUM(AR$87:AR$94)+SUM(AT$87:AT$94)+SUM(AV$87:AV$94)+SUM(AX$87:AX$94)</f>
        <v>176.65044535650475</v>
      </c>
      <c r="J114" s="100">
        <f>SUM(AZ$87:AZ$94)+SUM(BB$87:BB$94)+SUM(BD$87:BD$94)+SUM(BF$87:BF$94)</f>
        <v>163.18368355939521</v>
      </c>
      <c r="K114" s="100">
        <f>SUM(BH$87:BH$94)+SUM(BJ$87:BJ$94)+SUM(BL$87:BL$94)+SUM(BN$87:BN$94)</f>
        <v>138.13822761511491</v>
      </c>
      <c r="L114" s="100">
        <f>SUM(BP$87:BP$94)+SUM(BR$87:BR$94)+SUM(BT$87:BT$94)+SUM(BV$87:BV$94)</f>
        <v>136.2474524857617</v>
      </c>
      <c r="M114" s="100">
        <f>SUM(BX$87:BX$94)+SUM(BZ$87:BZ$94)+SUM(CB$87:CB$94)+SUM(CD$87:CD$94)</f>
        <v>143.17914505514725</v>
      </c>
      <c r="N114" s="100">
        <f>SUM(CF$87:CF$94)+SUM(CH$87:CH$94)+SUM(CJ$87:CJ$94)+SUM(CL$87:CL$94)</f>
        <v>181.16949351521859</v>
      </c>
      <c r="O114" s="100">
        <f>SUM(CN$87:CN$94)+SUM(CP$87:CP$94)+SUM(CR$87:CR$94)+SUM(CT$87:CT$94)</f>
        <v>121.93861700749125</v>
      </c>
    </row>
    <row r="115" spans="2:15">
      <c r="C115" s="99" t="s">
        <v>132</v>
      </c>
      <c r="D115" s="100">
        <f>SUM(D$95:D$105)+SUM(F$95:F$105)+SUM(H$95:H$105)+SUM(J$95:J$105)</f>
        <v>311.30835352231634</v>
      </c>
      <c r="E115" s="100">
        <f>SUM(L$95:L$105)+SUM(N$95:N$105)+SUM(P$95:P$105)+SUM(R$95:R$105)</f>
        <v>252.95267895400622</v>
      </c>
      <c r="F115" s="100">
        <f>SUM(T$95:T$105)+SUM(V$95:V$105)+SUM(X$95:X$105)+SUM(Z$95:Z$105)</f>
        <v>203.95645468958691</v>
      </c>
      <c r="G115" s="100">
        <f>SUM(AB$95:AB$105)+SUM(AD$95:AD$105)+SUM(AF$95:AF$105)+SUM(AH$95:AH$105)</f>
        <v>267.29022384605611</v>
      </c>
      <c r="H115" s="100">
        <f>SUM(AJ$95:AJ$105)+SUM(AL$95:AL$105)+SUM(AN$95:AN$105)+SUM(AP$95:AP$105)</f>
        <v>280.05756510172762</v>
      </c>
      <c r="I115" s="100">
        <f>SUM(AR$95:AR$105)+SUM(AT$95:AT$105)+SUM(AV$95:AV$105)+SUM(AX$95:AX$105)</f>
        <v>278.90187257476123</v>
      </c>
      <c r="J115" s="100">
        <f>SUM(AZ$95:AZ$105)+SUM(BB$95:BB$105)+SUM(BD$95:BD$105)+SUM(BF$95:BF$105)</f>
        <v>294.19465076789891</v>
      </c>
      <c r="K115" s="100">
        <f>SUM(BH$95:BH$105)+SUM(BJ$95:BJ$105)+SUM(BL$95:BL$105)+SUM(BN$95:BN$105)</f>
        <v>320.63115342686513</v>
      </c>
      <c r="L115" s="100">
        <f>SUM(BP$95:BP$105)+SUM(BR$95:BR$105)+SUM(BT$95:BT$105)+SUM(BV$95:BV$105)</f>
        <v>207.12078217063646</v>
      </c>
      <c r="M115" s="100">
        <f>SUM(BX$95:BX$105)+SUM(BZ$95:BZ$105)+SUM(CB$95:CB$105)+SUM(CD$95:CD$105)</f>
        <v>205.90143112972513</v>
      </c>
      <c r="N115" s="100">
        <f>SUM(CF$95:CF$105)+SUM(CH$95:CH$105)+SUM(CJ$95:CJ$105)+SUM(CL$95:CL$105)</f>
        <v>358.8722099538744</v>
      </c>
      <c r="O115" s="100">
        <f>SUM(CN$95:CN$105)+SUM(CP$95:CP$105)+SUM(CR$95:CR$105)+SUM(CT$95:CT$105)</f>
        <v>226.64278510914647</v>
      </c>
    </row>
    <row r="116" spans="2:15">
      <c r="C116" s="99" t="s">
        <v>278</v>
      </c>
      <c r="D116" s="100">
        <f t="shared" ref="D116:O116" si="0">SUM(D$109:D$115)</f>
        <v>2862.9223479261987</v>
      </c>
      <c r="E116" s="100">
        <f t="shared" si="0"/>
        <v>2670.4376792616686</v>
      </c>
      <c r="F116" s="100">
        <f t="shared" si="0"/>
        <v>2662.6830569597605</v>
      </c>
      <c r="G116" s="100">
        <f t="shared" si="0"/>
        <v>2449.5469912676649</v>
      </c>
      <c r="H116" s="100">
        <f t="shared" si="0"/>
        <v>2429.6758240465279</v>
      </c>
      <c r="I116" s="100">
        <f t="shared" si="0"/>
        <v>1384.3612318207286</v>
      </c>
      <c r="J116" s="100">
        <f t="shared" si="0"/>
        <v>3117.9146980974087</v>
      </c>
      <c r="K116" s="100">
        <f t="shared" si="0"/>
        <v>2536.4469831510364</v>
      </c>
      <c r="L116" s="100">
        <f t="shared" si="0"/>
        <v>2144.186580412797</v>
      </c>
      <c r="M116" s="100">
        <f t="shared" si="0"/>
        <v>3214.7518528484761</v>
      </c>
      <c r="N116" s="100">
        <f t="shared" si="0"/>
        <v>2256.2659386021805</v>
      </c>
      <c r="O116" s="100">
        <f t="shared" si="0"/>
        <v>2478.7870632737504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2063141.7610173416</v>
      </c>
      <c r="E120" s="100">
        <f>E109*pricing!E33*2000</f>
        <v>1450262.6197890257</v>
      </c>
      <c r="F120" s="100">
        <f>F109*pricing!F33*2000</f>
        <v>1873882.3662044038</v>
      </c>
      <c r="G120" s="100">
        <f>G109*pricing!G33*2000</f>
        <v>1510347.5307330119</v>
      </c>
      <c r="H120" s="100">
        <f>H109*pricing!H33*2000</f>
        <v>1264400.4793315912</v>
      </c>
      <c r="I120" s="100">
        <f>I109*pricing!I33*2000</f>
        <v>658685.15785580396</v>
      </c>
      <c r="J120" s="100">
        <f>J109*pricing!J33*2000</f>
        <v>2356358.7034279555</v>
      </c>
      <c r="K120" s="100">
        <f>K109*pricing!K33*2000</f>
        <v>1637734.1841962878</v>
      </c>
      <c r="L120" s="100">
        <f>L109*pricing!L33*2000</f>
        <v>1202408.664271916</v>
      </c>
      <c r="M120" s="100">
        <f>M109*pricing!M33*2000</f>
        <v>2477925.0506657851</v>
      </c>
      <c r="N120" s="100">
        <f>N109*pricing!N33*2000</f>
        <v>1272084.3463762666</v>
      </c>
      <c r="O120" s="100">
        <f>O109*pricing!O33*2000</f>
        <v>1848421.4041873259</v>
      </c>
    </row>
    <row r="121" spans="2:15">
      <c r="C121" s="99" t="s">
        <v>127</v>
      </c>
      <c r="D121" s="100">
        <f>D110*pricing!D34*2000</f>
        <v>2176311.3719586786</v>
      </c>
      <c r="E121" s="100">
        <f>E110*pricing!E34*2000</f>
        <v>2246319.7649089191</v>
      </c>
      <c r="F121" s="100">
        <f>F110*pricing!F34*2000</f>
        <v>2632963.6840348905</v>
      </c>
      <c r="G121" s="100">
        <f>G110*pricing!G34*2000</f>
        <v>1985852.9459242153</v>
      </c>
      <c r="H121" s="100">
        <f>H110*pricing!H34*2000</f>
        <v>2259937.0752657768</v>
      </c>
      <c r="I121" s="100">
        <f>I110*pricing!I34*2000</f>
        <v>520025.83644744538</v>
      </c>
      <c r="J121" s="100">
        <f>J110*pricing!J34*2000</f>
        <v>2694045.005284674</v>
      </c>
      <c r="K121" s="100">
        <f>K110*pricing!K34*2000</f>
        <v>1793670.3638075397</v>
      </c>
      <c r="L121" s="100">
        <f>L110*pricing!L34*2000</f>
        <v>1734777.3377244095</v>
      </c>
      <c r="M121" s="100">
        <f>M110*pricing!M34*2000</f>
        <v>3090865.2382532884</v>
      </c>
      <c r="N121" s="100">
        <f>N110*pricing!N34*2000</f>
        <v>1389096.9020465121</v>
      </c>
      <c r="O121" s="100">
        <f>O110*pricing!O34*2000</f>
        <v>1896788.9956097477</v>
      </c>
    </row>
    <row r="122" spans="2:15">
      <c r="C122" s="99" t="s">
        <v>128</v>
      </c>
      <c r="D122" s="100">
        <f>D111*pricing!D35*2000</f>
        <v>3193455.1994425007</v>
      </c>
      <c r="E122" s="100">
        <f>E111*pricing!E35*2000</f>
        <v>2479764.5892944308</v>
      </c>
      <c r="F122" s="100">
        <f>F111*pricing!F35*2000</f>
        <v>2866917.9864644436</v>
      </c>
      <c r="G122" s="100">
        <f>G111*pricing!G35*2000</f>
        <v>2185384.3572130785</v>
      </c>
      <c r="H122" s="100">
        <f>H111*pricing!H35*2000</f>
        <v>2059433.6931664262</v>
      </c>
      <c r="I122" s="100">
        <f>I111*pricing!I35*2000</f>
        <v>1014460.1800003493</v>
      </c>
      <c r="J122" s="100">
        <f>J111*pricing!J35*2000</f>
        <v>3267797.9591994192</v>
      </c>
      <c r="K122" s="100">
        <f>K111*pricing!K35*2000</f>
        <v>2577267.6341172783</v>
      </c>
      <c r="L122" s="100">
        <f>L111*pricing!L35*2000</f>
        <v>2109699.3337279754</v>
      </c>
      <c r="M122" s="100">
        <f>M111*pricing!M35*2000</f>
        <v>3232249.1626018565</v>
      </c>
      <c r="N122" s="100">
        <f>N111*pricing!N35*2000</f>
        <v>1993522.9780303189</v>
      </c>
      <c r="O122" s="100">
        <f>O111*pricing!O35*2000</f>
        <v>2160227.7683663061</v>
      </c>
    </row>
    <row r="123" spans="2:15">
      <c r="C123" s="99" t="s">
        <v>129</v>
      </c>
      <c r="D123" s="100">
        <f>D112*pricing!D36*2000</f>
        <v>2871896.5819281121</v>
      </c>
      <c r="E123" s="100">
        <f>E112*pricing!E36*2000</f>
        <v>3360519.6207344239</v>
      </c>
      <c r="F123" s="100">
        <f>F112*pricing!F36*2000</f>
        <v>2635194.9480572646</v>
      </c>
      <c r="G123" s="100">
        <f>G112*pricing!G36*2000</f>
        <v>2541511.6895922623</v>
      </c>
      <c r="H123" s="100">
        <f>H112*pricing!H36*2000</f>
        <v>2526801.6202750681</v>
      </c>
      <c r="I123" s="100">
        <f>I112*pricing!I36*2000</f>
        <v>987926.9654978452</v>
      </c>
      <c r="J123" s="100">
        <f>J112*pricing!J36*2000</f>
        <v>3128299.3430471523</v>
      </c>
      <c r="K123" s="100">
        <f>K112*pricing!K36*2000</f>
        <v>2078654.4708460788</v>
      </c>
      <c r="L123" s="100">
        <f>L112*pricing!L36*2000</f>
        <v>2182778.0183685673</v>
      </c>
      <c r="M123" s="100">
        <f>M112*pricing!M36*2000</f>
        <v>3610778.4030564851</v>
      </c>
      <c r="N123" s="100">
        <f>N112*pricing!N36*2000</f>
        <v>1919707.9618988328</v>
      </c>
      <c r="O123" s="100">
        <f>O112*pricing!O36*2000</f>
        <v>2643276.4971474437</v>
      </c>
    </row>
    <row r="124" spans="2:15">
      <c r="C124" s="99" t="s">
        <v>130</v>
      </c>
      <c r="D124" s="100">
        <f>D113*pricing!D37*2000</f>
        <v>1526700.7691694994</v>
      </c>
      <c r="E124" s="100">
        <f>E113*pricing!E37*2000</f>
        <v>1844624.5578113878</v>
      </c>
      <c r="F124" s="100">
        <f>F113*pricing!F37*2000</f>
        <v>1530237.2538048697</v>
      </c>
      <c r="G124" s="100">
        <f>G113*pricing!G37*2000</f>
        <v>1858407.8930290979</v>
      </c>
      <c r="H124" s="100">
        <f>H113*pricing!H37*2000</f>
        <v>1675601.603525948</v>
      </c>
      <c r="I124" s="100">
        <f>I113*pricing!I37*2000</f>
        <v>1457930.5009769555</v>
      </c>
      <c r="J124" s="100">
        <f>J113*pricing!J37*2000</f>
        <v>1699690.3846372073</v>
      </c>
      <c r="K124" s="100">
        <f>K113*pricing!K37*2000</f>
        <v>2208469.6469051545</v>
      </c>
      <c r="L124" s="100">
        <f>L113*pricing!L37*2000</f>
        <v>1672071.6252297375</v>
      </c>
      <c r="M124" s="100">
        <f>M113*pricing!M37*2000</f>
        <v>1757846.8297786883</v>
      </c>
      <c r="N124" s="100">
        <f>N113*pricing!N37*2000</f>
        <v>1944496.939479776</v>
      </c>
      <c r="O124" s="100">
        <f>O113*pricing!O37*2000</f>
        <v>2051249.1758409315</v>
      </c>
    </row>
    <row r="125" spans="2:15">
      <c r="C125" s="99" t="s">
        <v>131</v>
      </c>
      <c r="D125" s="100">
        <f>D114*pricing!D38*2000</f>
        <v>862105.96361716627</v>
      </c>
      <c r="E125" s="100">
        <f>E114*pricing!E38*2000</f>
        <v>644088.98155222344</v>
      </c>
      <c r="F125" s="100">
        <f>F114*pricing!F38*2000</f>
        <v>664265.41058684478</v>
      </c>
      <c r="G125" s="100">
        <f>G114*pricing!G38*2000</f>
        <v>829199.78067052865</v>
      </c>
      <c r="H125" s="100">
        <f>H114*pricing!H38*2000</f>
        <v>948390.3496836808</v>
      </c>
      <c r="I125" s="100">
        <f>I114*pricing!I38*2000</f>
        <v>989242.49399642658</v>
      </c>
      <c r="J125" s="100">
        <f>J114*pricing!J38*2000</f>
        <v>913828.62793261313</v>
      </c>
      <c r="K125" s="100">
        <f>K114*pricing!K38*2000</f>
        <v>773574.07464464346</v>
      </c>
      <c r="L125" s="100">
        <f>L114*pricing!L38*2000</f>
        <v>762985.73392026545</v>
      </c>
      <c r="M125" s="100">
        <f>M114*pricing!M38*2000</f>
        <v>801803.21230882453</v>
      </c>
      <c r="N125" s="100">
        <f>N114*pricing!N38*2000</f>
        <v>1014549.163685224</v>
      </c>
      <c r="O125" s="100">
        <f>O114*pricing!O38*2000</f>
        <v>682856.25524195097</v>
      </c>
    </row>
    <row r="126" spans="2:15">
      <c r="C126" s="99" t="s">
        <v>132</v>
      </c>
      <c r="D126" s="100">
        <f>D115*pricing!D39*2000</f>
        <v>1618803.4383160451</v>
      </c>
      <c r="E126" s="100">
        <f>E115*pricing!E39*2000</f>
        <v>1315353.9305608324</v>
      </c>
      <c r="F126" s="100">
        <f>F115*pricing!F39*2000</f>
        <v>1060573.5643858521</v>
      </c>
      <c r="G126" s="100">
        <f>G115*pricing!G39*2000</f>
        <v>1389909.1639994918</v>
      </c>
      <c r="H126" s="100">
        <f>H115*pricing!H39*2000</f>
        <v>1456299.3385289838</v>
      </c>
      <c r="I126" s="100">
        <f>I115*pricing!I39*2000</f>
        <v>1450289.7373887585</v>
      </c>
      <c r="J126" s="100">
        <f>J115*pricing!J39*2000</f>
        <v>1529812.1839930743</v>
      </c>
      <c r="K126" s="100">
        <f>K115*pricing!K39*2000</f>
        <v>1667281.9978196986</v>
      </c>
      <c r="L126" s="100">
        <f>L115*pricing!L39*2000</f>
        <v>1077028.0672873096</v>
      </c>
      <c r="M126" s="100">
        <f>M115*pricing!M39*2000</f>
        <v>1070687.4418745707</v>
      </c>
      <c r="N126" s="100">
        <f>N115*pricing!N39*2000</f>
        <v>1866135.491760147</v>
      </c>
      <c r="O126" s="100">
        <f>O115*pricing!O39*2000</f>
        <v>1178542.4825675616</v>
      </c>
    </row>
    <row r="127" spans="2:15">
      <c r="C127" s="99" t="s">
        <v>278</v>
      </c>
      <c r="D127" s="100">
        <f>SUM(D$120:D$126)</f>
        <v>14312415.085449344</v>
      </c>
      <c r="E127" s="100">
        <f t="shared" ref="E127:O127" si="1">SUM(E$120:E$126)</f>
        <v>13340934.064651243</v>
      </c>
      <c r="F127" s="100">
        <f t="shared" si="1"/>
        <v>13264035.21353857</v>
      </c>
      <c r="G127" s="100">
        <f t="shared" si="1"/>
        <v>12300613.361161686</v>
      </c>
      <c r="H127" s="100">
        <f t="shared" si="1"/>
        <v>12190864.159777476</v>
      </c>
      <c r="I127" s="100">
        <f t="shared" si="1"/>
        <v>7078560.8721635845</v>
      </c>
      <c r="J127" s="100">
        <f t="shared" si="1"/>
        <v>15589832.207522096</v>
      </c>
      <c r="K127" s="100">
        <f t="shared" si="1"/>
        <v>12736652.372336682</v>
      </c>
      <c r="L127" s="100">
        <f t="shared" si="1"/>
        <v>10741748.780530179</v>
      </c>
      <c r="M127" s="100">
        <f t="shared" si="1"/>
        <v>16042155.3385395</v>
      </c>
      <c r="N127" s="100">
        <f t="shared" si="1"/>
        <v>11399593.783277078</v>
      </c>
      <c r="O127" s="100">
        <f t="shared" si="1"/>
        <v>12461362.578961266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193061.89907319372</v>
      </c>
      <c r="E131" s="106">
        <f>SUM(M$6:M$19)+SUM(O$6:O$19)+SUM(Q$6:Q$19)+SUM(S$6:S$19)</f>
        <v>134467.69640702551</v>
      </c>
      <c r="F131" s="106">
        <f>SUM(U$6:U$19)+SUM(W$6:W$19)+SUM(Y$6:Y$19)+SUM(AA$6:AA$19)</f>
        <v>173940.66731019653</v>
      </c>
      <c r="G131" s="106">
        <f>SUM(AC$6:AC$19)+SUM(AE$6:AE$19)+SUM(AG$6:AG$19)+SUM(AI$6:AI$19)</f>
        <v>141364.85614248947</v>
      </c>
      <c r="H131" s="106">
        <f>SUM(AK$6:AK$19)+SUM(AM$6:AM$19)+SUM(AO$6:AO$19)+SUM(AQ$6:AQ$19)</f>
        <v>118006.70868172079</v>
      </c>
      <c r="I131" s="106">
        <f>SUM(AS$6:AS$19)+SUM(AU$6:AU$19)+SUM(AW$6:AW$19)+SUM(AY$6:AY$19)</f>
        <v>61381.241132538373</v>
      </c>
      <c r="J131" s="106">
        <f>SUM(BA$6:BA$19)+SUM(BC$6:BC$19)+SUM(BE$6:BE$19)+SUM(BG$6:BG$19)</f>
        <v>219454.46822853488</v>
      </c>
      <c r="K131" s="106">
        <f>SUM(BI$6:BI$19)+SUM(BK$6:BK$19)+SUM(BM$6:BM$19)+SUM(BO$6:BO$19)</f>
        <v>153257.00166793243</v>
      </c>
      <c r="L131" s="106">
        <f>SUM(BQ$6:BQ$19)+SUM(BS$6:BS$19)+SUM(BU$6:BU$19)+SUM(BW$6:BW$19)</f>
        <v>111834.34919143455</v>
      </c>
      <c r="M131" s="106">
        <f>SUM(BY$6:BY$19)+SUM(CA$6:CA$19)+SUM(CC$6:CC$19)+SUM(CE$6:CE$19)</f>
        <v>232297.40314555675</v>
      </c>
      <c r="N131" s="106">
        <f>SUM(CG$6:CG$19)+SUM(CI$6:CI$19)+SUM(CK$6:CK$19)+SUM(CM$6:CM$19)</f>
        <v>118656.41133497222</v>
      </c>
      <c r="O131" s="106">
        <f>SUM(CO$6:CO$19)+SUM(CQ$6:CQ$19)+SUM(CS$6:CS$19)+SUM(CU$6:CU$19)</f>
        <v>172009.18377312185</v>
      </c>
    </row>
    <row r="132" spans="2:15">
      <c r="C132" s="105" t="s">
        <v>127</v>
      </c>
      <c r="D132" s="106">
        <f>SUM(E$20:E$36)+SUM(G$20:G$36)+SUM(I$20:I$36)+SUM(K$20:K$36)</f>
        <v>192739.17927124473</v>
      </c>
      <c r="E132" s="106">
        <f>SUM(M$20:M$36)+SUM(O$20:O$36)+SUM(Q$20:Q$36)+SUM(S$20:S$36)</f>
        <v>200636.41063954085</v>
      </c>
      <c r="F132" s="106">
        <f>SUM(U$20:U$36)+SUM(W$20:W$36)+SUM(Y$20:Y$36)+SUM(AA$20:AA$36)</f>
        <v>234806.7760621605</v>
      </c>
      <c r="G132" s="106">
        <f>SUM(AC$20:AC$36)+SUM(AE$20:AE$36)+SUM(AG$20:AG$36)+SUM(AI$20:AI$36)</f>
        <v>176588.74206580681</v>
      </c>
      <c r="H132" s="106">
        <f>SUM(AK$20:AK$36)+SUM(AM$20:AM$36)+SUM(AO$20:AO$36)+SUM(AQ$20:AQ$36)</f>
        <v>199197.21764214322</v>
      </c>
      <c r="I132" s="106">
        <f>SUM(AS$20:AS$36)+SUM(AU$20:AU$36)+SUM(AW$20:AW$36)+SUM(AY$20:AY$36)</f>
        <v>45968.147175122533</v>
      </c>
      <c r="J132" s="106">
        <f>SUM(BA$20:BA$36)+SUM(BC$20:BC$36)+SUM(BE$20:BE$36)+SUM(BG$20:BG$36)</f>
        <v>236936.28078950135</v>
      </c>
      <c r="K132" s="106">
        <f>SUM(BI$20:BI$36)+SUM(BK$20:BK$36)+SUM(BM$20:BM$36)+SUM(BO$20:BO$36)</f>
        <v>159569.88128745509</v>
      </c>
      <c r="L132" s="106">
        <f>SUM(BQ$20:BQ$36)+SUM(BS$20:BS$36)+SUM(BU$20:BU$36)+SUM(BW$20:BW$36)</f>
        <v>152982.29903253599</v>
      </c>
      <c r="M132" s="106">
        <f>SUM(BY$20:BY$36)+SUM(CA$20:CA$36)+SUM(CC$20:CC$36)+SUM(CE$20:CE$36)</f>
        <v>273857.49114560225</v>
      </c>
      <c r="N132" s="106">
        <f>SUM(CG$20:CG$36)+SUM(CI$20:CI$36)+SUM(CK$20:CK$36)+SUM(CM$20:CM$36)</f>
        <v>123417.37850075756</v>
      </c>
      <c r="O132" s="106">
        <f>SUM(CO$20:CO$36)+SUM(CQ$20:CQ$36)+SUM(CS$20:CS$36)+SUM(CU$20:CU$36)</f>
        <v>169027.54264078417</v>
      </c>
    </row>
    <row r="133" spans="2:15">
      <c r="C133" s="105" t="s">
        <v>128</v>
      </c>
      <c r="D133" s="106">
        <f>SUM(E$37:E$48)+SUM(G$37:G$48)+SUM(I$37:I$48)+SUM(K$37:K$48)</f>
        <v>725721.88837860723</v>
      </c>
      <c r="E133" s="106">
        <f>SUM(M$37:M$48)+SUM(O$37:O$48)+SUM(Q$37:Q$48)+SUM(S$37:S$48)</f>
        <v>564949.61387880961</v>
      </c>
      <c r="F133" s="106">
        <f>SUM(U$37:U$48)+SUM(W$37:W$48)+SUM(Y$37:Y$48)+SUM(AA$37:AA$48)</f>
        <v>653643.68197106756</v>
      </c>
      <c r="G133" s="106">
        <f>SUM(AC$37:AC$48)+SUM(AE$37:AE$48)+SUM(AG$37:AG$48)+SUM(AI$37:AI$48)</f>
        <v>497629.90682375117</v>
      </c>
      <c r="H133" s="106">
        <f>SUM(AK$37:AK$48)+SUM(AM$37:AM$48)+SUM(AO$37:AO$48)+SUM(AQ$37:AQ$48)</f>
        <v>467808.10072202614</v>
      </c>
      <c r="I133" s="106">
        <f>SUM(AS$37:AS$48)+SUM(AU$37:AU$48)+SUM(AW$37:AW$48)+SUM(AY$37:AY$48)</f>
        <v>230049.68343736502</v>
      </c>
      <c r="J133" s="106">
        <f>SUM(BA$37:BA$48)+SUM(BC$37:BC$48)+SUM(BE$37:BE$48)+SUM(BG$37:BG$48)</f>
        <v>741371.26914558641</v>
      </c>
      <c r="K133" s="106">
        <f>SUM(BI$37:BI$48)+SUM(BK$37:BK$48)+SUM(BM$37:BM$48)+SUM(BO$37:BO$48)</f>
        <v>589247.30728785635</v>
      </c>
      <c r="L133" s="106">
        <f>SUM(BQ$37:BQ$48)+SUM(BS$37:BS$48)+SUM(BU$37:BU$48)+SUM(BW$37:BW$48)</f>
        <v>480548.88058550376</v>
      </c>
      <c r="M133" s="106">
        <f>SUM(BY$37:BY$48)+SUM(CA$37:CA$48)+SUM(CC$37:CC$48)+SUM(CE$37:CE$48)</f>
        <v>734113.42083593842</v>
      </c>
      <c r="N133" s="106">
        <f>SUM(CG$37:CG$48)+SUM(CI$37:CI$48)+SUM(CK$37:CK$48)+SUM(CM$37:CM$48)</f>
        <v>456337.73540134996</v>
      </c>
      <c r="O133" s="106">
        <f>SUM(CO$37:CO$48)+SUM(CQ$37:CQ$48)+SUM(CS$37:CS$48)+SUM(CU$37:CU$48)</f>
        <v>491159.91461777635</v>
      </c>
    </row>
    <row r="134" spans="2:15">
      <c r="C134" s="105" t="s">
        <v>129</v>
      </c>
      <c r="D134" s="106">
        <f>SUM(E$49:E$70)+SUM(G$49:G$70)+SUM(I$49:I$70)+SUM(K$49:K$70)</f>
        <v>477126.31739948899</v>
      </c>
      <c r="E134" s="106">
        <f>SUM(M$49:M$70)+SUM(O$49:O$70)+SUM(Q$49:Q$70)+SUM(S$49:S$70)</f>
        <v>553825.16061397572</v>
      </c>
      <c r="F134" s="106">
        <f>SUM(U$49:U$70)+SUM(W$49:W$70)+SUM(Y$49:Y$70)+SUM(AA$49:AA$70)</f>
        <v>438179.63050963997</v>
      </c>
      <c r="G134" s="106">
        <f>SUM(AC$49:AC$70)+SUM(AE$49:AE$70)+SUM(AG$49:AG$70)+SUM(AI$49:AI$70)</f>
        <v>431518.15261895105</v>
      </c>
      <c r="H134" s="106">
        <f>SUM(AK$49:AK$70)+SUM(AM$49:AM$70)+SUM(AO$49:AO$70)+SUM(AQ$49:AQ$70)</f>
        <v>426401.65327251516</v>
      </c>
      <c r="I134" s="106">
        <f>SUM(AS$49:AS$70)+SUM(AU$49:AU$70)+SUM(AW$49:AW$70)+SUM(AY$49:AY$70)</f>
        <v>188379.24706719271</v>
      </c>
      <c r="J134" s="106">
        <f>SUM(BA$49:BA$70)+SUM(BC$49:BC$70)+SUM(BE$49:BE$70)+SUM(BG$49:BG$70)</f>
        <v>513923.75063507998</v>
      </c>
      <c r="K134" s="106">
        <f>SUM(BI$49:BI$70)+SUM(BK$49:BK$70)+SUM(BM$49:BM$70)+SUM(BO$49:BO$70)</f>
        <v>356551.86537722364</v>
      </c>
      <c r="L134" s="106">
        <f>SUM(BQ$49:BQ$70)+SUM(BS$49:BS$70)+SUM(BU$49:BU$70)+SUM(BW$49:BW$70)</f>
        <v>362394.55339015479</v>
      </c>
      <c r="M134" s="106">
        <f>SUM(BY$49:BY$70)+SUM(CA$49:CA$70)+SUM(CC$49:CC$70)+SUM(CE$49:CE$70)</f>
        <v>590153.3554341644</v>
      </c>
      <c r="N134" s="106">
        <f>SUM(CG$49:CG$70)+SUM(CI$49:CI$70)+SUM(CK$49:CK$70)+SUM(CM$49:CM$70)</f>
        <v>336420.56991536601</v>
      </c>
      <c r="O134" s="106">
        <f>SUM(CO$49:CO$70)+SUM(CQ$49:CQ$70)+SUM(CS$49:CS$70)+SUM(CU$49:CU$70)</f>
        <v>437813.61198834074</v>
      </c>
    </row>
    <row r="135" spans="2:15">
      <c r="C135" s="105" t="s">
        <v>130</v>
      </c>
      <c r="D135" s="106">
        <f>SUM(E$71:E$86)+SUM(G$71:G$86)+SUM(I$71:I$86)+SUM(K$71:K$86)</f>
        <v>165311.09446584052</v>
      </c>
      <c r="E135" s="106">
        <f>SUM(M$71:M$86)+SUM(O$71:O$86)+SUM(Q$71:Q$86)+SUM(S$71:S$86)</f>
        <v>198491.58848089541</v>
      </c>
      <c r="F135" s="106">
        <f>SUM(U$71:U$86)+SUM(W$71:W$86)+SUM(Y$71:Y$86)+SUM(AA$71:AA$86)</f>
        <v>163625.0417649115</v>
      </c>
      <c r="G135" s="106">
        <f>SUM(AC$71:AC$86)+SUM(AE$71:AE$86)+SUM(AG$71:AG$86)+SUM(AI$71:AI$86)</f>
        <v>201064.73008224281</v>
      </c>
      <c r="H135" s="106">
        <f>SUM(AK$71:AK$86)+SUM(AM$71:AM$86)+SUM(AO$71:AO$86)+SUM(AQ$71:AQ$86)</f>
        <v>180362.53823839783</v>
      </c>
      <c r="I135" s="106">
        <f>SUM(AS$71:AS$86)+SUM(AU$71:AU$86)+SUM(AW$71:AW$86)+SUM(AY$71:AY$86)</f>
        <v>155839.20724437828</v>
      </c>
      <c r="J135" s="106">
        <f>SUM(BA$71:BA$86)+SUM(BC$71:BC$86)+SUM(BE$71:BE$86)+SUM(BG$71:BG$86)</f>
        <v>182247.90228966498</v>
      </c>
      <c r="K135" s="106">
        <f>SUM(BI$71:BI$86)+SUM(BK$71:BK$86)+SUM(BM$71:BM$86)+SUM(BO$71:BO$86)</f>
        <v>236695.25883724162</v>
      </c>
      <c r="L135" s="106">
        <f>SUM(BQ$71:BQ$86)+SUM(BS$71:BS$86)+SUM(BU$71:BU$86)+SUM(BW$71:BW$86)</f>
        <v>180609.57041191112</v>
      </c>
      <c r="M135" s="106">
        <f>SUM(BY$71:BY$86)+SUM(CA$71:CA$86)+SUM(CC$71:CC$86)+SUM(CE$71:CE$86)</f>
        <v>188187.14798142586</v>
      </c>
      <c r="N135" s="106">
        <f>SUM(CG$71:CG$86)+SUM(CI$71:CI$86)+SUM(CK$71:CK$86)+SUM(CM$71:CM$86)</f>
        <v>210857.02299093051</v>
      </c>
      <c r="O135" s="106">
        <f>SUM(CO$71:CO$86)+SUM(CQ$71:CQ$86)+SUM(CS$71:CS$86)+SUM(CU$71:CU$86)</f>
        <v>221131.44603910882</v>
      </c>
    </row>
    <row r="136" spans="2:15">
      <c r="C136" s="105" t="s">
        <v>131</v>
      </c>
      <c r="D136" s="106">
        <f>SUM(E$87:E$94)+SUM(G$87:G$94)+SUM(I$87:I$94)+SUM(K$87:K$94)</f>
        <v>154805.01340303957</v>
      </c>
      <c r="E136" s="106">
        <f>SUM(M$87:M$94)+SUM(O$87:O$94)+SUM(Q$87:Q$94)+SUM(S$87:S$94)</f>
        <v>115394.98121894477</v>
      </c>
      <c r="F136" s="106">
        <f>SUM(U$87:U$94)+SUM(W$87:W$94)+SUM(Y$87:Y$94)+SUM(AA$87:AA$94)</f>
        <v>119379.94432298309</v>
      </c>
      <c r="G136" s="106">
        <f>SUM(AC$87:AC$94)+SUM(AE$87:AE$94)+SUM(AG$87:AG$94)+SUM(AI$87:AI$94)</f>
        <v>148183.02316264174</v>
      </c>
      <c r="H136" s="106">
        <f>SUM(AK$87:AK$94)+SUM(AM$87:AM$94)+SUM(AO$87:AO$94)+SUM(AQ$87:AQ$94)</f>
        <v>169731.24806405665</v>
      </c>
      <c r="I136" s="106">
        <f>SUM(AS$87:AS$94)+SUM(AU$87:AU$94)+SUM(AW$87:AW$94)+SUM(AY$87:AY$94)</f>
        <v>177391.55078818026</v>
      </c>
      <c r="J136" s="106">
        <f>SUM(BA$87:BA$94)+SUM(BC$87:BC$94)+SUM(BE$87:BE$94)+SUM(BG$87:BG$94)</f>
        <v>163990.05921436171</v>
      </c>
      <c r="K136" s="106">
        <f>SUM(BI$87:BI$94)+SUM(BK$87:BK$94)+SUM(BM$87:BM$94)+SUM(BO$87:BO$94)</f>
        <v>138145.66481840477</v>
      </c>
      <c r="L136" s="106">
        <f>SUM(BQ$87:BQ$94)+SUM(BS$87:BS$94)+SUM(BU$87:BU$94)+SUM(BW$87:BW$94)</f>
        <v>136849.20348039639</v>
      </c>
      <c r="M136" s="106">
        <f>SUM(BY$87:BY$94)+SUM(CA$87:CA$94)+SUM(CC$87:CC$94)+SUM(CE$87:CE$94)</f>
        <v>143631.25786704791</v>
      </c>
      <c r="N136" s="106">
        <f>SUM(CG$87:CG$94)+SUM(CI$87:CI$94)+SUM(CK$87:CK$94)+SUM(CM$87:CM$94)</f>
        <v>181475.82322886598</v>
      </c>
      <c r="O136" s="106">
        <f>SUM(CO$87:CO$94)+SUM(CQ$87:CQ$94)+SUM(CS$87:CS$94)+SUM(CU$87:CU$94)</f>
        <v>122031.3467360092</v>
      </c>
    </row>
    <row r="137" spans="2:15">
      <c r="C137" s="105" t="s">
        <v>132</v>
      </c>
      <c r="D137" s="106">
        <f>SUM(E$95:E$105)+SUM(G$95:G$105)+SUM(I$95:I$105)+SUM(K$95:K$105)</f>
        <v>245072.81330901489</v>
      </c>
      <c r="E137" s="106">
        <f>SUM(M$95:M$105)+SUM(O$95:O$105)+SUM(Q$95:Q$105)+SUM(S$95:S$105)</f>
        <v>196160.85593854467</v>
      </c>
      <c r="F137" s="106">
        <f>SUM(U$95:U$105)+SUM(W$95:W$105)+SUM(Y$95:Y$105)+SUM(AA$95:AA$105)</f>
        <v>156662.32755565163</v>
      </c>
      <c r="G137" s="106">
        <f>SUM(AC$95:AC$105)+SUM(AE$95:AE$105)+SUM(AG$95:AG$105)+SUM(AI$95:AI$105)</f>
        <v>206355.24584691733</v>
      </c>
      <c r="H137" s="106">
        <f>SUM(AK$95:AK$105)+SUM(AM$95:AM$105)+SUM(AO$95:AO$105)+SUM(AQ$95:AQ$105)</f>
        <v>218971.86181985264</v>
      </c>
      <c r="I137" s="106">
        <f>SUM(AS$95:AS$105)+SUM(AU$95:AU$105)+SUM(AW$95:AW$105)+SUM(AY$95:AY$105)</f>
        <v>218389.11361497187</v>
      </c>
      <c r="J137" s="106">
        <f>SUM(BA$95:BA$105)+SUM(BC$95:BC$105)+SUM(BE$95:BE$105)+SUM(BG$95:BG$105)</f>
        <v>230322.75990676438</v>
      </c>
      <c r="K137" s="106">
        <f>SUM(BI$95:BI$105)+SUM(BK$95:BK$105)+SUM(BM$95:BM$105)+SUM(BO$95:BO$105)</f>
        <v>249907.04389695707</v>
      </c>
      <c r="L137" s="106">
        <f>SUM(BQ$95:BQ$105)+SUM(BS$95:BS$105)+SUM(BU$95:BU$105)+SUM(BW$95:BW$105)</f>
        <v>162874.55418307046</v>
      </c>
      <c r="M137" s="106">
        <f>SUM(BY$95:BY$105)+SUM(CA$95:CA$105)+SUM(CC$95:CC$105)+SUM(CE$95:CE$105)</f>
        <v>157627.8963834857</v>
      </c>
      <c r="N137" s="106">
        <f>SUM(CG$95:CG$105)+SUM(CI$95:CI$105)+SUM(CK$95:CK$105)+SUM(CM$95:CM$105)</f>
        <v>280740.86324085755</v>
      </c>
      <c r="O137" s="106">
        <f>SUM(CO$95:CO$105)+SUM(CQ$95:CQ$105)+SUM(CS$95:CS$105)+SUM(CU$95:CU$105)</f>
        <v>179831.85344512228</v>
      </c>
    </row>
    <row r="138" spans="2:15">
      <c r="C138" s="105" t="s">
        <v>278</v>
      </c>
      <c r="D138" s="100">
        <f t="shared" ref="D138:O138" si="2">SUM(D$131:D$137)</f>
        <v>2153838.2053004298</v>
      </c>
      <c r="E138" s="100">
        <f t="shared" si="2"/>
        <v>1963926.3071777367</v>
      </c>
      <c r="F138" s="100">
        <f t="shared" si="2"/>
        <v>1940238.0694966109</v>
      </c>
      <c r="G138" s="100">
        <f t="shared" si="2"/>
        <v>1802704.6567428003</v>
      </c>
      <c r="H138" s="100">
        <f t="shared" si="2"/>
        <v>1780479.3284407125</v>
      </c>
      <c r="I138" s="100">
        <f t="shared" si="2"/>
        <v>1077398.1904597492</v>
      </c>
      <c r="J138" s="100">
        <f t="shared" si="2"/>
        <v>2288246.4902094938</v>
      </c>
      <c r="K138" s="100">
        <f t="shared" si="2"/>
        <v>1883374.023173071</v>
      </c>
      <c r="L138" s="100">
        <f t="shared" si="2"/>
        <v>1588093.4102750071</v>
      </c>
      <c r="M138" s="100">
        <f t="shared" si="2"/>
        <v>2319867.9727932215</v>
      </c>
      <c r="N138" s="100">
        <f t="shared" si="2"/>
        <v>1707905.8046130999</v>
      </c>
      <c r="O138" s="100">
        <f t="shared" si="2"/>
        <v>1793004.8992402633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2015-01-12T19:47:01Z</dcterms:modified>
</cp:coreProperties>
</file>